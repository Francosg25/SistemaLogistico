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jehl-my.sharepoint.com/personal/franco_sanchez_johnsonelectric_com/Documents/Desktop/Programas trabajados/SistemaLogistico/"/>
    </mc:Choice>
  </mc:AlternateContent>
  <xr:revisionPtr revIDLastSave="9795" documentId="13_ncr:1_{3C8D85F6-BAF3-492D-9E6F-48BD8E9FEC05}" xr6:coauthVersionLast="47" xr6:coauthVersionMax="47" xr10:uidLastSave="{8F600DBB-E5F5-4F31-8EB5-84C6A305B6A4}"/>
  <bookViews>
    <workbookView minimized="1" xWindow="5820" yWindow="4130" windowWidth="14400" windowHeight="8170" activeTab="3" xr2:uid="{EB3EF20A-4E98-4CB9-ABEA-071C936E4839}"/>
  </bookViews>
  <sheets>
    <sheet name="Summary" sheetId="3" r:id="rId1"/>
    <sheet name="Outbound" sheetId="1" r:id="rId2"/>
    <sheet name="Sea" sheetId="2" r:id="rId3"/>
    <sheet name="land" sheetId="4" r:id="rId4"/>
    <sheet name="PRORRATEO_IMPO" sheetId="25" r:id="rId5"/>
    <sheet name="PRORRATEO_EXPO" sheetId="26" r:id="rId6"/>
    <sheet name="ANALISIS_CODIGO" sheetId="50" r:id="rId7"/>
    <sheet name="ANALISIS_FLUJO_DATOS" sheetId="58" r:id="rId8"/>
    <sheet name="ANALISIS_FLUJO" sheetId="59" r:id="rId9"/>
  </sheets>
  <definedNames>
    <definedName name="_xlnm._FilterDatabase" localSheetId="3" hidden="1">land!$B$5:$BL$139</definedName>
    <definedName name="_xlnm._FilterDatabase" localSheetId="2" hidden="1">Sea!$CN$5:$CS$1167</definedName>
    <definedName name="TARIFA_LAND">#REF!</definedName>
    <definedName name="TARIFA_OUTBOUND">#REF!</definedName>
    <definedName name="TARIFA_SEA">#REF!</definedName>
    <definedName name="TOLERANCIA_COSTO">#REF!</definedName>
    <definedName name="TOLERANCIA_PC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D7" i="4" l="1"/>
  <c r="C53" i="59"/>
  <c r="C52" i="59"/>
  <c r="C51" i="59"/>
  <c r="C50" i="59"/>
  <c r="C49" i="59"/>
  <c r="C48" i="59"/>
  <c r="P11" i="26"/>
  <c r="Q11" i="26"/>
  <c r="Q8" i="26"/>
  <c r="Q7" i="26" l="1"/>
  <c r="P8" i="26"/>
  <c r="P7" i="26"/>
  <c r="O13" i="25"/>
  <c r="Q11" i="25"/>
  <c r="P11" i="25"/>
  <c r="O11" i="25"/>
  <c r="P10" i="25"/>
  <c r="O10" i="25"/>
  <c r="P9" i="25"/>
  <c r="O9" i="25"/>
  <c r="Q8" i="25"/>
  <c r="P8" i="25"/>
  <c r="O8" i="25"/>
  <c r="Q7" i="25"/>
  <c r="P7" i="25"/>
  <c r="O7" i="25"/>
  <c r="L9" i="25"/>
  <c r="L10" i="25"/>
  <c r="L11" i="25"/>
  <c r="L49" i="25"/>
  <c r="L50" i="25"/>
  <c r="L51" i="25"/>
  <c r="L52" i="25"/>
  <c r="L54" i="25"/>
  <c r="L55" i="25"/>
  <c r="L70" i="25"/>
  <c r="L71" i="25"/>
  <c r="L73" i="25"/>
  <c r="Q9" i="25" l="1"/>
  <c r="Q10" i="25"/>
  <c r="J7" i="26"/>
  <c r="I56" i="25"/>
  <c r="J56" i="25" s="1"/>
  <c r="I7" i="25"/>
  <c r="J7" i="25" s="1"/>
  <c r="G83" i="26" a="1"/>
  <c r="G83" i="26" s="1"/>
  <c r="I83" i="26" s="1"/>
  <c r="L83" i="26"/>
  <c r="H82" i="26"/>
  <c r="G82" i="26"/>
  <c r="I82" i="26"/>
  <c r="L82" i="26"/>
  <c r="J81" i="26"/>
  <c r="K81" i="26" s="1"/>
  <c r="I81" i="26"/>
  <c r="M81" i="26" s="1"/>
  <c r="J80" i="26"/>
  <c r="K80" i="26" s="1"/>
  <c r="I80" i="26"/>
  <c r="M80" i="26" s="1"/>
  <c r="J79" i="26"/>
  <c r="K79" i="26" s="1"/>
  <c r="I79" i="26"/>
  <c r="M79" i="26" s="1"/>
  <c r="J78" i="26"/>
  <c r="K78" i="26" s="1"/>
  <c r="I78" i="26"/>
  <c r="M78" i="26" s="1"/>
  <c r="J77" i="26"/>
  <c r="K77" i="26" s="1"/>
  <c r="I77" i="26"/>
  <c r="M77" i="26" s="1"/>
  <c r="J76" i="26"/>
  <c r="K76" i="26" s="1"/>
  <c r="I76" i="26"/>
  <c r="M76" i="26" s="1"/>
  <c r="J75" i="26"/>
  <c r="K75" i="26" s="1"/>
  <c r="I75" i="26"/>
  <c r="M75" i="26" s="1"/>
  <c r="J74" i="26"/>
  <c r="K74" i="26" s="1"/>
  <c r="I74" i="26"/>
  <c r="M74" i="26" s="1"/>
  <c r="J73" i="26"/>
  <c r="K73" i="26" s="1"/>
  <c r="I73" i="26"/>
  <c r="M73" i="26" s="1"/>
  <c r="J72" i="26"/>
  <c r="K72" i="26" s="1"/>
  <c r="I72" i="26"/>
  <c r="M72" i="26" s="1"/>
  <c r="J71" i="26"/>
  <c r="K71" i="26" s="1"/>
  <c r="I71" i="26"/>
  <c r="M71" i="26" s="1"/>
  <c r="J70" i="26"/>
  <c r="K70" i="26" s="1"/>
  <c r="I70" i="26"/>
  <c r="M70" i="26" s="1"/>
  <c r="J69" i="26"/>
  <c r="K69" i="26" s="1"/>
  <c r="I69" i="26"/>
  <c r="M69" i="26" s="1"/>
  <c r="J68" i="26"/>
  <c r="K68" i="26" s="1"/>
  <c r="I68" i="26"/>
  <c r="M68" i="26" s="1"/>
  <c r="J67" i="26"/>
  <c r="K67" i="26" s="1"/>
  <c r="I67" i="26"/>
  <c r="M67" i="26" s="1"/>
  <c r="J66" i="26"/>
  <c r="K66" i="26" s="1"/>
  <c r="I66" i="26"/>
  <c r="M66" i="26" s="1"/>
  <c r="J65" i="26"/>
  <c r="K65" i="26" s="1"/>
  <c r="I65" i="26"/>
  <c r="M65" i="26" s="1"/>
  <c r="J64" i="26"/>
  <c r="K64" i="26" s="1"/>
  <c r="I64" i="26"/>
  <c r="M64" i="26" s="1"/>
  <c r="J63" i="26"/>
  <c r="K63" i="26" s="1"/>
  <c r="I63" i="26"/>
  <c r="M63" i="26" s="1"/>
  <c r="J62" i="26"/>
  <c r="K62" i="26" s="1"/>
  <c r="I62" i="26"/>
  <c r="M62" i="26" s="1"/>
  <c r="J61" i="26"/>
  <c r="K61" i="26" s="1"/>
  <c r="I61" i="26"/>
  <c r="M61" i="26" s="1"/>
  <c r="J60" i="26"/>
  <c r="K60" i="26" s="1"/>
  <c r="I60" i="26"/>
  <c r="M60" i="26" s="1"/>
  <c r="J59" i="26"/>
  <c r="K59" i="26" s="1"/>
  <c r="I59" i="26"/>
  <c r="M59" i="26" s="1"/>
  <c r="J58" i="26"/>
  <c r="K58" i="26" s="1"/>
  <c r="I58" i="26"/>
  <c r="M58" i="26" s="1"/>
  <c r="J57" i="26"/>
  <c r="K57" i="26" s="1"/>
  <c r="I57" i="26"/>
  <c r="M57" i="26" s="1"/>
  <c r="J56" i="26"/>
  <c r="K56" i="26" s="1"/>
  <c r="I56" i="26"/>
  <c r="M56" i="26" s="1"/>
  <c r="J55" i="26"/>
  <c r="K55" i="26" s="1"/>
  <c r="I55" i="26"/>
  <c r="M55" i="26" s="1"/>
  <c r="J54" i="26"/>
  <c r="K54" i="26" s="1"/>
  <c r="I54" i="26"/>
  <c r="M54" i="26" s="1"/>
  <c r="J53" i="26"/>
  <c r="K53" i="26" s="1"/>
  <c r="I53" i="26"/>
  <c r="M53" i="26" s="1"/>
  <c r="J52" i="26"/>
  <c r="K52" i="26" s="1"/>
  <c r="I52" i="26"/>
  <c r="M52" i="26" s="1"/>
  <c r="J51" i="26"/>
  <c r="K51" i="26" s="1"/>
  <c r="I51" i="26"/>
  <c r="M51" i="26" s="1"/>
  <c r="J50" i="26"/>
  <c r="K50" i="26" s="1"/>
  <c r="I50" i="26"/>
  <c r="M50" i="26" s="1"/>
  <c r="J49" i="26"/>
  <c r="K49" i="26" s="1"/>
  <c r="I49" i="26"/>
  <c r="M49" i="26" s="1"/>
  <c r="J48" i="26"/>
  <c r="K48" i="26" s="1"/>
  <c r="I48" i="26"/>
  <c r="M48" i="26" s="1"/>
  <c r="J47" i="26"/>
  <c r="K47" i="26" s="1"/>
  <c r="I47" i="26"/>
  <c r="M47" i="26" s="1"/>
  <c r="J46" i="26"/>
  <c r="K46" i="26" s="1"/>
  <c r="I46" i="26"/>
  <c r="M46" i="26" s="1"/>
  <c r="J45" i="26"/>
  <c r="K45" i="26" s="1"/>
  <c r="I45" i="26"/>
  <c r="M45" i="26" s="1"/>
  <c r="J44" i="26"/>
  <c r="K44" i="26" s="1"/>
  <c r="I44" i="26"/>
  <c r="M44" i="26" s="1"/>
  <c r="J43" i="26"/>
  <c r="K43" i="26" s="1"/>
  <c r="I43" i="26"/>
  <c r="M43" i="26" s="1"/>
  <c r="J42" i="26"/>
  <c r="K42" i="26" s="1"/>
  <c r="I42" i="26"/>
  <c r="M42" i="26" s="1"/>
  <c r="J41" i="26"/>
  <c r="K41" i="26" s="1"/>
  <c r="I41" i="26"/>
  <c r="M41" i="26" s="1"/>
  <c r="J40" i="26"/>
  <c r="K40" i="26" s="1"/>
  <c r="I40" i="26"/>
  <c r="M40" i="26" s="1"/>
  <c r="J39" i="26"/>
  <c r="K39" i="26" s="1"/>
  <c r="I39" i="26"/>
  <c r="M39" i="26" s="1"/>
  <c r="J38" i="26"/>
  <c r="K38" i="26" s="1"/>
  <c r="I38" i="26"/>
  <c r="M38" i="26" s="1"/>
  <c r="J37" i="26"/>
  <c r="K37" i="26" s="1"/>
  <c r="I37" i="26"/>
  <c r="M37" i="26" s="1"/>
  <c r="J36" i="26"/>
  <c r="K36" i="26" s="1"/>
  <c r="I36" i="26"/>
  <c r="M36" i="26" s="1"/>
  <c r="J35" i="26"/>
  <c r="K35" i="26" s="1"/>
  <c r="I35" i="26"/>
  <c r="M35" i="26" s="1"/>
  <c r="J34" i="26"/>
  <c r="K34" i="26" s="1"/>
  <c r="I34" i="26"/>
  <c r="M34" i="26" s="1"/>
  <c r="J33" i="26"/>
  <c r="K33" i="26" s="1"/>
  <c r="I33" i="26"/>
  <c r="M33" i="26" s="1"/>
  <c r="J32" i="26"/>
  <c r="K32" i="26" s="1"/>
  <c r="I32" i="26"/>
  <c r="M32" i="26" s="1"/>
  <c r="J31" i="26"/>
  <c r="K31" i="26" s="1"/>
  <c r="I31" i="26"/>
  <c r="M31" i="26" s="1"/>
  <c r="J30" i="26"/>
  <c r="K30" i="26" s="1"/>
  <c r="I30" i="26"/>
  <c r="M30" i="26" s="1"/>
  <c r="J29" i="26"/>
  <c r="K29" i="26" s="1"/>
  <c r="I29" i="26"/>
  <c r="M29" i="26" s="1"/>
  <c r="J28" i="26"/>
  <c r="K28" i="26" s="1"/>
  <c r="I28" i="26"/>
  <c r="M28" i="26" s="1"/>
  <c r="J27" i="26"/>
  <c r="K27" i="26" s="1"/>
  <c r="I27" i="26"/>
  <c r="M27" i="26" s="1"/>
  <c r="J26" i="26"/>
  <c r="K26" i="26" s="1"/>
  <c r="I26" i="26"/>
  <c r="M26" i="26" s="1"/>
  <c r="J25" i="26"/>
  <c r="K25" i="26" s="1"/>
  <c r="I25" i="26"/>
  <c r="M25" i="26" s="1"/>
  <c r="J24" i="26"/>
  <c r="K24" i="26" s="1"/>
  <c r="I24" i="26"/>
  <c r="M24" i="26" s="1"/>
  <c r="J23" i="26"/>
  <c r="K23" i="26" s="1"/>
  <c r="I23" i="26"/>
  <c r="M23" i="26" s="1"/>
  <c r="J22" i="26"/>
  <c r="K22" i="26" s="1"/>
  <c r="I22" i="26"/>
  <c r="M22" i="26" s="1"/>
  <c r="J21" i="26"/>
  <c r="K21" i="26" s="1"/>
  <c r="I21" i="26"/>
  <c r="M21" i="26" s="1"/>
  <c r="J20" i="26"/>
  <c r="K20" i="26" s="1"/>
  <c r="I20" i="26"/>
  <c r="M20" i="26" s="1"/>
  <c r="J19" i="26"/>
  <c r="K19" i="26" s="1"/>
  <c r="I19" i="26"/>
  <c r="M19" i="26" s="1"/>
  <c r="J18" i="26"/>
  <c r="K18" i="26" s="1"/>
  <c r="I18" i="26"/>
  <c r="M18" i="26" s="1"/>
  <c r="J17" i="26"/>
  <c r="K17" i="26" s="1"/>
  <c r="I17" i="26"/>
  <c r="M17" i="26" s="1"/>
  <c r="J16" i="26"/>
  <c r="K16" i="26" s="1"/>
  <c r="I16" i="26"/>
  <c r="M16" i="26" s="1"/>
  <c r="J15" i="26"/>
  <c r="K15" i="26" s="1"/>
  <c r="I15" i="26"/>
  <c r="M15" i="26" s="1"/>
  <c r="J14" i="26"/>
  <c r="K14" i="26" s="1"/>
  <c r="L14" i="26" s="1"/>
  <c r="I14" i="26"/>
  <c r="M14" i="26" s="1"/>
  <c r="J13" i="26"/>
  <c r="K13" i="26" s="1"/>
  <c r="I13" i="26"/>
  <c r="M13" i="26" s="1"/>
  <c r="J12" i="26"/>
  <c r="K12" i="26" s="1"/>
  <c r="I12" i="26"/>
  <c r="M12" i="26" s="1"/>
  <c r="J11" i="26"/>
  <c r="K11" i="26" s="1"/>
  <c r="I11" i="26"/>
  <c r="M11" i="26" s="1"/>
  <c r="J10" i="26"/>
  <c r="K10" i="26" s="1"/>
  <c r="I10" i="26"/>
  <c r="M10" i="26" s="1"/>
  <c r="J9" i="26"/>
  <c r="K9" i="26" s="1"/>
  <c r="I9" i="26"/>
  <c r="M9" i="26" s="1"/>
  <c r="J8" i="26"/>
  <c r="K8" i="26" s="1"/>
  <c r="I8" i="26"/>
  <c r="M8" i="26" s="1"/>
  <c r="K7" i="26"/>
  <c r="I7" i="26"/>
  <c r="M7" i="26" s="1"/>
  <c r="F78" i="25" a="1"/>
  <c r="F78" i="25" s="1"/>
  <c r="H78" i="25" s="1"/>
  <c r="K78" i="25"/>
  <c r="G77" i="25"/>
  <c r="F77" i="25"/>
  <c r="H77" i="25"/>
  <c r="K77" i="25"/>
  <c r="I76" i="25"/>
  <c r="J76" i="25" s="1"/>
  <c r="H76" i="25"/>
  <c r="L76" i="25" s="1"/>
  <c r="I75" i="25"/>
  <c r="J75" i="25" s="1"/>
  <c r="H75" i="25"/>
  <c r="L75" i="25" s="1"/>
  <c r="I74" i="25"/>
  <c r="J74" i="25" s="1"/>
  <c r="K76" i="25" s="1"/>
  <c r="H74" i="25"/>
  <c r="L74" i="25" s="1"/>
  <c r="I73" i="25"/>
  <c r="J73" i="25" s="1"/>
  <c r="H73" i="25"/>
  <c r="I72" i="25"/>
  <c r="J72" i="25" s="1"/>
  <c r="H72" i="25"/>
  <c r="L72" i="25" s="1"/>
  <c r="I71" i="25"/>
  <c r="J71" i="25" s="1"/>
  <c r="H71" i="25"/>
  <c r="I70" i="25"/>
  <c r="J70" i="25" s="1"/>
  <c r="H70" i="25"/>
  <c r="I69" i="25"/>
  <c r="J69" i="25" s="1"/>
  <c r="H69" i="25"/>
  <c r="L69" i="25" s="1"/>
  <c r="I68" i="25"/>
  <c r="J68" i="25" s="1"/>
  <c r="H68" i="25"/>
  <c r="L68" i="25" s="1"/>
  <c r="I67" i="25"/>
  <c r="J67" i="25" s="1"/>
  <c r="H67" i="25"/>
  <c r="L67" i="25" s="1"/>
  <c r="I66" i="25"/>
  <c r="J66" i="25" s="1"/>
  <c r="H66" i="25"/>
  <c r="L66" i="25" s="1"/>
  <c r="I65" i="25"/>
  <c r="J65" i="25" s="1"/>
  <c r="H65" i="25"/>
  <c r="L65" i="25" s="1"/>
  <c r="I64" i="25"/>
  <c r="J64" i="25" s="1"/>
  <c r="H64" i="25"/>
  <c r="L64" i="25" s="1"/>
  <c r="I63" i="25"/>
  <c r="J63" i="25" s="1"/>
  <c r="H63" i="25"/>
  <c r="L63" i="25" s="1"/>
  <c r="I62" i="25"/>
  <c r="J62" i="25" s="1"/>
  <c r="H62" i="25"/>
  <c r="L62" i="25" s="1"/>
  <c r="I61" i="25"/>
  <c r="J61" i="25" s="1"/>
  <c r="H61" i="25"/>
  <c r="L61" i="25" s="1"/>
  <c r="I60" i="25"/>
  <c r="J60" i="25" s="1"/>
  <c r="H60" i="25"/>
  <c r="L60" i="25" s="1"/>
  <c r="I59" i="25"/>
  <c r="J59" i="25" s="1"/>
  <c r="H59" i="25"/>
  <c r="L59" i="25" s="1"/>
  <c r="I58" i="25"/>
  <c r="J58" i="25" s="1"/>
  <c r="H58" i="25"/>
  <c r="L58" i="25" s="1"/>
  <c r="I57" i="25"/>
  <c r="J57" i="25" s="1"/>
  <c r="H57" i="25"/>
  <c r="L57" i="25" s="1"/>
  <c r="H56" i="25"/>
  <c r="L56" i="25" s="1"/>
  <c r="I55" i="25"/>
  <c r="J55" i="25" s="1"/>
  <c r="H55" i="25"/>
  <c r="I54" i="25"/>
  <c r="J54" i="25" s="1"/>
  <c r="H54" i="25"/>
  <c r="I53" i="25"/>
  <c r="J53" i="25" s="1"/>
  <c r="H53" i="25"/>
  <c r="L53" i="25" s="1"/>
  <c r="I52" i="25"/>
  <c r="J52" i="25" s="1"/>
  <c r="H52" i="25"/>
  <c r="I51" i="25"/>
  <c r="J51" i="25" s="1"/>
  <c r="H51" i="25"/>
  <c r="I50" i="25"/>
  <c r="J50" i="25" s="1"/>
  <c r="H50" i="25"/>
  <c r="I49" i="25"/>
  <c r="J49" i="25" s="1"/>
  <c r="H49" i="25"/>
  <c r="I48" i="25"/>
  <c r="J48" i="25" s="1"/>
  <c r="H48" i="25"/>
  <c r="L48" i="25" s="1"/>
  <c r="I47" i="25"/>
  <c r="J47" i="25" s="1"/>
  <c r="H47" i="25"/>
  <c r="L47" i="25" s="1"/>
  <c r="I46" i="25"/>
  <c r="J46" i="25" s="1"/>
  <c r="H46" i="25"/>
  <c r="L46" i="25" s="1"/>
  <c r="I45" i="25"/>
  <c r="J45" i="25" s="1"/>
  <c r="H45" i="25"/>
  <c r="L45" i="25" s="1"/>
  <c r="I44" i="25"/>
  <c r="J44" i="25" s="1"/>
  <c r="H44" i="25"/>
  <c r="L44" i="25" s="1"/>
  <c r="I43" i="25"/>
  <c r="J43" i="25" s="1"/>
  <c r="H43" i="25"/>
  <c r="L43" i="25" s="1"/>
  <c r="I42" i="25"/>
  <c r="J42" i="25" s="1"/>
  <c r="H42" i="25"/>
  <c r="L42" i="25" s="1"/>
  <c r="I41" i="25"/>
  <c r="J41" i="25" s="1"/>
  <c r="H41" i="25"/>
  <c r="L41" i="25" s="1"/>
  <c r="I40" i="25"/>
  <c r="J40" i="25" s="1"/>
  <c r="H40" i="25"/>
  <c r="L40" i="25" s="1"/>
  <c r="I39" i="25"/>
  <c r="J39" i="25" s="1"/>
  <c r="H39" i="25"/>
  <c r="L39" i="25" s="1"/>
  <c r="I38" i="25"/>
  <c r="J38" i="25" s="1"/>
  <c r="H38" i="25"/>
  <c r="L38" i="25" s="1"/>
  <c r="I37" i="25"/>
  <c r="J37" i="25" s="1"/>
  <c r="H37" i="25"/>
  <c r="L37" i="25" s="1"/>
  <c r="I36" i="25"/>
  <c r="J36" i="25" s="1"/>
  <c r="H36" i="25"/>
  <c r="L36" i="25" s="1"/>
  <c r="I35" i="25"/>
  <c r="J35" i="25" s="1"/>
  <c r="H35" i="25"/>
  <c r="L35" i="25" s="1"/>
  <c r="I34" i="25"/>
  <c r="J34" i="25" s="1"/>
  <c r="H34" i="25"/>
  <c r="L34" i="25" s="1"/>
  <c r="I33" i="25"/>
  <c r="J33" i="25" s="1"/>
  <c r="H33" i="25"/>
  <c r="L33" i="25" s="1"/>
  <c r="I32" i="25"/>
  <c r="J32" i="25" s="1"/>
  <c r="H32" i="25"/>
  <c r="L32" i="25" s="1"/>
  <c r="I31" i="25"/>
  <c r="J31" i="25" s="1"/>
  <c r="H31" i="25"/>
  <c r="L31" i="25" s="1"/>
  <c r="I30" i="25"/>
  <c r="J30" i="25" s="1"/>
  <c r="H30" i="25"/>
  <c r="L30" i="25" s="1"/>
  <c r="I29" i="25"/>
  <c r="J29" i="25" s="1"/>
  <c r="H29" i="25"/>
  <c r="L29" i="25" s="1"/>
  <c r="I28" i="25"/>
  <c r="J28" i="25" s="1"/>
  <c r="H28" i="25"/>
  <c r="L28" i="25" s="1"/>
  <c r="I27" i="25"/>
  <c r="J27" i="25" s="1"/>
  <c r="H27" i="25"/>
  <c r="L27" i="25" s="1"/>
  <c r="I26" i="25"/>
  <c r="J26" i="25" s="1"/>
  <c r="H26" i="25"/>
  <c r="L26" i="25" s="1"/>
  <c r="I25" i="25"/>
  <c r="J25" i="25" s="1"/>
  <c r="H25" i="25"/>
  <c r="L25" i="25" s="1"/>
  <c r="I24" i="25"/>
  <c r="J24" i="25" s="1"/>
  <c r="H24" i="25"/>
  <c r="L24" i="25" s="1"/>
  <c r="I23" i="25"/>
  <c r="J23" i="25" s="1"/>
  <c r="H23" i="25"/>
  <c r="L23" i="25" s="1"/>
  <c r="I22" i="25"/>
  <c r="J22" i="25" s="1"/>
  <c r="H22" i="25"/>
  <c r="L22" i="25" s="1"/>
  <c r="I21" i="25"/>
  <c r="J21" i="25" s="1"/>
  <c r="H21" i="25"/>
  <c r="L21" i="25" s="1"/>
  <c r="I20" i="25"/>
  <c r="J20" i="25" s="1"/>
  <c r="H20" i="25"/>
  <c r="L20" i="25" s="1"/>
  <c r="I19" i="25"/>
  <c r="J19" i="25" s="1"/>
  <c r="H19" i="25"/>
  <c r="L19" i="25" s="1"/>
  <c r="I18" i="25"/>
  <c r="J18" i="25" s="1"/>
  <c r="H18" i="25"/>
  <c r="L18" i="25" s="1"/>
  <c r="I17" i="25"/>
  <c r="J17" i="25" s="1"/>
  <c r="H17" i="25"/>
  <c r="L17" i="25" s="1"/>
  <c r="I16" i="25"/>
  <c r="J16" i="25" s="1"/>
  <c r="H16" i="25"/>
  <c r="L16" i="25" s="1"/>
  <c r="I15" i="25"/>
  <c r="J15" i="25" s="1"/>
  <c r="H15" i="25"/>
  <c r="L15" i="25" s="1"/>
  <c r="I14" i="25"/>
  <c r="J14" i="25" s="1"/>
  <c r="H14" i="25"/>
  <c r="L14" i="25" s="1"/>
  <c r="I13" i="25"/>
  <c r="J13" i="25" s="1"/>
  <c r="H13" i="25"/>
  <c r="L13" i="25" s="1"/>
  <c r="I12" i="25"/>
  <c r="J12" i="25" s="1"/>
  <c r="H12" i="25"/>
  <c r="L12" i="25" s="1"/>
  <c r="I11" i="25"/>
  <c r="J11" i="25" s="1"/>
  <c r="H11" i="25"/>
  <c r="I10" i="25"/>
  <c r="J10" i="25" s="1"/>
  <c r="H10" i="25"/>
  <c r="I9" i="25"/>
  <c r="J9" i="25" s="1"/>
  <c r="H9" i="25"/>
  <c r="I8" i="25"/>
  <c r="J8" i="25" s="1"/>
  <c r="H8" i="25"/>
  <c r="L8" i="25" s="1"/>
  <c r="H7" i="25"/>
  <c r="R8" i="26" l="1"/>
  <c r="R7" i="26"/>
  <c r="R11" i="26" s="1"/>
  <c r="L7" i="25"/>
  <c r="L13" i="26"/>
  <c r="L29" i="26"/>
  <c r="K73" i="25"/>
  <c r="K55" i="25"/>
  <c r="K56" i="25"/>
  <c r="L9" i="26"/>
  <c r="L80" i="26"/>
  <c r="L81" i="26"/>
  <c r="L66" i="26"/>
  <c r="L27" i="26"/>
  <c r="L78" i="26"/>
  <c r="L10" i="26"/>
  <c r="L59" i="26"/>
  <c r="K82" i="26"/>
  <c r="K83" i="26" s="1"/>
  <c r="L7" i="26"/>
  <c r="L8" i="26"/>
  <c r="K11" i="25"/>
  <c r="J77" i="25"/>
  <c r="J78" i="25" s="1"/>
  <c r="L79" i="26"/>
  <c r="L74" i="26"/>
  <c r="L77" i="26"/>
  <c r="L76" i="26"/>
  <c r="L75" i="26"/>
  <c r="L53" i="26"/>
  <c r="L73" i="26"/>
  <c r="L72" i="26"/>
  <c r="L71" i="26"/>
  <c r="L70" i="26"/>
  <c r="L69" i="26"/>
  <c r="L68" i="26"/>
  <c r="L67" i="26"/>
  <c r="L65" i="26"/>
  <c r="L64" i="26"/>
  <c r="L63" i="26"/>
  <c r="L62" i="26"/>
  <c r="L61" i="26"/>
  <c r="L60" i="26"/>
  <c r="L58" i="26"/>
  <c r="L56" i="26"/>
  <c r="L57" i="26"/>
  <c r="L55" i="26"/>
  <c r="L54" i="26"/>
  <c r="L52" i="26"/>
  <c r="L51" i="26"/>
  <c r="L50" i="26"/>
  <c r="L49" i="26"/>
  <c r="L48" i="26"/>
  <c r="L47" i="26"/>
  <c r="L46" i="26"/>
  <c r="L45" i="26"/>
  <c r="L44" i="26"/>
  <c r="L43" i="26"/>
  <c r="L42" i="26"/>
  <c r="L41" i="26"/>
  <c r="L40" i="26"/>
  <c r="L39" i="26"/>
  <c r="L38" i="26"/>
  <c r="L37" i="26"/>
  <c r="L36" i="26"/>
  <c r="L35" i="26"/>
  <c r="L34" i="26"/>
  <c r="L33" i="26"/>
  <c r="L32" i="26"/>
  <c r="L31" i="26"/>
  <c r="L30" i="26"/>
  <c r="L28" i="26"/>
  <c r="L26" i="26"/>
  <c r="L25" i="26"/>
  <c r="L24" i="26"/>
  <c r="L23" i="26"/>
  <c r="L22" i="26"/>
  <c r="L21" i="26"/>
  <c r="L20" i="26"/>
  <c r="L18" i="26"/>
  <c r="L19" i="26"/>
  <c r="L17" i="26"/>
  <c r="L16" i="26"/>
  <c r="L15" i="26"/>
  <c r="L12" i="26"/>
  <c r="L11" i="26"/>
  <c r="K75" i="25"/>
  <c r="K74" i="25"/>
  <c r="K72" i="25"/>
  <c r="K71" i="25"/>
  <c r="K70" i="25"/>
  <c r="K69" i="25"/>
  <c r="K68" i="25"/>
  <c r="K67" i="25"/>
  <c r="K66" i="25"/>
  <c r="K65" i="25"/>
  <c r="K64" i="25"/>
  <c r="K63" i="25"/>
  <c r="K62" i="25"/>
  <c r="K61" i="25"/>
  <c r="K60" i="25"/>
  <c r="K59" i="25"/>
  <c r="K58" i="25"/>
  <c r="K57" i="25"/>
  <c r="K54" i="25"/>
  <c r="K53" i="25"/>
  <c r="K52" i="25"/>
  <c r="K51" i="25"/>
  <c r="K50" i="25"/>
  <c r="K49" i="25"/>
  <c r="K48" i="25"/>
  <c r="K47" i="25"/>
  <c r="K46" i="25"/>
  <c r="K45" i="25"/>
  <c r="K44" i="25"/>
  <c r="K43" i="25"/>
  <c r="K42" i="25"/>
  <c r="K41" i="25"/>
  <c r="K40" i="25"/>
  <c r="K39" i="25"/>
  <c r="K38" i="25"/>
  <c r="K37" i="25"/>
  <c r="K36" i="25"/>
  <c r="K35" i="25"/>
  <c r="K34" i="25"/>
  <c r="K33" i="25"/>
  <c r="K32" i="25"/>
  <c r="K31" i="25"/>
  <c r="K30" i="25"/>
  <c r="K29" i="25"/>
  <c r="K28" i="25"/>
  <c r="K27" i="25"/>
  <c r="K26" i="25"/>
  <c r="K25" i="25"/>
  <c r="K24" i="25"/>
  <c r="K23" i="25"/>
  <c r="K22" i="25"/>
  <c r="K21" i="25"/>
  <c r="K20" i="25"/>
  <c r="K19" i="25"/>
  <c r="K18" i="25"/>
  <c r="K17" i="25"/>
  <c r="K16" i="25"/>
  <c r="K15" i="25"/>
  <c r="K14" i="25"/>
  <c r="K13" i="25"/>
  <c r="K12" i="25"/>
  <c r="K9" i="25"/>
  <c r="K10" i="25"/>
  <c r="K8" i="25"/>
  <c r="K7" i="25"/>
  <c r="D5" i="3"/>
  <c r="BS2" i="4" a="1"/>
  <c r="BS2" i="4" s="1"/>
  <c r="B1" i="4" a="1"/>
  <c r="B1" i="4" s="1"/>
  <c r="D7" i="4" a="1"/>
  <c r="D7" i="4" s="1"/>
  <c r="D8" i="4" a="1"/>
  <c r="D8" i="4" s="1"/>
  <c r="D9" i="4" a="1"/>
  <c r="D9" i="4" s="1"/>
  <c r="D10" i="4" a="1"/>
  <c r="D10" i="4" s="1"/>
  <c r="D11" i="4" a="1"/>
  <c r="D11" i="4" s="1"/>
  <c r="D12" i="4" a="1"/>
  <c r="D12" i="4" s="1"/>
  <c r="D13" i="4" a="1"/>
  <c r="D13" i="4" s="1"/>
  <c r="D14" i="4" a="1"/>
  <c r="D14" i="4" s="1"/>
  <c r="D15" i="4" a="1"/>
  <c r="D15" i="4" s="1"/>
  <c r="D16" i="4" a="1"/>
  <c r="D16" i="4" s="1"/>
  <c r="D17" i="4" a="1"/>
  <c r="D17" i="4" s="1"/>
  <c r="D18" i="4" a="1"/>
  <c r="D18" i="4" s="1"/>
  <c r="D19" i="4" a="1"/>
  <c r="D19" i="4" s="1"/>
  <c r="D20" i="4" a="1"/>
  <c r="D20" i="4" s="1"/>
  <c r="D21" i="4" a="1"/>
  <c r="D21" i="4" s="1"/>
  <c r="D22" i="4" a="1"/>
  <c r="D22" i="4" s="1"/>
  <c r="D23" i="4" a="1"/>
  <c r="D23" i="4" s="1"/>
  <c r="D24" i="4" a="1"/>
  <c r="D24" i="4" s="1"/>
  <c r="D25" i="4" a="1"/>
  <c r="D25" i="4" s="1"/>
  <c r="D26" i="4" a="1"/>
  <c r="D26" i="4" s="1"/>
  <c r="D27" i="4" a="1"/>
  <c r="D27" i="4" s="1"/>
  <c r="D28" i="4" a="1"/>
  <c r="D28" i="4" s="1"/>
  <c r="D29" i="4" a="1"/>
  <c r="D29" i="4" s="1"/>
  <c r="D30" i="4" a="1"/>
  <c r="D30" i="4" s="1"/>
  <c r="D31" i="4" a="1"/>
  <c r="D31" i="4" s="1"/>
  <c r="D32" i="4" a="1"/>
  <c r="D32" i="4" s="1"/>
  <c r="D33" i="4" a="1"/>
  <c r="D33" i="4" s="1"/>
  <c r="D34" i="4" a="1"/>
  <c r="D34" i="4" s="1"/>
  <c r="D35" i="4" a="1"/>
  <c r="D35" i="4" s="1"/>
  <c r="D36" i="4" a="1"/>
  <c r="D36" i="4" s="1"/>
  <c r="D37" i="4" a="1"/>
  <c r="D37" i="4" s="1"/>
  <c r="D38" i="4" a="1"/>
  <c r="D38" i="4" s="1"/>
  <c r="D39" i="4" a="1"/>
  <c r="D39" i="4" s="1"/>
  <c r="D40" i="4" a="1"/>
  <c r="D40" i="4" s="1"/>
  <c r="D41" i="4" a="1"/>
  <c r="D41" i="4" s="1"/>
  <c r="D42" i="4" a="1"/>
  <c r="D42" i="4" s="1"/>
  <c r="D43" i="4" a="1"/>
  <c r="D43" i="4" s="1"/>
  <c r="D44" i="4" a="1"/>
  <c r="D44" i="4" s="1"/>
  <c r="D45" i="4" a="1"/>
  <c r="D45" i="4" s="1"/>
  <c r="D46" i="4" a="1"/>
  <c r="D46" i="4" s="1"/>
  <c r="D47" i="4" a="1"/>
  <c r="D47" i="4" s="1"/>
  <c r="D48" i="4" a="1"/>
  <c r="D48" i="4" s="1"/>
  <c r="D49" i="4" a="1"/>
  <c r="D49" i="4" s="1"/>
  <c r="D50" i="4" a="1"/>
  <c r="D50" i="4" s="1"/>
  <c r="D51" i="4" a="1"/>
  <c r="D51" i="4" s="1"/>
  <c r="D52" i="4" a="1"/>
  <c r="D52" i="4" s="1"/>
  <c r="D53" i="4" a="1"/>
  <c r="D53" i="4" s="1"/>
  <c r="D54" i="4" a="1"/>
  <c r="D54" i="4" s="1"/>
  <c r="D55" i="4" a="1"/>
  <c r="D55" i="4" s="1"/>
  <c r="D56" i="4" a="1"/>
  <c r="D56" i="4" s="1"/>
  <c r="D57" i="4" a="1"/>
  <c r="D57" i="4" s="1"/>
  <c r="D58" i="4" a="1"/>
  <c r="D58" i="4" s="1"/>
  <c r="D59" i="4" a="1"/>
  <c r="D59" i="4" s="1"/>
  <c r="D60" i="4" a="1"/>
  <c r="D60" i="4" s="1"/>
  <c r="D61" i="4" a="1"/>
  <c r="D61" i="4" s="1"/>
  <c r="D62" i="4" a="1"/>
  <c r="D62" i="4" s="1"/>
  <c r="D63" i="4" a="1"/>
  <c r="D63" i="4" s="1"/>
  <c r="D64" i="4" a="1"/>
  <c r="D64" i="4" s="1"/>
  <c r="D65" i="4" a="1"/>
  <c r="D65" i="4" s="1"/>
  <c r="D66" i="4" a="1"/>
  <c r="D66" i="4" s="1"/>
  <c r="D67" i="4" a="1"/>
  <c r="D67" i="4" s="1"/>
  <c r="D68" i="4" a="1"/>
  <c r="D68" i="4" s="1"/>
  <c r="D69" i="4" a="1"/>
  <c r="D69" i="4" s="1"/>
  <c r="D70" i="4" a="1"/>
  <c r="D70" i="4" s="1"/>
  <c r="D71" i="4" a="1"/>
  <c r="D71" i="4" s="1"/>
  <c r="D72" i="4" a="1"/>
  <c r="D72" i="4" s="1"/>
  <c r="D73" i="4" a="1"/>
  <c r="D73" i="4" s="1"/>
  <c r="D74" i="4" a="1"/>
  <c r="D74" i="4" s="1"/>
  <c r="D75" i="4" a="1"/>
  <c r="D75" i="4" s="1"/>
  <c r="D76" i="4" a="1"/>
  <c r="D76" i="4" s="1"/>
  <c r="D77" i="4" a="1"/>
  <c r="D77" i="4" s="1"/>
  <c r="D78" i="4" a="1"/>
  <c r="D78" i="4" s="1"/>
  <c r="D79" i="4" a="1"/>
  <c r="D79" i="4" s="1"/>
  <c r="D80" i="4" a="1"/>
  <c r="D80" i="4" s="1"/>
  <c r="D81" i="4" a="1"/>
  <c r="D81" i="4" s="1"/>
  <c r="D82" i="4" a="1"/>
  <c r="D82" i="4" s="1"/>
  <c r="D83" i="4" a="1"/>
  <c r="D83" i="4" s="1"/>
  <c r="D84" i="4" a="1"/>
  <c r="D84" i="4" s="1"/>
  <c r="D85" i="4" a="1"/>
  <c r="D85" i="4" s="1"/>
  <c r="D86" i="4" a="1"/>
  <c r="D86" i="4" s="1"/>
  <c r="D87" i="4" a="1"/>
  <c r="D87" i="4" s="1"/>
  <c r="D88" i="4" a="1"/>
  <c r="D88" i="4" s="1"/>
  <c r="D89" i="4" a="1"/>
  <c r="D89" i="4" s="1"/>
  <c r="D90" i="4" a="1"/>
  <c r="D90" i="4" s="1"/>
  <c r="D91" i="4" a="1"/>
  <c r="D91" i="4" s="1"/>
  <c r="D92" i="4" a="1"/>
  <c r="D92" i="4" s="1"/>
  <c r="D93" i="4" a="1"/>
  <c r="D93" i="4" s="1"/>
  <c r="D94" i="4" a="1"/>
  <c r="D94" i="4" s="1"/>
  <c r="D95" i="4" a="1"/>
  <c r="D95" i="4" s="1"/>
  <c r="D96" i="4" a="1"/>
  <c r="D96" i="4" s="1"/>
  <c r="D97" i="4" a="1"/>
  <c r="D97" i="4" s="1"/>
  <c r="D98" i="4" a="1"/>
  <c r="D98" i="4" s="1"/>
  <c r="D99" i="4" a="1"/>
  <c r="D99" i="4" s="1"/>
  <c r="D100" i="4" a="1"/>
  <c r="D100" i="4" s="1"/>
  <c r="D101" i="4" a="1"/>
  <c r="D101" i="4" s="1"/>
  <c r="D102" i="4" a="1"/>
  <c r="D102" i="4" s="1"/>
  <c r="D103" i="4" a="1"/>
  <c r="D103" i="4" s="1"/>
  <c r="D104" i="4" a="1"/>
  <c r="D104" i="4" s="1"/>
  <c r="D105" i="4" a="1"/>
  <c r="D105" i="4" s="1"/>
  <c r="D106" i="4" a="1"/>
  <c r="D106" i="4" s="1"/>
  <c r="D107" i="4" a="1"/>
  <c r="D107" i="4" s="1"/>
  <c r="D108" i="4" a="1"/>
  <c r="D108" i="4" s="1"/>
  <c r="D109" i="4" a="1"/>
  <c r="D109" i="4" s="1"/>
  <c r="D110" i="4" a="1"/>
  <c r="D110" i="4" s="1"/>
  <c r="D111" i="4" a="1"/>
  <c r="D111" i="4" s="1"/>
  <c r="D112" i="4" a="1"/>
  <c r="D112" i="4" s="1"/>
  <c r="D113" i="4" a="1"/>
  <c r="D113" i="4" s="1"/>
  <c r="D114" i="4" a="1"/>
  <c r="D114" i="4" s="1"/>
  <c r="D115" i="4" a="1"/>
  <c r="D115" i="4" s="1"/>
  <c r="D116" i="4" a="1"/>
  <c r="D116" i="4" s="1"/>
  <c r="D117" i="4" a="1"/>
  <c r="D117" i="4" s="1"/>
  <c r="D118" i="4" a="1"/>
  <c r="D118" i="4" s="1"/>
  <c r="D119" i="4" a="1"/>
  <c r="D119" i="4" s="1"/>
  <c r="D120" i="4" a="1"/>
  <c r="D120" i="4" s="1"/>
  <c r="D121" i="4" a="1"/>
  <c r="D121" i="4" s="1"/>
  <c r="D122" i="4" a="1"/>
  <c r="D122" i="4" s="1"/>
  <c r="D123" i="4" a="1"/>
  <c r="D123" i="4" s="1"/>
  <c r="D124" i="4" a="1"/>
  <c r="D124" i="4" s="1"/>
  <c r="D125" i="4" a="1"/>
  <c r="D125" i="4" s="1"/>
  <c r="D126" i="4" a="1"/>
  <c r="D126" i="4" s="1"/>
  <c r="D127" i="4" a="1"/>
  <c r="D127" i="4" s="1"/>
  <c r="D128" i="4" a="1"/>
  <c r="D128" i="4" s="1"/>
  <c r="D129" i="4" a="1"/>
  <c r="D129" i="4" s="1"/>
  <c r="D130" i="4" a="1"/>
  <c r="D130" i="4" s="1"/>
  <c r="D131" i="4" a="1"/>
  <c r="D131" i="4" s="1"/>
  <c r="D132" i="4" a="1"/>
  <c r="D132" i="4" s="1"/>
  <c r="D133" i="4" a="1"/>
  <c r="D133" i="4" s="1"/>
  <c r="D134" i="4" a="1"/>
  <c r="D134" i="4" s="1"/>
  <c r="D135" i="4" a="1"/>
  <c r="D135" i="4" s="1"/>
  <c r="D136" i="4" a="1"/>
  <c r="D136" i="4" s="1"/>
  <c r="D137" i="4" a="1"/>
  <c r="D137" i="4" s="1"/>
  <c r="D138" i="4" a="1"/>
  <c r="D138" i="4" s="1"/>
  <c r="D139" i="4" a="1"/>
  <c r="D139" i="4" s="1"/>
  <c r="D6" i="4" a="1"/>
  <c r="D6" i="4" s="1"/>
  <c r="BS1" i="4" l="1" a="1"/>
  <c r="BS1" i="4" s="1"/>
  <c r="BO6" i="4" a="1"/>
  <c r="BO6" i="4" l="1"/>
  <c r="BS6" i="4" a="1"/>
  <c r="BS6" i="4" l="1"/>
  <c r="BY18" i="4"/>
  <c r="BZ18" i="4" s="1"/>
  <c r="BY34" i="4"/>
  <c r="BZ34" i="4" s="1"/>
  <c r="BY50" i="4"/>
  <c r="BZ50" i="4" s="1"/>
  <c r="BY66" i="4"/>
  <c r="BZ66" i="4" s="1"/>
  <c r="BY82" i="4"/>
  <c r="BZ82" i="4" s="1"/>
  <c r="BY98" i="4"/>
  <c r="BZ98" i="4" s="1"/>
  <c r="BY114" i="4"/>
  <c r="BZ114" i="4" s="1"/>
  <c r="BY130" i="4"/>
  <c r="BZ130" i="4" s="1"/>
  <c r="BY19" i="4"/>
  <c r="BZ19" i="4" s="1"/>
  <c r="BY35" i="4"/>
  <c r="BZ35" i="4" s="1"/>
  <c r="BY51" i="4"/>
  <c r="BZ51" i="4" s="1"/>
  <c r="BY67" i="4"/>
  <c r="BZ67" i="4" s="1"/>
  <c r="BY83" i="4"/>
  <c r="BZ83" i="4" s="1"/>
  <c r="BY99" i="4"/>
  <c r="BZ99" i="4" s="1"/>
  <c r="BY115" i="4"/>
  <c r="BZ115" i="4" s="1"/>
  <c r="BY131" i="4"/>
  <c r="BZ131" i="4" s="1"/>
  <c r="BY20" i="4"/>
  <c r="BZ20" i="4" s="1"/>
  <c r="BY36" i="4"/>
  <c r="BZ36" i="4" s="1"/>
  <c r="BY52" i="4"/>
  <c r="BZ52" i="4" s="1"/>
  <c r="BY68" i="4"/>
  <c r="BZ68" i="4" s="1"/>
  <c r="BY84" i="4"/>
  <c r="BZ84" i="4" s="1"/>
  <c r="BY100" i="4"/>
  <c r="BZ100" i="4" s="1"/>
  <c r="BY116" i="4"/>
  <c r="BZ116" i="4" s="1"/>
  <c r="BY132" i="4"/>
  <c r="BZ132" i="4" s="1"/>
  <c r="BY21" i="4"/>
  <c r="BZ21" i="4" s="1"/>
  <c r="BY37" i="4"/>
  <c r="BZ37" i="4" s="1"/>
  <c r="BY53" i="4"/>
  <c r="BZ53" i="4" s="1"/>
  <c r="BY69" i="4"/>
  <c r="BZ69" i="4" s="1"/>
  <c r="BY85" i="4"/>
  <c r="BZ85" i="4" s="1"/>
  <c r="BY101" i="4"/>
  <c r="BZ101" i="4" s="1"/>
  <c r="BY117" i="4"/>
  <c r="BZ117" i="4" s="1"/>
  <c r="BY133" i="4"/>
  <c r="BZ133" i="4" s="1"/>
  <c r="BY22" i="4"/>
  <c r="BZ22" i="4" s="1"/>
  <c r="BY38" i="4"/>
  <c r="BZ38" i="4" s="1"/>
  <c r="BY54" i="4"/>
  <c r="BZ54" i="4" s="1"/>
  <c r="BY70" i="4"/>
  <c r="BZ70" i="4" s="1"/>
  <c r="BY86" i="4"/>
  <c r="BZ86" i="4" s="1"/>
  <c r="BY102" i="4"/>
  <c r="BZ102" i="4" s="1"/>
  <c r="BY118" i="4"/>
  <c r="BZ118" i="4" s="1"/>
  <c r="BY134" i="4"/>
  <c r="BZ134" i="4" s="1"/>
  <c r="BY7" i="4"/>
  <c r="BZ7" i="4" s="1"/>
  <c r="BY23" i="4"/>
  <c r="BZ23" i="4" s="1"/>
  <c r="BY39" i="4"/>
  <c r="BZ39" i="4" s="1"/>
  <c r="BY55" i="4"/>
  <c r="BZ55" i="4" s="1"/>
  <c r="BY71" i="4"/>
  <c r="BZ71" i="4" s="1"/>
  <c r="BY87" i="4"/>
  <c r="BZ87" i="4" s="1"/>
  <c r="BY103" i="4"/>
  <c r="BZ103" i="4" s="1"/>
  <c r="BY119" i="4"/>
  <c r="BZ119" i="4" s="1"/>
  <c r="BY135" i="4"/>
  <c r="BZ135" i="4" s="1"/>
  <c r="BY8" i="4"/>
  <c r="BZ8" i="4" s="1"/>
  <c r="BY24" i="4"/>
  <c r="BZ24" i="4" s="1"/>
  <c r="BY40" i="4"/>
  <c r="BZ40" i="4" s="1"/>
  <c r="BY56" i="4"/>
  <c r="BZ56" i="4" s="1"/>
  <c r="BY72" i="4"/>
  <c r="BZ72" i="4" s="1"/>
  <c r="BY88" i="4"/>
  <c r="BZ88" i="4" s="1"/>
  <c r="BY104" i="4"/>
  <c r="BZ104" i="4" s="1"/>
  <c r="BY120" i="4"/>
  <c r="BZ120" i="4" s="1"/>
  <c r="BY136" i="4"/>
  <c r="BZ136" i="4" s="1"/>
  <c r="BY9" i="4"/>
  <c r="BZ9" i="4" s="1"/>
  <c r="BY25" i="4"/>
  <c r="BZ25" i="4" s="1"/>
  <c r="BY41" i="4"/>
  <c r="BZ41" i="4" s="1"/>
  <c r="BY57" i="4"/>
  <c r="BZ57" i="4" s="1"/>
  <c r="BY73" i="4"/>
  <c r="BZ73" i="4" s="1"/>
  <c r="BY89" i="4"/>
  <c r="BZ89" i="4" s="1"/>
  <c r="BY105" i="4"/>
  <c r="BZ105" i="4" s="1"/>
  <c r="BY121" i="4"/>
  <c r="BZ121" i="4" s="1"/>
  <c r="BY137" i="4"/>
  <c r="BZ137" i="4" s="1"/>
  <c r="BY10" i="4"/>
  <c r="BZ10" i="4" s="1"/>
  <c r="BY26" i="4"/>
  <c r="BZ26" i="4" s="1"/>
  <c r="BY42" i="4"/>
  <c r="BZ42" i="4" s="1"/>
  <c r="BY58" i="4"/>
  <c r="BZ58" i="4" s="1"/>
  <c r="BY74" i="4"/>
  <c r="BZ74" i="4" s="1"/>
  <c r="BY90" i="4"/>
  <c r="BZ90" i="4" s="1"/>
  <c r="BY106" i="4"/>
  <c r="BZ106" i="4" s="1"/>
  <c r="BY122" i="4"/>
  <c r="BZ122" i="4" s="1"/>
  <c r="BY138" i="4"/>
  <c r="BZ138" i="4" s="1"/>
  <c r="BY11" i="4"/>
  <c r="BZ11" i="4" s="1"/>
  <c r="BY27" i="4"/>
  <c r="BZ27" i="4" s="1"/>
  <c r="BY43" i="4"/>
  <c r="BZ43" i="4" s="1"/>
  <c r="BY59" i="4"/>
  <c r="BZ59" i="4" s="1"/>
  <c r="BY75" i="4"/>
  <c r="BZ75" i="4" s="1"/>
  <c r="BY91" i="4"/>
  <c r="BZ91" i="4" s="1"/>
  <c r="BY107" i="4"/>
  <c r="BZ107" i="4" s="1"/>
  <c r="BY123" i="4"/>
  <c r="BZ123" i="4" s="1"/>
  <c r="BY139" i="4"/>
  <c r="BZ139" i="4" s="1"/>
  <c r="BY12" i="4"/>
  <c r="BZ12" i="4" s="1"/>
  <c r="BY28" i="4"/>
  <c r="BZ28" i="4" s="1"/>
  <c r="BY44" i="4"/>
  <c r="BZ44" i="4" s="1"/>
  <c r="BY60" i="4"/>
  <c r="BZ60" i="4" s="1"/>
  <c r="BY76" i="4"/>
  <c r="BZ76" i="4" s="1"/>
  <c r="BY92" i="4"/>
  <c r="BZ92" i="4" s="1"/>
  <c r="BY108" i="4"/>
  <c r="BZ108" i="4" s="1"/>
  <c r="BY124" i="4"/>
  <c r="BZ124" i="4" s="1"/>
  <c r="BY13" i="4"/>
  <c r="BZ13" i="4" s="1"/>
  <c r="BY29" i="4"/>
  <c r="BZ29" i="4" s="1"/>
  <c r="BY45" i="4"/>
  <c r="BZ45" i="4" s="1"/>
  <c r="BY61" i="4"/>
  <c r="BZ61" i="4" s="1"/>
  <c r="BY77" i="4"/>
  <c r="BZ77" i="4" s="1"/>
  <c r="BY93" i="4"/>
  <c r="BZ93" i="4" s="1"/>
  <c r="BY109" i="4"/>
  <c r="BZ109" i="4" s="1"/>
  <c r="BY125" i="4"/>
  <c r="BZ125" i="4" s="1"/>
  <c r="BY14" i="4"/>
  <c r="BZ14" i="4" s="1"/>
  <c r="BY30" i="4"/>
  <c r="BZ30" i="4" s="1"/>
  <c r="BY46" i="4"/>
  <c r="BZ46" i="4" s="1"/>
  <c r="BY62" i="4"/>
  <c r="BZ62" i="4" s="1"/>
  <c r="BY78" i="4"/>
  <c r="BZ78" i="4" s="1"/>
  <c r="BY94" i="4"/>
  <c r="BZ94" i="4" s="1"/>
  <c r="BY110" i="4"/>
  <c r="BZ110" i="4" s="1"/>
  <c r="BY126" i="4"/>
  <c r="BZ126" i="4" s="1"/>
  <c r="BY15" i="4"/>
  <c r="BZ15" i="4" s="1"/>
  <c r="BY31" i="4"/>
  <c r="BZ31" i="4" s="1"/>
  <c r="BY47" i="4"/>
  <c r="BZ47" i="4" s="1"/>
  <c r="BY63" i="4"/>
  <c r="BZ63" i="4" s="1"/>
  <c r="BY79" i="4"/>
  <c r="BZ79" i="4" s="1"/>
  <c r="BY95" i="4"/>
  <c r="BZ95" i="4" s="1"/>
  <c r="BY111" i="4"/>
  <c r="BZ111" i="4" s="1"/>
  <c r="BY127" i="4"/>
  <c r="BZ127" i="4" s="1"/>
  <c r="BY16" i="4"/>
  <c r="BZ16" i="4" s="1"/>
  <c r="BY32" i="4"/>
  <c r="BZ32" i="4" s="1"/>
  <c r="BY48" i="4"/>
  <c r="BZ48" i="4" s="1"/>
  <c r="BY64" i="4"/>
  <c r="BZ64" i="4" s="1"/>
  <c r="BY80" i="4"/>
  <c r="BZ80" i="4" s="1"/>
  <c r="BY96" i="4"/>
  <c r="BZ96" i="4" s="1"/>
  <c r="BY112" i="4"/>
  <c r="BZ112" i="4" s="1"/>
  <c r="BY128" i="4"/>
  <c r="BZ128" i="4" s="1"/>
  <c r="BY17" i="4"/>
  <c r="BZ17" i="4" s="1"/>
  <c r="BY33" i="4"/>
  <c r="BZ33" i="4" s="1"/>
  <c r="BY49" i="4"/>
  <c r="BZ49" i="4" s="1"/>
  <c r="BY65" i="4"/>
  <c r="BZ65" i="4" s="1"/>
  <c r="BY81" i="4"/>
  <c r="BZ81" i="4" s="1"/>
  <c r="BY97" i="4"/>
  <c r="BZ97" i="4" s="1"/>
  <c r="BY113" i="4"/>
  <c r="BZ113" i="4" s="1"/>
  <c r="BY129" i="4"/>
  <c r="BZ129" i="4" s="1"/>
  <c r="BY6" i="4"/>
  <c r="BZ6" i="4" s="1"/>
  <c r="BO365" i="2"/>
  <c r="AR3" i="2"/>
  <c r="AS3" i="2" s="1"/>
  <c r="BO382" i="2"/>
  <c r="BO1052" i="2"/>
  <c r="BO1051" i="2"/>
  <c r="BO1046" i="2"/>
  <c r="BO1045" i="2"/>
  <c r="BO1043" i="2"/>
  <c r="BO1042" i="2"/>
  <c r="BO1021" i="2"/>
  <c r="BO749" i="2"/>
  <c r="BO745" i="2"/>
  <c r="BO735" i="2"/>
  <c r="BO734" i="2"/>
  <c r="BO733" i="2"/>
  <c r="BO732" i="2"/>
  <c r="BO718" i="2"/>
  <c r="BO602" i="2"/>
  <c r="BO601" i="2"/>
  <c r="BO600" i="2"/>
  <c r="BO599" i="2"/>
  <c r="BO598" i="2"/>
  <c r="BO595" i="2"/>
  <c r="BO594" i="2"/>
  <c r="BO593" i="2"/>
  <c r="BO592" i="2"/>
  <c r="BO591" i="2"/>
  <c r="BO372" i="2"/>
  <c r="BO368" i="2"/>
  <c r="BO187" i="2"/>
  <c r="BO185" i="2"/>
  <c r="BO184" i="2"/>
  <c r="BO31" i="2"/>
  <c r="BO20" i="2"/>
  <c r="BO19" i="2"/>
  <c r="BO12" i="2"/>
  <c r="BO1054" i="2"/>
  <c r="BO742" i="2"/>
  <c r="BO26" i="2"/>
  <c r="BO25" i="2"/>
  <c r="CJ6" i="2" a="1"/>
  <c r="CJ6" i="2" s="1"/>
  <c r="CN2" i="2" a="1"/>
  <c r="CN2" i="2" s="1"/>
  <c r="B1" i="2" a="1"/>
  <c r="B1" i="2" s="1"/>
  <c r="CD11" i="4" l="1"/>
  <c r="CD6" i="4"/>
  <c r="CD8" i="4"/>
  <c r="CD10" i="4"/>
  <c r="CD9" i="4"/>
  <c r="CN6" i="2" a="1"/>
  <c r="CN1" i="2" a="1"/>
  <c r="CN1" i="2" s="1"/>
  <c r="H11" i="3" l="1"/>
  <c r="G11" i="3"/>
  <c r="E11" i="3"/>
  <c r="F11" i="3"/>
  <c r="CE9" i="4"/>
  <c r="CD12" i="4"/>
  <c r="CR16" i="2"/>
  <c r="CS16" i="2" s="1"/>
  <c r="CR32" i="2"/>
  <c r="CS32" i="2" s="1"/>
  <c r="CR48" i="2"/>
  <c r="CS48" i="2" s="1"/>
  <c r="CR64" i="2"/>
  <c r="CS64" i="2" s="1"/>
  <c r="CR80" i="2"/>
  <c r="CS80" i="2" s="1"/>
  <c r="CR96" i="2"/>
  <c r="CS96" i="2" s="1"/>
  <c r="CR112" i="2"/>
  <c r="CS112" i="2" s="1"/>
  <c r="CR128" i="2"/>
  <c r="CS128" i="2" s="1"/>
  <c r="CR144" i="2"/>
  <c r="CS144" i="2" s="1"/>
  <c r="CR160" i="2"/>
  <c r="CS160" i="2" s="1"/>
  <c r="CR176" i="2"/>
  <c r="CS176" i="2" s="1"/>
  <c r="CR192" i="2"/>
  <c r="CS192" i="2" s="1"/>
  <c r="CR208" i="2"/>
  <c r="CS208" i="2" s="1"/>
  <c r="CR224" i="2"/>
  <c r="CS224" i="2" s="1"/>
  <c r="CR240" i="2"/>
  <c r="CS240" i="2" s="1"/>
  <c r="CR256" i="2"/>
  <c r="CS256" i="2" s="1"/>
  <c r="CR272" i="2"/>
  <c r="CS272" i="2" s="1"/>
  <c r="CR288" i="2"/>
  <c r="CS288" i="2" s="1"/>
  <c r="CR304" i="2"/>
  <c r="CS304" i="2" s="1"/>
  <c r="CR320" i="2"/>
  <c r="CS320" i="2" s="1"/>
  <c r="CR336" i="2"/>
  <c r="CS336" i="2" s="1"/>
  <c r="CR352" i="2"/>
  <c r="CS352" i="2" s="1"/>
  <c r="CR368" i="2"/>
  <c r="CS368" i="2" s="1"/>
  <c r="CR384" i="2"/>
  <c r="CS384" i="2" s="1"/>
  <c r="CR400" i="2"/>
  <c r="CS400" i="2" s="1"/>
  <c r="CR416" i="2"/>
  <c r="CS416" i="2" s="1"/>
  <c r="CR432" i="2"/>
  <c r="CS432" i="2" s="1"/>
  <c r="CR448" i="2"/>
  <c r="CS448" i="2" s="1"/>
  <c r="CR464" i="2"/>
  <c r="CS464" i="2" s="1"/>
  <c r="CR480" i="2"/>
  <c r="CS480" i="2" s="1"/>
  <c r="CR496" i="2"/>
  <c r="CS496" i="2" s="1"/>
  <c r="CR512" i="2"/>
  <c r="CS512" i="2" s="1"/>
  <c r="CR528" i="2"/>
  <c r="CS528" i="2" s="1"/>
  <c r="CR544" i="2"/>
  <c r="CS544" i="2" s="1"/>
  <c r="CR560" i="2"/>
  <c r="CS560" i="2" s="1"/>
  <c r="CR576" i="2"/>
  <c r="CS576" i="2" s="1"/>
  <c r="CR592" i="2"/>
  <c r="CS592" i="2" s="1"/>
  <c r="CR608" i="2"/>
  <c r="CS608" i="2" s="1"/>
  <c r="CR624" i="2"/>
  <c r="CS624" i="2" s="1"/>
  <c r="CR640" i="2"/>
  <c r="CS640" i="2" s="1"/>
  <c r="CR656" i="2"/>
  <c r="CS656" i="2" s="1"/>
  <c r="CR672" i="2"/>
  <c r="CS672" i="2" s="1"/>
  <c r="CR688" i="2"/>
  <c r="CS688" i="2" s="1"/>
  <c r="CR704" i="2"/>
  <c r="CS704" i="2" s="1"/>
  <c r="CR720" i="2"/>
  <c r="CS720" i="2" s="1"/>
  <c r="CR736" i="2"/>
  <c r="CS736" i="2" s="1"/>
  <c r="CR752" i="2"/>
  <c r="CS752" i="2" s="1"/>
  <c r="CR768" i="2"/>
  <c r="CS768" i="2" s="1"/>
  <c r="CR784" i="2"/>
  <c r="CS784" i="2" s="1"/>
  <c r="CR800" i="2"/>
  <c r="CS800" i="2" s="1"/>
  <c r="CR816" i="2"/>
  <c r="CS816" i="2" s="1"/>
  <c r="CR832" i="2"/>
  <c r="CS832" i="2" s="1"/>
  <c r="CR848" i="2"/>
  <c r="CS848" i="2" s="1"/>
  <c r="CR864" i="2"/>
  <c r="CS864" i="2" s="1"/>
  <c r="CR880" i="2"/>
  <c r="CS880" i="2" s="1"/>
  <c r="CR896" i="2"/>
  <c r="CS896" i="2" s="1"/>
  <c r="CR912" i="2"/>
  <c r="CS912" i="2" s="1"/>
  <c r="CR928" i="2"/>
  <c r="CS928" i="2" s="1"/>
  <c r="CR944" i="2"/>
  <c r="CS944" i="2" s="1"/>
  <c r="CR960" i="2"/>
  <c r="CS960" i="2" s="1"/>
  <c r="CR976" i="2"/>
  <c r="CS976" i="2" s="1"/>
  <c r="CR992" i="2"/>
  <c r="CS992" i="2" s="1"/>
  <c r="CR1008" i="2"/>
  <c r="CS1008" i="2" s="1"/>
  <c r="CR1024" i="2"/>
  <c r="CS1024" i="2" s="1"/>
  <c r="CR1040" i="2"/>
  <c r="CS1040" i="2" s="1"/>
  <c r="CR1056" i="2"/>
  <c r="CS1056" i="2" s="1"/>
  <c r="CR1072" i="2"/>
  <c r="CS1072" i="2" s="1"/>
  <c r="CR1088" i="2"/>
  <c r="CS1088" i="2" s="1"/>
  <c r="CR1104" i="2"/>
  <c r="CS1104" i="2" s="1"/>
  <c r="CR1120" i="2"/>
  <c r="CS1120" i="2" s="1"/>
  <c r="CR1136" i="2"/>
  <c r="CS1136" i="2" s="1"/>
  <c r="CR1152" i="2"/>
  <c r="CS1152" i="2" s="1"/>
  <c r="CR6" i="2"/>
  <c r="CS6" i="2" s="1"/>
  <c r="CR17" i="2"/>
  <c r="CS17" i="2" s="1"/>
  <c r="CR33" i="2"/>
  <c r="CS33" i="2" s="1"/>
  <c r="CR49" i="2"/>
  <c r="CS49" i="2" s="1"/>
  <c r="CR65" i="2"/>
  <c r="CS65" i="2" s="1"/>
  <c r="CR19" i="2"/>
  <c r="CS19" i="2" s="1"/>
  <c r="CR35" i="2"/>
  <c r="CS35" i="2" s="1"/>
  <c r="CR51" i="2"/>
  <c r="CS51" i="2" s="1"/>
  <c r="CR67" i="2"/>
  <c r="CS67" i="2" s="1"/>
  <c r="CR83" i="2"/>
  <c r="CS83" i="2" s="1"/>
  <c r="CR99" i="2"/>
  <c r="CS99" i="2" s="1"/>
  <c r="CR115" i="2"/>
  <c r="CS115" i="2" s="1"/>
  <c r="CR131" i="2"/>
  <c r="CS131" i="2" s="1"/>
  <c r="CR147" i="2"/>
  <c r="CS147" i="2" s="1"/>
  <c r="CR163" i="2"/>
  <c r="CS163" i="2" s="1"/>
  <c r="CR179" i="2"/>
  <c r="CS179" i="2" s="1"/>
  <c r="CR195" i="2"/>
  <c r="CS195" i="2" s="1"/>
  <c r="CR211" i="2"/>
  <c r="CS211" i="2" s="1"/>
  <c r="CR227" i="2"/>
  <c r="CS227" i="2" s="1"/>
  <c r="CR243" i="2"/>
  <c r="CS243" i="2" s="1"/>
  <c r="CR259" i="2"/>
  <c r="CS259" i="2" s="1"/>
  <c r="CR275" i="2"/>
  <c r="CS275" i="2" s="1"/>
  <c r="CR291" i="2"/>
  <c r="CS291" i="2" s="1"/>
  <c r="CR307" i="2"/>
  <c r="CS307" i="2" s="1"/>
  <c r="CR323" i="2"/>
  <c r="CS323" i="2" s="1"/>
  <c r="CR339" i="2"/>
  <c r="CS339" i="2" s="1"/>
  <c r="CR355" i="2"/>
  <c r="CS355" i="2" s="1"/>
  <c r="CR371" i="2"/>
  <c r="CS371" i="2" s="1"/>
  <c r="CR387" i="2"/>
  <c r="CS387" i="2" s="1"/>
  <c r="CR403" i="2"/>
  <c r="CS403" i="2" s="1"/>
  <c r="CR419" i="2"/>
  <c r="CS419" i="2" s="1"/>
  <c r="CR435" i="2"/>
  <c r="CS435" i="2" s="1"/>
  <c r="CR451" i="2"/>
  <c r="CS451" i="2" s="1"/>
  <c r="CR467" i="2"/>
  <c r="CS467" i="2" s="1"/>
  <c r="CR483" i="2"/>
  <c r="CS483" i="2" s="1"/>
  <c r="CR499" i="2"/>
  <c r="CS499" i="2" s="1"/>
  <c r="CR515" i="2"/>
  <c r="CS515" i="2" s="1"/>
  <c r="CR531" i="2"/>
  <c r="CS531" i="2" s="1"/>
  <c r="CR547" i="2"/>
  <c r="CS547" i="2" s="1"/>
  <c r="CR563" i="2"/>
  <c r="CS563" i="2" s="1"/>
  <c r="CR579" i="2"/>
  <c r="CS579" i="2" s="1"/>
  <c r="CR595" i="2"/>
  <c r="CS595" i="2" s="1"/>
  <c r="CR611" i="2"/>
  <c r="CS611" i="2" s="1"/>
  <c r="CR627" i="2"/>
  <c r="CS627" i="2" s="1"/>
  <c r="CR643" i="2"/>
  <c r="CS643" i="2" s="1"/>
  <c r="CR659" i="2"/>
  <c r="CS659" i="2" s="1"/>
  <c r="CR675" i="2"/>
  <c r="CS675" i="2" s="1"/>
  <c r="CR691" i="2"/>
  <c r="CS691" i="2" s="1"/>
  <c r="CR707" i="2"/>
  <c r="CS707" i="2" s="1"/>
  <c r="CR723" i="2"/>
  <c r="CS723" i="2" s="1"/>
  <c r="CR739" i="2"/>
  <c r="CS739" i="2" s="1"/>
  <c r="CR755" i="2"/>
  <c r="CS755" i="2" s="1"/>
  <c r="CR771" i="2"/>
  <c r="CS771" i="2" s="1"/>
  <c r="CR787" i="2"/>
  <c r="CS787" i="2" s="1"/>
  <c r="CR803" i="2"/>
  <c r="CS803" i="2" s="1"/>
  <c r="CR819" i="2"/>
  <c r="CS819" i="2" s="1"/>
  <c r="CR835" i="2"/>
  <c r="CS835" i="2" s="1"/>
  <c r="CR851" i="2"/>
  <c r="CS851" i="2" s="1"/>
  <c r="CR867" i="2"/>
  <c r="CS867" i="2" s="1"/>
  <c r="CR883" i="2"/>
  <c r="CS883" i="2" s="1"/>
  <c r="CR899" i="2"/>
  <c r="CS899" i="2" s="1"/>
  <c r="CR915" i="2"/>
  <c r="CS915" i="2" s="1"/>
  <c r="CR931" i="2"/>
  <c r="CS931" i="2" s="1"/>
  <c r="CR947" i="2"/>
  <c r="CS947" i="2" s="1"/>
  <c r="CR963" i="2"/>
  <c r="CS963" i="2" s="1"/>
  <c r="CR979" i="2"/>
  <c r="CS979" i="2" s="1"/>
  <c r="CR995" i="2"/>
  <c r="CS995" i="2" s="1"/>
  <c r="CR1011" i="2"/>
  <c r="CS1011" i="2" s="1"/>
  <c r="CR1027" i="2"/>
  <c r="CS1027" i="2" s="1"/>
  <c r="CR1043" i="2"/>
  <c r="CS1043" i="2" s="1"/>
  <c r="CR1059" i="2"/>
  <c r="CS1059" i="2" s="1"/>
  <c r="CR1075" i="2"/>
  <c r="CS1075" i="2" s="1"/>
  <c r="CR1091" i="2"/>
  <c r="CS1091" i="2" s="1"/>
  <c r="CR1107" i="2"/>
  <c r="CS1107" i="2" s="1"/>
  <c r="CR1123" i="2"/>
  <c r="CS1123" i="2" s="1"/>
  <c r="CR1139" i="2"/>
  <c r="CS1139" i="2" s="1"/>
  <c r="CR1155" i="2"/>
  <c r="CS1155" i="2" s="1"/>
  <c r="CR13" i="2"/>
  <c r="CS13" i="2" s="1"/>
  <c r="CR34" i="2"/>
  <c r="CS34" i="2" s="1"/>
  <c r="CR54" i="2"/>
  <c r="CS54" i="2" s="1"/>
  <c r="CR73" i="2"/>
  <c r="CS73" i="2" s="1"/>
  <c r="CR91" i="2"/>
  <c r="CS91" i="2" s="1"/>
  <c r="CR109" i="2"/>
  <c r="CS109" i="2" s="1"/>
  <c r="CR127" i="2"/>
  <c r="CS127" i="2" s="1"/>
  <c r="CR146" i="2"/>
  <c r="CS146" i="2" s="1"/>
  <c r="CR165" i="2"/>
  <c r="CS165" i="2" s="1"/>
  <c r="CR183" i="2"/>
  <c r="CS183" i="2" s="1"/>
  <c r="CR201" i="2"/>
  <c r="CS201" i="2" s="1"/>
  <c r="CR219" i="2"/>
  <c r="CS219" i="2" s="1"/>
  <c r="CR237" i="2"/>
  <c r="CS237" i="2" s="1"/>
  <c r="CR255" i="2"/>
  <c r="CS255" i="2" s="1"/>
  <c r="CR274" i="2"/>
  <c r="CS274" i="2" s="1"/>
  <c r="CR293" i="2"/>
  <c r="CS293" i="2" s="1"/>
  <c r="CR311" i="2"/>
  <c r="CS311" i="2" s="1"/>
  <c r="CR329" i="2"/>
  <c r="CS329" i="2" s="1"/>
  <c r="CR347" i="2"/>
  <c r="CS347" i="2" s="1"/>
  <c r="CR365" i="2"/>
  <c r="CS365" i="2" s="1"/>
  <c r="CR383" i="2"/>
  <c r="CS383" i="2" s="1"/>
  <c r="CR402" i="2"/>
  <c r="CS402" i="2" s="1"/>
  <c r="CR421" i="2"/>
  <c r="CS421" i="2" s="1"/>
  <c r="CR439" i="2"/>
  <c r="CS439" i="2" s="1"/>
  <c r="CR457" i="2"/>
  <c r="CS457" i="2" s="1"/>
  <c r="CR475" i="2"/>
  <c r="CS475" i="2" s="1"/>
  <c r="CR493" i="2"/>
  <c r="CS493" i="2" s="1"/>
  <c r="CR511" i="2"/>
  <c r="CS511" i="2" s="1"/>
  <c r="CR530" i="2"/>
  <c r="CS530" i="2" s="1"/>
  <c r="CR549" i="2"/>
  <c r="CS549" i="2" s="1"/>
  <c r="CR567" i="2"/>
  <c r="CS567" i="2" s="1"/>
  <c r="CR585" i="2"/>
  <c r="CS585" i="2" s="1"/>
  <c r="CR603" i="2"/>
  <c r="CS603" i="2" s="1"/>
  <c r="CR621" i="2"/>
  <c r="CS621" i="2" s="1"/>
  <c r="CR639" i="2"/>
  <c r="CS639" i="2" s="1"/>
  <c r="CR658" i="2"/>
  <c r="CS658" i="2" s="1"/>
  <c r="CR677" i="2"/>
  <c r="CS677" i="2" s="1"/>
  <c r="CR695" i="2"/>
  <c r="CS695" i="2" s="1"/>
  <c r="CR713" i="2"/>
  <c r="CS713" i="2" s="1"/>
  <c r="CR731" i="2"/>
  <c r="CS731" i="2" s="1"/>
  <c r="CR749" i="2"/>
  <c r="CS749" i="2" s="1"/>
  <c r="CR767" i="2"/>
  <c r="CS767" i="2" s="1"/>
  <c r="CR786" i="2"/>
  <c r="CS786" i="2" s="1"/>
  <c r="CR805" i="2"/>
  <c r="CS805" i="2" s="1"/>
  <c r="CR823" i="2"/>
  <c r="CS823" i="2" s="1"/>
  <c r="CR841" i="2"/>
  <c r="CS841" i="2" s="1"/>
  <c r="CR859" i="2"/>
  <c r="CS859" i="2" s="1"/>
  <c r="CR877" i="2"/>
  <c r="CS877" i="2" s="1"/>
  <c r="CR895" i="2"/>
  <c r="CS895" i="2" s="1"/>
  <c r="CR914" i="2"/>
  <c r="CS914" i="2" s="1"/>
  <c r="CR933" i="2"/>
  <c r="CS933" i="2" s="1"/>
  <c r="CR951" i="2"/>
  <c r="CS951" i="2" s="1"/>
  <c r="CR14" i="2"/>
  <c r="CS14" i="2" s="1"/>
  <c r="CR36" i="2"/>
  <c r="CS36" i="2" s="1"/>
  <c r="CR55" i="2"/>
  <c r="CS55" i="2" s="1"/>
  <c r="CR74" i="2"/>
  <c r="CS74" i="2" s="1"/>
  <c r="CR92" i="2"/>
  <c r="CS92" i="2" s="1"/>
  <c r="CR110" i="2"/>
  <c r="CS110" i="2" s="1"/>
  <c r="CR129" i="2"/>
  <c r="CS129" i="2" s="1"/>
  <c r="CR148" i="2"/>
  <c r="CS148" i="2" s="1"/>
  <c r="CR166" i="2"/>
  <c r="CS166" i="2" s="1"/>
  <c r="CR184" i="2"/>
  <c r="CS184" i="2" s="1"/>
  <c r="CR202" i="2"/>
  <c r="CS202" i="2" s="1"/>
  <c r="CR220" i="2"/>
  <c r="CS220" i="2" s="1"/>
  <c r="CR238" i="2"/>
  <c r="CS238" i="2" s="1"/>
  <c r="CR257" i="2"/>
  <c r="CS257" i="2" s="1"/>
  <c r="CR276" i="2"/>
  <c r="CS276" i="2" s="1"/>
  <c r="CR294" i="2"/>
  <c r="CS294" i="2" s="1"/>
  <c r="CR312" i="2"/>
  <c r="CS312" i="2" s="1"/>
  <c r="CR330" i="2"/>
  <c r="CS330" i="2" s="1"/>
  <c r="CR348" i="2"/>
  <c r="CS348" i="2" s="1"/>
  <c r="CR366" i="2"/>
  <c r="CS366" i="2" s="1"/>
  <c r="CR385" i="2"/>
  <c r="CS385" i="2" s="1"/>
  <c r="CR404" i="2"/>
  <c r="CS404" i="2" s="1"/>
  <c r="CR422" i="2"/>
  <c r="CS422" i="2" s="1"/>
  <c r="CR440" i="2"/>
  <c r="CS440" i="2" s="1"/>
  <c r="CR458" i="2"/>
  <c r="CS458" i="2" s="1"/>
  <c r="CR476" i="2"/>
  <c r="CS476" i="2" s="1"/>
  <c r="CR494" i="2"/>
  <c r="CS494" i="2" s="1"/>
  <c r="CR513" i="2"/>
  <c r="CS513" i="2" s="1"/>
  <c r="CR532" i="2"/>
  <c r="CS532" i="2" s="1"/>
  <c r="CR550" i="2"/>
  <c r="CS550" i="2" s="1"/>
  <c r="CR568" i="2"/>
  <c r="CS568" i="2" s="1"/>
  <c r="CR586" i="2"/>
  <c r="CS586" i="2" s="1"/>
  <c r="CR604" i="2"/>
  <c r="CS604" i="2" s="1"/>
  <c r="CR622" i="2"/>
  <c r="CS622" i="2" s="1"/>
  <c r="CR641" i="2"/>
  <c r="CS641" i="2" s="1"/>
  <c r="CR660" i="2"/>
  <c r="CS660" i="2" s="1"/>
  <c r="CR678" i="2"/>
  <c r="CS678" i="2" s="1"/>
  <c r="CR696" i="2"/>
  <c r="CS696" i="2" s="1"/>
  <c r="CR714" i="2"/>
  <c r="CS714" i="2" s="1"/>
  <c r="CR732" i="2"/>
  <c r="CS732" i="2" s="1"/>
  <c r="CR750" i="2"/>
  <c r="CS750" i="2" s="1"/>
  <c r="CR769" i="2"/>
  <c r="CS769" i="2" s="1"/>
  <c r="CR788" i="2"/>
  <c r="CS788" i="2" s="1"/>
  <c r="CR806" i="2"/>
  <c r="CS806" i="2" s="1"/>
  <c r="CR824" i="2"/>
  <c r="CS824" i="2" s="1"/>
  <c r="CR842" i="2"/>
  <c r="CS842" i="2" s="1"/>
  <c r="CR860" i="2"/>
  <c r="CS860" i="2" s="1"/>
  <c r="CR878" i="2"/>
  <c r="CS878" i="2" s="1"/>
  <c r="CR897" i="2"/>
  <c r="CS897" i="2" s="1"/>
  <c r="CR916" i="2"/>
  <c r="CS916" i="2" s="1"/>
  <c r="CR934" i="2"/>
  <c r="CS934" i="2" s="1"/>
  <c r="CR952" i="2"/>
  <c r="CS952" i="2" s="1"/>
  <c r="CR970" i="2"/>
  <c r="CS970" i="2" s="1"/>
  <c r="CR988" i="2"/>
  <c r="CS988" i="2" s="1"/>
  <c r="CR1006" i="2"/>
  <c r="CS1006" i="2" s="1"/>
  <c r="CR1025" i="2"/>
  <c r="CS1025" i="2" s="1"/>
  <c r="CR1044" i="2"/>
  <c r="CS1044" i="2" s="1"/>
  <c r="CR1062" i="2"/>
  <c r="CS1062" i="2" s="1"/>
  <c r="CR1080" i="2"/>
  <c r="CS1080" i="2" s="1"/>
  <c r="CR1098" i="2"/>
  <c r="CS1098" i="2" s="1"/>
  <c r="CR1116" i="2"/>
  <c r="CS1116" i="2" s="1"/>
  <c r="CR1134" i="2"/>
  <c r="CS1134" i="2" s="1"/>
  <c r="CR1153" i="2"/>
  <c r="CS1153" i="2" s="1"/>
  <c r="CR15" i="2"/>
  <c r="CS15" i="2" s="1"/>
  <c r="CR37" i="2"/>
  <c r="CS37" i="2" s="1"/>
  <c r="CR56" i="2"/>
  <c r="CS56" i="2" s="1"/>
  <c r="CR75" i="2"/>
  <c r="CS75" i="2" s="1"/>
  <c r="CR93" i="2"/>
  <c r="CS93" i="2" s="1"/>
  <c r="CR111" i="2"/>
  <c r="CS111" i="2" s="1"/>
  <c r="CR130" i="2"/>
  <c r="CS130" i="2" s="1"/>
  <c r="CR149" i="2"/>
  <c r="CS149" i="2" s="1"/>
  <c r="CR167" i="2"/>
  <c r="CS167" i="2" s="1"/>
  <c r="CR18" i="2"/>
  <c r="CS18" i="2" s="1"/>
  <c r="CR38" i="2"/>
  <c r="CS38" i="2" s="1"/>
  <c r="CR57" i="2"/>
  <c r="CS57" i="2" s="1"/>
  <c r="CR76" i="2"/>
  <c r="CS76" i="2" s="1"/>
  <c r="CR94" i="2"/>
  <c r="CS94" i="2" s="1"/>
  <c r="CR113" i="2"/>
  <c r="CS113" i="2" s="1"/>
  <c r="CR132" i="2"/>
  <c r="CS132" i="2" s="1"/>
  <c r="CR150" i="2"/>
  <c r="CS150" i="2" s="1"/>
  <c r="CR168" i="2"/>
  <c r="CS168" i="2" s="1"/>
  <c r="CR186" i="2"/>
  <c r="CS186" i="2" s="1"/>
  <c r="CR204" i="2"/>
  <c r="CS204" i="2" s="1"/>
  <c r="CR222" i="2"/>
  <c r="CS222" i="2" s="1"/>
  <c r="CR241" i="2"/>
  <c r="CS241" i="2" s="1"/>
  <c r="CR260" i="2"/>
  <c r="CS260" i="2" s="1"/>
  <c r="CR278" i="2"/>
  <c r="CS278" i="2" s="1"/>
  <c r="CR296" i="2"/>
  <c r="CS296" i="2" s="1"/>
  <c r="CR314" i="2"/>
  <c r="CS314" i="2" s="1"/>
  <c r="CR332" i="2"/>
  <c r="CS332" i="2" s="1"/>
  <c r="CR350" i="2"/>
  <c r="CS350" i="2" s="1"/>
  <c r="CR369" i="2"/>
  <c r="CS369" i="2" s="1"/>
  <c r="CR388" i="2"/>
  <c r="CS388" i="2" s="1"/>
  <c r="CR406" i="2"/>
  <c r="CS406" i="2" s="1"/>
  <c r="CR424" i="2"/>
  <c r="CS424" i="2" s="1"/>
  <c r="CR442" i="2"/>
  <c r="CS442" i="2" s="1"/>
  <c r="CR460" i="2"/>
  <c r="CS460" i="2" s="1"/>
  <c r="CR478" i="2"/>
  <c r="CS478" i="2" s="1"/>
  <c r="CR497" i="2"/>
  <c r="CS497" i="2" s="1"/>
  <c r="CR516" i="2"/>
  <c r="CS516" i="2" s="1"/>
  <c r="CR534" i="2"/>
  <c r="CS534" i="2" s="1"/>
  <c r="CR552" i="2"/>
  <c r="CS552" i="2" s="1"/>
  <c r="CR570" i="2"/>
  <c r="CS570" i="2" s="1"/>
  <c r="CR588" i="2"/>
  <c r="CS588" i="2" s="1"/>
  <c r="CR606" i="2"/>
  <c r="CS606" i="2" s="1"/>
  <c r="CR625" i="2"/>
  <c r="CS625" i="2" s="1"/>
  <c r="CR644" i="2"/>
  <c r="CS644" i="2" s="1"/>
  <c r="CR662" i="2"/>
  <c r="CS662" i="2" s="1"/>
  <c r="CR680" i="2"/>
  <c r="CS680" i="2" s="1"/>
  <c r="CR698" i="2"/>
  <c r="CS698" i="2" s="1"/>
  <c r="CR716" i="2"/>
  <c r="CS716" i="2" s="1"/>
  <c r="CR734" i="2"/>
  <c r="CS734" i="2" s="1"/>
  <c r="CR753" i="2"/>
  <c r="CS753" i="2" s="1"/>
  <c r="CR772" i="2"/>
  <c r="CS772" i="2" s="1"/>
  <c r="CR790" i="2"/>
  <c r="CS790" i="2" s="1"/>
  <c r="CR808" i="2"/>
  <c r="CS808" i="2" s="1"/>
  <c r="CR826" i="2"/>
  <c r="CS826" i="2" s="1"/>
  <c r="CR844" i="2"/>
  <c r="CS844" i="2" s="1"/>
  <c r="CR862" i="2"/>
  <c r="CS862" i="2" s="1"/>
  <c r="CR881" i="2"/>
  <c r="CS881" i="2" s="1"/>
  <c r="CR900" i="2"/>
  <c r="CS900" i="2" s="1"/>
  <c r="CR918" i="2"/>
  <c r="CS918" i="2" s="1"/>
  <c r="CR936" i="2"/>
  <c r="CS936" i="2" s="1"/>
  <c r="CR954" i="2"/>
  <c r="CS954" i="2" s="1"/>
  <c r="CR972" i="2"/>
  <c r="CS972" i="2" s="1"/>
  <c r="CR990" i="2"/>
  <c r="CS990" i="2" s="1"/>
  <c r="CR1009" i="2"/>
  <c r="CS1009" i="2" s="1"/>
  <c r="CR1028" i="2"/>
  <c r="CS1028" i="2" s="1"/>
  <c r="CR1046" i="2"/>
  <c r="CS1046" i="2" s="1"/>
  <c r="CR1064" i="2"/>
  <c r="CS1064" i="2" s="1"/>
  <c r="CR1082" i="2"/>
  <c r="CS1082" i="2" s="1"/>
  <c r="CR1100" i="2"/>
  <c r="CS1100" i="2" s="1"/>
  <c r="CR1118" i="2"/>
  <c r="CS1118" i="2" s="1"/>
  <c r="CR1137" i="2"/>
  <c r="CS1137" i="2" s="1"/>
  <c r="CR1156" i="2"/>
  <c r="CS1156" i="2" s="1"/>
  <c r="CR21" i="2"/>
  <c r="CS21" i="2" s="1"/>
  <c r="CR59" i="2"/>
  <c r="CS59" i="2" s="1"/>
  <c r="CR97" i="2"/>
  <c r="CS97" i="2" s="1"/>
  <c r="CR134" i="2"/>
  <c r="CS134" i="2" s="1"/>
  <c r="CR170" i="2"/>
  <c r="CS170" i="2" s="1"/>
  <c r="CR206" i="2"/>
  <c r="CS206" i="2" s="1"/>
  <c r="CR244" i="2"/>
  <c r="CS244" i="2" s="1"/>
  <c r="CR280" i="2"/>
  <c r="CS280" i="2" s="1"/>
  <c r="CR316" i="2"/>
  <c r="CS316" i="2" s="1"/>
  <c r="CR353" i="2"/>
  <c r="CS353" i="2" s="1"/>
  <c r="CR390" i="2"/>
  <c r="CS390" i="2" s="1"/>
  <c r="CR426" i="2"/>
  <c r="CS426" i="2" s="1"/>
  <c r="CR462" i="2"/>
  <c r="CS462" i="2" s="1"/>
  <c r="CR500" i="2"/>
  <c r="CS500" i="2" s="1"/>
  <c r="CR536" i="2"/>
  <c r="CS536" i="2" s="1"/>
  <c r="CR572" i="2"/>
  <c r="CS572" i="2" s="1"/>
  <c r="CR628" i="2"/>
  <c r="CS628" i="2" s="1"/>
  <c r="CR20" i="2"/>
  <c r="CS20" i="2" s="1"/>
  <c r="CR39" i="2"/>
  <c r="CS39" i="2" s="1"/>
  <c r="CR58" i="2"/>
  <c r="CS58" i="2" s="1"/>
  <c r="CR77" i="2"/>
  <c r="CS77" i="2" s="1"/>
  <c r="CR95" i="2"/>
  <c r="CS95" i="2" s="1"/>
  <c r="CR114" i="2"/>
  <c r="CS114" i="2" s="1"/>
  <c r="CR133" i="2"/>
  <c r="CS133" i="2" s="1"/>
  <c r="CR151" i="2"/>
  <c r="CS151" i="2" s="1"/>
  <c r="CR169" i="2"/>
  <c r="CS169" i="2" s="1"/>
  <c r="CR187" i="2"/>
  <c r="CS187" i="2" s="1"/>
  <c r="CR205" i="2"/>
  <c r="CS205" i="2" s="1"/>
  <c r="CR223" i="2"/>
  <c r="CS223" i="2" s="1"/>
  <c r="CR242" i="2"/>
  <c r="CS242" i="2" s="1"/>
  <c r="CR261" i="2"/>
  <c r="CS261" i="2" s="1"/>
  <c r="CR279" i="2"/>
  <c r="CS279" i="2" s="1"/>
  <c r="CR297" i="2"/>
  <c r="CS297" i="2" s="1"/>
  <c r="CR315" i="2"/>
  <c r="CS315" i="2" s="1"/>
  <c r="CR333" i="2"/>
  <c r="CS333" i="2" s="1"/>
  <c r="CR351" i="2"/>
  <c r="CS351" i="2" s="1"/>
  <c r="CR370" i="2"/>
  <c r="CS370" i="2" s="1"/>
  <c r="CR389" i="2"/>
  <c r="CS389" i="2" s="1"/>
  <c r="CR407" i="2"/>
  <c r="CS407" i="2" s="1"/>
  <c r="CR425" i="2"/>
  <c r="CS425" i="2" s="1"/>
  <c r="CR443" i="2"/>
  <c r="CS443" i="2" s="1"/>
  <c r="CR461" i="2"/>
  <c r="CS461" i="2" s="1"/>
  <c r="CR479" i="2"/>
  <c r="CS479" i="2" s="1"/>
  <c r="CR498" i="2"/>
  <c r="CS498" i="2" s="1"/>
  <c r="CR517" i="2"/>
  <c r="CS517" i="2" s="1"/>
  <c r="CR535" i="2"/>
  <c r="CS535" i="2" s="1"/>
  <c r="CR553" i="2"/>
  <c r="CS553" i="2" s="1"/>
  <c r="CR571" i="2"/>
  <c r="CS571" i="2" s="1"/>
  <c r="CR589" i="2"/>
  <c r="CS589" i="2" s="1"/>
  <c r="CR607" i="2"/>
  <c r="CS607" i="2" s="1"/>
  <c r="CR626" i="2"/>
  <c r="CS626" i="2" s="1"/>
  <c r="CR645" i="2"/>
  <c r="CS645" i="2" s="1"/>
  <c r="CR663" i="2"/>
  <c r="CS663" i="2" s="1"/>
  <c r="CR681" i="2"/>
  <c r="CS681" i="2" s="1"/>
  <c r="CR699" i="2"/>
  <c r="CS699" i="2" s="1"/>
  <c r="CR717" i="2"/>
  <c r="CS717" i="2" s="1"/>
  <c r="CR735" i="2"/>
  <c r="CS735" i="2" s="1"/>
  <c r="CR754" i="2"/>
  <c r="CS754" i="2" s="1"/>
  <c r="CR773" i="2"/>
  <c r="CS773" i="2" s="1"/>
  <c r="CR791" i="2"/>
  <c r="CS791" i="2" s="1"/>
  <c r="CR809" i="2"/>
  <c r="CS809" i="2" s="1"/>
  <c r="CR827" i="2"/>
  <c r="CS827" i="2" s="1"/>
  <c r="CR845" i="2"/>
  <c r="CS845" i="2" s="1"/>
  <c r="CR863" i="2"/>
  <c r="CS863" i="2" s="1"/>
  <c r="CR882" i="2"/>
  <c r="CS882" i="2" s="1"/>
  <c r="CR901" i="2"/>
  <c r="CS901" i="2" s="1"/>
  <c r="CR919" i="2"/>
  <c r="CS919" i="2" s="1"/>
  <c r="CR937" i="2"/>
  <c r="CS937" i="2" s="1"/>
  <c r="CR955" i="2"/>
  <c r="CS955" i="2" s="1"/>
  <c r="CR973" i="2"/>
  <c r="CS973" i="2" s="1"/>
  <c r="CR991" i="2"/>
  <c r="CS991" i="2" s="1"/>
  <c r="CR1010" i="2"/>
  <c r="CS1010" i="2" s="1"/>
  <c r="CR1029" i="2"/>
  <c r="CS1029" i="2" s="1"/>
  <c r="CR1047" i="2"/>
  <c r="CS1047" i="2" s="1"/>
  <c r="CR1065" i="2"/>
  <c r="CS1065" i="2" s="1"/>
  <c r="CR1083" i="2"/>
  <c r="CS1083" i="2" s="1"/>
  <c r="CR1101" i="2"/>
  <c r="CS1101" i="2" s="1"/>
  <c r="CR1119" i="2"/>
  <c r="CS1119" i="2" s="1"/>
  <c r="CR1138" i="2"/>
  <c r="CS1138" i="2" s="1"/>
  <c r="CR1157" i="2"/>
  <c r="CS1157" i="2" s="1"/>
  <c r="CR40" i="2"/>
  <c r="CS40" i="2" s="1"/>
  <c r="CR78" i="2"/>
  <c r="CS78" i="2" s="1"/>
  <c r="CR116" i="2"/>
  <c r="CS116" i="2" s="1"/>
  <c r="CR152" i="2"/>
  <c r="CS152" i="2" s="1"/>
  <c r="CR188" i="2"/>
  <c r="CS188" i="2" s="1"/>
  <c r="CR225" i="2"/>
  <c r="CS225" i="2" s="1"/>
  <c r="CR262" i="2"/>
  <c r="CS262" i="2" s="1"/>
  <c r="CR298" i="2"/>
  <c r="CS298" i="2" s="1"/>
  <c r="CR334" i="2"/>
  <c r="CS334" i="2" s="1"/>
  <c r="CR372" i="2"/>
  <c r="CS372" i="2" s="1"/>
  <c r="CR408" i="2"/>
  <c r="CS408" i="2" s="1"/>
  <c r="CR444" i="2"/>
  <c r="CS444" i="2" s="1"/>
  <c r="CR481" i="2"/>
  <c r="CS481" i="2" s="1"/>
  <c r="CR518" i="2"/>
  <c r="CS518" i="2" s="1"/>
  <c r="CR554" i="2"/>
  <c r="CS554" i="2" s="1"/>
  <c r="CR590" i="2"/>
  <c r="CS590" i="2" s="1"/>
  <c r="CR609" i="2"/>
  <c r="CS609" i="2" s="1"/>
  <c r="CR24" i="2"/>
  <c r="CS24" i="2" s="1"/>
  <c r="CR52" i="2"/>
  <c r="CS52" i="2" s="1"/>
  <c r="CR85" i="2"/>
  <c r="CS85" i="2" s="1"/>
  <c r="CR117" i="2"/>
  <c r="CS117" i="2" s="1"/>
  <c r="CR141" i="2"/>
  <c r="CS141" i="2" s="1"/>
  <c r="CR173" i="2"/>
  <c r="CS173" i="2" s="1"/>
  <c r="CR198" i="2"/>
  <c r="CS198" i="2" s="1"/>
  <c r="CR228" i="2"/>
  <c r="CS228" i="2" s="1"/>
  <c r="CR251" i="2"/>
  <c r="CS251" i="2" s="1"/>
  <c r="CR281" i="2"/>
  <c r="CS281" i="2" s="1"/>
  <c r="CR305" i="2"/>
  <c r="CS305" i="2" s="1"/>
  <c r="CR331" i="2"/>
  <c r="CS331" i="2" s="1"/>
  <c r="CR359" i="2"/>
  <c r="CS359" i="2" s="1"/>
  <c r="CR382" i="2"/>
  <c r="CS382" i="2" s="1"/>
  <c r="CR412" i="2"/>
  <c r="CS412" i="2" s="1"/>
  <c r="CR437" i="2"/>
  <c r="CS437" i="2" s="1"/>
  <c r="CR466" i="2"/>
  <c r="CS466" i="2" s="1"/>
  <c r="CR490" i="2"/>
  <c r="CS490" i="2" s="1"/>
  <c r="CR520" i="2"/>
  <c r="CS520" i="2" s="1"/>
  <c r="CR543" i="2"/>
  <c r="CS543" i="2" s="1"/>
  <c r="CR573" i="2"/>
  <c r="CS573" i="2" s="1"/>
  <c r="CR598" i="2"/>
  <c r="CS598" i="2" s="1"/>
  <c r="CR623" i="2"/>
  <c r="CS623" i="2" s="1"/>
  <c r="CR650" i="2"/>
  <c r="CS650" i="2" s="1"/>
  <c r="CR673" i="2"/>
  <c r="CS673" i="2" s="1"/>
  <c r="CR700" i="2"/>
  <c r="CS700" i="2" s="1"/>
  <c r="CR724" i="2"/>
  <c r="CS724" i="2" s="1"/>
  <c r="CR746" i="2"/>
  <c r="CS746" i="2" s="1"/>
  <c r="CR774" i="2"/>
  <c r="CS774" i="2" s="1"/>
  <c r="CR796" i="2"/>
  <c r="CS796" i="2" s="1"/>
  <c r="CR820" i="2"/>
  <c r="CS820" i="2" s="1"/>
  <c r="CR846" i="2"/>
  <c r="CS846" i="2" s="1"/>
  <c r="CR870" i="2"/>
  <c r="CS870" i="2" s="1"/>
  <c r="CR892" i="2"/>
  <c r="CS892" i="2" s="1"/>
  <c r="CR920" i="2"/>
  <c r="CS920" i="2" s="1"/>
  <c r="CR942" i="2"/>
  <c r="CS942" i="2" s="1"/>
  <c r="CR966" i="2"/>
  <c r="CS966" i="2" s="1"/>
  <c r="CR987" i="2"/>
  <c r="CS987" i="2" s="1"/>
  <c r="CR1013" i="2"/>
  <c r="CS1013" i="2" s="1"/>
  <c r="CR1034" i="2"/>
  <c r="CS1034" i="2" s="1"/>
  <c r="CR1055" i="2"/>
  <c r="CS1055" i="2" s="1"/>
  <c r="CR1078" i="2"/>
  <c r="CS1078" i="2" s="1"/>
  <c r="CR1102" i="2"/>
  <c r="CS1102" i="2" s="1"/>
  <c r="CR1125" i="2"/>
  <c r="CS1125" i="2" s="1"/>
  <c r="CR1146" i="2"/>
  <c r="CS1146" i="2" s="1"/>
  <c r="CR1167" i="2"/>
  <c r="CS1167" i="2" s="1"/>
  <c r="CR674" i="2"/>
  <c r="CS674" i="2" s="1"/>
  <c r="CR701" i="2"/>
  <c r="CS701" i="2" s="1"/>
  <c r="CR725" i="2"/>
  <c r="CS725" i="2" s="1"/>
  <c r="CR747" i="2"/>
  <c r="CS747" i="2" s="1"/>
  <c r="CR775" i="2"/>
  <c r="CS775" i="2" s="1"/>
  <c r="CR797" i="2"/>
  <c r="CS797" i="2" s="1"/>
  <c r="CR821" i="2"/>
  <c r="CS821" i="2" s="1"/>
  <c r="CR847" i="2"/>
  <c r="CS847" i="2" s="1"/>
  <c r="CR871" i="2"/>
  <c r="CS871" i="2" s="1"/>
  <c r="CR893" i="2"/>
  <c r="CS893" i="2" s="1"/>
  <c r="CR921" i="2"/>
  <c r="CS921" i="2" s="1"/>
  <c r="CR943" i="2"/>
  <c r="CS943" i="2" s="1"/>
  <c r="CR967" i="2"/>
  <c r="CS967" i="2" s="1"/>
  <c r="CR989" i="2"/>
  <c r="CS989" i="2" s="1"/>
  <c r="CR1014" i="2"/>
  <c r="CS1014" i="2" s="1"/>
  <c r="CR1035" i="2"/>
  <c r="CS1035" i="2" s="1"/>
  <c r="CR1057" i="2"/>
  <c r="CS1057" i="2" s="1"/>
  <c r="CR1079" i="2"/>
  <c r="CS1079" i="2" s="1"/>
  <c r="CR1103" i="2"/>
  <c r="CS1103" i="2" s="1"/>
  <c r="CR1126" i="2"/>
  <c r="CS1126" i="2" s="1"/>
  <c r="CR1147" i="2"/>
  <c r="CS1147" i="2" s="1"/>
  <c r="CR7" i="2"/>
  <c r="CS7" i="2" s="1"/>
  <c r="CR26" i="2"/>
  <c r="CS26" i="2" s="1"/>
  <c r="CR60" i="2"/>
  <c r="CS60" i="2" s="1"/>
  <c r="CR87" i="2"/>
  <c r="CS87" i="2" s="1"/>
  <c r="CR119" i="2"/>
  <c r="CS119" i="2" s="1"/>
  <c r="CR143" i="2"/>
  <c r="CS143" i="2" s="1"/>
  <c r="CR25" i="2"/>
  <c r="CS25" i="2" s="1"/>
  <c r="CR53" i="2"/>
  <c r="CS53" i="2" s="1"/>
  <c r="CR86" i="2"/>
  <c r="CS86" i="2" s="1"/>
  <c r="CR118" i="2"/>
  <c r="CS118" i="2" s="1"/>
  <c r="CR142" i="2"/>
  <c r="CS142" i="2" s="1"/>
  <c r="CR174" i="2"/>
  <c r="CS174" i="2" s="1"/>
  <c r="CR199" i="2"/>
  <c r="CS199" i="2" s="1"/>
  <c r="CR229" i="2"/>
  <c r="CS229" i="2" s="1"/>
  <c r="CR252" i="2"/>
  <c r="CS252" i="2" s="1"/>
  <c r="CR282" i="2"/>
  <c r="CS282" i="2" s="1"/>
  <c r="CR306" i="2"/>
  <c r="CS306" i="2" s="1"/>
  <c r="CR335" i="2"/>
  <c r="CS335" i="2" s="1"/>
  <c r="CR360" i="2"/>
  <c r="CS360" i="2" s="1"/>
  <c r="CR386" i="2"/>
  <c r="CS386" i="2" s="1"/>
  <c r="CR413" i="2"/>
  <c r="CS413" i="2" s="1"/>
  <c r="CR438" i="2"/>
  <c r="CS438" i="2" s="1"/>
  <c r="CR468" i="2"/>
  <c r="CS468" i="2" s="1"/>
  <c r="CR491" i="2"/>
  <c r="CS491" i="2" s="1"/>
  <c r="CR521" i="2"/>
  <c r="CS521" i="2" s="1"/>
  <c r="CR545" i="2"/>
  <c r="CS545" i="2" s="1"/>
  <c r="CR574" i="2"/>
  <c r="CS574" i="2" s="1"/>
  <c r="CR599" i="2"/>
  <c r="CS599" i="2" s="1"/>
  <c r="CR629" i="2"/>
  <c r="CS629" i="2" s="1"/>
  <c r="CR651" i="2"/>
  <c r="CS651" i="2" s="1"/>
  <c r="CR27" i="2"/>
  <c r="CS27" i="2" s="1"/>
  <c r="CR61" i="2"/>
  <c r="CS61" i="2" s="1"/>
  <c r="CR88" i="2"/>
  <c r="CS88" i="2" s="1"/>
  <c r="CR120" i="2"/>
  <c r="CS120" i="2" s="1"/>
  <c r="CR145" i="2"/>
  <c r="CS145" i="2" s="1"/>
  <c r="CR177" i="2"/>
  <c r="CS177" i="2" s="1"/>
  <c r="CR203" i="2"/>
  <c r="CS203" i="2" s="1"/>
  <c r="CR231" i="2"/>
  <c r="CS231" i="2" s="1"/>
  <c r="CR254" i="2"/>
  <c r="CS254" i="2" s="1"/>
  <c r="CR284" i="2"/>
  <c r="CS284" i="2" s="1"/>
  <c r="CR309" i="2"/>
  <c r="CS309" i="2" s="1"/>
  <c r="CR338" i="2"/>
  <c r="CS338" i="2" s="1"/>
  <c r="CR362" i="2"/>
  <c r="CS362" i="2" s="1"/>
  <c r="CR392" i="2"/>
  <c r="CS392" i="2" s="1"/>
  <c r="CR415" i="2"/>
  <c r="CS415" i="2" s="1"/>
  <c r="CR445" i="2"/>
  <c r="CS445" i="2" s="1"/>
  <c r="CR470" i="2"/>
  <c r="CS470" i="2" s="1"/>
  <c r="CR495" i="2"/>
  <c r="CS495" i="2" s="1"/>
  <c r="CR523" i="2"/>
  <c r="CS523" i="2" s="1"/>
  <c r="CR548" i="2"/>
  <c r="CS548" i="2" s="1"/>
  <c r="CR577" i="2"/>
  <c r="CS577" i="2" s="1"/>
  <c r="CR601" i="2"/>
  <c r="CS601" i="2" s="1"/>
  <c r="CR631" i="2"/>
  <c r="CS631" i="2" s="1"/>
  <c r="CR653" i="2"/>
  <c r="CS653" i="2" s="1"/>
  <c r="CR679" i="2"/>
  <c r="CS679" i="2" s="1"/>
  <c r="CR703" i="2"/>
  <c r="CS703" i="2" s="1"/>
  <c r="CR727" i="2"/>
  <c r="CS727" i="2" s="1"/>
  <c r="CR751" i="2"/>
  <c r="CS751" i="2" s="1"/>
  <c r="CR777" i="2"/>
  <c r="CS777" i="2" s="1"/>
  <c r="CR799" i="2"/>
  <c r="CS799" i="2" s="1"/>
  <c r="CR825" i="2"/>
  <c r="CS825" i="2" s="1"/>
  <c r="CR850" i="2"/>
  <c r="CS850" i="2" s="1"/>
  <c r="CR873" i="2"/>
  <c r="CS873" i="2" s="1"/>
  <c r="CR898" i="2"/>
  <c r="CS898" i="2" s="1"/>
  <c r="CR923" i="2"/>
  <c r="CS923" i="2" s="1"/>
  <c r="CR946" i="2"/>
  <c r="CS946" i="2" s="1"/>
  <c r="CR969" i="2"/>
  <c r="CS969" i="2" s="1"/>
  <c r="CR994" i="2"/>
  <c r="CS994" i="2" s="1"/>
  <c r="CR1016" i="2"/>
  <c r="CS1016" i="2" s="1"/>
  <c r="CR1037" i="2"/>
  <c r="CS1037" i="2" s="1"/>
  <c r="CR1060" i="2"/>
  <c r="CS1060" i="2" s="1"/>
  <c r="CR1084" i="2"/>
  <c r="CS1084" i="2" s="1"/>
  <c r="CR1106" i="2"/>
  <c r="CS1106" i="2" s="1"/>
  <c r="CR1128" i="2"/>
  <c r="CS1128" i="2" s="1"/>
  <c r="CR1149" i="2"/>
  <c r="CS1149" i="2" s="1"/>
  <c r="CR1038" i="2"/>
  <c r="CS1038" i="2" s="1"/>
  <c r="CR1150" i="2"/>
  <c r="CS1150" i="2" s="1"/>
  <c r="CR29" i="2"/>
  <c r="CS29" i="2" s="1"/>
  <c r="CR63" i="2"/>
  <c r="CS63" i="2" s="1"/>
  <c r="CR90" i="2"/>
  <c r="CS90" i="2" s="1"/>
  <c r="CR154" i="2"/>
  <c r="CS154" i="2" s="1"/>
  <c r="CR180" i="2"/>
  <c r="CS180" i="2" s="1"/>
  <c r="CR233" i="2"/>
  <c r="CS233" i="2" s="1"/>
  <c r="CR286" i="2"/>
  <c r="CS286" i="2" s="1"/>
  <c r="CR341" i="2"/>
  <c r="CS341" i="2" s="1"/>
  <c r="CR394" i="2"/>
  <c r="CS394" i="2" s="1"/>
  <c r="CR447" i="2"/>
  <c r="CS447" i="2" s="1"/>
  <c r="CR472" i="2"/>
  <c r="CS472" i="2" s="1"/>
  <c r="CR525" i="2"/>
  <c r="CS525" i="2" s="1"/>
  <c r="CR555" i="2"/>
  <c r="CS555" i="2" s="1"/>
  <c r="CR605" i="2"/>
  <c r="CS605" i="2" s="1"/>
  <c r="CR633" i="2"/>
  <c r="CS633" i="2" s="1"/>
  <c r="CR683" i="2"/>
  <c r="CS683" i="2" s="1"/>
  <c r="CR729" i="2"/>
  <c r="CS729" i="2" s="1"/>
  <c r="CR757" i="2"/>
  <c r="CS757" i="2" s="1"/>
  <c r="CR802" i="2"/>
  <c r="CS802" i="2" s="1"/>
  <c r="CR853" i="2"/>
  <c r="CS853" i="2" s="1"/>
  <c r="CR903" i="2"/>
  <c r="CS903" i="2" s="1"/>
  <c r="CR925" i="2"/>
  <c r="CS925" i="2" s="1"/>
  <c r="CR974" i="2"/>
  <c r="CS974" i="2" s="1"/>
  <c r="CR1018" i="2"/>
  <c r="CS1018" i="2" s="1"/>
  <c r="CR1039" i="2"/>
  <c r="CS1039" i="2" s="1"/>
  <c r="CR1086" i="2"/>
  <c r="CS1086" i="2" s="1"/>
  <c r="CR1109" i="2"/>
  <c r="CS1109" i="2" s="1"/>
  <c r="CR1151" i="2"/>
  <c r="CS1151" i="2" s="1"/>
  <c r="CR66" i="2"/>
  <c r="CS66" i="2" s="1"/>
  <c r="CR98" i="2"/>
  <c r="CS98" i="2" s="1"/>
  <c r="CR155" i="2"/>
  <c r="CS155" i="2" s="1"/>
  <c r="CR181" i="2"/>
  <c r="CS181" i="2" s="1"/>
  <c r="CR28" i="2"/>
  <c r="CS28" i="2" s="1"/>
  <c r="CR62" i="2"/>
  <c r="CS62" i="2" s="1"/>
  <c r="CR89" i="2"/>
  <c r="CS89" i="2" s="1"/>
  <c r="CR121" i="2"/>
  <c r="CS121" i="2" s="1"/>
  <c r="CR153" i="2"/>
  <c r="CS153" i="2" s="1"/>
  <c r="CR178" i="2"/>
  <c r="CS178" i="2" s="1"/>
  <c r="CR207" i="2"/>
  <c r="CS207" i="2" s="1"/>
  <c r="CR232" i="2"/>
  <c r="CS232" i="2" s="1"/>
  <c r="CR258" i="2"/>
  <c r="CS258" i="2" s="1"/>
  <c r="CR285" i="2"/>
  <c r="CS285" i="2" s="1"/>
  <c r="CR310" i="2"/>
  <c r="CS310" i="2" s="1"/>
  <c r="CR340" i="2"/>
  <c r="CS340" i="2" s="1"/>
  <c r="CR363" i="2"/>
  <c r="CS363" i="2" s="1"/>
  <c r="CR393" i="2"/>
  <c r="CS393" i="2" s="1"/>
  <c r="CR417" i="2"/>
  <c r="CS417" i="2" s="1"/>
  <c r="CR446" i="2"/>
  <c r="CS446" i="2" s="1"/>
  <c r="CR471" i="2"/>
  <c r="CS471" i="2" s="1"/>
  <c r="CR501" i="2"/>
  <c r="CS501" i="2" s="1"/>
  <c r="CR524" i="2"/>
  <c r="CS524" i="2" s="1"/>
  <c r="CR551" i="2"/>
  <c r="CS551" i="2" s="1"/>
  <c r="CR578" i="2"/>
  <c r="CS578" i="2" s="1"/>
  <c r="CR602" i="2"/>
  <c r="CS602" i="2" s="1"/>
  <c r="CR632" i="2"/>
  <c r="CS632" i="2" s="1"/>
  <c r="CR654" i="2"/>
  <c r="CS654" i="2" s="1"/>
  <c r="CR682" i="2"/>
  <c r="CS682" i="2" s="1"/>
  <c r="CR705" i="2"/>
  <c r="CS705" i="2" s="1"/>
  <c r="CR728" i="2"/>
  <c r="CS728" i="2" s="1"/>
  <c r="CR756" i="2"/>
  <c r="CS756" i="2" s="1"/>
  <c r="CR778" i="2"/>
  <c r="CS778" i="2" s="1"/>
  <c r="CR801" i="2"/>
  <c r="CS801" i="2" s="1"/>
  <c r="CR828" i="2"/>
  <c r="CS828" i="2" s="1"/>
  <c r="CR852" i="2"/>
  <c r="CS852" i="2" s="1"/>
  <c r="CR874" i="2"/>
  <c r="CS874" i="2" s="1"/>
  <c r="CR902" i="2"/>
  <c r="CS902" i="2" s="1"/>
  <c r="CR924" i="2"/>
  <c r="CS924" i="2" s="1"/>
  <c r="CR948" i="2"/>
  <c r="CS948" i="2" s="1"/>
  <c r="CR971" i="2"/>
  <c r="CS971" i="2" s="1"/>
  <c r="CR996" i="2"/>
  <c r="CS996" i="2" s="1"/>
  <c r="CR1017" i="2"/>
  <c r="CS1017" i="2" s="1"/>
  <c r="CR1061" i="2"/>
  <c r="CS1061" i="2" s="1"/>
  <c r="CR1085" i="2"/>
  <c r="CS1085" i="2" s="1"/>
  <c r="CR1108" i="2"/>
  <c r="CS1108" i="2" s="1"/>
  <c r="CR1129" i="2"/>
  <c r="CS1129" i="2" s="1"/>
  <c r="CR122" i="2"/>
  <c r="CS122" i="2" s="1"/>
  <c r="CR209" i="2"/>
  <c r="CS209" i="2" s="1"/>
  <c r="CR263" i="2"/>
  <c r="CS263" i="2" s="1"/>
  <c r="CR313" i="2"/>
  <c r="CS313" i="2" s="1"/>
  <c r="CR364" i="2"/>
  <c r="CS364" i="2" s="1"/>
  <c r="CR418" i="2"/>
  <c r="CS418" i="2" s="1"/>
  <c r="CR502" i="2"/>
  <c r="CS502" i="2" s="1"/>
  <c r="CR580" i="2"/>
  <c r="CS580" i="2" s="1"/>
  <c r="CR655" i="2"/>
  <c r="CS655" i="2" s="1"/>
  <c r="CR706" i="2"/>
  <c r="CS706" i="2" s="1"/>
  <c r="CR779" i="2"/>
  <c r="CS779" i="2" s="1"/>
  <c r="CR829" i="2"/>
  <c r="CS829" i="2" s="1"/>
  <c r="CR875" i="2"/>
  <c r="CS875" i="2" s="1"/>
  <c r="CR949" i="2"/>
  <c r="CS949" i="2" s="1"/>
  <c r="CR997" i="2"/>
  <c r="CS997" i="2" s="1"/>
  <c r="CR1063" i="2"/>
  <c r="CS1063" i="2" s="1"/>
  <c r="CR1130" i="2"/>
  <c r="CS1130" i="2" s="1"/>
  <c r="CR30" i="2"/>
  <c r="CS30" i="2" s="1"/>
  <c r="CR123" i="2"/>
  <c r="CS123" i="2" s="1"/>
  <c r="CR22" i="2"/>
  <c r="CS22" i="2" s="1"/>
  <c r="CR79" i="2"/>
  <c r="CS79" i="2" s="1"/>
  <c r="CR135" i="2"/>
  <c r="CS135" i="2" s="1"/>
  <c r="CR182" i="2"/>
  <c r="CS182" i="2" s="1"/>
  <c r="CR217" i="2"/>
  <c r="CS217" i="2" s="1"/>
  <c r="CR264" i="2"/>
  <c r="CS264" i="2" s="1"/>
  <c r="CR299" i="2"/>
  <c r="CS299" i="2" s="1"/>
  <c r="CR337" i="2"/>
  <c r="CS337" i="2" s="1"/>
  <c r="CR376" i="2"/>
  <c r="CS376" i="2" s="1"/>
  <c r="CR411" i="2"/>
  <c r="CS411" i="2" s="1"/>
  <c r="CR453" i="2"/>
  <c r="CS453" i="2" s="1"/>
  <c r="CR488" i="2"/>
  <c r="CS488" i="2" s="1"/>
  <c r="CR529" i="2"/>
  <c r="CS529" i="2" s="1"/>
  <c r="CR565" i="2"/>
  <c r="CS565" i="2" s="1"/>
  <c r="CR612" i="2"/>
  <c r="CS612" i="2" s="1"/>
  <c r="CR646" i="2"/>
  <c r="CS646" i="2" s="1"/>
  <c r="CR684" i="2"/>
  <c r="CS684" i="2" s="1"/>
  <c r="CR715" i="2"/>
  <c r="CS715" i="2" s="1"/>
  <c r="CR748" i="2"/>
  <c r="CS748" i="2" s="1"/>
  <c r="CR785" i="2"/>
  <c r="CS785" i="2" s="1"/>
  <c r="CR818" i="2"/>
  <c r="CS818" i="2" s="1"/>
  <c r="CR857" i="2"/>
  <c r="CS857" i="2" s="1"/>
  <c r="CR890" i="2"/>
  <c r="CS890" i="2" s="1"/>
  <c r="CR929" i="2"/>
  <c r="CS929" i="2" s="1"/>
  <c r="CR962" i="2"/>
  <c r="CS962" i="2" s="1"/>
  <c r="CR999" i="2"/>
  <c r="CS999" i="2" s="1"/>
  <c r="CR1030" i="2"/>
  <c r="CS1030" i="2" s="1"/>
  <c r="CR1066" i="2"/>
  <c r="CS1066" i="2" s="1"/>
  <c r="CR1094" i="2"/>
  <c r="CS1094" i="2" s="1"/>
  <c r="CR1127" i="2"/>
  <c r="CS1127" i="2" s="1"/>
  <c r="CR1161" i="2"/>
  <c r="CS1161" i="2" s="1"/>
  <c r="CR23" i="2"/>
  <c r="CS23" i="2" s="1"/>
  <c r="CR81" i="2"/>
  <c r="CS81" i="2" s="1"/>
  <c r="CR136" i="2"/>
  <c r="CS136" i="2" s="1"/>
  <c r="CR185" i="2"/>
  <c r="CS185" i="2" s="1"/>
  <c r="CR218" i="2"/>
  <c r="CS218" i="2" s="1"/>
  <c r="CR265" i="2"/>
  <c r="CS265" i="2" s="1"/>
  <c r="CR300" i="2"/>
  <c r="CS300" i="2" s="1"/>
  <c r="CR342" i="2"/>
  <c r="CS342" i="2" s="1"/>
  <c r="CR377" i="2"/>
  <c r="CS377" i="2" s="1"/>
  <c r="CR414" i="2"/>
  <c r="CS414" i="2" s="1"/>
  <c r="CR454" i="2"/>
  <c r="CS454" i="2" s="1"/>
  <c r="CR489" i="2"/>
  <c r="CS489" i="2" s="1"/>
  <c r="CR533" i="2"/>
  <c r="CS533" i="2" s="1"/>
  <c r="CR41" i="2"/>
  <c r="CS41" i="2" s="1"/>
  <c r="CR84" i="2"/>
  <c r="CS84" i="2" s="1"/>
  <c r="CR138" i="2"/>
  <c r="CS138" i="2" s="1"/>
  <c r="CR190" i="2"/>
  <c r="CS190" i="2" s="1"/>
  <c r="CR226" i="2"/>
  <c r="CS226" i="2" s="1"/>
  <c r="CR267" i="2"/>
  <c r="CS267" i="2" s="1"/>
  <c r="CR302" i="2"/>
  <c r="CS302" i="2" s="1"/>
  <c r="CR344" i="2"/>
  <c r="CS344" i="2" s="1"/>
  <c r="CR379" i="2"/>
  <c r="CS379" i="2" s="1"/>
  <c r="CR423" i="2"/>
  <c r="CS423" i="2" s="1"/>
  <c r="CR456" i="2"/>
  <c r="CS456" i="2" s="1"/>
  <c r="CR503" i="2"/>
  <c r="CS503" i="2" s="1"/>
  <c r="CR538" i="2"/>
  <c r="CS538" i="2" s="1"/>
  <c r="CR575" i="2"/>
  <c r="CS575" i="2" s="1"/>
  <c r="CR615" i="2"/>
  <c r="CS615" i="2" s="1"/>
  <c r="CR649" i="2"/>
  <c r="CS649" i="2" s="1"/>
  <c r="CR687" i="2"/>
  <c r="CS687" i="2" s="1"/>
  <c r="CR721" i="2"/>
  <c r="CS721" i="2" s="1"/>
  <c r="CR760" i="2"/>
  <c r="CS760" i="2" s="1"/>
  <c r="CR793" i="2"/>
  <c r="CS793" i="2" s="1"/>
  <c r="CR831" i="2"/>
  <c r="CS831" i="2" s="1"/>
  <c r="CR865" i="2"/>
  <c r="CS865" i="2" s="1"/>
  <c r="CR904" i="2"/>
  <c r="CS904" i="2" s="1"/>
  <c r="CR935" i="2"/>
  <c r="CS935" i="2" s="1"/>
  <c r="CR968" i="2"/>
  <c r="CS968" i="2" s="1"/>
  <c r="CR1002" i="2"/>
  <c r="CS1002" i="2" s="1"/>
  <c r="CR1033" i="2"/>
  <c r="CS1033" i="2" s="1"/>
  <c r="CR1069" i="2"/>
  <c r="CS1069" i="2" s="1"/>
  <c r="CR1097" i="2"/>
  <c r="CS1097" i="2" s="1"/>
  <c r="CR1133" i="2"/>
  <c r="CS1133" i="2" s="1"/>
  <c r="CR1164" i="2"/>
  <c r="CS1164" i="2" s="1"/>
  <c r="CR1036" i="2"/>
  <c r="CS1036" i="2" s="1"/>
  <c r="CR43" i="2"/>
  <c r="CS43" i="2" s="1"/>
  <c r="CR101" i="2"/>
  <c r="CS101" i="2" s="1"/>
  <c r="CR140" i="2"/>
  <c r="CS140" i="2" s="1"/>
  <c r="CR193" i="2"/>
  <c r="CS193" i="2" s="1"/>
  <c r="CR269" i="2"/>
  <c r="CS269" i="2" s="1"/>
  <c r="CR308" i="2"/>
  <c r="CS308" i="2" s="1"/>
  <c r="CR381" i="2"/>
  <c r="CS381" i="2" s="1"/>
  <c r="CR463" i="2"/>
  <c r="CS463" i="2" s="1"/>
  <c r="CR505" i="2"/>
  <c r="CS505" i="2" s="1"/>
  <c r="CR582" i="2"/>
  <c r="CS582" i="2" s="1"/>
  <c r="CR617" i="2"/>
  <c r="CS617" i="2" s="1"/>
  <c r="CR690" i="2"/>
  <c r="CS690" i="2" s="1"/>
  <c r="CR795" i="2"/>
  <c r="CS795" i="2" s="1"/>
  <c r="CR868" i="2"/>
  <c r="CS868" i="2" s="1"/>
  <c r="CR939" i="2"/>
  <c r="CS939" i="2" s="1"/>
  <c r="CR1004" i="2"/>
  <c r="CS1004" i="2" s="1"/>
  <c r="CR1041" i="2"/>
  <c r="CS1041" i="2" s="1"/>
  <c r="CR1105" i="2"/>
  <c r="CS1105" i="2" s="1"/>
  <c r="CR1166" i="2"/>
  <c r="CS1166" i="2" s="1"/>
  <c r="CR44" i="2"/>
  <c r="CS44" i="2" s="1"/>
  <c r="CR102" i="2"/>
  <c r="CS102" i="2" s="1"/>
  <c r="CR194" i="2"/>
  <c r="CS194" i="2" s="1"/>
  <c r="CR235" i="2"/>
  <c r="CS235" i="2" s="1"/>
  <c r="CR317" i="2"/>
  <c r="CS317" i="2" s="1"/>
  <c r="CR349" i="2"/>
  <c r="CS349" i="2" s="1"/>
  <c r="CR429" i="2"/>
  <c r="CS429" i="2" s="1"/>
  <c r="CR506" i="2"/>
  <c r="CS506" i="2" s="1"/>
  <c r="CR583" i="2"/>
  <c r="CS583" i="2" s="1"/>
  <c r="CR661" i="2"/>
  <c r="CS661" i="2" s="1"/>
  <c r="CR730" i="2"/>
  <c r="CS730" i="2" s="1"/>
  <c r="CR798" i="2"/>
  <c r="CS798" i="2" s="1"/>
  <c r="CR869" i="2"/>
  <c r="CS869" i="2" s="1"/>
  <c r="CR907" i="2"/>
  <c r="CS907" i="2" s="1"/>
  <c r="CR978" i="2"/>
  <c r="CS978" i="2" s="1"/>
  <c r="CR1005" i="2"/>
  <c r="CS1005" i="2" s="1"/>
  <c r="CR1073" i="2"/>
  <c r="CS1073" i="2" s="1"/>
  <c r="CR1141" i="2"/>
  <c r="CS1141" i="2" s="1"/>
  <c r="CR103" i="2"/>
  <c r="CS103" i="2" s="1"/>
  <c r="CR157" i="2"/>
  <c r="CS157" i="2" s="1"/>
  <c r="CR236" i="2"/>
  <c r="CS236" i="2" s="1"/>
  <c r="CR271" i="2"/>
  <c r="CS271" i="2" s="1"/>
  <c r="CR354" i="2"/>
  <c r="CS354" i="2" s="1"/>
  <c r="CR430" i="2"/>
  <c r="CS430" i="2" s="1"/>
  <c r="CR469" i="2"/>
  <c r="CS469" i="2" s="1"/>
  <c r="CR542" i="2"/>
  <c r="CS542" i="2" s="1"/>
  <c r="CR584" i="2"/>
  <c r="CS584" i="2" s="1"/>
  <c r="CR619" i="2"/>
  <c r="CS619" i="2" s="1"/>
  <c r="CR693" i="2"/>
  <c r="CS693" i="2" s="1"/>
  <c r="CR733" i="2"/>
  <c r="CS733" i="2" s="1"/>
  <c r="CR764" i="2"/>
  <c r="CS764" i="2" s="1"/>
  <c r="CR837" i="2"/>
  <c r="CS837" i="2" s="1"/>
  <c r="CR872" i="2"/>
  <c r="CS872" i="2" s="1"/>
  <c r="CR941" i="2"/>
  <c r="CS941" i="2" s="1"/>
  <c r="CR980" i="2"/>
  <c r="CS980" i="2" s="1"/>
  <c r="CR1045" i="2"/>
  <c r="CS1045" i="2" s="1"/>
  <c r="CR1111" i="2"/>
  <c r="CS1111" i="2" s="1"/>
  <c r="CR1142" i="2"/>
  <c r="CS1142" i="2" s="1"/>
  <c r="CR158" i="2"/>
  <c r="CS158" i="2" s="1"/>
  <c r="CR239" i="2"/>
  <c r="CS239" i="2" s="1"/>
  <c r="CR319" i="2"/>
  <c r="CS319" i="2" s="1"/>
  <c r="CR396" i="2"/>
  <c r="CS396" i="2" s="1"/>
  <c r="CR431" i="2"/>
  <c r="CS431" i="2" s="1"/>
  <c r="CR508" i="2"/>
  <c r="CS508" i="2" s="1"/>
  <c r="CR546" i="2"/>
  <c r="CS546" i="2" s="1"/>
  <c r="CR620" i="2"/>
  <c r="CS620" i="2" s="1"/>
  <c r="CR665" i="2"/>
  <c r="CS665" i="2" s="1"/>
  <c r="CR737" i="2"/>
  <c r="CS737" i="2" s="1"/>
  <c r="CR807" i="2"/>
  <c r="CS807" i="2" s="1"/>
  <c r="CR876" i="2"/>
  <c r="CS876" i="2" s="1"/>
  <c r="CR909" i="2"/>
  <c r="CS909" i="2" s="1"/>
  <c r="CR981" i="2"/>
  <c r="CS981" i="2" s="1"/>
  <c r="CR1012" i="2"/>
  <c r="CS1012" i="2" s="1"/>
  <c r="CR1076" i="2"/>
  <c r="CS1076" i="2" s="1"/>
  <c r="CR1143" i="2"/>
  <c r="CS1143" i="2" s="1"/>
  <c r="CR47" i="2"/>
  <c r="CS47" i="2" s="1"/>
  <c r="CR159" i="2"/>
  <c r="CS159" i="2" s="1"/>
  <c r="CR245" i="2"/>
  <c r="CS245" i="2" s="1"/>
  <c r="CR321" i="2"/>
  <c r="CS321" i="2" s="1"/>
  <c r="CR397" i="2"/>
  <c r="CS397" i="2" s="1"/>
  <c r="CR474" i="2"/>
  <c r="CS474" i="2" s="1"/>
  <c r="CR556" i="2"/>
  <c r="CS556" i="2" s="1"/>
  <c r="CR591" i="2"/>
  <c r="CS591" i="2" s="1"/>
  <c r="CR666" i="2"/>
  <c r="CS666" i="2" s="1"/>
  <c r="CR697" i="2"/>
  <c r="CS697" i="2" s="1"/>
  <c r="CR738" i="2"/>
  <c r="CS738" i="2" s="1"/>
  <c r="CR810" i="2"/>
  <c r="CS810" i="2" s="1"/>
  <c r="CR839" i="2"/>
  <c r="CS839" i="2" s="1"/>
  <c r="CR910" i="2"/>
  <c r="CS910" i="2" s="1"/>
  <c r="CR950" i="2"/>
  <c r="CS950" i="2" s="1"/>
  <c r="CR1015" i="2"/>
  <c r="CS1015" i="2" s="1"/>
  <c r="CR1077" i="2"/>
  <c r="CS1077" i="2" s="1"/>
  <c r="CR106" i="2"/>
  <c r="CS106" i="2" s="1"/>
  <c r="CR210" i="2"/>
  <c r="CS210" i="2" s="1"/>
  <c r="CR283" i="2"/>
  <c r="CS283" i="2" s="1"/>
  <c r="CR358" i="2"/>
  <c r="CS358" i="2" s="1"/>
  <c r="CR434" i="2"/>
  <c r="CS434" i="2" s="1"/>
  <c r="CR510" i="2"/>
  <c r="CS510" i="2" s="1"/>
  <c r="CR593" i="2"/>
  <c r="CS593" i="2" s="1"/>
  <c r="CR667" i="2"/>
  <c r="CS667" i="2" s="1"/>
  <c r="CR740" i="2"/>
  <c r="CS740" i="2" s="1"/>
  <c r="CR811" i="2"/>
  <c r="CS811" i="2" s="1"/>
  <c r="CR840" i="2"/>
  <c r="CS840" i="2" s="1"/>
  <c r="CR911" i="2"/>
  <c r="CS911" i="2" s="1"/>
  <c r="CR953" i="2"/>
  <c r="CS953" i="2" s="1"/>
  <c r="CR1019" i="2"/>
  <c r="CS1019" i="2" s="1"/>
  <c r="CR1050" i="2"/>
  <c r="CS1050" i="2" s="1"/>
  <c r="CR1114" i="2"/>
  <c r="CS1114" i="2" s="1"/>
  <c r="CR247" i="2"/>
  <c r="CS247" i="2" s="1"/>
  <c r="CR324" i="2"/>
  <c r="CS324" i="2" s="1"/>
  <c r="CR399" i="2"/>
  <c r="CS399" i="2" s="1"/>
  <c r="CR482" i="2"/>
  <c r="CS482" i="2" s="1"/>
  <c r="CR558" i="2"/>
  <c r="CS558" i="2" s="1"/>
  <c r="CR594" i="2"/>
  <c r="CS594" i="2" s="1"/>
  <c r="CR668" i="2"/>
  <c r="CS668" i="2" s="1"/>
  <c r="CR741" i="2"/>
  <c r="CS741" i="2" s="1"/>
  <c r="CR776" i="2"/>
  <c r="CS776" i="2" s="1"/>
  <c r="CR843" i="2"/>
  <c r="CS843" i="2" s="1"/>
  <c r="CR913" i="2"/>
  <c r="CS913" i="2" s="1"/>
  <c r="CR984" i="2"/>
  <c r="CS984" i="2" s="1"/>
  <c r="CR1051" i="2"/>
  <c r="CS1051" i="2" s="1"/>
  <c r="CR1115" i="2"/>
  <c r="CS1115" i="2" s="1"/>
  <c r="CR164" i="2"/>
  <c r="CS164" i="2" s="1"/>
  <c r="CR289" i="2"/>
  <c r="CS289" i="2" s="1"/>
  <c r="CR441" i="2"/>
  <c r="CS441" i="2" s="1"/>
  <c r="CR559" i="2"/>
  <c r="CS559" i="2" s="1"/>
  <c r="CR669" i="2"/>
  <c r="CS669" i="2" s="1"/>
  <c r="CR849" i="2"/>
  <c r="CS849" i="2" s="1"/>
  <c r="CR1021" i="2"/>
  <c r="CS1021" i="2" s="1"/>
  <c r="CR10" i="2"/>
  <c r="CS10" i="2" s="1"/>
  <c r="CR70" i="2"/>
  <c r="CS70" i="2" s="1"/>
  <c r="CR124" i="2"/>
  <c r="CS124" i="2" s="1"/>
  <c r="CR171" i="2"/>
  <c r="CS171" i="2" s="1"/>
  <c r="CR214" i="2"/>
  <c r="CS214" i="2" s="1"/>
  <c r="CR42" i="2"/>
  <c r="CS42" i="2" s="1"/>
  <c r="CR100" i="2"/>
  <c r="CS100" i="2" s="1"/>
  <c r="CR139" i="2"/>
  <c r="CS139" i="2" s="1"/>
  <c r="CR191" i="2"/>
  <c r="CS191" i="2" s="1"/>
  <c r="CR230" i="2"/>
  <c r="CS230" i="2" s="1"/>
  <c r="CR268" i="2"/>
  <c r="CS268" i="2" s="1"/>
  <c r="CR303" i="2"/>
  <c r="CS303" i="2" s="1"/>
  <c r="CR345" i="2"/>
  <c r="CS345" i="2" s="1"/>
  <c r="CR380" i="2"/>
  <c r="CS380" i="2" s="1"/>
  <c r="CR427" i="2"/>
  <c r="CS427" i="2" s="1"/>
  <c r="CR459" i="2"/>
  <c r="CS459" i="2" s="1"/>
  <c r="CR504" i="2"/>
  <c r="CS504" i="2" s="1"/>
  <c r="CR539" i="2"/>
  <c r="CS539" i="2" s="1"/>
  <c r="CR581" i="2"/>
  <c r="CS581" i="2" s="1"/>
  <c r="CR616" i="2"/>
  <c r="CS616" i="2" s="1"/>
  <c r="CR652" i="2"/>
  <c r="CS652" i="2" s="1"/>
  <c r="CR689" i="2"/>
  <c r="CS689" i="2" s="1"/>
  <c r="CR722" i="2"/>
  <c r="CS722" i="2" s="1"/>
  <c r="CR761" i="2"/>
  <c r="CS761" i="2" s="1"/>
  <c r="CR794" i="2"/>
  <c r="CS794" i="2" s="1"/>
  <c r="CR833" i="2"/>
  <c r="CS833" i="2" s="1"/>
  <c r="CR866" i="2"/>
  <c r="CS866" i="2" s="1"/>
  <c r="CR905" i="2"/>
  <c r="CS905" i="2" s="1"/>
  <c r="CR938" i="2"/>
  <c r="CS938" i="2" s="1"/>
  <c r="CR975" i="2"/>
  <c r="CS975" i="2" s="1"/>
  <c r="CR1003" i="2"/>
  <c r="CS1003" i="2" s="1"/>
  <c r="CR1070" i="2"/>
  <c r="CS1070" i="2" s="1"/>
  <c r="CR1099" i="2"/>
  <c r="CS1099" i="2" s="1"/>
  <c r="CR1135" i="2"/>
  <c r="CS1135" i="2" s="1"/>
  <c r="CR1165" i="2"/>
  <c r="CS1165" i="2" s="1"/>
  <c r="CR234" i="2"/>
  <c r="CS234" i="2" s="1"/>
  <c r="CR346" i="2"/>
  <c r="CS346" i="2" s="1"/>
  <c r="CR428" i="2"/>
  <c r="CS428" i="2" s="1"/>
  <c r="CR540" i="2"/>
  <c r="CS540" i="2" s="1"/>
  <c r="CR657" i="2"/>
  <c r="CS657" i="2" s="1"/>
  <c r="CR726" i="2"/>
  <c r="CS726" i="2" s="1"/>
  <c r="CR762" i="2"/>
  <c r="CS762" i="2" s="1"/>
  <c r="CR834" i="2"/>
  <c r="CS834" i="2" s="1"/>
  <c r="CR906" i="2"/>
  <c r="CS906" i="2" s="1"/>
  <c r="CR977" i="2"/>
  <c r="CS977" i="2" s="1"/>
  <c r="CR1071" i="2"/>
  <c r="CS1071" i="2" s="1"/>
  <c r="CR1140" i="2"/>
  <c r="CS1140" i="2" s="1"/>
  <c r="CR156" i="2"/>
  <c r="CS156" i="2" s="1"/>
  <c r="CR270" i="2"/>
  <c r="CS270" i="2" s="1"/>
  <c r="CR391" i="2"/>
  <c r="CS391" i="2" s="1"/>
  <c r="CR465" i="2"/>
  <c r="CS465" i="2" s="1"/>
  <c r="CR541" i="2"/>
  <c r="CS541" i="2" s="1"/>
  <c r="CR618" i="2"/>
  <c r="CS618" i="2" s="1"/>
  <c r="CR692" i="2"/>
  <c r="CS692" i="2" s="1"/>
  <c r="CR763" i="2"/>
  <c r="CS763" i="2" s="1"/>
  <c r="CR836" i="2"/>
  <c r="CS836" i="2" s="1"/>
  <c r="CR940" i="2"/>
  <c r="CS940" i="2" s="1"/>
  <c r="CR1042" i="2"/>
  <c r="CS1042" i="2" s="1"/>
  <c r="CR1110" i="2"/>
  <c r="CS1110" i="2" s="1"/>
  <c r="CR8" i="2"/>
  <c r="CS8" i="2" s="1"/>
  <c r="CR45" i="2"/>
  <c r="CS45" i="2" s="1"/>
  <c r="CR196" i="2"/>
  <c r="CS196" i="2" s="1"/>
  <c r="CR318" i="2"/>
  <c r="CS318" i="2" s="1"/>
  <c r="CR395" i="2"/>
  <c r="CS395" i="2" s="1"/>
  <c r="CR507" i="2"/>
  <c r="CS507" i="2" s="1"/>
  <c r="CR664" i="2"/>
  <c r="CS664" i="2" s="1"/>
  <c r="CR804" i="2"/>
  <c r="CS804" i="2" s="1"/>
  <c r="CR908" i="2"/>
  <c r="CS908" i="2" s="1"/>
  <c r="CR1007" i="2"/>
  <c r="CS1007" i="2" s="1"/>
  <c r="CR1074" i="2"/>
  <c r="CS1074" i="2" s="1"/>
  <c r="CR46" i="2"/>
  <c r="CS46" i="2" s="1"/>
  <c r="CR104" i="2"/>
  <c r="CS104" i="2" s="1"/>
  <c r="CR197" i="2"/>
  <c r="CS197" i="2" s="1"/>
  <c r="CR273" i="2"/>
  <c r="CS273" i="2" s="1"/>
  <c r="CR356" i="2"/>
  <c r="CS356" i="2" s="1"/>
  <c r="CR473" i="2"/>
  <c r="CS473" i="2" s="1"/>
  <c r="CR587" i="2"/>
  <c r="CS587" i="2" s="1"/>
  <c r="CR694" i="2"/>
  <c r="CS694" i="2" s="1"/>
  <c r="CR765" i="2"/>
  <c r="CS765" i="2" s="1"/>
  <c r="CR838" i="2"/>
  <c r="CS838" i="2" s="1"/>
  <c r="CR945" i="2"/>
  <c r="CS945" i="2" s="1"/>
  <c r="CR1048" i="2"/>
  <c r="CS1048" i="2" s="1"/>
  <c r="CR1112" i="2"/>
  <c r="CS1112" i="2" s="1"/>
  <c r="CR105" i="2"/>
  <c r="CS105" i="2" s="1"/>
  <c r="CR200" i="2"/>
  <c r="CS200" i="2" s="1"/>
  <c r="CR277" i="2"/>
  <c r="CS277" i="2" s="1"/>
  <c r="CR357" i="2"/>
  <c r="CS357" i="2" s="1"/>
  <c r="CR433" i="2"/>
  <c r="CS433" i="2" s="1"/>
  <c r="CR509" i="2"/>
  <c r="CS509" i="2" s="1"/>
  <c r="CR630" i="2"/>
  <c r="CS630" i="2" s="1"/>
  <c r="CR766" i="2"/>
  <c r="CS766" i="2" s="1"/>
  <c r="CR879" i="2"/>
  <c r="CS879" i="2" s="1"/>
  <c r="CR982" i="2"/>
  <c r="CS982" i="2" s="1"/>
  <c r="CR1049" i="2"/>
  <c r="CS1049" i="2" s="1"/>
  <c r="CR1113" i="2"/>
  <c r="CS1113" i="2" s="1"/>
  <c r="CR1144" i="2"/>
  <c r="CS1144" i="2" s="1"/>
  <c r="CR50" i="2"/>
  <c r="CS50" i="2" s="1"/>
  <c r="CR161" i="2"/>
  <c r="CS161" i="2" s="1"/>
  <c r="CR246" i="2"/>
  <c r="CS246" i="2" s="1"/>
  <c r="CR322" i="2"/>
  <c r="CS322" i="2" s="1"/>
  <c r="CR398" i="2"/>
  <c r="CS398" i="2" s="1"/>
  <c r="CR477" i="2"/>
  <c r="CS477" i="2" s="1"/>
  <c r="CR557" i="2"/>
  <c r="CS557" i="2" s="1"/>
  <c r="CR634" i="2"/>
  <c r="CS634" i="2" s="1"/>
  <c r="CR702" i="2"/>
  <c r="CS702" i="2" s="1"/>
  <c r="CR770" i="2"/>
  <c r="CS770" i="2" s="1"/>
  <c r="CR884" i="2"/>
  <c r="CS884" i="2" s="1"/>
  <c r="CR983" i="2"/>
  <c r="CS983" i="2" s="1"/>
  <c r="CR1081" i="2"/>
  <c r="CS1081" i="2" s="1"/>
  <c r="CR1145" i="2"/>
  <c r="CS1145" i="2" s="1"/>
  <c r="CR68" i="2"/>
  <c r="CS68" i="2" s="1"/>
  <c r="CR107" i="2"/>
  <c r="CS107" i="2" s="1"/>
  <c r="CR162" i="2"/>
  <c r="CS162" i="2" s="1"/>
  <c r="CR212" i="2"/>
  <c r="CS212" i="2" s="1"/>
  <c r="CR287" i="2"/>
  <c r="CS287" i="2" s="1"/>
  <c r="CR361" i="2"/>
  <c r="CS361" i="2" s="1"/>
  <c r="CR436" i="2"/>
  <c r="CS436" i="2" s="1"/>
  <c r="CR514" i="2"/>
  <c r="CS514" i="2" s="1"/>
  <c r="CR635" i="2"/>
  <c r="CS635" i="2" s="1"/>
  <c r="CR708" i="2"/>
  <c r="CS708" i="2" s="1"/>
  <c r="CR812" i="2"/>
  <c r="CS812" i="2" s="1"/>
  <c r="CR885" i="2"/>
  <c r="CS885" i="2" s="1"/>
  <c r="CR956" i="2"/>
  <c r="CS956" i="2" s="1"/>
  <c r="CR1020" i="2"/>
  <c r="CS1020" i="2" s="1"/>
  <c r="CR1087" i="2"/>
  <c r="CS1087" i="2" s="1"/>
  <c r="CR1148" i="2"/>
  <c r="CS1148" i="2" s="1"/>
  <c r="CR9" i="2"/>
  <c r="CS9" i="2" s="1"/>
  <c r="CR69" i="2"/>
  <c r="CS69" i="2" s="1"/>
  <c r="CR108" i="2"/>
  <c r="CS108" i="2" s="1"/>
  <c r="CR213" i="2"/>
  <c r="CS213" i="2" s="1"/>
  <c r="CR248" i="2"/>
  <c r="CS248" i="2" s="1"/>
  <c r="CR325" i="2"/>
  <c r="CS325" i="2" s="1"/>
  <c r="CR367" i="2"/>
  <c r="CS367" i="2" s="1"/>
  <c r="CR401" i="2"/>
  <c r="CS401" i="2" s="1"/>
  <c r="CR484" i="2"/>
  <c r="CS484" i="2" s="1"/>
  <c r="CR519" i="2"/>
  <c r="CS519" i="2" s="1"/>
  <c r="CR596" i="2"/>
  <c r="CS596" i="2" s="1"/>
  <c r="CR636" i="2"/>
  <c r="CS636" i="2" s="1"/>
  <c r="CR709" i="2"/>
  <c r="CS709" i="2" s="1"/>
  <c r="CR742" i="2"/>
  <c r="CS742" i="2" s="1"/>
  <c r="CR780" i="2"/>
  <c r="CS780" i="2" s="1"/>
  <c r="CR813" i="2"/>
  <c r="CS813" i="2" s="1"/>
  <c r="CR886" i="2"/>
  <c r="CS886" i="2" s="1"/>
  <c r="CR917" i="2"/>
  <c r="CS917" i="2" s="1"/>
  <c r="CR957" i="2"/>
  <c r="CS957" i="2" s="1"/>
  <c r="CR985" i="2"/>
  <c r="CS985" i="2" s="1"/>
  <c r="CR1052" i="2"/>
  <c r="CS1052" i="2" s="1"/>
  <c r="CR1089" i="2"/>
  <c r="CS1089" i="2" s="1"/>
  <c r="CR1117" i="2"/>
  <c r="CS1117" i="2" s="1"/>
  <c r="CR1154" i="2"/>
  <c r="CS1154" i="2" s="1"/>
  <c r="CR11" i="2"/>
  <c r="CS11" i="2" s="1"/>
  <c r="CR250" i="2"/>
  <c r="CS250" i="2" s="1"/>
  <c r="CR409" i="2"/>
  <c r="CS409" i="2" s="1"/>
  <c r="CR562" i="2"/>
  <c r="CS562" i="2" s="1"/>
  <c r="CR676" i="2"/>
  <c r="CS676" i="2" s="1"/>
  <c r="CR789" i="2"/>
  <c r="CS789" i="2" s="1"/>
  <c r="CR894" i="2"/>
  <c r="CS894" i="2" s="1"/>
  <c r="CR1022" i="2"/>
  <c r="CS1022" i="2" s="1"/>
  <c r="CR1122" i="2"/>
  <c r="CS1122" i="2" s="1"/>
  <c r="CR12" i="2"/>
  <c r="CS12" i="2" s="1"/>
  <c r="CR253" i="2"/>
  <c r="CS253" i="2" s="1"/>
  <c r="CR410" i="2"/>
  <c r="CS410" i="2" s="1"/>
  <c r="CR564" i="2"/>
  <c r="CS564" i="2" s="1"/>
  <c r="CR685" i="2"/>
  <c r="CS685" i="2" s="1"/>
  <c r="CR792" i="2"/>
  <c r="CS792" i="2" s="1"/>
  <c r="CR1023" i="2"/>
  <c r="CS1023" i="2" s="1"/>
  <c r="CR1124" i="2"/>
  <c r="CS1124" i="2" s="1"/>
  <c r="CR31" i="2"/>
  <c r="CS31" i="2" s="1"/>
  <c r="CR266" i="2"/>
  <c r="CS266" i="2" s="1"/>
  <c r="CR566" i="2"/>
  <c r="CS566" i="2" s="1"/>
  <c r="CR686" i="2"/>
  <c r="CS686" i="2" s="1"/>
  <c r="CR814" i="2"/>
  <c r="CS814" i="2" s="1"/>
  <c r="CR926" i="2"/>
  <c r="CS926" i="2" s="1"/>
  <c r="CR1026" i="2"/>
  <c r="CS1026" i="2" s="1"/>
  <c r="CR1131" i="2"/>
  <c r="CS1131" i="2" s="1"/>
  <c r="CR569" i="2"/>
  <c r="CS569" i="2" s="1"/>
  <c r="CR1132" i="2"/>
  <c r="CS1132" i="2" s="1"/>
  <c r="CR125" i="2"/>
  <c r="CS125" i="2" s="1"/>
  <c r="CR718" i="2"/>
  <c r="CS718" i="2" s="1"/>
  <c r="CR1160" i="2"/>
  <c r="CS1160" i="2" s="1"/>
  <c r="CR126" i="2"/>
  <c r="CS126" i="2" s="1"/>
  <c r="CR719" i="2"/>
  <c r="CS719" i="2" s="1"/>
  <c r="CR1162" i="2"/>
  <c r="CS1162" i="2" s="1"/>
  <c r="CR137" i="2"/>
  <c r="CS137" i="2" s="1"/>
  <c r="CR961" i="2"/>
  <c r="CS961" i="2" s="1"/>
  <c r="CR328" i="2"/>
  <c r="CS328" i="2" s="1"/>
  <c r="CR856" i="2"/>
  <c r="CS856" i="2" s="1"/>
  <c r="CR343" i="2"/>
  <c r="CS343" i="2" s="1"/>
  <c r="CR858" i="2"/>
  <c r="CS858" i="2" s="1"/>
  <c r="CR373" i="2"/>
  <c r="CS373" i="2" s="1"/>
  <c r="CR758" i="2"/>
  <c r="CS758" i="2" s="1"/>
  <c r="CR374" i="2"/>
  <c r="CS374" i="2" s="1"/>
  <c r="CR647" i="2"/>
  <c r="CS647" i="2" s="1"/>
  <c r="CR993" i="2"/>
  <c r="CS993" i="2" s="1"/>
  <c r="CR216" i="2"/>
  <c r="CS216" i="2" s="1"/>
  <c r="CR648" i="2"/>
  <c r="CS648" i="2" s="1"/>
  <c r="CR1095" i="2"/>
  <c r="CS1095" i="2" s="1"/>
  <c r="CR537" i="2"/>
  <c r="CS537" i="2" s="1"/>
  <c r="CR1000" i="2"/>
  <c r="CS1000" i="2" s="1"/>
  <c r="CR561" i="2"/>
  <c r="CS561" i="2" s="1"/>
  <c r="CR1001" i="2"/>
  <c r="CS1001" i="2" s="1"/>
  <c r="CR922" i="2"/>
  <c r="CS922" i="2" s="1"/>
  <c r="CR420" i="2"/>
  <c r="CS420" i="2" s="1"/>
  <c r="CR815" i="2"/>
  <c r="CS815" i="2" s="1"/>
  <c r="CR301" i="2"/>
  <c r="CS301" i="2" s="1"/>
  <c r="CR958" i="2"/>
  <c r="CS958" i="2" s="1"/>
  <c r="CR613" i="2"/>
  <c r="CS613" i="2" s="1"/>
  <c r="CR1058" i="2"/>
  <c r="CS1058" i="2" s="1"/>
  <c r="CR614" i="2"/>
  <c r="CS614" i="2" s="1"/>
  <c r="CR1163" i="2"/>
  <c r="CS1163" i="2" s="1"/>
  <c r="CR487" i="2"/>
  <c r="CS487" i="2" s="1"/>
  <c r="CR964" i="2"/>
  <c r="CS964" i="2" s="1"/>
  <c r="CR175" i="2"/>
  <c r="CS175" i="2" s="1"/>
  <c r="CR1090" i="2"/>
  <c r="CS1090" i="2" s="1"/>
  <c r="CR986" i="2"/>
  <c r="CS986" i="2" s="1"/>
  <c r="CR888" i="2"/>
  <c r="CS888" i="2" s="1"/>
  <c r="CR221" i="2"/>
  <c r="CS221" i="2" s="1"/>
  <c r="CR782" i="2"/>
  <c r="CS782" i="2" s="1"/>
  <c r="CR249" i="2"/>
  <c r="CS249" i="2" s="1"/>
  <c r="CR671" i="2"/>
  <c r="CS671" i="2" s="1"/>
  <c r="CR1121" i="2"/>
  <c r="CS1121" i="2" s="1"/>
  <c r="CR71" i="2"/>
  <c r="CS71" i="2" s="1"/>
  <c r="CR290" i="2"/>
  <c r="CS290" i="2" s="1"/>
  <c r="CR449" i="2"/>
  <c r="CS449" i="2" s="1"/>
  <c r="CR710" i="2"/>
  <c r="CS710" i="2" s="1"/>
  <c r="CR927" i="2"/>
  <c r="CS927" i="2" s="1"/>
  <c r="CR1031" i="2"/>
  <c r="CS1031" i="2" s="1"/>
  <c r="CR455" i="2"/>
  <c r="CS455" i="2" s="1"/>
  <c r="CR1054" i="2"/>
  <c r="CS1054" i="2" s="1"/>
  <c r="CR326" i="2"/>
  <c r="CS326" i="2" s="1"/>
  <c r="CR959" i="2"/>
  <c r="CS959" i="2" s="1"/>
  <c r="CR327" i="2"/>
  <c r="CS327" i="2" s="1"/>
  <c r="CR855" i="2"/>
  <c r="CS855" i="2" s="1"/>
  <c r="CR637" i="2"/>
  <c r="CS637" i="2" s="1"/>
  <c r="CR1068" i="2"/>
  <c r="CS1068" i="2" s="1"/>
  <c r="CR492" i="2"/>
  <c r="CS492" i="2" s="1"/>
  <c r="CR745" i="2"/>
  <c r="CS745" i="2" s="1"/>
  <c r="CR189" i="2"/>
  <c r="CS189" i="2" s="1"/>
  <c r="CR642" i="2"/>
  <c r="CS642" i="2" s="1"/>
  <c r="CR1092" i="2"/>
  <c r="CS1092" i="2" s="1"/>
  <c r="CR526" i="2"/>
  <c r="CS526" i="2" s="1"/>
  <c r="CR887" i="2"/>
  <c r="CS887" i="2" s="1"/>
  <c r="CR1093" i="2"/>
  <c r="CS1093" i="2" s="1"/>
  <c r="CR375" i="2"/>
  <c r="CS375" i="2" s="1"/>
  <c r="CR781" i="2"/>
  <c r="CS781" i="2" s="1"/>
  <c r="CR889" i="2"/>
  <c r="CS889" i="2" s="1"/>
  <c r="CR783" i="2"/>
  <c r="CS783" i="2" s="1"/>
  <c r="CR72" i="2"/>
  <c r="CS72" i="2" s="1"/>
  <c r="CR292" i="2"/>
  <c r="CS292" i="2" s="1"/>
  <c r="CR450" i="2"/>
  <c r="CS450" i="2" s="1"/>
  <c r="CR597" i="2"/>
  <c r="CS597" i="2" s="1"/>
  <c r="CR711" i="2"/>
  <c r="CS711" i="2" s="1"/>
  <c r="CR817" i="2"/>
  <c r="CS817" i="2" s="1"/>
  <c r="CR930" i="2"/>
  <c r="CS930" i="2" s="1"/>
  <c r="CR1032" i="2"/>
  <c r="CS1032" i="2" s="1"/>
  <c r="CR1158" i="2"/>
  <c r="CS1158" i="2" s="1"/>
  <c r="CR82" i="2"/>
  <c r="CS82" i="2" s="1"/>
  <c r="CR295" i="2"/>
  <c r="CS295" i="2" s="1"/>
  <c r="CR452" i="2"/>
  <c r="CS452" i="2" s="1"/>
  <c r="CR600" i="2"/>
  <c r="CS600" i="2" s="1"/>
  <c r="CR712" i="2"/>
  <c r="CS712" i="2" s="1"/>
  <c r="CR822" i="2"/>
  <c r="CS822" i="2" s="1"/>
  <c r="CR932" i="2"/>
  <c r="CS932" i="2" s="1"/>
  <c r="CR1053" i="2"/>
  <c r="CS1053" i="2" s="1"/>
  <c r="CR1159" i="2"/>
  <c r="CS1159" i="2" s="1"/>
  <c r="CR610" i="2"/>
  <c r="CS610" i="2" s="1"/>
  <c r="CR830" i="2"/>
  <c r="CS830" i="2" s="1"/>
  <c r="CR485" i="2"/>
  <c r="CS485" i="2" s="1"/>
  <c r="CR854" i="2"/>
  <c r="CS854" i="2" s="1"/>
  <c r="CR486" i="2"/>
  <c r="CS486" i="2" s="1"/>
  <c r="CR743" i="2"/>
  <c r="CS743" i="2" s="1"/>
  <c r="CR1067" i="2"/>
  <c r="CS1067" i="2" s="1"/>
  <c r="CR172" i="2"/>
  <c r="CS172" i="2" s="1"/>
  <c r="CR744" i="2"/>
  <c r="CS744" i="2" s="1"/>
  <c r="CR638" i="2"/>
  <c r="CS638" i="2" s="1"/>
  <c r="CR965" i="2"/>
  <c r="CS965" i="2" s="1"/>
  <c r="CR522" i="2"/>
  <c r="CS522" i="2" s="1"/>
  <c r="CR861" i="2"/>
  <c r="CS861" i="2" s="1"/>
  <c r="CR215" i="2"/>
  <c r="CS215" i="2" s="1"/>
  <c r="CR759" i="2"/>
  <c r="CS759" i="2" s="1"/>
  <c r="CR527" i="2"/>
  <c r="CS527" i="2" s="1"/>
  <c r="CR998" i="2"/>
  <c r="CS998" i="2" s="1"/>
  <c r="CR378" i="2"/>
  <c r="CS378" i="2" s="1"/>
  <c r="CR670" i="2"/>
  <c r="CS670" i="2" s="1"/>
  <c r="CR1096" i="2"/>
  <c r="CS1096" i="2" s="1"/>
  <c r="CR405" i="2"/>
  <c r="CS405" i="2" s="1"/>
  <c r="CR891" i="2"/>
  <c r="CS891" i="2" s="1"/>
  <c r="CE8" i="4"/>
  <c r="CE6" i="4"/>
  <c r="CE7" i="4"/>
  <c r="CN6" i="2"/>
  <c r="CU6" i="2" s="1" a="1"/>
  <c r="E5" i="3" l="1"/>
  <c r="G5" i="3"/>
  <c r="H5" i="3"/>
  <c r="F5" i="3"/>
  <c r="C11" i="3"/>
  <c r="CU6" i="2"/>
  <c r="CV10" i="2"/>
  <c r="CX10" i="2" s="1"/>
  <c r="CV11" i="2"/>
  <c r="CX11" i="2" s="1"/>
  <c r="CV12" i="2"/>
  <c r="CV7" i="2"/>
  <c r="CX7" i="2" s="1"/>
  <c r="CV8" i="2"/>
  <c r="CX8" i="2" s="1"/>
  <c r="CV9" i="2"/>
  <c r="CX9" i="2" s="1"/>
  <c r="F10" i="3" l="1"/>
  <c r="E10" i="3"/>
  <c r="D10" i="3"/>
  <c r="CV6" i="2"/>
  <c r="CV13" i="2" s="1"/>
  <c r="H10" i="3"/>
  <c r="G10" i="3"/>
  <c r="CX13" i="2"/>
  <c r="C10" i="3" l="1"/>
  <c r="CY7" i="2"/>
  <c r="D4" i="3" s="1"/>
  <c r="CY9" i="2"/>
  <c r="F4" i="3" s="1"/>
  <c r="CY10" i="2"/>
  <c r="G4" i="3" s="1"/>
  <c r="CY11" i="2"/>
  <c r="H4" i="3" s="1"/>
  <c r="CY8" i="2"/>
  <c r="E4" i="3" s="1"/>
  <c r="A498" i="2" l="1"/>
  <c r="BG4" i="1" l="1" a="1"/>
  <c r="BG4" i="1" s="1"/>
  <c r="F10" i="1" a="1"/>
  <c r="F10" i="1" s="1"/>
  <c r="F11" i="1" a="1"/>
  <c r="F11" i="1"/>
  <c r="F12" i="1" a="1"/>
  <c r="F12" i="1" s="1"/>
  <c r="F13" i="1" a="1"/>
  <c r="F13" i="1"/>
  <c r="F14" i="1" a="1"/>
  <c r="F14" i="1" s="1"/>
  <c r="F15" i="1" a="1"/>
  <c r="F15" i="1" s="1"/>
  <c r="F16" i="1" a="1"/>
  <c r="F16" i="1"/>
  <c r="F17" i="1" a="1"/>
  <c r="F17" i="1" s="1"/>
  <c r="F18" i="1" a="1"/>
  <c r="F18" i="1" s="1"/>
  <c r="F19" i="1" a="1"/>
  <c r="F19" i="1" s="1"/>
  <c r="F20" i="1" a="1"/>
  <c r="F20" i="1"/>
  <c r="F21" i="1" a="1"/>
  <c r="F21" i="1" s="1"/>
  <c r="F22" i="1" a="1"/>
  <c r="F22" i="1"/>
  <c r="F23" i="1" a="1"/>
  <c r="F23" i="1" s="1"/>
  <c r="F24" i="1" a="1"/>
  <c r="F24" i="1" s="1"/>
  <c r="F25" i="1" a="1"/>
  <c r="F25" i="1" s="1"/>
  <c r="F26" i="1" a="1"/>
  <c r="F26" i="1" s="1"/>
  <c r="F27" i="1" a="1"/>
  <c r="F27" i="1" s="1"/>
  <c r="F28" i="1" a="1"/>
  <c r="F28" i="1" s="1"/>
  <c r="F29" i="1" a="1"/>
  <c r="F29" i="1"/>
  <c r="F30" i="1" a="1"/>
  <c r="F30" i="1" s="1"/>
  <c r="F31" i="1" a="1"/>
  <c r="F31" i="1" s="1"/>
  <c r="F32" i="1" a="1"/>
  <c r="F32" i="1" s="1"/>
  <c r="F33" i="1" a="1"/>
  <c r="F33" i="1" s="1"/>
  <c r="F34" i="1" a="1"/>
  <c r="F34" i="1" s="1"/>
  <c r="F35" i="1" a="1"/>
  <c r="F35" i="1" s="1"/>
  <c r="F36" i="1" a="1"/>
  <c r="F36" i="1" s="1"/>
  <c r="F37" i="1" a="1"/>
  <c r="F37" i="1" s="1"/>
  <c r="F38" i="1" a="1"/>
  <c r="F38" i="1" s="1"/>
  <c r="F39" i="1" a="1"/>
  <c r="F39" i="1" s="1"/>
  <c r="F40" i="1" a="1"/>
  <c r="F40" i="1" s="1"/>
  <c r="F41" i="1" a="1"/>
  <c r="F41" i="1" s="1"/>
  <c r="F42" i="1" a="1"/>
  <c r="F42" i="1" s="1"/>
  <c r="F43" i="1" a="1"/>
  <c r="F43" i="1" s="1"/>
  <c r="F44" i="1" a="1"/>
  <c r="F44" i="1" s="1"/>
  <c r="F45" i="1" a="1"/>
  <c r="F45" i="1"/>
  <c r="F46" i="1" a="1"/>
  <c r="F46" i="1" s="1"/>
  <c r="F47" i="1" a="1"/>
  <c r="F47" i="1" s="1"/>
  <c r="F48" i="1" a="1"/>
  <c r="F48" i="1" s="1"/>
  <c r="F49" i="1" a="1"/>
  <c r="F49" i="1" s="1"/>
  <c r="F50" i="1" a="1"/>
  <c r="F50" i="1" s="1"/>
  <c r="F51" i="1" a="1"/>
  <c r="F51" i="1"/>
  <c r="F52" i="1" a="1"/>
  <c r="F52" i="1" s="1"/>
  <c r="F53" i="1" a="1"/>
  <c r="F53" i="1" s="1"/>
  <c r="F54" i="1" a="1"/>
  <c r="F54" i="1" s="1"/>
  <c r="F55" i="1" a="1"/>
  <c r="F55" i="1" s="1"/>
  <c r="F56" i="1" a="1"/>
  <c r="F56" i="1" s="1"/>
  <c r="F57" i="1" a="1"/>
  <c r="F57" i="1" s="1"/>
  <c r="F58" i="1" a="1"/>
  <c r="F58" i="1" s="1"/>
  <c r="F59" i="1" a="1"/>
  <c r="F59" i="1" s="1"/>
  <c r="F60" i="1" a="1"/>
  <c r="F60" i="1"/>
  <c r="F61" i="1" a="1"/>
  <c r="F61" i="1" s="1"/>
  <c r="F62" i="1" a="1"/>
  <c r="F62" i="1" s="1"/>
  <c r="F63" i="1" a="1"/>
  <c r="F63" i="1" s="1"/>
  <c r="F64" i="1" a="1"/>
  <c r="F64" i="1"/>
  <c r="F65" i="1" a="1"/>
  <c r="F65" i="1" s="1"/>
  <c r="F66" i="1" a="1"/>
  <c r="F66" i="1" s="1"/>
  <c r="F67" i="1" a="1"/>
  <c r="F67" i="1"/>
  <c r="F68" i="1" a="1"/>
  <c r="F68" i="1" s="1"/>
  <c r="F69" i="1" a="1"/>
  <c r="F69" i="1" s="1"/>
  <c r="F70" i="1" a="1"/>
  <c r="F70" i="1" s="1"/>
  <c r="F71" i="1" a="1"/>
  <c r="F71" i="1" s="1"/>
  <c r="F72" i="1" a="1"/>
  <c r="F72" i="1" s="1"/>
  <c r="F73" i="1" a="1"/>
  <c r="F73" i="1" s="1"/>
  <c r="F74" i="1" a="1"/>
  <c r="F74" i="1" s="1"/>
  <c r="F75" i="1" a="1"/>
  <c r="F75" i="1"/>
  <c r="F76" i="1" a="1"/>
  <c r="F76" i="1" s="1"/>
  <c r="F77" i="1" a="1"/>
  <c r="F77" i="1"/>
  <c r="F78" i="1" a="1"/>
  <c r="F78" i="1" s="1"/>
  <c r="F79" i="1" a="1"/>
  <c r="F79" i="1" s="1"/>
  <c r="F80" i="1" a="1"/>
  <c r="F80" i="1"/>
  <c r="F81" i="1" a="1"/>
  <c r="F81" i="1" s="1"/>
  <c r="F82" i="1" a="1"/>
  <c r="F82" i="1" s="1"/>
  <c r="F83" i="1" a="1"/>
  <c r="F83" i="1"/>
  <c r="F84" i="1" a="1"/>
  <c r="F84" i="1"/>
  <c r="F85" i="1" a="1"/>
  <c r="F85" i="1" s="1"/>
  <c r="F86" i="1" a="1"/>
  <c r="F86" i="1" s="1"/>
  <c r="F87" i="1" a="1"/>
  <c r="F87" i="1" s="1"/>
  <c r="F88" i="1" a="1"/>
  <c r="F88" i="1" s="1"/>
  <c r="F89" i="1" a="1"/>
  <c r="F89" i="1" s="1"/>
  <c r="F90" i="1" a="1"/>
  <c r="F90" i="1" s="1"/>
  <c r="F91" i="1" a="1"/>
  <c r="F91" i="1" s="1"/>
  <c r="F92" i="1" a="1"/>
  <c r="F92" i="1"/>
  <c r="F93" i="1" a="1"/>
  <c r="F93" i="1"/>
  <c r="F94" i="1" a="1"/>
  <c r="F94" i="1" s="1"/>
  <c r="F95" i="1" a="1"/>
  <c r="F95" i="1" s="1"/>
  <c r="F96" i="1" a="1"/>
  <c r="F96" i="1" s="1"/>
  <c r="F97" i="1" a="1"/>
  <c r="F97" i="1" s="1"/>
  <c r="F98" i="1" a="1"/>
  <c r="F98" i="1" s="1"/>
  <c r="F99" i="1" a="1"/>
  <c r="F99" i="1"/>
  <c r="F100" i="1" a="1"/>
  <c r="F100" i="1" s="1"/>
  <c r="F101" i="1" a="1"/>
  <c r="F101" i="1" s="1"/>
  <c r="F102" i="1" a="1"/>
  <c r="F102" i="1"/>
  <c r="F103" i="1" a="1"/>
  <c r="F103" i="1" s="1"/>
  <c r="F104" i="1" a="1"/>
  <c r="F104" i="1" s="1"/>
  <c r="F105" i="1" a="1"/>
  <c r="F105" i="1" s="1"/>
  <c r="F106" i="1" a="1"/>
  <c r="F106" i="1" s="1"/>
  <c r="F107" i="1" a="1"/>
  <c r="F107" i="1" s="1"/>
  <c r="F108" i="1" a="1"/>
  <c r="F108" i="1"/>
  <c r="F109" i="1" a="1"/>
  <c r="F109" i="1" s="1"/>
  <c r="F110" i="1" a="1"/>
  <c r="F110" i="1" s="1"/>
  <c r="F111" i="1" a="1"/>
  <c r="F111" i="1" s="1"/>
  <c r="F112" i="1" a="1"/>
  <c r="F112" i="1" s="1"/>
  <c r="F113" i="1" a="1"/>
  <c r="F113" i="1" s="1"/>
  <c r="F114" i="1" a="1"/>
  <c r="F114" i="1" s="1"/>
  <c r="F115" i="1" a="1"/>
  <c r="F115" i="1"/>
  <c r="F116" i="1" a="1"/>
  <c r="F116" i="1" s="1"/>
  <c r="F117" i="1" a="1"/>
  <c r="F117" i="1"/>
  <c r="F118" i="1" a="1"/>
  <c r="F118" i="1" s="1"/>
  <c r="F119" i="1" a="1"/>
  <c r="F119" i="1" s="1"/>
  <c r="F120" i="1" a="1"/>
  <c r="F120" i="1"/>
  <c r="F121" i="1" a="1"/>
  <c r="F121" i="1" s="1"/>
  <c r="F122" i="1" a="1"/>
  <c r="F122" i="1" s="1"/>
  <c r="F123" i="1" a="1"/>
  <c r="F123" i="1"/>
  <c r="F124" i="1" a="1"/>
  <c r="F124" i="1" s="1"/>
  <c r="F125" i="1" a="1"/>
  <c r="F125" i="1" s="1"/>
  <c r="F126" i="1" a="1"/>
  <c r="F126" i="1"/>
  <c r="F127" i="1" a="1"/>
  <c r="F127" i="1" s="1"/>
  <c r="F128" i="1" a="1"/>
  <c r="F128" i="1" s="1"/>
  <c r="F129" i="1" a="1"/>
  <c r="F129" i="1" s="1"/>
  <c r="F130" i="1" a="1"/>
  <c r="F130" i="1" s="1"/>
  <c r="F131" i="1" a="1"/>
  <c r="F131" i="1" s="1"/>
  <c r="F132" i="1" a="1"/>
  <c r="F132" i="1" s="1"/>
  <c r="F133" i="1" a="1"/>
  <c r="F133" i="1" s="1"/>
  <c r="F134" i="1" a="1"/>
  <c r="F134" i="1" s="1"/>
  <c r="F135" i="1" a="1"/>
  <c r="F135" i="1" s="1"/>
  <c r="F136" i="1" a="1"/>
  <c r="F136" i="1"/>
  <c r="F137" i="1" a="1"/>
  <c r="F137" i="1" s="1"/>
  <c r="F138" i="1" a="1"/>
  <c r="F138" i="1" s="1"/>
  <c r="F139" i="1" a="1"/>
  <c r="F139" i="1" s="1"/>
  <c r="F140" i="1" a="1"/>
  <c r="F140" i="1" s="1"/>
  <c r="F141" i="1" a="1"/>
  <c r="F141" i="1"/>
  <c r="F142" i="1" a="1"/>
  <c r="F142" i="1" s="1"/>
  <c r="F143" i="1" a="1"/>
  <c r="F143" i="1" s="1"/>
  <c r="F144" i="1" a="1"/>
  <c r="F144" i="1"/>
  <c r="F145" i="1" a="1"/>
  <c r="F145" i="1" s="1"/>
  <c r="F146" i="1" a="1"/>
  <c r="F146" i="1" s="1"/>
  <c r="F147" i="1" a="1"/>
  <c r="F147" i="1" s="1"/>
  <c r="F148" i="1" a="1"/>
  <c r="F148" i="1" s="1"/>
  <c r="F149" i="1" a="1"/>
  <c r="F149" i="1" s="1"/>
  <c r="F150" i="1" a="1"/>
  <c r="F150" i="1"/>
  <c r="F151" i="1" a="1"/>
  <c r="F151" i="1" s="1"/>
  <c r="F152" i="1" a="1"/>
  <c r="F152" i="1" s="1"/>
  <c r="F153" i="1" a="1"/>
  <c r="F153" i="1" s="1"/>
  <c r="F154" i="1" a="1"/>
  <c r="F154" i="1" s="1"/>
  <c r="F155" i="1" a="1"/>
  <c r="F155" i="1" s="1"/>
  <c r="F156" i="1" a="1"/>
  <c r="F156" i="1" s="1"/>
  <c r="F157" i="1" a="1"/>
  <c r="F157" i="1" s="1"/>
  <c r="F158" i="1" a="1"/>
  <c r="F158" i="1"/>
  <c r="F159" i="1" a="1"/>
  <c r="F159" i="1" s="1"/>
  <c r="F160" i="1" a="1"/>
  <c r="F160" i="1"/>
  <c r="F161" i="1" a="1"/>
  <c r="F161" i="1" s="1"/>
  <c r="F162" i="1" a="1"/>
  <c r="F162" i="1" s="1"/>
  <c r="F163" i="1" a="1"/>
  <c r="F163" i="1" s="1"/>
  <c r="F164" i="1" a="1"/>
  <c r="F164" i="1" s="1"/>
  <c r="F165" i="1" a="1"/>
  <c r="F165" i="1" s="1"/>
  <c r="F166" i="1" a="1"/>
  <c r="F166" i="1" s="1"/>
  <c r="F167" i="1" a="1"/>
  <c r="F167" i="1" s="1"/>
  <c r="F168" i="1" a="1"/>
  <c r="F168" i="1" s="1"/>
  <c r="F169" i="1" a="1"/>
  <c r="F169" i="1" s="1"/>
  <c r="F170" i="1" a="1"/>
  <c r="F170" i="1" s="1"/>
  <c r="F171" i="1" a="1"/>
  <c r="F171" i="1"/>
  <c r="F172" i="1" a="1"/>
  <c r="F172" i="1" s="1"/>
  <c r="F173" i="1" a="1"/>
  <c r="F173" i="1" s="1"/>
  <c r="F174" i="1" a="1"/>
  <c r="F174" i="1"/>
  <c r="F175" i="1" a="1"/>
  <c r="F175" i="1" s="1"/>
  <c r="F176" i="1" a="1"/>
  <c r="F176" i="1" s="1"/>
  <c r="F177" i="1" a="1"/>
  <c r="F177" i="1" s="1"/>
  <c r="F178" i="1" a="1"/>
  <c r="F178" i="1" s="1"/>
  <c r="F179" i="1" a="1"/>
  <c r="F179" i="1" s="1"/>
  <c r="F180" i="1" a="1"/>
  <c r="F180" i="1"/>
  <c r="F181" i="1" a="1"/>
  <c r="F181" i="1" s="1"/>
  <c r="F182" i="1" a="1"/>
  <c r="F182" i="1" s="1"/>
  <c r="F183" i="1" a="1"/>
  <c r="F183" i="1" s="1"/>
  <c r="F184" i="1" a="1"/>
  <c r="F184" i="1"/>
  <c r="F185" i="1" a="1"/>
  <c r="F185" i="1" s="1"/>
  <c r="F186" i="1" a="1"/>
  <c r="F186" i="1" s="1"/>
  <c r="F187" i="1" a="1"/>
  <c r="F187" i="1"/>
  <c r="F188" i="1" a="1"/>
  <c r="F188" i="1" s="1"/>
  <c r="F189" i="1" a="1"/>
  <c r="F189" i="1" s="1"/>
  <c r="F190" i="1" a="1"/>
  <c r="F190" i="1" s="1"/>
  <c r="F191" i="1" a="1"/>
  <c r="F191" i="1" s="1"/>
  <c r="F192" i="1" a="1"/>
  <c r="F192" i="1" s="1"/>
  <c r="F193" i="1" a="1"/>
  <c r="F193" i="1" s="1"/>
  <c r="F194" i="1" a="1"/>
  <c r="F194" i="1" s="1"/>
  <c r="F195" i="1" a="1"/>
  <c r="F195" i="1"/>
  <c r="F196" i="1" a="1"/>
  <c r="F196" i="1" s="1"/>
  <c r="F197" i="1" a="1"/>
  <c r="F197" i="1" s="1"/>
  <c r="F198" i="1" a="1"/>
  <c r="F198" i="1" s="1"/>
  <c r="F199" i="1" a="1"/>
  <c r="F199" i="1" s="1"/>
  <c r="F200" i="1" a="1"/>
  <c r="F200" i="1" s="1"/>
  <c r="F201" i="1" a="1"/>
  <c r="F201" i="1" s="1"/>
  <c r="F202" i="1" a="1"/>
  <c r="F202" i="1" s="1"/>
  <c r="F203" i="1" a="1"/>
  <c r="F203" i="1" s="1"/>
  <c r="F204" i="1" a="1"/>
  <c r="F204" i="1" s="1"/>
  <c r="F205" i="1" a="1"/>
  <c r="F205" i="1"/>
  <c r="F206" i="1" a="1"/>
  <c r="F206" i="1" s="1"/>
  <c r="F207" i="1" a="1"/>
  <c r="F207" i="1" s="1"/>
  <c r="F208" i="1" a="1"/>
  <c r="F208" i="1" s="1"/>
  <c r="F209" i="1" a="1"/>
  <c r="F209" i="1" s="1"/>
  <c r="F210" i="1" a="1"/>
  <c r="F210" i="1" s="1"/>
  <c r="F211" i="1" a="1"/>
  <c r="F211" i="1" s="1"/>
  <c r="F212" i="1" a="1"/>
  <c r="F212" i="1"/>
  <c r="F213" i="1" a="1"/>
  <c r="F213" i="1" s="1"/>
  <c r="F214" i="1" a="1"/>
  <c r="F214" i="1"/>
  <c r="F215" i="1" a="1"/>
  <c r="F215" i="1" s="1"/>
  <c r="F216" i="1" a="1"/>
  <c r="F216" i="1" s="1"/>
  <c r="F217" i="1" a="1"/>
  <c r="F217" i="1" s="1"/>
  <c r="F218" i="1" a="1"/>
  <c r="F218" i="1" s="1"/>
  <c r="F219" i="1" a="1"/>
  <c r="F219" i="1" s="1"/>
  <c r="F220" i="1" a="1"/>
  <c r="F220" i="1" s="1"/>
  <c r="F221" i="1" a="1"/>
  <c r="F221" i="1"/>
  <c r="F222" i="1" a="1"/>
  <c r="F222" i="1"/>
  <c r="F223" i="1" a="1"/>
  <c r="F223" i="1" s="1"/>
  <c r="F224" i="1" a="1"/>
  <c r="F224" i="1" s="1"/>
  <c r="F225" i="1" a="1"/>
  <c r="F225" i="1" s="1"/>
  <c r="F226" i="1" a="1"/>
  <c r="F226" i="1" s="1"/>
  <c r="F227" i="1" a="1"/>
  <c r="F227" i="1" s="1"/>
  <c r="F228" i="1" a="1"/>
  <c r="F228" i="1"/>
  <c r="F229" i="1" a="1"/>
  <c r="F229" i="1" s="1"/>
  <c r="F230" i="1" a="1"/>
  <c r="F230" i="1" s="1"/>
  <c r="F231" i="1" a="1"/>
  <c r="F231" i="1" s="1"/>
  <c r="F232" i="1" a="1"/>
  <c r="F232" i="1"/>
  <c r="F233" i="1" a="1"/>
  <c r="F233" i="1" s="1"/>
  <c r="F234" i="1" a="1"/>
  <c r="F234" i="1" s="1"/>
  <c r="F235" i="1" a="1"/>
  <c r="F235" i="1" s="1"/>
  <c r="F236" i="1" a="1"/>
  <c r="F236" i="1" s="1"/>
  <c r="F237" i="1" a="1"/>
  <c r="F237" i="1" s="1"/>
  <c r="F238" i="1" a="1"/>
  <c r="F238" i="1" s="1"/>
  <c r="F239" i="1" a="1"/>
  <c r="F239" i="1" s="1"/>
  <c r="F240" i="1" a="1"/>
  <c r="F240" i="1" s="1"/>
  <c r="F241" i="1" a="1"/>
  <c r="F241" i="1"/>
  <c r="F242" i="1" a="1"/>
  <c r="F242" i="1" s="1"/>
  <c r="F243" i="1" a="1"/>
  <c r="F243" i="1" s="1"/>
  <c r="F244" i="1" a="1"/>
  <c r="F244" i="1" s="1"/>
  <c r="F245" i="1" a="1"/>
  <c r="F245" i="1"/>
  <c r="F246" i="1" a="1"/>
  <c r="F246" i="1" s="1"/>
  <c r="F247" i="1" a="1"/>
  <c r="F247" i="1" s="1"/>
  <c r="F248" i="1" a="1"/>
  <c r="F248" i="1" s="1"/>
  <c r="F249" i="1" a="1"/>
  <c r="F249" i="1" s="1"/>
  <c r="F250" i="1" a="1"/>
  <c r="F250" i="1" s="1"/>
  <c r="F251" i="1" a="1"/>
  <c r="F251" i="1" s="1"/>
  <c r="F252" i="1" a="1"/>
  <c r="F252" i="1" s="1"/>
  <c r="F253" i="1" a="1"/>
  <c r="F253" i="1" s="1"/>
  <c r="F254" i="1" a="1"/>
  <c r="F254" i="1"/>
  <c r="F255" i="1" a="1"/>
  <c r="F255" i="1" s="1"/>
  <c r="F256" i="1" a="1"/>
  <c r="F256" i="1" s="1"/>
  <c r="F257" i="1" a="1"/>
  <c r="F257" i="1"/>
  <c r="F258" i="1" a="1"/>
  <c r="F258" i="1" s="1"/>
  <c r="F259" i="1" a="1"/>
  <c r="F259" i="1" s="1"/>
  <c r="F260" i="1" a="1"/>
  <c r="F260" i="1" s="1"/>
  <c r="F261" i="1" a="1"/>
  <c r="F261" i="1" s="1"/>
  <c r="F262" i="1" a="1"/>
  <c r="F262" i="1" s="1"/>
  <c r="F263" i="1" a="1"/>
  <c r="F263" i="1" s="1"/>
  <c r="F9" i="1" a="1"/>
  <c r="F9" i="1"/>
  <c r="B3" i="1" l="1" a="1"/>
  <c r="D10" i="1" a="1"/>
  <c r="D10" i="1" s="1"/>
  <c r="D11" i="1" a="1"/>
  <c r="D11" i="1" s="1"/>
  <c r="D12" i="1" a="1"/>
  <c r="D12" i="1" s="1"/>
  <c r="D13" i="1" a="1"/>
  <c r="D13" i="1" s="1"/>
  <c r="D14" i="1" a="1"/>
  <c r="D14" i="1" s="1"/>
  <c r="D15" i="1" a="1"/>
  <c r="D15" i="1" s="1"/>
  <c r="D16" i="1" a="1"/>
  <c r="D16" i="1" s="1"/>
  <c r="D17" i="1" a="1"/>
  <c r="D17" i="1" s="1"/>
  <c r="D18" i="1" a="1"/>
  <c r="D18" i="1" s="1"/>
  <c r="D19" i="1" a="1"/>
  <c r="D19" i="1" s="1"/>
  <c r="D20" i="1" a="1"/>
  <c r="D20" i="1" s="1"/>
  <c r="D21" i="1" a="1"/>
  <c r="D21" i="1" s="1"/>
  <c r="D22" i="1" a="1"/>
  <c r="D22" i="1" s="1"/>
  <c r="D23" i="1" a="1"/>
  <c r="D23" i="1" s="1"/>
  <c r="D24" i="1" a="1"/>
  <c r="D24" i="1" s="1"/>
  <c r="D25" i="1" a="1"/>
  <c r="D25" i="1" s="1"/>
  <c r="D26" i="1" a="1"/>
  <c r="D26" i="1" s="1"/>
  <c r="D27" i="1" a="1"/>
  <c r="D27" i="1" s="1"/>
  <c r="D28" i="1" a="1"/>
  <c r="D28" i="1" s="1"/>
  <c r="D29" i="1" a="1"/>
  <c r="D29" i="1" s="1"/>
  <c r="D30" i="1" a="1"/>
  <c r="D30" i="1" s="1"/>
  <c r="D31" i="1" a="1"/>
  <c r="D31" i="1" s="1"/>
  <c r="D32" i="1" a="1"/>
  <c r="D32" i="1" s="1"/>
  <c r="D33" i="1" a="1"/>
  <c r="D33" i="1" s="1"/>
  <c r="D34" i="1" a="1"/>
  <c r="D34" i="1" s="1"/>
  <c r="D35" i="1" a="1"/>
  <c r="D35" i="1" s="1"/>
  <c r="D36" i="1" a="1"/>
  <c r="D36" i="1" s="1"/>
  <c r="D37" i="1" a="1"/>
  <c r="D37" i="1" s="1"/>
  <c r="D38" i="1" a="1"/>
  <c r="D38" i="1" s="1"/>
  <c r="D39" i="1" a="1"/>
  <c r="D39" i="1" s="1"/>
  <c r="D40" i="1" a="1"/>
  <c r="D40" i="1" s="1"/>
  <c r="D41" i="1" a="1"/>
  <c r="D41" i="1" s="1"/>
  <c r="D42" i="1" a="1"/>
  <c r="D42" i="1" s="1"/>
  <c r="D43" i="1" a="1"/>
  <c r="D43" i="1" s="1"/>
  <c r="D44" i="1" a="1"/>
  <c r="D44" i="1" s="1"/>
  <c r="D45" i="1" a="1"/>
  <c r="D45" i="1" s="1"/>
  <c r="D46" i="1" a="1"/>
  <c r="D46" i="1" s="1"/>
  <c r="D47" i="1" a="1"/>
  <c r="D47" i="1" s="1"/>
  <c r="D48" i="1" a="1"/>
  <c r="D48" i="1" s="1"/>
  <c r="D49" i="1" a="1"/>
  <c r="D49" i="1" s="1"/>
  <c r="D50" i="1" a="1"/>
  <c r="D50" i="1" s="1"/>
  <c r="D51" i="1" a="1"/>
  <c r="D51" i="1" s="1"/>
  <c r="D52" i="1" a="1"/>
  <c r="D52" i="1" s="1"/>
  <c r="D53" i="1" a="1"/>
  <c r="D53" i="1" s="1"/>
  <c r="D54" i="1" a="1"/>
  <c r="D54" i="1" s="1"/>
  <c r="D55" i="1" a="1"/>
  <c r="D55" i="1" s="1"/>
  <c r="D56" i="1" a="1"/>
  <c r="D56" i="1" s="1"/>
  <c r="D57" i="1" a="1"/>
  <c r="D57" i="1" s="1"/>
  <c r="D58" i="1" a="1"/>
  <c r="D58" i="1" s="1"/>
  <c r="D59" i="1" a="1"/>
  <c r="D59" i="1" s="1"/>
  <c r="D60" i="1" a="1"/>
  <c r="D60" i="1" s="1"/>
  <c r="D61" i="1" a="1"/>
  <c r="D61" i="1" s="1"/>
  <c r="D62" i="1" a="1"/>
  <c r="D62" i="1" s="1"/>
  <c r="D63" i="1" a="1"/>
  <c r="D63" i="1" s="1"/>
  <c r="D64" i="1" a="1"/>
  <c r="D64" i="1" s="1"/>
  <c r="D65" i="1" a="1"/>
  <c r="D65" i="1" s="1"/>
  <c r="D66" i="1" a="1"/>
  <c r="D66" i="1" s="1"/>
  <c r="D67" i="1" a="1"/>
  <c r="D67" i="1" s="1"/>
  <c r="D68" i="1" a="1"/>
  <c r="D68" i="1" s="1"/>
  <c r="D69" i="1" a="1"/>
  <c r="D69" i="1" s="1"/>
  <c r="D70" i="1" a="1"/>
  <c r="D70" i="1" s="1"/>
  <c r="D71" i="1" a="1"/>
  <c r="D71" i="1" s="1"/>
  <c r="D72" i="1" a="1"/>
  <c r="D72" i="1" s="1"/>
  <c r="D73" i="1" a="1"/>
  <c r="D73" i="1" s="1"/>
  <c r="D74" i="1" a="1"/>
  <c r="D74" i="1" s="1"/>
  <c r="D75" i="1" a="1"/>
  <c r="D75" i="1" s="1"/>
  <c r="D76" i="1" a="1"/>
  <c r="D76" i="1" s="1"/>
  <c r="D77" i="1" a="1"/>
  <c r="D77" i="1" s="1"/>
  <c r="D78" i="1" a="1"/>
  <c r="D78" i="1" s="1"/>
  <c r="D79" i="1" a="1"/>
  <c r="D79" i="1" s="1"/>
  <c r="D80" i="1" a="1"/>
  <c r="D80" i="1" s="1"/>
  <c r="D81" i="1" a="1"/>
  <c r="D81" i="1" s="1"/>
  <c r="D82" i="1" a="1"/>
  <c r="D82" i="1" s="1"/>
  <c r="D83" i="1" a="1"/>
  <c r="D83" i="1" s="1"/>
  <c r="D84" i="1" a="1"/>
  <c r="D84" i="1" s="1"/>
  <c r="D85" i="1" a="1"/>
  <c r="D85" i="1" s="1"/>
  <c r="D86" i="1" a="1"/>
  <c r="D86" i="1" s="1"/>
  <c r="D87" i="1" a="1"/>
  <c r="D87" i="1" s="1"/>
  <c r="D88" i="1" a="1"/>
  <c r="D88" i="1" s="1"/>
  <c r="D89" i="1" a="1"/>
  <c r="D89" i="1" s="1"/>
  <c r="D90" i="1" a="1"/>
  <c r="D90" i="1" s="1"/>
  <c r="D91" i="1" a="1"/>
  <c r="D91" i="1" s="1"/>
  <c r="D92" i="1" a="1"/>
  <c r="D92" i="1" s="1"/>
  <c r="D93" i="1" a="1"/>
  <c r="D93" i="1" s="1"/>
  <c r="D94" i="1" a="1"/>
  <c r="D94" i="1" s="1"/>
  <c r="D95" i="1" a="1"/>
  <c r="D95" i="1" s="1"/>
  <c r="D96" i="1" a="1"/>
  <c r="D96" i="1" s="1"/>
  <c r="D97" i="1" a="1"/>
  <c r="D97" i="1" s="1"/>
  <c r="D98" i="1" a="1"/>
  <c r="D98" i="1" s="1"/>
  <c r="D99" i="1" a="1"/>
  <c r="D99" i="1" s="1"/>
  <c r="D100" i="1" a="1"/>
  <c r="D100" i="1" s="1"/>
  <c r="D101" i="1" a="1"/>
  <c r="D101" i="1" s="1"/>
  <c r="D102" i="1" a="1"/>
  <c r="D102" i="1" s="1"/>
  <c r="D103" i="1" a="1"/>
  <c r="D103" i="1" s="1"/>
  <c r="D104" i="1" a="1"/>
  <c r="D104" i="1" s="1"/>
  <c r="D105" i="1" a="1"/>
  <c r="D105" i="1" s="1"/>
  <c r="D106" i="1" a="1"/>
  <c r="D106" i="1" s="1"/>
  <c r="D107" i="1" a="1"/>
  <c r="D107" i="1" s="1"/>
  <c r="D108" i="1" a="1"/>
  <c r="D108" i="1" s="1"/>
  <c r="D109" i="1" a="1"/>
  <c r="D109" i="1" s="1"/>
  <c r="D110" i="1" a="1"/>
  <c r="D110" i="1" s="1"/>
  <c r="D111" i="1" a="1"/>
  <c r="D111" i="1" s="1"/>
  <c r="D112" i="1" a="1"/>
  <c r="D112" i="1" s="1"/>
  <c r="D113" i="1" a="1"/>
  <c r="D113" i="1" s="1"/>
  <c r="D114" i="1" a="1"/>
  <c r="D114" i="1" s="1"/>
  <c r="D115" i="1" a="1"/>
  <c r="D115" i="1" s="1"/>
  <c r="D116" i="1" a="1"/>
  <c r="D116" i="1" s="1"/>
  <c r="D117" i="1" a="1"/>
  <c r="D117" i="1" s="1"/>
  <c r="D118" i="1" a="1"/>
  <c r="D118" i="1" s="1"/>
  <c r="D119" i="1" a="1"/>
  <c r="D119" i="1" s="1"/>
  <c r="D120" i="1" a="1"/>
  <c r="D120" i="1" s="1"/>
  <c r="D121" i="1" a="1"/>
  <c r="D121" i="1" s="1"/>
  <c r="D122" i="1" a="1"/>
  <c r="D122" i="1" s="1"/>
  <c r="D123" i="1" a="1"/>
  <c r="D123" i="1" s="1"/>
  <c r="D124" i="1" a="1"/>
  <c r="D124" i="1" s="1"/>
  <c r="D125" i="1" a="1"/>
  <c r="D125" i="1" s="1"/>
  <c r="D126" i="1" a="1"/>
  <c r="D126" i="1" s="1"/>
  <c r="D127" i="1" a="1"/>
  <c r="D127" i="1" s="1"/>
  <c r="D128" i="1" a="1"/>
  <c r="D128" i="1" s="1"/>
  <c r="D129" i="1" a="1"/>
  <c r="D129" i="1" s="1"/>
  <c r="D130" i="1" a="1"/>
  <c r="D130" i="1" s="1"/>
  <c r="D131" i="1" a="1"/>
  <c r="D131" i="1" s="1"/>
  <c r="D132" i="1" a="1"/>
  <c r="D132" i="1" s="1"/>
  <c r="D133" i="1" a="1"/>
  <c r="D133" i="1" s="1"/>
  <c r="D134" i="1" a="1"/>
  <c r="D134" i="1" s="1"/>
  <c r="D135" i="1" a="1"/>
  <c r="D135" i="1" s="1"/>
  <c r="D136" i="1" a="1"/>
  <c r="D136" i="1" s="1"/>
  <c r="D137" i="1" a="1"/>
  <c r="D137" i="1" s="1"/>
  <c r="D138" i="1" a="1"/>
  <c r="D138" i="1" s="1"/>
  <c r="D139" i="1" a="1"/>
  <c r="D139" i="1" s="1"/>
  <c r="D140" i="1" a="1"/>
  <c r="D140" i="1" s="1"/>
  <c r="D141" i="1" a="1"/>
  <c r="D141" i="1" s="1"/>
  <c r="D142" i="1" a="1"/>
  <c r="D142" i="1" s="1"/>
  <c r="D143" i="1" a="1"/>
  <c r="D143" i="1" s="1"/>
  <c r="D144" i="1" a="1"/>
  <c r="D144" i="1" s="1"/>
  <c r="D145" i="1" a="1"/>
  <c r="D145" i="1" s="1"/>
  <c r="D146" i="1" a="1"/>
  <c r="D146" i="1" s="1"/>
  <c r="D147" i="1" a="1"/>
  <c r="D147" i="1" s="1"/>
  <c r="D148" i="1" a="1"/>
  <c r="D148" i="1" s="1"/>
  <c r="D149" i="1" a="1"/>
  <c r="D149" i="1" s="1"/>
  <c r="D150" i="1" a="1"/>
  <c r="D150" i="1" s="1"/>
  <c r="D151" i="1" a="1"/>
  <c r="D151" i="1" s="1"/>
  <c r="D152" i="1" a="1"/>
  <c r="D152" i="1" s="1"/>
  <c r="D153" i="1" a="1"/>
  <c r="D153" i="1" s="1"/>
  <c r="D154" i="1" a="1"/>
  <c r="D154" i="1" s="1"/>
  <c r="D155" i="1" a="1"/>
  <c r="D155" i="1" s="1"/>
  <c r="D156" i="1" a="1"/>
  <c r="D156" i="1" s="1"/>
  <c r="D157" i="1" a="1"/>
  <c r="D157" i="1" s="1"/>
  <c r="D158" i="1" a="1"/>
  <c r="D158" i="1" s="1"/>
  <c r="D159" i="1" a="1"/>
  <c r="D159" i="1" s="1"/>
  <c r="D160" i="1" a="1"/>
  <c r="D160" i="1" s="1"/>
  <c r="D161" i="1" a="1"/>
  <c r="D161" i="1" s="1"/>
  <c r="D162" i="1" a="1"/>
  <c r="D162" i="1" s="1"/>
  <c r="D163" i="1" a="1"/>
  <c r="D163" i="1" s="1"/>
  <c r="D164" i="1" a="1"/>
  <c r="D164" i="1" s="1"/>
  <c r="D165" i="1" a="1"/>
  <c r="D165" i="1" s="1"/>
  <c r="D166" i="1" a="1"/>
  <c r="D166" i="1" s="1"/>
  <c r="D167" i="1" a="1"/>
  <c r="D167" i="1" s="1"/>
  <c r="D168" i="1" a="1"/>
  <c r="D168" i="1" s="1"/>
  <c r="D169" i="1" a="1"/>
  <c r="D169" i="1" s="1"/>
  <c r="D170" i="1" a="1"/>
  <c r="D170" i="1" s="1"/>
  <c r="D171" i="1" a="1"/>
  <c r="D171" i="1" s="1"/>
  <c r="D172" i="1" a="1"/>
  <c r="D172" i="1" s="1"/>
  <c r="D173" i="1" a="1"/>
  <c r="D173" i="1" s="1"/>
  <c r="D174" i="1" a="1"/>
  <c r="D174" i="1" s="1"/>
  <c r="D175" i="1" a="1"/>
  <c r="D175" i="1" s="1"/>
  <c r="D176" i="1" a="1"/>
  <c r="D176" i="1" s="1"/>
  <c r="D177" i="1" a="1"/>
  <c r="D177" i="1" s="1"/>
  <c r="D178" i="1" a="1"/>
  <c r="D178" i="1" s="1"/>
  <c r="D179" i="1" a="1"/>
  <c r="D179" i="1" s="1"/>
  <c r="D180" i="1" a="1"/>
  <c r="D180" i="1" s="1"/>
  <c r="D181" i="1" a="1"/>
  <c r="D181" i="1" s="1"/>
  <c r="D182" i="1" a="1"/>
  <c r="D182" i="1" s="1"/>
  <c r="D183" i="1" a="1"/>
  <c r="D183" i="1" s="1"/>
  <c r="D184" i="1" a="1"/>
  <c r="D184" i="1" s="1"/>
  <c r="D185" i="1" a="1"/>
  <c r="D185" i="1" s="1"/>
  <c r="D186" i="1" a="1"/>
  <c r="D186" i="1" s="1"/>
  <c r="D187" i="1" a="1"/>
  <c r="D187" i="1" s="1"/>
  <c r="D188" i="1" a="1"/>
  <c r="D188" i="1" s="1"/>
  <c r="D189" i="1" a="1"/>
  <c r="D189" i="1" s="1"/>
  <c r="D190" i="1" a="1"/>
  <c r="D190" i="1" s="1"/>
  <c r="D191" i="1" a="1"/>
  <c r="D191" i="1" s="1"/>
  <c r="D192" i="1" a="1"/>
  <c r="D192" i="1" s="1"/>
  <c r="D193" i="1" a="1"/>
  <c r="D193" i="1" s="1"/>
  <c r="D194" i="1" a="1"/>
  <c r="D194" i="1" s="1"/>
  <c r="D195" i="1" a="1"/>
  <c r="D195" i="1" s="1"/>
  <c r="D196" i="1" a="1"/>
  <c r="D196" i="1" s="1"/>
  <c r="D197" i="1" a="1"/>
  <c r="D197" i="1" s="1"/>
  <c r="D198" i="1" a="1"/>
  <c r="D198" i="1" s="1"/>
  <c r="D199" i="1" a="1"/>
  <c r="D199" i="1" s="1"/>
  <c r="D200" i="1" a="1"/>
  <c r="D200" i="1" s="1"/>
  <c r="D201" i="1" a="1"/>
  <c r="D201" i="1" s="1"/>
  <c r="D202" i="1" a="1"/>
  <c r="D202" i="1" s="1"/>
  <c r="D203" i="1" a="1"/>
  <c r="D203" i="1" s="1"/>
  <c r="D204" i="1" a="1"/>
  <c r="D204" i="1" s="1"/>
  <c r="D205" i="1" a="1"/>
  <c r="D205" i="1" s="1"/>
  <c r="D206" i="1" a="1"/>
  <c r="D206" i="1" s="1"/>
  <c r="D207" i="1" a="1"/>
  <c r="D207" i="1" s="1"/>
  <c r="D208" i="1" a="1"/>
  <c r="D208" i="1" s="1"/>
  <c r="D209" i="1" a="1"/>
  <c r="D209" i="1" s="1"/>
  <c r="D210" i="1" a="1"/>
  <c r="D210" i="1" s="1"/>
  <c r="D211" i="1" a="1"/>
  <c r="D211" i="1" s="1"/>
  <c r="D212" i="1" a="1"/>
  <c r="D212" i="1" s="1"/>
  <c r="D213" i="1" a="1"/>
  <c r="D213" i="1" s="1"/>
  <c r="D214" i="1" a="1"/>
  <c r="D214" i="1" s="1"/>
  <c r="D215" i="1" a="1"/>
  <c r="D215" i="1" s="1"/>
  <c r="D216" i="1" a="1"/>
  <c r="D216" i="1" s="1"/>
  <c r="D217" i="1" a="1"/>
  <c r="D217" i="1" s="1"/>
  <c r="D218" i="1" a="1"/>
  <c r="D218" i="1" s="1"/>
  <c r="D219" i="1" a="1"/>
  <c r="D219" i="1" s="1"/>
  <c r="D220" i="1" a="1"/>
  <c r="D220" i="1" s="1"/>
  <c r="D221" i="1" a="1"/>
  <c r="D221" i="1" s="1"/>
  <c r="D222" i="1" a="1"/>
  <c r="D222" i="1" s="1"/>
  <c r="D223" i="1" a="1"/>
  <c r="D223" i="1" s="1"/>
  <c r="D224" i="1" a="1"/>
  <c r="D224" i="1" s="1"/>
  <c r="D225" i="1" a="1"/>
  <c r="D225" i="1" s="1"/>
  <c r="D226" i="1" a="1"/>
  <c r="D226" i="1" s="1"/>
  <c r="D227" i="1" a="1"/>
  <c r="D227" i="1" s="1"/>
  <c r="D228" i="1" a="1"/>
  <c r="D228" i="1" s="1"/>
  <c r="D229" i="1" a="1"/>
  <c r="D229" i="1" s="1"/>
  <c r="D230" i="1" a="1"/>
  <c r="D230" i="1" s="1"/>
  <c r="D231" i="1" a="1"/>
  <c r="D231" i="1" s="1"/>
  <c r="D232" i="1" a="1"/>
  <c r="D232" i="1" s="1"/>
  <c r="D233" i="1" a="1"/>
  <c r="D233" i="1" s="1"/>
  <c r="D234" i="1" a="1"/>
  <c r="D234" i="1" s="1"/>
  <c r="D235" i="1" a="1"/>
  <c r="D235" i="1" s="1"/>
  <c r="D236" i="1" a="1"/>
  <c r="D236" i="1" s="1"/>
  <c r="D237" i="1" a="1"/>
  <c r="D237" i="1" s="1"/>
  <c r="D238" i="1" a="1"/>
  <c r="D238" i="1" s="1"/>
  <c r="D239" i="1" a="1"/>
  <c r="D239" i="1" s="1"/>
  <c r="D240" i="1" a="1"/>
  <c r="D240" i="1" s="1"/>
  <c r="D241" i="1" a="1"/>
  <c r="D241" i="1" s="1"/>
  <c r="D242" i="1" a="1"/>
  <c r="D242" i="1" s="1"/>
  <c r="D243" i="1" a="1"/>
  <c r="D243" i="1" s="1"/>
  <c r="D244" i="1" a="1"/>
  <c r="D244" i="1" s="1"/>
  <c r="D245" i="1" a="1"/>
  <c r="D245" i="1" s="1"/>
  <c r="D246" i="1" a="1"/>
  <c r="D246" i="1" s="1"/>
  <c r="D247" i="1" a="1"/>
  <c r="D247" i="1" s="1"/>
  <c r="D248" i="1" a="1"/>
  <c r="D248" i="1" s="1"/>
  <c r="D249" i="1" a="1"/>
  <c r="D249" i="1" s="1"/>
  <c r="D250" i="1" a="1"/>
  <c r="D250" i="1" s="1"/>
  <c r="D251" i="1" a="1"/>
  <c r="D251" i="1" s="1"/>
  <c r="D252" i="1" a="1"/>
  <c r="D252" i="1" s="1"/>
  <c r="D253" i="1" a="1"/>
  <c r="D253" i="1" s="1"/>
  <c r="D254" i="1" a="1"/>
  <c r="D254" i="1" s="1"/>
  <c r="D255" i="1" a="1"/>
  <c r="D255" i="1" s="1"/>
  <c r="D256" i="1" a="1"/>
  <c r="D256" i="1" s="1"/>
  <c r="D257" i="1" a="1"/>
  <c r="D257" i="1" s="1"/>
  <c r="D258" i="1" a="1"/>
  <c r="D258" i="1" s="1"/>
  <c r="D259" i="1" a="1"/>
  <c r="D259" i="1" s="1"/>
  <c r="D260" i="1" a="1"/>
  <c r="D260" i="1" s="1"/>
  <c r="D261" i="1" a="1"/>
  <c r="D261" i="1" s="1"/>
  <c r="D262" i="1" a="1"/>
  <c r="D262" i="1" s="1"/>
  <c r="D263" i="1" a="1"/>
  <c r="D263" i="1" s="1"/>
  <c r="D9" i="1" a="1"/>
  <c r="D9" i="1" s="1"/>
  <c r="BG9" i="1" l="1" a="1"/>
  <c r="B3" i="1"/>
  <c r="BG3" i="1" a="1"/>
  <c r="BG3" i="1" s="1"/>
  <c r="BG9" i="1" l="1"/>
  <c r="BP9" i="1"/>
  <c r="BQ9" i="1" s="1"/>
  <c r="BP10" i="1"/>
  <c r="BQ10" i="1" s="1"/>
  <c r="BP24" i="1"/>
  <c r="BQ24" i="1" s="1"/>
  <c r="BP38" i="1"/>
  <c r="BQ38" i="1" s="1"/>
  <c r="BP52" i="1"/>
  <c r="BQ52" i="1" s="1"/>
  <c r="BP66" i="1"/>
  <c r="BQ66" i="1" s="1"/>
  <c r="BP80" i="1"/>
  <c r="BQ80" i="1" s="1"/>
  <c r="BP94" i="1"/>
  <c r="BQ94" i="1" s="1"/>
  <c r="BP108" i="1"/>
  <c r="BQ108" i="1" s="1"/>
  <c r="BP122" i="1"/>
  <c r="BQ122" i="1" s="1"/>
  <c r="BP136" i="1"/>
  <c r="BQ136" i="1" s="1"/>
  <c r="BP150" i="1"/>
  <c r="BQ150" i="1" s="1"/>
  <c r="BP164" i="1"/>
  <c r="BQ164" i="1" s="1"/>
  <c r="BP178" i="1"/>
  <c r="BQ178" i="1" s="1"/>
  <c r="BP192" i="1"/>
  <c r="BQ192" i="1" s="1"/>
  <c r="BP206" i="1"/>
  <c r="BQ206" i="1" s="1"/>
  <c r="BP220" i="1"/>
  <c r="BQ220" i="1" s="1"/>
  <c r="BP234" i="1"/>
  <c r="BQ234" i="1" s="1"/>
  <c r="BP248" i="1"/>
  <c r="BQ248" i="1" s="1"/>
  <c r="BP262" i="1"/>
  <c r="BQ262" i="1" s="1"/>
  <c r="BP11" i="1"/>
  <c r="BQ11" i="1" s="1"/>
  <c r="BP25" i="1"/>
  <c r="BQ25" i="1" s="1"/>
  <c r="BP39" i="1"/>
  <c r="BQ39" i="1" s="1"/>
  <c r="BP53" i="1"/>
  <c r="BQ53" i="1" s="1"/>
  <c r="BP67" i="1"/>
  <c r="BQ67" i="1" s="1"/>
  <c r="BP81" i="1"/>
  <c r="BQ81" i="1" s="1"/>
  <c r="BP95" i="1"/>
  <c r="BQ95" i="1" s="1"/>
  <c r="BP109" i="1"/>
  <c r="BQ109" i="1" s="1"/>
  <c r="BP123" i="1"/>
  <c r="BQ123" i="1" s="1"/>
  <c r="BP137" i="1"/>
  <c r="BQ137" i="1" s="1"/>
  <c r="BP151" i="1"/>
  <c r="BQ151" i="1" s="1"/>
  <c r="BP165" i="1"/>
  <c r="BQ165" i="1" s="1"/>
  <c r="BP179" i="1"/>
  <c r="BQ179" i="1" s="1"/>
  <c r="BP193" i="1"/>
  <c r="BQ193" i="1" s="1"/>
  <c r="BP207" i="1"/>
  <c r="BQ207" i="1" s="1"/>
  <c r="BP221" i="1"/>
  <c r="BQ221" i="1" s="1"/>
  <c r="BP235" i="1"/>
  <c r="BQ235" i="1" s="1"/>
  <c r="BP249" i="1"/>
  <c r="BQ249" i="1" s="1"/>
  <c r="BP263" i="1"/>
  <c r="BQ263" i="1" s="1"/>
  <c r="BP12" i="1"/>
  <c r="BQ12" i="1" s="1"/>
  <c r="BP26" i="1"/>
  <c r="BQ26" i="1" s="1"/>
  <c r="BP40" i="1"/>
  <c r="BQ40" i="1" s="1"/>
  <c r="BP54" i="1"/>
  <c r="BQ54" i="1" s="1"/>
  <c r="BP68" i="1"/>
  <c r="BQ68" i="1" s="1"/>
  <c r="BP82" i="1"/>
  <c r="BQ82" i="1" s="1"/>
  <c r="BP96" i="1"/>
  <c r="BQ96" i="1" s="1"/>
  <c r="BP110" i="1"/>
  <c r="BQ110" i="1" s="1"/>
  <c r="BP124" i="1"/>
  <c r="BQ124" i="1" s="1"/>
  <c r="BP138" i="1"/>
  <c r="BQ138" i="1" s="1"/>
  <c r="BP152" i="1"/>
  <c r="BQ152" i="1" s="1"/>
  <c r="BP166" i="1"/>
  <c r="BQ166" i="1" s="1"/>
  <c r="BP180" i="1"/>
  <c r="BQ180" i="1" s="1"/>
  <c r="BP194" i="1"/>
  <c r="BQ194" i="1" s="1"/>
  <c r="BP208" i="1"/>
  <c r="BQ208" i="1" s="1"/>
  <c r="BP222" i="1"/>
  <c r="BQ222" i="1" s="1"/>
  <c r="BP236" i="1"/>
  <c r="BQ236" i="1" s="1"/>
  <c r="BP250" i="1"/>
  <c r="BQ250" i="1" s="1"/>
  <c r="BP27" i="1"/>
  <c r="BQ27" i="1" s="1"/>
  <c r="BP41" i="1"/>
  <c r="BQ41" i="1" s="1"/>
  <c r="BP55" i="1"/>
  <c r="BQ55" i="1" s="1"/>
  <c r="BP69" i="1"/>
  <c r="BQ69" i="1" s="1"/>
  <c r="BP83" i="1"/>
  <c r="BQ83" i="1" s="1"/>
  <c r="BP97" i="1"/>
  <c r="BQ97" i="1" s="1"/>
  <c r="BP111" i="1"/>
  <c r="BQ111" i="1" s="1"/>
  <c r="BP125" i="1"/>
  <c r="BQ125" i="1" s="1"/>
  <c r="BP139" i="1"/>
  <c r="BQ139" i="1" s="1"/>
  <c r="BP181" i="1"/>
  <c r="BQ181" i="1" s="1"/>
  <c r="BP209" i="1"/>
  <c r="BQ209" i="1" s="1"/>
  <c r="BP223" i="1"/>
  <c r="BQ223" i="1" s="1"/>
  <c r="BP237" i="1"/>
  <c r="BQ237" i="1" s="1"/>
  <c r="BP251" i="1"/>
  <c r="BQ251" i="1" s="1"/>
  <c r="BP13" i="1"/>
  <c r="BQ13" i="1" s="1"/>
  <c r="BP14" i="1"/>
  <c r="BQ14" i="1" s="1"/>
  <c r="BP28" i="1"/>
  <c r="BQ28" i="1" s="1"/>
  <c r="BP42" i="1"/>
  <c r="BQ42" i="1" s="1"/>
  <c r="BP56" i="1"/>
  <c r="BQ56" i="1" s="1"/>
  <c r="BP70" i="1"/>
  <c r="BQ70" i="1" s="1"/>
  <c r="BP84" i="1"/>
  <c r="BQ84" i="1" s="1"/>
  <c r="BP98" i="1"/>
  <c r="BQ98" i="1" s="1"/>
  <c r="BP112" i="1"/>
  <c r="BQ112" i="1" s="1"/>
  <c r="BP126" i="1"/>
  <c r="BQ126" i="1" s="1"/>
  <c r="BP140" i="1"/>
  <c r="BQ140" i="1" s="1"/>
  <c r="BP154" i="1"/>
  <c r="BQ154" i="1" s="1"/>
  <c r="BP168" i="1"/>
  <c r="BQ168" i="1" s="1"/>
  <c r="BP182" i="1"/>
  <c r="BQ182" i="1" s="1"/>
  <c r="BP196" i="1"/>
  <c r="BQ196" i="1" s="1"/>
  <c r="BP210" i="1"/>
  <c r="BQ210" i="1" s="1"/>
  <c r="BP224" i="1"/>
  <c r="BQ224" i="1" s="1"/>
  <c r="BP238" i="1"/>
  <c r="BQ238" i="1" s="1"/>
  <c r="BP252" i="1"/>
  <c r="BQ252" i="1" s="1"/>
  <c r="BP32" i="1"/>
  <c r="BQ32" i="1" s="1"/>
  <c r="BP60" i="1"/>
  <c r="BQ60" i="1" s="1"/>
  <c r="BP88" i="1"/>
  <c r="BQ88" i="1" s="1"/>
  <c r="BP116" i="1"/>
  <c r="BQ116" i="1" s="1"/>
  <c r="BP144" i="1"/>
  <c r="BQ144" i="1" s="1"/>
  <c r="BP172" i="1"/>
  <c r="BQ172" i="1" s="1"/>
  <c r="BP200" i="1"/>
  <c r="BQ200" i="1" s="1"/>
  <c r="BP228" i="1"/>
  <c r="BQ228" i="1" s="1"/>
  <c r="BP256" i="1"/>
  <c r="BQ256" i="1" s="1"/>
  <c r="BP47" i="1"/>
  <c r="BQ47" i="1" s="1"/>
  <c r="BP75" i="1"/>
  <c r="BQ75" i="1" s="1"/>
  <c r="BP117" i="1"/>
  <c r="BQ117" i="1" s="1"/>
  <c r="BP145" i="1"/>
  <c r="BQ145" i="1" s="1"/>
  <c r="BP201" i="1"/>
  <c r="BQ201" i="1" s="1"/>
  <c r="BP243" i="1"/>
  <c r="BQ243" i="1" s="1"/>
  <c r="BP48" i="1"/>
  <c r="BQ48" i="1" s="1"/>
  <c r="BP76" i="1"/>
  <c r="BQ76" i="1" s="1"/>
  <c r="BP132" i="1"/>
  <c r="BQ132" i="1" s="1"/>
  <c r="BP174" i="1"/>
  <c r="BQ174" i="1" s="1"/>
  <c r="BP216" i="1"/>
  <c r="BQ216" i="1" s="1"/>
  <c r="BP258" i="1"/>
  <c r="BQ258" i="1" s="1"/>
  <c r="BP21" i="1"/>
  <c r="BQ21" i="1" s="1"/>
  <c r="BP77" i="1"/>
  <c r="BQ77" i="1" s="1"/>
  <c r="BP119" i="1"/>
  <c r="BQ119" i="1" s="1"/>
  <c r="BP147" i="1"/>
  <c r="BQ147" i="1" s="1"/>
  <c r="BP189" i="1"/>
  <c r="BQ189" i="1" s="1"/>
  <c r="BP231" i="1"/>
  <c r="BQ231" i="1" s="1"/>
  <c r="BP50" i="1"/>
  <c r="BQ50" i="1" s="1"/>
  <c r="BP106" i="1"/>
  <c r="BQ106" i="1" s="1"/>
  <c r="BP162" i="1"/>
  <c r="BQ162" i="1" s="1"/>
  <c r="BP204" i="1"/>
  <c r="BQ204" i="1" s="1"/>
  <c r="BP260" i="1"/>
  <c r="BQ260" i="1" s="1"/>
  <c r="BP37" i="1"/>
  <c r="BQ37" i="1" s="1"/>
  <c r="BP65" i="1"/>
  <c r="BQ65" i="1" s="1"/>
  <c r="BP107" i="1"/>
  <c r="BQ107" i="1" s="1"/>
  <c r="BP149" i="1"/>
  <c r="BQ149" i="1" s="1"/>
  <c r="BP191" i="1"/>
  <c r="BQ191" i="1" s="1"/>
  <c r="BP219" i="1"/>
  <c r="BQ219" i="1" s="1"/>
  <c r="BP261" i="1"/>
  <c r="BQ261" i="1" s="1"/>
  <c r="BP167" i="1"/>
  <c r="BQ167" i="1" s="1"/>
  <c r="BP15" i="1"/>
  <c r="BQ15" i="1" s="1"/>
  <c r="BP29" i="1"/>
  <c r="BQ29" i="1" s="1"/>
  <c r="BP43" i="1"/>
  <c r="BQ43" i="1" s="1"/>
  <c r="BP57" i="1"/>
  <c r="BQ57" i="1" s="1"/>
  <c r="BP71" i="1"/>
  <c r="BQ71" i="1" s="1"/>
  <c r="BP85" i="1"/>
  <c r="BQ85" i="1" s="1"/>
  <c r="BP99" i="1"/>
  <c r="BQ99" i="1" s="1"/>
  <c r="BP113" i="1"/>
  <c r="BQ113" i="1" s="1"/>
  <c r="BP127" i="1"/>
  <c r="BQ127" i="1" s="1"/>
  <c r="BP141" i="1"/>
  <c r="BQ141" i="1" s="1"/>
  <c r="BP155" i="1"/>
  <c r="BQ155" i="1" s="1"/>
  <c r="BP169" i="1"/>
  <c r="BQ169" i="1" s="1"/>
  <c r="BP183" i="1"/>
  <c r="BQ183" i="1" s="1"/>
  <c r="BP197" i="1"/>
  <c r="BQ197" i="1" s="1"/>
  <c r="BP211" i="1"/>
  <c r="BQ211" i="1" s="1"/>
  <c r="BP225" i="1"/>
  <c r="BQ225" i="1" s="1"/>
  <c r="BP239" i="1"/>
  <c r="BQ239" i="1" s="1"/>
  <c r="BP253" i="1"/>
  <c r="BQ253" i="1" s="1"/>
  <c r="BP46" i="1"/>
  <c r="BQ46" i="1" s="1"/>
  <c r="BP19" i="1"/>
  <c r="BQ19" i="1" s="1"/>
  <c r="BP61" i="1"/>
  <c r="BQ61" i="1" s="1"/>
  <c r="BP103" i="1"/>
  <c r="BQ103" i="1" s="1"/>
  <c r="BP159" i="1"/>
  <c r="BQ159" i="1" s="1"/>
  <c r="BP215" i="1"/>
  <c r="BQ215" i="1" s="1"/>
  <c r="BP257" i="1"/>
  <c r="BQ257" i="1" s="1"/>
  <c r="BP34" i="1"/>
  <c r="BQ34" i="1" s="1"/>
  <c r="BP62" i="1"/>
  <c r="BQ62" i="1" s="1"/>
  <c r="BP104" i="1"/>
  <c r="BQ104" i="1" s="1"/>
  <c r="BP146" i="1"/>
  <c r="BQ146" i="1" s="1"/>
  <c r="BP188" i="1"/>
  <c r="BQ188" i="1" s="1"/>
  <c r="BP230" i="1"/>
  <c r="BQ230" i="1" s="1"/>
  <c r="BP49" i="1"/>
  <c r="BQ49" i="1" s="1"/>
  <c r="BP91" i="1"/>
  <c r="BQ91" i="1" s="1"/>
  <c r="BP161" i="1"/>
  <c r="BQ161" i="1" s="1"/>
  <c r="BP217" i="1"/>
  <c r="BQ217" i="1" s="1"/>
  <c r="BP259" i="1"/>
  <c r="BQ259" i="1" s="1"/>
  <c r="BP36" i="1"/>
  <c r="BQ36" i="1" s="1"/>
  <c r="BP64" i="1"/>
  <c r="BQ64" i="1" s="1"/>
  <c r="BP92" i="1"/>
  <c r="BQ92" i="1" s="1"/>
  <c r="BP134" i="1"/>
  <c r="BQ134" i="1" s="1"/>
  <c r="BP176" i="1"/>
  <c r="BQ176" i="1" s="1"/>
  <c r="BP232" i="1"/>
  <c r="BQ232" i="1" s="1"/>
  <c r="BP51" i="1"/>
  <c r="BQ51" i="1" s="1"/>
  <c r="BP79" i="1"/>
  <c r="BQ79" i="1" s="1"/>
  <c r="BP121" i="1"/>
  <c r="BQ121" i="1" s="1"/>
  <c r="BP163" i="1"/>
  <c r="BQ163" i="1" s="1"/>
  <c r="BP205" i="1"/>
  <c r="BQ205" i="1" s="1"/>
  <c r="BP247" i="1"/>
  <c r="BQ247" i="1" s="1"/>
  <c r="BP195" i="1"/>
  <c r="BQ195" i="1" s="1"/>
  <c r="BP16" i="1"/>
  <c r="BQ16" i="1" s="1"/>
  <c r="BP30" i="1"/>
  <c r="BQ30" i="1" s="1"/>
  <c r="BP44" i="1"/>
  <c r="BQ44" i="1" s="1"/>
  <c r="BP58" i="1"/>
  <c r="BQ58" i="1" s="1"/>
  <c r="BP72" i="1"/>
  <c r="BQ72" i="1" s="1"/>
  <c r="BP86" i="1"/>
  <c r="BQ86" i="1" s="1"/>
  <c r="BP100" i="1"/>
  <c r="BQ100" i="1" s="1"/>
  <c r="BP114" i="1"/>
  <c r="BQ114" i="1" s="1"/>
  <c r="BP128" i="1"/>
  <c r="BQ128" i="1" s="1"/>
  <c r="BP142" i="1"/>
  <c r="BQ142" i="1" s="1"/>
  <c r="BP156" i="1"/>
  <c r="BQ156" i="1" s="1"/>
  <c r="BP170" i="1"/>
  <c r="BQ170" i="1" s="1"/>
  <c r="BP184" i="1"/>
  <c r="BQ184" i="1" s="1"/>
  <c r="BP198" i="1"/>
  <c r="BQ198" i="1" s="1"/>
  <c r="BP212" i="1"/>
  <c r="BQ212" i="1" s="1"/>
  <c r="BP226" i="1"/>
  <c r="BQ226" i="1" s="1"/>
  <c r="BP240" i="1"/>
  <c r="BQ240" i="1" s="1"/>
  <c r="BP254" i="1"/>
  <c r="BQ254" i="1" s="1"/>
  <c r="BP17" i="1"/>
  <c r="BQ17" i="1" s="1"/>
  <c r="BP31" i="1"/>
  <c r="BQ31" i="1" s="1"/>
  <c r="BP45" i="1"/>
  <c r="BQ45" i="1" s="1"/>
  <c r="BP59" i="1"/>
  <c r="BQ59" i="1" s="1"/>
  <c r="BP73" i="1"/>
  <c r="BQ73" i="1" s="1"/>
  <c r="BP87" i="1"/>
  <c r="BQ87" i="1" s="1"/>
  <c r="BP101" i="1"/>
  <c r="BQ101" i="1" s="1"/>
  <c r="BP115" i="1"/>
  <c r="BQ115" i="1" s="1"/>
  <c r="BP129" i="1"/>
  <c r="BQ129" i="1" s="1"/>
  <c r="BP143" i="1"/>
  <c r="BQ143" i="1" s="1"/>
  <c r="BP157" i="1"/>
  <c r="BQ157" i="1" s="1"/>
  <c r="BP171" i="1"/>
  <c r="BQ171" i="1" s="1"/>
  <c r="BP185" i="1"/>
  <c r="BQ185" i="1" s="1"/>
  <c r="BP199" i="1"/>
  <c r="BQ199" i="1" s="1"/>
  <c r="BP213" i="1"/>
  <c r="BQ213" i="1" s="1"/>
  <c r="BP227" i="1"/>
  <c r="BQ227" i="1" s="1"/>
  <c r="BP241" i="1"/>
  <c r="BQ241" i="1" s="1"/>
  <c r="BP255" i="1"/>
  <c r="BQ255" i="1" s="1"/>
  <c r="BP18" i="1"/>
  <c r="BQ18" i="1" s="1"/>
  <c r="BP74" i="1"/>
  <c r="BQ74" i="1" s="1"/>
  <c r="BP102" i="1"/>
  <c r="BQ102" i="1" s="1"/>
  <c r="BP130" i="1"/>
  <c r="BQ130" i="1" s="1"/>
  <c r="BP158" i="1"/>
  <c r="BQ158" i="1" s="1"/>
  <c r="BP186" i="1"/>
  <c r="BQ186" i="1" s="1"/>
  <c r="BP214" i="1"/>
  <c r="BQ214" i="1" s="1"/>
  <c r="BP242" i="1"/>
  <c r="BQ242" i="1" s="1"/>
  <c r="BP33" i="1"/>
  <c r="BQ33" i="1" s="1"/>
  <c r="BP89" i="1"/>
  <c r="BQ89" i="1" s="1"/>
  <c r="BP131" i="1"/>
  <c r="BQ131" i="1" s="1"/>
  <c r="BP173" i="1"/>
  <c r="BQ173" i="1" s="1"/>
  <c r="BP187" i="1"/>
  <c r="BQ187" i="1" s="1"/>
  <c r="BP229" i="1"/>
  <c r="BQ229" i="1" s="1"/>
  <c r="BP20" i="1"/>
  <c r="BQ20" i="1" s="1"/>
  <c r="BP90" i="1"/>
  <c r="BQ90" i="1" s="1"/>
  <c r="BP118" i="1"/>
  <c r="BQ118" i="1" s="1"/>
  <c r="BP160" i="1"/>
  <c r="BQ160" i="1" s="1"/>
  <c r="BP202" i="1"/>
  <c r="BQ202" i="1" s="1"/>
  <c r="BP244" i="1"/>
  <c r="BQ244" i="1" s="1"/>
  <c r="BP35" i="1"/>
  <c r="BQ35" i="1" s="1"/>
  <c r="BP63" i="1"/>
  <c r="BQ63" i="1" s="1"/>
  <c r="BP105" i="1"/>
  <c r="BQ105" i="1" s="1"/>
  <c r="BP133" i="1"/>
  <c r="BQ133" i="1" s="1"/>
  <c r="BP175" i="1"/>
  <c r="BQ175" i="1" s="1"/>
  <c r="BP203" i="1"/>
  <c r="BQ203" i="1" s="1"/>
  <c r="BP245" i="1"/>
  <c r="BQ245" i="1" s="1"/>
  <c r="BP22" i="1"/>
  <c r="BQ22" i="1" s="1"/>
  <c r="BP78" i="1"/>
  <c r="BQ78" i="1" s="1"/>
  <c r="BP120" i="1"/>
  <c r="BQ120" i="1" s="1"/>
  <c r="BP148" i="1"/>
  <c r="BQ148" i="1" s="1"/>
  <c r="BP190" i="1"/>
  <c r="BQ190" i="1" s="1"/>
  <c r="BP218" i="1"/>
  <c r="BQ218" i="1" s="1"/>
  <c r="BP246" i="1"/>
  <c r="BQ246" i="1" s="1"/>
  <c r="BP23" i="1"/>
  <c r="BQ23" i="1" s="1"/>
  <c r="BP93" i="1"/>
  <c r="BQ93" i="1" s="1"/>
  <c r="BP135" i="1"/>
  <c r="BQ135" i="1" s="1"/>
  <c r="BP177" i="1"/>
  <c r="BQ177" i="1" s="1"/>
  <c r="BP233" i="1"/>
  <c r="BQ233" i="1" s="1"/>
  <c r="BP153" i="1"/>
  <c r="BQ153" i="1" s="1"/>
  <c r="BS9" i="1" l="1" a="1"/>
  <c r="BS9" i="1" s="1"/>
  <c r="BW9" i="1" l="1"/>
  <c r="BW12" i="1"/>
  <c r="BW13" i="1"/>
  <c r="BW11" i="1"/>
  <c r="BW10" i="1"/>
  <c r="F12" i="3"/>
  <c r="D12" i="3"/>
  <c r="H6" i="3"/>
  <c r="E12" i="3"/>
  <c r="D6" i="3"/>
  <c r="H12" i="3"/>
  <c r="G12" i="3"/>
  <c r="G6" i="3"/>
  <c r="F6" i="3"/>
  <c r="E6" i="3"/>
  <c r="BW14" i="1" l="1"/>
  <c r="C12" i="3"/>
  <c r="BX10" i="1"/>
  <c r="BX12" i="1"/>
  <c r="BX13" i="1"/>
  <c r="BX11" i="1"/>
  <c r="BX9"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<sst xmlns="http://schemas.openxmlformats.org/spreadsheetml/2006/main" count="61953" uniqueCount="4685">
  <si>
    <t>Inbound/Outbound</t>
  </si>
  <si>
    <t>Method</t>
  </si>
  <si>
    <t>Reference</t>
  </si>
  <si>
    <t>Pallets</t>
  </si>
  <si>
    <t>Cartons</t>
  </si>
  <si>
    <t>Covers</t>
  </si>
  <si>
    <t>Delivery Information</t>
  </si>
  <si>
    <t>Invoice Information</t>
  </si>
  <si>
    <t>Shipping Information</t>
  </si>
  <si>
    <t>SAT Information</t>
  </si>
  <si>
    <t>Waybill Number</t>
  </si>
  <si>
    <t>Transport Name</t>
  </si>
  <si>
    <t>Container Number</t>
  </si>
  <si>
    <t>On Board</t>
  </si>
  <si>
    <t>Port Drop Off</t>
  </si>
  <si>
    <t xml:space="preserve">Reference </t>
  </si>
  <si>
    <t xml:space="preserve">Security Seal  </t>
  </si>
  <si>
    <t>Customer</t>
  </si>
  <si>
    <t>Address</t>
  </si>
  <si>
    <t>Company</t>
  </si>
  <si>
    <t>Pieces</t>
  </si>
  <si>
    <t xml:space="preserve">Net Weight (Kgs) </t>
  </si>
  <si>
    <t>Gross Weight (Kgs)</t>
  </si>
  <si>
    <t>Wood</t>
  </si>
  <si>
    <t>Plastic</t>
  </si>
  <si>
    <t>No define</t>
  </si>
  <si>
    <t>Number</t>
  </si>
  <si>
    <t>Status</t>
  </si>
  <si>
    <t>Creation</t>
  </si>
  <si>
    <t>OU</t>
  </si>
  <si>
    <t>Amount</t>
  </si>
  <si>
    <t>Currency</t>
  </si>
  <si>
    <t>Item</t>
  </si>
  <si>
    <t>UOM</t>
  </si>
  <si>
    <t>Code</t>
  </si>
  <si>
    <t>Description</t>
  </si>
  <si>
    <t>Fracción Arancelaria</t>
  </si>
  <si>
    <t>FG-R-2180LE25.M46-M45-2</t>
  </si>
  <si>
    <t>3 BROTHERS</t>
  </si>
  <si>
    <t>H06059</t>
  </si>
  <si>
    <t>2026/04/01 00:00:00</t>
  </si>
  <si>
    <t>FG-R-2180LE25.M46-M45</t>
  </si>
  <si>
    <t>UL-5606471</t>
  </si>
  <si>
    <t>JOHNSON ELECTRIC NORTH AMERICA, INC.</t>
  </si>
  <si>
    <t xml:space="preserve">(TDS) Transcontinental Distribution Services, Inc 14213 Transportation Ave    </t>
  </si>
  <si>
    <t>Johnson Electric Group Mexico, S. de R. L. de C.V.</t>
  </si>
  <si>
    <t>Boulevard Morelos # 1109,Mega Parque Industrial Aeropuerto de Calera,98519, Calera</t>
  </si>
  <si>
    <t>Closed</t>
  </si>
  <si>
    <t>2026-04-02</t>
  </si>
  <si>
    <t>JE JMX OU</t>
  </si>
  <si>
    <t>01-APR-26</t>
  </si>
  <si>
    <t>USD</t>
  </si>
  <si>
    <t>1908-1E90003RN</t>
  </si>
  <si>
    <t>EA</t>
  </si>
  <si>
    <t>Bombas centrífugas</t>
  </si>
  <si>
    <t>H87</t>
  </si>
  <si>
    <t>Pieza</t>
  </si>
  <si>
    <t>8413309902</t>
  </si>
  <si>
    <t>Para agua</t>
  </si>
  <si>
    <t>1908-1E90003R1</t>
  </si>
  <si>
    <t xml:space="preserve">APX WH  6001 GLOBAL DISTRIBUTION WAY LOUISVILLE, KY 40228    </t>
  </si>
  <si>
    <t>1999-1E30016EU</t>
  </si>
  <si>
    <t>Bombas</t>
  </si>
  <si>
    <t>8413709999</t>
  </si>
  <si>
    <t>Las demás</t>
  </si>
  <si>
    <t>FG-R-2181LE25.M01-M45</t>
  </si>
  <si>
    <t>560602</t>
  </si>
  <si>
    <t>2026/04/03 00:00:00</t>
  </si>
  <si>
    <t>UL-5606473</t>
  </si>
  <si>
    <t xml:space="preserve">Memphis Distribution Services 3893 Crowfarn    </t>
  </si>
  <si>
    <t>2026-04-03</t>
  </si>
  <si>
    <t>02-APR-26</t>
  </si>
  <si>
    <t>1999-1WP0063AN</t>
  </si>
  <si>
    <t>8413700700</t>
  </si>
  <si>
    <t>Bombas de agua, reconocibles como diseñadas exclusivamente para el sistema de limpiaparabrisas, para uso automotriz</t>
  </si>
  <si>
    <t>1999-1WP0045AN</t>
  </si>
  <si>
    <t>1999-1WP0046AN</t>
  </si>
  <si>
    <t>1916-1010002EP/MX</t>
  </si>
  <si>
    <t>Motores eléctricos de corriente directa DC</t>
  </si>
  <si>
    <t>8501101004</t>
  </si>
  <si>
    <t>Accionados exclusivamente por corriente continua</t>
  </si>
  <si>
    <t>1999-1WP0105EN</t>
  </si>
  <si>
    <t>Bomba de lava parabrisas</t>
  </si>
  <si>
    <t>1916-1010004EN</t>
  </si>
  <si>
    <t>1999-1WP0055AN</t>
  </si>
  <si>
    <t>1999-1WP0113EN</t>
  </si>
  <si>
    <t>1651-EQH0040EN</t>
  </si>
  <si>
    <t>Motores eléctricos de corriente alterna AC</t>
  </si>
  <si>
    <t>1651-EQM0167EN</t>
  </si>
  <si>
    <t>1651-EQH0021EN</t>
  </si>
  <si>
    <t>FG-R-2184LE25.M19</t>
  </si>
  <si>
    <t>561367</t>
  </si>
  <si>
    <t>UL-5609967</t>
  </si>
  <si>
    <t>SAIA-BURGESS AUTOMOTIVE ACTUATORS, LLC</t>
  </si>
  <si>
    <t xml:space="preserve">755 Bill Jones Drive      </t>
  </si>
  <si>
    <t>JOHNSON ELECTRIC NORTH AMERICA</t>
  </si>
  <si>
    <t>47660 HALYARD DRIVE</t>
  </si>
  <si>
    <t>JE USA OU</t>
  </si>
  <si>
    <t>1999-5YY1255EN</t>
  </si>
  <si>
    <t>8501310500</t>
  </si>
  <si>
    <t>Motores con potencia superior o igual a 186 W (¼ CP), excepto lo comprendido en las fracciones arancelarias 8501.31.03 y 8501.31.04</t>
  </si>
  <si>
    <t>1999-5YY0898EN</t>
  </si>
  <si>
    <t>8501320500</t>
  </si>
  <si>
    <t>Motores de potencia igual o inferior a 3.75 kW (5 CP)</t>
  </si>
  <si>
    <t>1999-5YY1256EN</t>
  </si>
  <si>
    <t>1999-5YY2043EN</t>
  </si>
  <si>
    <t>FG-R-2182LE25.M46-M45</t>
  </si>
  <si>
    <t>562325</t>
  </si>
  <si>
    <t>FG-R-2182LE25.M46-M45-2</t>
  </si>
  <si>
    <t>UL-5606474</t>
  </si>
  <si>
    <t>1651-MYY0054EN</t>
  </si>
  <si>
    <t>1651-MYY0047EN</t>
  </si>
  <si>
    <t>FG-R-2183LE25.M19</t>
  </si>
  <si>
    <t>H06253</t>
  </si>
  <si>
    <t>UL-5609966</t>
  </si>
  <si>
    <t xml:space="preserve">755 BILL JONES DRIVE      </t>
  </si>
  <si>
    <t>1999-5YY0871EN</t>
  </si>
  <si>
    <t>03-APR-26</t>
  </si>
  <si>
    <t>1999-5YY1445EN</t>
  </si>
  <si>
    <t>1999-5YY2044EN</t>
  </si>
  <si>
    <t>1999-5YY0937EN</t>
  </si>
  <si>
    <t>2026-04-04</t>
  </si>
  <si>
    <t>1651-EGN0004LN</t>
  </si>
  <si>
    <t>FG-R-2192LE26.M01</t>
  </si>
  <si>
    <t>BRABER</t>
  </si>
  <si>
    <t>CB-062</t>
  </si>
  <si>
    <t>2026/04/07 00:00:00</t>
  </si>
  <si>
    <t>UL-5606482</t>
  </si>
  <si>
    <t>2026-04-08</t>
  </si>
  <si>
    <t>07-APR-26</t>
  </si>
  <si>
    <t>1410-EQH0041EN</t>
  </si>
  <si>
    <t>FG-R-2186LE26.M46</t>
  </si>
  <si>
    <t>2026/04/08 00:00:00</t>
  </si>
  <si>
    <t>UL-5606485</t>
  </si>
  <si>
    <t>2026-04-09</t>
  </si>
  <si>
    <t>08-APR-26</t>
  </si>
  <si>
    <t>1999-1E30017EN</t>
  </si>
  <si>
    <t xml:space="preserve">130 W. Jones Rd      </t>
  </si>
  <si>
    <t>FG-R-2190LE26.M19</t>
  </si>
  <si>
    <t>562323</t>
  </si>
  <si>
    <t>2026/04/10 00:00:00</t>
  </si>
  <si>
    <t>UL-5609992</t>
  </si>
  <si>
    <t>2026-04-11</t>
  </si>
  <si>
    <t>10-APR-26</t>
  </si>
  <si>
    <t>1999-5YY1171EN</t>
  </si>
  <si>
    <t>1999-5YY1145EN</t>
  </si>
  <si>
    <t>FG-R-2187LE26.M19</t>
  </si>
  <si>
    <t>H06237</t>
  </si>
  <si>
    <t>UL-5609991</t>
  </si>
  <si>
    <t>1999-5YY1148EN</t>
  </si>
  <si>
    <t>FG-R-2189LE26.M46/M45</t>
  </si>
  <si>
    <t>H06320</t>
  </si>
  <si>
    <t>2026/04/11 00:00:00</t>
  </si>
  <si>
    <t>UL-5606491</t>
  </si>
  <si>
    <t>11-APR-26</t>
  </si>
  <si>
    <t>1651-EQH0065EN</t>
  </si>
  <si>
    <t>1651-MYY0021EN</t>
  </si>
  <si>
    <t>1651-EQH0067EN</t>
  </si>
  <si>
    <t>1651-EQH0019EN</t>
  </si>
  <si>
    <t>1999-1E30015EN</t>
  </si>
  <si>
    <t>FG-R-2194LE26.M46/M45</t>
  </si>
  <si>
    <t>H06999</t>
  </si>
  <si>
    <t>2026/04/15 00:00:00</t>
  </si>
  <si>
    <t>UL-5609201</t>
  </si>
  <si>
    <t>FG-R-2188LE26.M01/M45</t>
  </si>
  <si>
    <t>H07254</t>
  </si>
  <si>
    <t>UL-5606490</t>
  </si>
  <si>
    <t>1999-1WP0071E1</t>
  </si>
  <si>
    <t>1999-1WP0112EN</t>
  </si>
  <si>
    <t>1999-1WP0111EN</t>
  </si>
  <si>
    <t>1651-EQH0059EN</t>
  </si>
  <si>
    <t>FG-R-2191LE26.M19</t>
  </si>
  <si>
    <t>ALFER</t>
  </si>
  <si>
    <t>SNLU163623</t>
  </si>
  <si>
    <t>2026/04/13 00:00:00</t>
  </si>
  <si>
    <t>UL-5610000</t>
  </si>
  <si>
    <t>1999-5YY1117EN</t>
  </si>
  <si>
    <t>1999-5YY1149EN</t>
  </si>
  <si>
    <t>FG-R-2193LE26.M01/M45</t>
  </si>
  <si>
    <t>H08421</t>
  </si>
  <si>
    <t>2026/04/14 00:00:00</t>
  </si>
  <si>
    <t>UL-5606498</t>
  </si>
  <si>
    <t>2026-04-15</t>
  </si>
  <si>
    <t>14-APR-26</t>
  </si>
  <si>
    <t>1999-1WP0044AN</t>
  </si>
  <si>
    <t>FG-R-2198LE26.M46/M45</t>
  </si>
  <si>
    <t>H06262</t>
  </si>
  <si>
    <t>2026/04/18 00:00:00</t>
  </si>
  <si>
    <t>UL-5609208</t>
  </si>
  <si>
    <t>2026-04-16</t>
  </si>
  <si>
    <t>15-APR-26</t>
  </si>
  <si>
    <t>1908-3120012E1</t>
  </si>
  <si>
    <t>1908-3120014E1</t>
  </si>
  <si>
    <t>FG-R-2194LE26.M46/M45.</t>
  </si>
  <si>
    <t>1908-3120006E1</t>
  </si>
  <si>
    <t>1651-MYY0069EN</t>
  </si>
  <si>
    <t>1651-MYY0060EN</t>
  </si>
  <si>
    <t xml:space="preserve">Goggins Warehouse 111 Eaton Drive    </t>
  </si>
  <si>
    <t>1999-5YY0847EN</t>
  </si>
  <si>
    <t>FG-R-2199LE26.M19</t>
  </si>
  <si>
    <t>560600</t>
  </si>
  <si>
    <t>UL-5610023</t>
  </si>
  <si>
    <t>2026-04-18</t>
  </si>
  <si>
    <t>18-APR-26</t>
  </si>
  <si>
    <t>17-APR-26</t>
  </si>
  <si>
    <t>1651-EQH0054EN</t>
  </si>
  <si>
    <t>FG-R-2197LE26.M01/M45</t>
  </si>
  <si>
    <t>H08267</t>
  </si>
  <si>
    <t>UL-5609207</t>
  </si>
  <si>
    <t>1999-1WP0052AN</t>
  </si>
  <si>
    <t>1916-1010002EN/MX</t>
  </si>
  <si>
    <t>1651-EQM0165EN</t>
  </si>
  <si>
    <t>FG-R-2195LE26.M19</t>
  </si>
  <si>
    <t>SNLU195662</t>
  </si>
  <si>
    <t>2026/04/17 00:00:00</t>
  </si>
  <si>
    <t>UL-5610018</t>
  </si>
  <si>
    <t>2026-04-19</t>
  </si>
  <si>
    <t>FG-R-2200LE26.M01/M45</t>
  </si>
  <si>
    <t>560594</t>
  </si>
  <si>
    <t>2026/04/21 00:00:00</t>
  </si>
  <si>
    <t>UL-5609211</t>
  </si>
  <si>
    <t>2026-04-21</t>
  </si>
  <si>
    <t>21-APR-26</t>
  </si>
  <si>
    <t>FG-R-2200LE26.M01/M45-2</t>
  </si>
  <si>
    <t>1999-1WP0095EN/MX</t>
  </si>
  <si>
    <t>FG-R-2201LE26.M46/M45</t>
  </si>
  <si>
    <t>560612</t>
  </si>
  <si>
    <t>2026/04/22 00:00:00</t>
  </si>
  <si>
    <t>UL-5609213</t>
  </si>
  <si>
    <t>2026-04-22</t>
  </si>
  <si>
    <t>22-APR-26</t>
  </si>
  <si>
    <t>1651-MYY0045EN</t>
  </si>
  <si>
    <t>FG-R-2201LE26.M46/M45-2</t>
  </si>
  <si>
    <t>2026-04-23</t>
  </si>
  <si>
    <t>1651-EQH0060EN</t>
  </si>
  <si>
    <t>1651-MYY0058EN</t>
  </si>
  <si>
    <t>1651-EQH0028EN</t>
  </si>
  <si>
    <t>FG-R-2204LE26.M46/M45.</t>
  </si>
  <si>
    <t>2026/04/25 00:00:00</t>
  </si>
  <si>
    <t>FG-R-2204LE26.M46/M45</t>
  </si>
  <si>
    <t>UL-5609221</t>
  </si>
  <si>
    <t>2026-04-25</t>
  </si>
  <si>
    <t>24-APR-26</t>
  </si>
  <si>
    <t>25-APR-26</t>
  </si>
  <si>
    <t>FG-R-2206LE26.M19</t>
  </si>
  <si>
    <t>561339</t>
  </si>
  <si>
    <t>UL-5610053</t>
  </si>
  <si>
    <t>FG-R-2205LE26.M19</t>
  </si>
  <si>
    <t>561345</t>
  </si>
  <si>
    <t>UL-5610052</t>
  </si>
  <si>
    <t>FG-R-2203LE26.M01/M45</t>
  </si>
  <si>
    <t>CB064</t>
  </si>
  <si>
    <t>UL-5609219</t>
  </si>
  <si>
    <t>1651-EQH0041EN</t>
  </si>
  <si>
    <t>2026-04-26</t>
  </si>
  <si>
    <t>FG-R-2202LE26.M19</t>
  </si>
  <si>
    <t>SNLU212425</t>
  </si>
  <si>
    <t>2026/04/27 00:00:00</t>
  </si>
  <si>
    <t>UL-5610060</t>
  </si>
  <si>
    <t>2026-04-27</t>
  </si>
  <si>
    <t>27-APR-26</t>
  </si>
  <si>
    <t>Outbound</t>
  </si>
  <si>
    <t>Land</t>
  </si>
  <si>
    <t>x</t>
  </si>
  <si>
    <t>C. PLT gross weight</t>
  </si>
  <si>
    <t>Part. PLT gross weight</t>
  </si>
  <si>
    <t>Qty Pzas</t>
  </si>
  <si>
    <t>Cost (USD)</t>
  </si>
  <si>
    <t>Fix Cost</t>
  </si>
  <si>
    <t>FG-R-2180LE25</t>
  </si>
  <si>
    <t>FG-R-2181LE25</t>
  </si>
  <si>
    <t>FG-R-2182LE25</t>
  </si>
  <si>
    <t>FG-R-2183LE25</t>
  </si>
  <si>
    <t>FG-R-2184LE25</t>
  </si>
  <si>
    <t>FG-R-2186LE26</t>
  </si>
  <si>
    <t>FG-R-2187LE26</t>
  </si>
  <si>
    <t>FG-R-2188LE26</t>
  </si>
  <si>
    <t>FG-R-2189LE26</t>
  </si>
  <si>
    <t>FG-R-2190LE26</t>
  </si>
  <si>
    <t>FG-R-2191LE26</t>
  </si>
  <si>
    <t>FG-R-2192LE26</t>
  </si>
  <si>
    <t>FG-R-2193LE26</t>
  </si>
  <si>
    <t>FG-R-2194LE26</t>
  </si>
  <si>
    <t>FG-R-2195LE26</t>
  </si>
  <si>
    <t>FG-R-2197LE26</t>
  </si>
  <si>
    <t>FG-R-2198LE26</t>
  </si>
  <si>
    <t>FG-R-2199LE26</t>
  </si>
  <si>
    <t>FG-R-2200LE26</t>
  </si>
  <si>
    <t>FG-R-2201LE26</t>
  </si>
  <si>
    <t>FG-R-2202LE26</t>
  </si>
  <si>
    <t>FG-R-2203LE26</t>
  </si>
  <si>
    <t>FG-R-2204LE26</t>
  </si>
  <si>
    <t>FG-R-2205LE26</t>
  </si>
  <si>
    <t>FG-R-2206LE26</t>
  </si>
  <si>
    <t>BU</t>
  </si>
  <si>
    <t>M23</t>
  </si>
  <si>
    <t>M45</t>
  </si>
  <si>
    <t>M01</t>
  </si>
  <si>
    <t>M46</t>
  </si>
  <si>
    <t>M19</t>
  </si>
  <si>
    <t>X</t>
  </si>
  <si>
    <t>Gross Weight</t>
  </si>
  <si>
    <t xml:space="preserve">Expand </t>
  </si>
  <si>
    <t>Addres</t>
  </si>
  <si>
    <t>PN</t>
  </si>
  <si>
    <t>%Proportion</t>
  </si>
  <si>
    <t>Calc_Exp</t>
  </si>
  <si>
    <t>Output</t>
  </si>
  <si>
    <t>Data</t>
  </si>
  <si>
    <t>Complementari information</t>
  </si>
  <si>
    <t>Extraction of transactions</t>
  </si>
  <si>
    <t>Log. Exp</t>
  </si>
  <si>
    <t>%PCT</t>
  </si>
  <si>
    <t>Sales Order Number</t>
  </si>
  <si>
    <t>Sales Coordinator</t>
  </si>
  <si>
    <t>Oversea Sales Coordinator</t>
  </si>
  <si>
    <t>Customer Number</t>
  </si>
  <si>
    <t>Customer Name</t>
  </si>
  <si>
    <t>Customer Ship-to Address</t>
  </si>
  <si>
    <t>Customer Alternative Name</t>
  </si>
  <si>
    <t>Demand Class Code</t>
  </si>
  <si>
    <t>Sub Application Code</t>
  </si>
  <si>
    <t>Order Type</t>
  </si>
  <si>
    <t>Shipment Priority Code</t>
  </si>
  <si>
    <t>Line Number</t>
  </si>
  <si>
    <t>Shipment Number</t>
  </si>
  <si>
    <t>Item Code</t>
  </si>
  <si>
    <t>Item Revision</t>
  </si>
  <si>
    <t>Item Category</t>
  </si>
  <si>
    <t>Item Description</t>
  </si>
  <si>
    <t>Payment Term</t>
  </si>
  <si>
    <t>Customer Po Number</t>
  </si>
  <si>
    <t>Printed Customer Part number</t>
  </si>
  <si>
    <t>Total Requested Quantity</t>
  </si>
  <si>
    <t>Ship Method Code</t>
  </si>
  <si>
    <t>SO Line FOB Code(Incoterm)</t>
  </si>
  <si>
    <t>Fob Code(Incoterm)</t>
  </si>
  <si>
    <t>Freight Terms Code (Incoterm Named Place)</t>
  </si>
  <si>
    <t>Port of Loading</t>
  </si>
  <si>
    <t>Destination</t>
  </si>
  <si>
    <t>Promise Date</t>
  </si>
  <si>
    <t>Customer Request Date</t>
  </si>
  <si>
    <t>Schedule Ship Date</t>
  </si>
  <si>
    <t>Subinventory</t>
  </si>
  <si>
    <t>D.O. Number/PO Doc. Number</t>
  </si>
  <si>
    <t>D.O. Creation Date/Actual Shipment Date</t>
  </si>
  <si>
    <t>Actual Ship Date</t>
  </si>
  <si>
    <t>Shipped Quantity</t>
  </si>
  <si>
    <t>Bill to Customer Number</t>
  </si>
  <si>
    <t>Invoice Number</t>
  </si>
  <si>
    <t>Invoice Date</t>
  </si>
  <si>
    <t>Invoice Creation Date Time</t>
  </si>
  <si>
    <t>Invoice Currency Code</t>
  </si>
  <si>
    <t>Invoice Unit Selling Price</t>
  </si>
  <si>
    <t>Invoice Amount in Prime</t>
  </si>
  <si>
    <t>Functional Currency Code</t>
  </si>
  <si>
    <t>Invoice Amount in Functional Currency</t>
  </si>
  <si>
    <t>Last Update By</t>
  </si>
  <si>
    <t>Forwarder</t>
  </si>
  <si>
    <t>Vessel Name</t>
  </si>
  <si>
    <t>ETD Date</t>
  </si>
  <si>
    <t>ETA Date</t>
  </si>
  <si>
    <t>Shipment Volume</t>
  </si>
  <si>
    <t>Waybill</t>
  </si>
  <si>
    <t>Motor Per Carton</t>
  </si>
  <si>
    <t>Weight UOM</t>
  </si>
  <si>
    <t>Carton Gross Weight</t>
  </si>
  <si>
    <t>Carton NET Weight</t>
  </si>
  <si>
    <t>Carton Measurement UOM</t>
  </si>
  <si>
    <t>Carton Length</t>
  </si>
  <si>
    <t>Carton Width</t>
  </si>
  <si>
    <t>Carton Height</t>
  </si>
  <si>
    <t>Number of Carton per Pallet</t>
  </si>
  <si>
    <t>Pallet Gross Weight</t>
  </si>
  <si>
    <t>Pallet Net Weight</t>
  </si>
  <si>
    <t>Total Gross Weight</t>
  </si>
  <si>
    <t>Pallet Measurement UOM</t>
  </si>
  <si>
    <t>Pallet Length</t>
  </si>
  <si>
    <t>Pallet Width</t>
  </si>
  <si>
    <t>Pallet Height</t>
  </si>
  <si>
    <t>Number of Full Pallet</t>
  </si>
  <si>
    <t>Number of Non-Full Pallet</t>
  </si>
  <si>
    <t>Total number of Pallet</t>
  </si>
  <si>
    <t>Number of Full Carton</t>
  </si>
  <si>
    <t>Number of Non-Full Carton</t>
  </si>
  <si>
    <t>Total number of Carton</t>
  </si>
  <si>
    <t>Number of Motor in Full Pallet</t>
  </si>
  <si>
    <t>Number of Motor in Non-Full Pallet</t>
  </si>
  <si>
    <t>Total number of Motor</t>
  </si>
  <si>
    <t>Total Motor Net Weight</t>
  </si>
  <si>
    <t>Pallet Code</t>
  </si>
  <si>
    <t>Carton Code</t>
  </si>
  <si>
    <t>HS Code</t>
  </si>
  <si>
    <t>Operating Unit</t>
  </si>
  <si>
    <t>1015082406</t>
  </si>
  <si>
    <t xml:space="preserve"> </t>
  </si>
  <si>
    <t>34798</t>
  </si>
  <si>
    <t>JOHNSON ELECTRIC NORTH AMERICA INC.</t>
  </si>
  <si>
    <t>Tax ID JEG120120DD4  BOULEVARD MORELOS NO. 1109 MEGA PARQUE INDUSTRIAL AEROPUERTO DE CALERA C.P. 98519 CALERA  ZACATECAS    MX</t>
  </si>
  <si>
    <t>XEXX010101000</t>
  </si>
  <si>
    <t>JEN</t>
  </si>
  <si>
    <t>A99</t>
  </si>
  <si>
    <t>BI-INTERNAL-SWO-IM-MX</t>
  </si>
  <si>
    <t>FLOW</t>
  </si>
  <si>
    <t>CPPMSF3253/7EN</t>
  </si>
  <si>
    <t>C</t>
  </si>
  <si>
    <t>DIRECT.FERRITE MAGNET.WET MAGNET: Grade 4 &amp; 5</t>
  </si>
  <si>
    <t>MAGNET (WET)</t>
  </si>
  <si>
    <t>TT45ASA</t>
  </si>
  <si>
    <t>SEA</t>
  </si>
  <si>
    <t>CIP</t>
  </si>
  <si>
    <t>MANZANILLO</t>
  </si>
  <si>
    <t>HONG KONG</t>
  </si>
  <si>
    <t>NOR-MXA</t>
  </si>
  <si>
    <t>101513753670</t>
  </si>
  <si>
    <t>JOHN JH SHI</t>
  </si>
  <si>
    <t>OOCL-SEA-GEN</t>
  </si>
  <si>
    <t>XIN OU ZHOU V.077E</t>
  </si>
  <si>
    <t>FBIU5071920</t>
  </si>
  <si>
    <t>40'</t>
  </si>
  <si>
    <t>OOLU2038497840</t>
  </si>
  <si>
    <t>JE IM OU</t>
  </si>
  <si>
    <t>1015082410</t>
  </si>
  <si>
    <t>1318-1030030EN</t>
  </si>
  <si>
    <t>A</t>
  </si>
  <si>
    <t>DIRECT-JMX.PLASTIC MOULDING PARTS.OTHERS</t>
  </si>
  <si>
    <t>O-RING</t>
  </si>
  <si>
    <t>101513753673</t>
  </si>
  <si>
    <t>1015082413</t>
  </si>
  <si>
    <t>1318-1030018EN</t>
  </si>
  <si>
    <t>B</t>
  </si>
  <si>
    <t>DIRECT-JMX.CONNECTOR / TERMINAL.SEAL</t>
  </si>
  <si>
    <t>SEAL</t>
  </si>
  <si>
    <t>101513753672</t>
  </si>
  <si>
    <t>1015082415</t>
  </si>
  <si>
    <t>1318-1030054EN</t>
  </si>
  <si>
    <t>101513753671</t>
  </si>
  <si>
    <t>1015082416</t>
  </si>
  <si>
    <t>1307-1030122EN</t>
  </si>
  <si>
    <t>DIRECT-JMX.FERRITE MAGNET.WET MAGNET: Grade 4 &amp; 5</t>
  </si>
  <si>
    <t>MAGNET</t>
  </si>
  <si>
    <t>101513753674</t>
  </si>
  <si>
    <t>1015082901</t>
  </si>
  <si>
    <t>0060-1050290-YEN</t>
  </si>
  <si>
    <t>DIRECT-JMX.RAW MAGNET WIRE.CU WIRE ULTRA THICK SIZE (OD &gt;300mm)</t>
  </si>
  <si>
    <t>POLYAMIDE-IMIDE MAGNET WIRE 1-AIW/220</t>
  </si>
  <si>
    <t>101513753675</t>
  </si>
  <si>
    <t>1015083179</t>
  </si>
  <si>
    <t>AIR</t>
  </si>
  <si>
    <t>101513753573</t>
  </si>
  <si>
    <t>DICK ZJ WU</t>
  </si>
  <si>
    <t>CV5165</t>
  </si>
  <si>
    <t>HKGA26533803</t>
  </si>
  <si>
    <t>1195009925</t>
  </si>
  <si>
    <t>Tax ID JEG120120DD4   BOULEVARD MORELOS NO. 1109 MEGA PARQUE INDUSTRIAL AEROPUERTO DE CALERA C.P. 98519 CALERA  ZACATECAS    MX</t>
  </si>
  <si>
    <t>Q06</t>
  </si>
  <si>
    <t>PC-INTERNAL-SWO-IM-MX</t>
  </si>
  <si>
    <t>1616-5YY3186-MTEN</t>
  </si>
  <si>
    <t>DIRECT.CATALOG PASSIVE ELECTRONIC.AXIAL LEADED MLCC</t>
  </si>
  <si>
    <t>CAPACITOR 8340114</t>
  </si>
  <si>
    <t>NOR-J19</t>
  </si>
  <si>
    <t>101513753665</t>
  </si>
  <si>
    <t>1195010094</t>
  </si>
  <si>
    <t>CPCSSSP2001/EP</t>
  </si>
  <si>
    <t>DIRECT.OTHER METAL/PLASTIC PARTS(CATALOGUE).SPRING</t>
  </si>
  <si>
    <t>SPRING 8130167</t>
  </si>
  <si>
    <t>101513753663</t>
  </si>
  <si>
    <t>1195010103</t>
  </si>
  <si>
    <t>101513753664</t>
  </si>
  <si>
    <t>1275406531</t>
  </si>
  <si>
    <t>Tax ID JEG120120DD4. BOULEVARD MORELOS NO. 1109 MEGA PARQUE INDUSTRIAL AEROPUERTO DE CALERA C.P. 98519 CALERA  ZACATECAS    MX</t>
  </si>
  <si>
    <t>Y99</t>
  </si>
  <si>
    <t>C&amp;S-INTERNAL-SWO-IM-MX</t>
  </si>
  <si>
    <t>0070-1100018</t>
  </si>
  <si>
    <t>DIRECT.RAW PLASTIC.POM</t>
  </si>
  <si>
    <t>ACETAL RESIN (POM)</t>
  </si>
  <si>
    <t>NOR-MXC</t>
  </si>
  <si>
    <t>101513753431</t>
  </si>
  <si>
    <t>1275409290</t>
  </si>
  <si>
    <t>0070-5050006</t>
  </si>
  <si>
    <t>DIRECT.RAW PLASTIC.PBT</t>
  </si>
  <si>
    <t>30%GLASS FIBER REINFORCED PBT</t>
  </si>
  <si>
    <t>101513753432</t>
  </si>
  <si>
    <t>1615004657</t>
  </si>
  <si>
    <t>IPG0099</t>
  </si>
  <si>
    <t>S1-INTERNAL-SWO-IM-MX</t>
  </si>
  <si>
    <t>1406-12B0001EN</t>
  </si>
  <si>
    <t>DIRECT.FASTENING PARTS.OTHERS</t>
  </si>
  <si>
    <t>LOCK RING(EAR CLAMP)</t>
  </si>
  <si>
    <t>NOR-MXI</t>
  </si>
  <si>
    <t>101513753667</t>
  </si>
  <si>
    <t>1615004696</t>
  </si>
  <si>
    <t>1318-11A0060EN</t>
  </si>
  <si>
    <t>DIRECT.RUBBER SEAL / RUBBER PARTS.MOLDED RUBBER PART</t>
  </si>
  <si>
    <t>RUBBER SLEEVE</t>
  </si>
  <si>
    <t>101513753666</t>
  </si>
  <si>
    <t>1625002019</t>
  </si>
  <si>
    <t>S2-INTERNAL-SWO-IM-MX</t>
  </si>
  <si>
    <t>1205-V0C0003EN</t>
  </si>
  <si>
    <t>DIRECT.CONNECTOR / TERMINAL.TERMINAL</t>
  </si>
  <si>
    <t>AMPLIVAR_TERMINAL</t>
  </si>
  <si>
    <t>101513753668</t>
  </si>
  <si>
    <t>1625002096</t>
  </si>
  <si>
    <t>1623-10C0022-MCEN</t>
  </si>
  <si>
    <t>DIRECT.CATALOG PASSIVE ELECTRONIC.FUSE</t>
  </si>
  <si>
    <t>FUSE</t>
  </si>
  <si>
    <t>101513753572</t>
  </si>
  <si>
    <t>K4255</t>
  </si>
  <si>
    <t>5439187460</t>
  </si>
  <si>
    <t>1625002098</t>
  </si>
  <si>
    <t>0059-V040320EN</t>
  </si>
  <si>
    <t>DIRECT.RAW MAGNET WIRE.AL WIRE FINE SIZE (OD &lt;050mm)</t>
  </si>
  <si>
    <t>1-EAIW_AL_MAGNET_WIRE_0.32MM</t>
  </si>
  <si>
    <t>101513753669</t>
  </si>
  <si>
    <t>1275391670</t>
  </si>
  <si>
    <t>W03</t>
  </si>
  <si>
    <t>1202-12B0005EN</t>
  </si>
  <si>
    <t>RGB.YY.BUSHING</t>
  </si>
  <si>
    <t>BUSHING</t>
  </si>
  <si>
    <t>FGD-P2RGB</t>
  </si>
  <si>
    <t>101513754343</t>
  </si>
  <si>
    <t>KG</t>
  </si>
  <si>
    <t>MM</t>
  </si>
  <si>
    <t>C-PAL-507001</t>
  </si>
  <si>
    <t>C-BOX-474009</t>
  </si>
  <si>
    <t>1275402056</t>
  </si>
  <si>
    <t>Y05</t>
  </si>
  <si>
    <t>1307-5YY0150EN</t>
  </si>
  <si>
    <t>NEW.NEW.NEW</t>
  </si>
  <si>
    <t>Magnet 8300338  GRADE: 5H</t>
  </si>
  <si>
    <t>101513754572</t>
  </si>
  <si>
    <t>1195009982</t>
  </si>
  <si>
    <t>BOULEVARD MORELOS NO. 1109 MEGA PARQUE INDUSTRIAL AEROPUERTO DE CALERA C.P. 98519 CALERA  ZACATECAS Tax ID JEG120120DD4   MX</t>
  </si>
  <si>
    <t>Q07</t>
  </si>
  <si>
    <t>PC-INTERNAL-SWO-HSG-MX</t>
  </si>
  <si>
    <t>0081-5000001EN</t>
  </si>
  <si>
    <t>DC.CFM.CFM</t>
  </si>
  <si>
    <t>SILICONE GAP FILLER</t>
  </si>
  <si>
    <t>FGD-PC</t>
  </si>
  <si>
    <t>101513754711</t>
  </si>
  <si>
    <t>C-PAL-233059</t>
  </si>
  <si>
    <t>C-BOX-233201</t>
  </si>
  <si>
    <t>1195010053</t>
  </si>
  <si>
    <t>101513754712</t>
  </si>
  <si>
    <t>1275409411</t>
  </si>
  <si>
    <t>0070-G130008EN</t>
  </si>
  <si>
    <t>PPS + 40% GF</t>
  </si>
  <si>
    <t>101513754706</t>
  </si>
  <si>
    <t>1015082405</t>
  </si>
  <si>
    <t>QIONG PENG</t>
  </si>
  <si>
    <t>BI-INTERNAL-SWO-HSG-MX</t>
  </si>
  <si>
    <t>1200-1030955EN</t>
  </si>
  <si>
    <t>EC.N.NONE</t>
  </si>
  <si>
    <t>END CAP ASS'Y</t>
  </si>
  <si>
    <t>YANTIAN</t>
  </si>
  <si>
    <t>FGD-BI</t>
  </si>
  <si>
    <t>101513756354</t>
  </si>
  <si>
    <t>MSC-SEA-GEN</t>
  </si>
  <si>
    <t>MANZANILLO EXPRESS V.2611E</t>
  </si>
  <si>
    <t>MSNU9003952</t>
  </si>
  <si>
    <t>40HQ</t>
  </si>
  <si>
    <t>MEDUWH352603</t>
  </si>
  <si>
    <t>C-PAL-233041</t>
  </si>
  <si>
    <t>C-BOX-233127</t>
  </si>
  <si>
    <t>1235035118</t>
  </si>
  <si>
    <t>ELLA CY XIAO</t>
  </si>
  <si>
    <t>B99</t>
  </si>
  <si>
    <t>PM-INTERNAL-SWO-HSG-MX</t>
  </si>
  <si>
    <t>1200-1061164EN</t>
  </si>
  <si>
    <t>END CAP ASSY</t>
  </si>
  <si>
    <t>FGD-PM</t>
  </si>
  <si>
    <t>101513756355</t>
  </si>
  <si>
    <t>C-PAL-171001</t>
  </si>
  <si>
    <t>C-BOX-233113</t>
  </si>
  <si>
    <t>1235035461</t>
  </si>
  <si>
    <t>HONGLI CAO</t>
  </si>
  <si>
    <t>1293-1060012EN</t>
  </si>
  <si>
    <t>NONE.N.NONE</t>
  </si>
  <si>
    <t>TERMINAL HOLDER ASSY</t>
  </si>
  <si>
    <t>101513756352</t>
  </si>
  <si>
    <t>C-PAL-136001</t>
  </si>
  <si>
    <t>C-BOX-594150</t>
  </si>
  <si>
    <t>1235035462</t>
  </si>
  <si>
    <t>101513756353</t>
  </si>
  <si>
    <t>1275395940</t>
  </si>
  <si>
    <t>C&amp;S-INTERNAL-SWO-HSG-MX</t>
  </si>
  <si>
    <t>1220-5YY0030EN</t>
  </si>
  <si>
    <t>G</t>
  </si>
  <si>
    <t>CEM.YY.TERMINAL HOLDER</t>
  </si>
  <si>
    <t>TERMINAL HOLDER 8260573</t>
  </si>
  <si>
    <t>FGD-CS</t>
  </si>
  <si>
    <t>101513756367</t>
  </si>
  <si>
    <t>C-PAL-294062</t>
  </si>
  <si>
    <t>C-BOX-001051</t>
  </si>
  <si>
    <t>1275401968</t>
  </si>
  <si>
    <t>W01</t>
  </si>
  <si>
    <t>1101-5YY0361EN</t>
  </si>
  <si>
    <t>BB.P0.SHAFT</t>
  </si>
  <si>
    <t>SHAFT 8000847</t>
  </si>
  <si>
    <t>101513756366</t>
  </si>
  <si>
    <t>C-PAL-360001</t>
  </si>
  <si>
    <t>1504-1YY0040</t>
  </si>
  <si>
    <t>1275402000</t>
  </si>
  <si>
    <t>1101-5YY0299EN</t>
  </si>
  <si>
    <t>SHAFT 8000764</t>
  </si>
  <si>
    <t>101513756359</t>
  </si>
  <si>
    <t>1275402030</t>
  </si>
  <si>
    <t>Y01</t>
  </si>
  <si>
    <t>1140-5YY0004EN</t>
  </si>
  <si>
    <t>PM.11.SLEEVE</t>
  </si>
  <si>
    <t>SLEEVE 8140186</t>
  </si>
  <si>
    <t>101513756358</t>
  </si>
  <si>
    <t>C-PAL-512001</t>
  </si>
  <si>
    <t>C-BOX-001219</t>
  </si>
  <si>
    <t>1275402035</t>
  </si>
  <si>
    <t>1106-5YY0012-T2EN</t>
  </si>
  <si>
    <t>CE.YY.COLLECTOR LINK</t>
  </si>
  <si>
    <t>COLLECTOR LINK</t>
  </si>
  <si>
    <t>101513756360</t>
  </si>
  <si>
    <t>C-PAL-146006</t>
  </si>
  <si>
    <t>C-BOX-001184</t>
  </si>
  <si>
    <t>1275402083</t>
  </si>
  <si>
    <t>1252-5YY0073EN</t>
  </si>
  <si>
    <t>SB.YY.CARBON BRUSH</t>
  </si>
  <si>
    <t>CARBON  BRUSH 8330162</t>
  </si>
  <si>
    <t>101513756361</t>
  </si>
  <si>
    <t>C-PAL-294025</t>
  </si>
  <si>
    <t>C-BOX-594025</t>
  </si>
  <si>
    <t>1275402789</t>
  </si>
  <si>
    <t>Y04</t>
  </si>
  <si>
    <t>1200-3030001EN</t>
  </si>
  <si>
    <t>CE.300.END CAP</t>
  </si>
  <si>
    <t>101513756365</t>
  </si>
  <si>
    <t>C-PAL-522001</t>
  </si>
  <si>
    <t>C-BOX-001212</t>
  </si>
  <si>
    <t>1275402944</t>
  </si>
  <si>
    <t>1415-EQN0004EN</t>
  </si>
  <si>
    <t>D</t>
  </si>
  <si>
    <t>SB.YY.GEAR</t>
  </si>
  <si>
    <t>DRIVE GEAR</t>
  </si>
  <si>
    <t>101513756382</t>
  </si>
  <si>
    <t>C-PAL-WOODCASE</t>
  </si>
  <si>
    <t>C-BOX-001444</t>
  </si>
  <si>
    <t>1275402946</t>
  </si>
  <si>
    <t>1415-EQN0007EN</t>
  </si>
  <si>
    <t>E</t>
  </si>
  <si>
    <t>HELICAL GEAR</t>
  </si>
  <si>
    <t>101513756383</t>
  </si>
  <si>
    <t>1275402947</t>
  </si>
  <si>
    <t>1415-EQN0005EN</t>
  </si>
  <si>
    <t>PM.YY.GEAR</t>
  </si>
  <si>
    <t>PLANET GEAR</t>
  </si>
  <si>
    <t>101513756384</t>
  </si>
  <si>
    <t>C-BOX-594165</t>
  </si>
  <si>
    <t>1275406532</t>
  </si>
  <si>
    <t>1308-0033550EN</t>
  </si>
  <si>
    <t>CE.300.MAGNET SPRING</t>
  </si>
  <si>
    <t>MAGNET SPRING(33550-30800EP)</t>
  </si>
  <si>
    <t>101513756369</t>
  </si>
  <si>
    <t>C-PAL-398001</t>
  </si>
  <si>
    <t>1504-1MB0011</t>
  </si>
  <si>
    <t>1275406537</t>
  </si>
  <si>
    <t>1202-1030350EN</t>
  </si>
  <si>
    <t>PM.300.BUSHING</t>
  </si>
  <si>
    <t>BUSHING(1202-1030020-76EN)</t>
  </si>
  <si>
    <t>101513756372</t>
  </si>
  <si>
    <t>1275406541</t>
  </si>
  <si>
    <t>1101-0037350EN</t>
  </si>
  <si>
    <t>DIRECT.SHAFT / GRINDING PARTS.NONE</t>
  </si>
  <si>
    <t>MOTOR SHAFT(37350-10100/EP)</t>
  </si>
  <si>
    <t>101513756371</t>
  </si>
  <si>
    <t>C-PAL-526001</t>
  </si>
  <si>
    <t>C-BOX-542002</t>
  </si>
  <si>
    <t>1275406641</t>
  </si>
  <si>
    <t>1101-10C0244EN</t>
  </si>
  <si>
    <t>BB.YY.SHAFT</t>
  </si>
  <si>
    <t>SHAFT</t>
  </si>
  <si>
    <t>101513756370</t>
  </si>
  <si>
    <t>C-BOX-597001</t>
  </si>
  <si>
    <t>1275406915</t>
  </si>
  <si>
    <t>1202-1030170-71EN</t>
  </si>
  <si>
    <t>101513756357</t>
  </si>
  <si>
    <t>1275406984</t>
  </si>
  <si>
    <t>1326-5YY0082EN</t>
  </si>
  <si>
    <t>CB.YY.CONNECTOR</t>
  </si>
  <si>
    <t>CONNECTING LINK 8160234</t>
  </si>
  <si>
    <t>101513756368</t>
  </si>
  <si>
    <t>C-PAL-146032</t>
  </si>
  <si>
    <t>C-BOX-001378</t>
  </si>
  <si>
    <t>1275406987</t>
  </si>
  <si>
    <t>1209-5YY0476EN</t>
  </si>
  <si>
    <t>CE.YY.TERMINAL</t>
  </si>
  <si>
    <t>TERMINAL 8351301(1209-5YY0476-T2EN)</t>
  </si>
  <si>
    <t>101513756377</t>
  </si>
  <si>
    <t>C-PAL-380002</t>
  </si>
  <si>
    <t>C-BOX-001405</t>
  </si>
  <si>
    <t>1275406989</t>
  </si>
  <si>
    <t>1209-5YY0498EN</t>
  </si>
  <si>
    <t>TERMINAL 8351297(1209-5YY0498-T2EN)</t>
  </si>
  <si>
    <t>101513756381</t>
  </si>
  <si>
    <t>C-PAL-146015</t>
  </si>
  <si>
    <t>C-BOX-474030</t>
  </si>
  <si>
    <t>1275406994</t>
  </si>
  <si>
    <t>1209-5YY0497EN</t>
  </si>
  <si>
    <t>TERMINAL 8351296(1209-5YY0497-T2EN)</t>
  </si>
  <si>
    <t>101513756380</t>
  </si>
  <si>
    <t>1275407000</t>
  </si>
  <si>
    <t>1209-5YY0475EN</t>
  </si>
  <si>
    <t>TERMINAL 8351300(1209-5YY0475-T2EN)</t>
  </si>
  <si>
    <t>101513756376</t>
  </si>
  <si>
    <t>C-BOX-594021</t>
  </si>
  <si>
    <t>1275409303</t>
  </si>
  <si>
    <t>1209-5YY0477EN</t>
  </si>
  <si>
    <t>TERMINAL 8351302(1209-5YY0477-T2EN)</t>
  </si>
  <si>
    <t>101513756378</t>
  </si>
  <si>
    <t>1275409314</t>
  </si>
  <si>
    <t>101513756379</t>
  </si>
  <si>
    <t>1275409403</t>
  </si>
  <si>
    <t>NOT APPLICABLE</t>
  </si>
  <si>
    <t>1322-5YY0003EP</t>
  </si>
  <si>
    <t>CE.YY.COVER</t>
  </si>
  <si>
    <t>BEARING PLATE 8191162 / 8190442</t>
  </si>
  <si>
    <t>101513756356</t>
  </si>
  <si>
    <t>C-PAL-048001</t>
  </si>
  <si>
    <t>1504-1YY0133</t>
  </si>
  <si>
    <t>1275409746</t>
  </si>
  <si>
    <t>1101-EQN0004EN</t>
  </si>
  <si>
    <t>101513756374</t>
  </si>
  <si>
    <t>C-BOX-001008</t>
  </si>
  <si>
    <t>1275411877</t>
  </si>
  <si>
    <t>1415-1060749EN</t>
  </si>
  <si>
    <t>SB.700.BUSHING</t>
  </si>
  <si>
    <t>PINION</t>
  </si>
  <si>
    <t>101513756363</t>
  </si>
  <si>
    <t>C-PAL-294039</t>
  </si>
  <si>
    <t>C-BOX-474127</t>
  </si>
  <si>
    <t>1275412196</t>
  </si>
  <si>
    <t>1101-EQN0001EN</t>
  </si>
  <si>
    <t>101513756373</t>
  </si>
  <si>
    <t>1275412198</t>
  </si>
  <si>
    <t>101513756375</t>
  </si>
  <si>
    <t>1275412966</t>
  </si>
  <si>
    <t>1101-1060600EN</t>
  </si>
  <si>
    <t>BB.600.SHAFT</t>
  </si>
  <si>
    <t>101513756362</t>
  </si>
  <si>
    <t>3275162412</t>
  </si>
  <si>
    <t>C&amp;S-INTERNAL-RUSH-HSG-MX</t>
  </si>
  <si>
    <t>101513756364</t>
  </si>
  <si>
    <t>3275162414</t>
  </si>
  <si>
    <t>JE</t>
  </si>
  <si>
    <t>C&amp;S-INTERNAL-RUSH-HJM-MX</t>
  </si>
  <si>
    <t>EXPORT</t>
  </si>
  <si>
    <t>1318-1YY0567EN</t>
  </si>
  <si>
    <t>CR.YY.O-RING</t>
  </si>
  <si>
    <t>FGD-JCE</t>
  </si>
  <si>
    <t>101513753470</t>
  </si>
  <si>
    <t>DHL COURIER-AIR-GEN</t>
  </si>
  <si>
    <t>K4241</t>
  </si>
  <si>
    <t>1644074541</t>
  </si>
  <si>
    <t>C-PAL-11803</t>
  </si>
  <si>
    <t>C-BOX-594074</t>
  </si>
  <si>
    <t>3275162555</t>
  </si>
  <si>
    <t>1318-1E90169EN</t>
  </si>
  <si>
    <t>101513753469</t>
  </si>
  <si>
    <t>3S500</t>
  </si>
  <si>
    <t>1015081121</t>
  </si>
  <si>
    <t>BI-INTERNAL-SWO-HJM-MX</t>
  </si>
  <si>
    <t>1200-1030990EN0002</t>
  </si>
  <si>
    <t>END CAP ASS'Y WITH PACKAGING</t>
  </si>
  <si>
    <t>SHEKOU</t>
  </si>
  <si>
    <t>FG-BI-14E</t>
  </si>
  <si>
    <t>101513754415</t>
  </si>
  <si>
    <t>SHIPCO TRANSPORT-SEA-GEN</t>
  </si>
  <si>
    <t>WAN HAI A16 V.E010</t>
  </si>
  <si>
    <t>TGBU7107819</t>
  </si>
  <si>
    <t>22145133</t>
  </si>
  <si>
    <t>1195009717</t>
  </si>
  <si>
    <t>Q03</t>
  </si>
  <si>
    <t>PC-INTERNAL-SWO-HJM-MX</t>
  </si>
  <si>
    <t>1275-5YY0783EN</t>
  </si>
  <si>
    <t>COMPLETE WIRE HARNESS</t>
  </si>
  <si>
    <t>FG-PC-13E</t>
  </si>
  <si>
    <t>101513754405</t>
  </si>
  <si>
    <t>C-PAL-158001</t>
  </si>
  <si>
    <t>C-BOX-233190</t>
  </si>
  <si>
    <t>1275349495</t>
  </si>
  <si>
    <t>Y07</t>
  </si>
  <si>
    <t>C&amp;S-INTERNAL-SWO-HJM-MX</t>
  </si>
  <si>
    <t>1438-1010107EN</t>
  </si>
  <si>
    <t>F</t>
  </si>
  <si>
    <t>PCBA.100.PCBA</t>
  </si>
  <si>
    <t>PCB ASS'Y(1438-1010107-MTEN)</t>
  </si>
  <si>
    <t>101513754414</t>
  </si>
  <si>
    <t>C-PAL-294061</t>
  </si>
  <si>
    <t>C-BOX-001384</t>
  </si>
  <si>
    <t>1275349991</t>
  </si>
  <si>
    <t>1438-1010133EN</t>
  </si>
  <si>
    <t>(LEADWIRE)CONN &amp; PCB ASSY (AUTOMOTIVE GRADE)</t>
  </si>
  <si>
    <t>101513754413</t>
  </si>
  <si>
    <t>C-PAL-387001</t>
  </si>
  <si>
    <t>C-BOX-2330011</t>
  </si>
  <si>
    <t>1275396288</t>
  </si>
  <si>
    <t>1100-12C0005EN</t>
  </si>
  <si>
    <t>CB.12.ROTOR ASSY</t>
  </si>
  <si>
    <t>OVERMOLD ROTOR</t>
  </si>
  <si>
    <t>101513754407</t>
  </si>
  <si>
    <t>C-PAL-146020</t>
  </si>
  <si>
    <t>C-BOX-001372</t>
  </si>
  <si>
    <t>1275402071</t>
  </si>
  <si>
    <t>Y03</t>
  </si>
  <si>
    <t>1330-5YY0182EN</t>
  </si>
  <si>
    <t>BZ.YY.HEAT SINK</t>
  </si>
  <si>
    <t>HEAT SINK 8191891(PLATING C4)</t>
  </si>
  <si>
    <t>101513754322</t>
  </si>
  <si>
    <t>FFAU1272834</t>
  </si>
  <si>
    <t>22145132</t>
  </si>
  <si>
    <t>C-BOX-001328</t>
  </si>
  <si>
    <t>1275402073</t>
  </si>
  <si>
    <t>1330-5YY0183EN</t>
  </si>
  <si>
    <t>HEAT SINK 8191892(PLATING C4)</t>
  </si>
  <si>
    <t>101513754323</t>
  </si>
  <si>
    <t>C-BOX-001329</t>
  </si>
  <si>
    <t>1275402099</t>
  </si>
  <si>
    <t>Mexico PC Planner Assigned</t>
  </si>
  <si>
    <t>1330-5YY0176EN</t>
  </si>
  <si>
    <t>HEAT SINK 8191849 (1330-5YY0176-C4EN)</t>
  </si>
  <si>
    <t>101513754320</t>
  </si>
  <si>
    <t>1275402130</t>
  </si>
  <si>
    <t>1330-5YY0167EN</t>
  </si>
  <si>
    <t>HEAT SINK 8191836(1330-5YY0167-C4EN)</t>
  </si>
  <si>
    <t>101513754321</t>
  </si>
  <si>
    <t>1275406540</t>
  </si>
  <si>
    <t>1277-1030069EN</t>
  </si>
  <si>
    <t>CE.300.CONNECTOR</t>
  </si>
  <si>
    <t>CONNECTOR</t>
  </si>
  <si>
    <t>101513754406</t>
  </si>
  <si>
    <t>C-BOX-233107</t>
  </si>
  <si>
    <t>1275406977</t>
  </si>
  <si>
    <t>1459-12C0018EN</t>
  </si>
  <si>
    <t>CB.200.COVER</t>
  </si>
  <si>
    <t>COVER</t>
  </si>
  <si>
    <t>101513754408</t>
  </si>
  <si>
    <t>C-PAL-393001</t>
  </si>
  <si>
    <t>C-BOX-001402</t>
  </si>
  <si>
    <t>1275406998</t>
  </si>
  <si>
    <t>W04</t>
  </si>
  <si>
    <t>1301-5YY0305EN0093</t>
  </si>
  <si>
    <t>AA.YY.REAR HOUSING</t>
  </si>
  <si>
    <t>HOUSING 8030642</t>
  </si>
  <si>
    <t>101513754318</t>
  </si>
  <si>
    <t>C-PAL-518001</t>
  </si>
  <si>
    <t>C-BOX-001319</t>
  </si>
  <si>
    <t>1275407010</t>
  </si>
  <si>
    <t>1301-5YY0306EN0093</t>
  </si>
  <si>
    <t>HOUSING 8030645</t>
  </si>
  <si>
    <t>101513754319</t>
  </si>
  <si>
    <t>C-PAL-511001</t>
  </si>
  <si>
    <t>C-BOX-001343</t>
  </si>
  <si>
    <t>1275377265</t>
  </si>
  <si>
    <t>1346-1120062EN</t>
  </si>
  <si>
    <t>CE.12.BOBBIN</t>
  </si>
  <si>
    <t>BOBBIN(REAR)</t>
  </si>
  <si>
    <t>101513754751</t>
  </si>
  <si>
    <t>ZIM MOUNT BLANC V.12E</t>
  </si>
  <si>
    <t>JXLU4392928</t>
  </si>
  <si>
    <t>22145170</t>
  </si>
  <si>
    <t>C-PAL-349002</t>
  </si>
  <si>
    <t>C-BOX-474271</t>
  </si>
  <si>
    <t>1275377292</t>
  </si>
  <si>
    <t>1301-1120169EN</t>
  </si>
  <si>
    <t>CB.11.HOUSING</t>
  </si>
  <si>
    <t>HOUSING(BARE PART)</t>
  </si>
  <si>
    <t>101513754750</t>
  </si>
  <si>
    <t>C-BOX-474272</t>
  </si>
  <si>
    <t>1275391619</t>
  </si>
  <si>
    <t>1301-12C0022EN</t>
  </si>
  <si>
    <t>CB.600.REAR HOUSING</t>
  </si>
  <si>
    <t>HOUSING(SEAL OVERMOLD)</t>
  </si>
  <si>
    <t>101513754760</t>
  </si>
  <si>
    <t>C-BOX-001437</t>
  </si>
  <si>
    <t>1275391774</t>
  </si>
  <si>
    <t>1346-12C0011EN</t>
  </si>
  <si>
    <t>CB.SP63.BOBBIN</t>
  </si>
  <si>
    <t>BOBBIN</t>
  </si>
  <si>
    <t>101513754752</t>
  </si>
  <si>
    <t>C-PAL-293001</t>
  </si>
  <si>
    <t>C-BOX-001404</t>
  </si>
  <si>
    <t>101513754757</t>
  </si>
  <si>
    <t>101513754761</t>
  </si>
  <si>
    <t>1275402131</t>
  </si>
  <si>
    <t>101513754756</t>
  </si>
  <si>
    <t>1275402149</t>
  </si>
  <si>
    <t>1330-5YY0168EN</t>
  </si>
  <si>
    <t>HEAT SHIELD  8191837(1330-5YY0168-C4EN)</t>
  </si>
  <si>
    <t>101513754755</t>
  </si>
  <si>
    <t>1275402803</t>
  </si>
  <si>
    <t>1277-1030115EN</t>
  </si>
  <si>
    <t>101513754762</t>
  </si>
  <si>
    <t>C-BOX-001312</t>
  </si>
  <si>
    <t>1275402856</t>
  </si>
  <si>
    <t>1201-1030400EN</t>
  </si>
  <si>
    <t>END CAP (TERMINAL HOUSING)</t>
  </si>
  <si>
    <t>101513754758</t>
  </si>
  <si>
    <t>1275402859</t>
  </si>
  <si>
    <t>1426-1030015EN</t>
  </si>
  <si>
    <t>CB.300.VALVE</t>
  </si>
  <si>
    <t>PRESSURE VALVES</t>
  </si>
  <si>
    <t>101513754763</t>
  </si>
  <si>
    <t>C-PAL-392001</t>
  </si>
  <si>
    <t>C-BOX-594110</t>
  </si>
  <si>
    <t>1275406928</t>
  </si>
  <si>
    <t>1484-12C0012EN</t>
  </si>
  <si>
    <t>CB.300.IMPELLER</t>
  </si>
  <si>
    <t>IMPELLER</t>
  </si>
  <si>
    <t>101513754753</t>
  </si>
  <si>
    <t>101513754754</t>
  </si>
  <si>
    <t>1275409419</t>
  </si>
  <si>
    <t>101513754759</t>
  </si>
  <si>
    <t>101513755178</t>
  </si>
  <si>
    <t>ZCSU7928505</t>
  </si>
  <si>
    <t>22145172</t>
  </si>
  <si>
    <t>1015082115</t>
  </si>
  <si>
    <t>A62</t>
  </si>
  <si>
    <t>1999-1010399E1</t>
  </si>
  <si>
    <t>DC.100.NF143G</t>
  </si>
  <si>
    <t>NF143G-1010399</t>
  </si>
  <si>
    <t>FG-BI-25E</t>
  </si>
  <si>
    <t>101513755362</t>
  </si>
  <si>
    <t>MSDU6089696</t>
  </si>
  <si>
    <t>MEDUWH352686</t>
  </si>
  <si>
    <t>C-PAL-208002</t>
  </si>
  <si>
    <t>C-BOX-159006</t>
  </si>
  <si>
    <t>1195009629</t>
  </si>
  <si>
    <t>1275-5YY0352EN</t>
  </si>
  <si>
    <t>H</t>
  </si>
  <si>
    <t>COMPLETE HARNESS 9180988</t>
  </si>
  <si>
    <t>FG-PC-23E</t>
  </si>
  <si>
    <t>101513755177</t>
  </si>
  <si>
    <t>C-PAL-814001</t>
  </si>
  <si>
    <t>C-BOX-233039</t>
  </si>
  <si>
    <t>101513755180</t>
  </si>
  <si>
    <t>1195009942</t>
  </si>
  <si>
    <t>1275-5YY0568EN</t>
  </si>
  <si>
    <t>J</t>
  </si>
  <si>
    <t>COMPLETE HARNESS  9181214</t>
  </si>
  <si>
    <t>101513755179</t>
  </si>
  <si>
    <t>1275347245</t>
  </si>
  <si>
    <t>101513755176</t>
  </si>
  <si>
    <t>1275370283</t>
  </si>
  <si>
    <t>1438-12C0005EN</t>
  </si>
  <si>
    <t>PCB ASSY</t>
  </si>
  <si>
    <t>101513755182</t>
  </si>
  <si>
    <t>C-PAL-043001</t>
  </si>
  <si>
    <t>C-BOX-001407</t>
  </si>
  <si>
    <t>1275384965</t>
  </si>
  <si>
    <t>101513755175</t>
  </si>
  <si>
    <t>101513755373</t>
  </si>
  <si>
    <t>1275395989</t>
  </si>
  <si>
    <t>1307-5YY0151EN</t>
  </si>
  <si>
    <t>FMP.YY.MAGNET</t>
  </si>
  <si>
    <t>MAGNET 8300333</t>
  </si>
  <si>
    <t>101513755364</t>
  </si>
  <si>
    <t>C-PAL-294041</t>
  </si>
  <si>
    <t>C-BOX-474021</t>
  </si>
  <si>
    <t>1275396002</t>
  </si>
  <si>
    <t>FLY YF LUO</t>
  </si>
  <si>
    <t>1307-5YY0182EN</t>
  </si>
  <si>
    <t>MAGNET 8300387</t>
  </si>
  <si>
    <t>101513755375</t>
  </si>
  <si>
    <t>C-PAL-294017</t>
  </si>
  <si>
    <t>C-BOX-001401</t>
  </si>
  <si>
    <t>1275396203</t>
  </si>
  <si>
    <t>1307-5YY0154EN</t>
  </si>
  <si>
    <t>MAGNET 8300342</t>
  </si>
  <si>
    <t>101513755365</t>
  </si>
  <si>
    <t>C-PAL-146044</t>
  </si>
  <si>
    <t>C-BOX-001177</t>
  </si>
  <si>
    <t>1275400534</t>
  </si>
  <si>
    <t>1205-12C0015EN</t>
  </si>
  <si>
    <t>TERMINAL(OLD PN:1205-12C0009-T1)</t>
  </si>
  <si>
    <t>101513755370</t>
  </si>
  <si>
    <t>C-BOX-001105</t>
  </si>
  <si>
    <t>1275400536</t>
  </si>
  <si>
    <t>1205-12B0012EN</t>
  </si>
  <si>
    <t>TERMINAL(OLD PN:1205-12B0010-T1)</t>
  </si>
  <si>
    <t>101513755368</t>
  </si>
  <si>
    <t>1275400537</t>
  </si>
  <si>
    <t>1205-12C0014EN</t>
  </si>
  <si>
    <t>TERMINAL(OLD PN:1205-12C0006-T1)</t>
  </si>
  <si>
    <t>101513755369</t>
  </si>
  <si>
    <t>101513755361</t>
  </si>
  <si>
    <t>1275402165</t>
  </si>
  <si>
    <t>1307-5YY0170EN</t>
  </si>
  <si>
    <t>MAGNET 8300374</t>
  </si>
  <si>
    <t>101513755356</t>
  </si>
  <si>
    <t>1275402490</t>
  </si>
  <si>
    <t>1210-10C0133EN</t>
  </si>
  <si>
    <t>CE.YY.LEAD WIRE AND TERMINAL ASSY</t>
  </si>
  <si>
    <t>LEADWIRE &amp; TERM ASSY</t>
  </si>
  <si>
    <t>101513755360</t>
  </si>
  <si>
    <t>C-PAL-220001</t>
  </si>
  <si>
    <t>1275402858</t>
  </si>
  <si>
    <t>1318-1030113EN</t>
  </si>
  <si>
    <t>CR.YY.SEAL</t>
  </si>
  <si>
    <t>SEAL(DIAPHRAGM)</t>
  </si>
  <si>
    <t>101513755378</t>
  </si>
  <si>
    <t>C-BOX-594001</t>
  </si>
  <si>
    <t>1275402873</t>
  </si>
  <si>
    <t>1426-1030016EN</t>
  </si>
  <si>
    <t>101513755379</t>
  </si>
  <si>
    <t>1275404431</t>
  </si>
  <si>
    <t>1127-EQN0006EN</t>
  </si>
  <si>
    <t>CE.YY.HOUSING BUSHING</t>
  </si>
  <si>
    <t>HOUSING BUSHING (COATING YC)</t>
  </si>
  <si>
    <t>101513755376</t>
  </si>
  <si>
    <t>1275406525</t>
  </si>
  <si>
    <t>1205-1030761EN</t>
  </si>
  <si>
    <t>CE.300.TERMINAL</t>
  </si>
  <si>
    <t>TERMINAL(1205-1030279-T1EN)</t>
  </si>
  <si>
    <t>101513755381</t>
  </si>
  <si>
    <t>1500-10P0071</t>
  </si>
  <si>
    <t>1275406527</t>
  </si>
  <si>
    <t>1205-1030760EN</t>
  </si>
  <si>
    <t>TERMINAL(1205-1030264-T1EN)</t>
  </si>
  <si>
    <t>101513755380</t>
  </si>
  <si>
    <t>1275406528</t>
  </si>
  <si>
    <t>1205-1030762EN</t>
  </si>
  <si>
    <t>TERMINAL(1205-1030280-T1EN)</t>
  </si>
  <si>
    <t>101513755383</t>
  </si>
  <si>
    <t>1275406534</t>
  </si>
  <si>
    <t>1301-1030478EN</t>
  </si>
  <si>
    <t>AA.300.REAR HOUSING</t>
  </si>
  <si>
    <t>REAR HOUSING(C5B60-30100EN)</t>
  </si>
  <si>
    <t>101513755359</t>
  </si>
  <si>
    <t>C-BOX-594109</t>
  </si>
  <si>
    <t>101513755372</t>
  </si>
  <si>
    <t>1275406546</t>
  </si>
  <si>
    <t>1459-1030040EN</t>
  </si>
  <si>
    <t>CB.300.PINION</t>
  </si>
  <si>
    <t>101513755367</t>
  </si>
  <si>
    <t>1275406618</t>
  </si>
  <si>
    <t>1307-1060077EN</t>
  </si>
  <si>
    <t>FMP.600.MAGNET</t>
  </si>
  <si>
    <t>101513755366</t>
  </si>
  <si>
    <t>C-PAL-120002</t>
  </si>
  <si>
    <t>C-BOX-001191</t>
  </si>
  <si>
    <t>1275406918</t>
  </si>
  <si>
    <t>1209-1030065EN</t>
  </si>
  <si>
    <t>TERMINAL LINK</t>
  </si>
  <si>
    <t>101513755371</t>
  </si>
  <si>
    <t>1275406965</t>
  </si>
  <si>
    <t>101513755357</t>
  </si>
  <si>
    <t>1275406982</t>
  </si>
  <si>
    <t>1205-1030759EN</t>
  </si>
  <si>
    <t>TERMINAL(1205-1030263-T1EN)</t>
  </si>
  <si>
    <t>101513755377</t>
  </si>
  <si>
    <t>1504-10P0081</t>
  </si>
  <si>
    <t>1275406990</t>
  </si>
  <si>
    <t>1301-5YY0322EN0093</t>
  </si>
  <si>
    <t>HOUSING 8030656</t>
  </si>
  <si>
    <t>101513755181</t>
  </si>
  <si>
    <t>1275406996</t>
  </si>
  <si>
    <t>1209-5YY0205-T2EN</t>
  </si>
  <si>
    <t>101513755363</t>
  </si>
  <si>
    <t>1275407020</t>
  </si>
  <si>
    <t>1307-5YY0174EN</t>
  </si>
  <si>
    <t>MAGNET 8300380</t>
  </si>
  <si>
    <t>101513755374</t>
  </si>
  <si>
    <t>1275409382</t>
  </si>
  <si>
    <t>1330-5YY0256EN</t>
  </si>
  <si>
    <t>HEAT SINK PLATE (PLATING C4)</t>
  </si>
  <si>
    <t>101513755385</t>
  </si>
  <si>
    <t>1275409445</t>
  </si>
  <si>
    <t>1330-5YY0177EN</t>
  </si>
  <si>
    <t>HEAT SINK 8191851 (1330-5YY0177-C4EN)</t>
  </si>
  <si>
    <t>101513755358</t>
  </si>
  <si>
    <t>1275412509</t>
  </si>
  <si>
    <t>101513755382</t>
  </si>
  <si>
    <t>1275412510</t>
  </si>
  <si>
    <t>101513755384</t>
  </si>
  <si>
    <t>1015081119</t>
  </si>
  <si>
    <t>A23</t>
  </si>
  <si>
    <t>1999-1031497EN</t>
  </si>
  <si>
    <t>DC.300.KC335XLG</t>
  </si>
  <si>
    <t>KC335XLG-1031497</t>
  </si>
  <si>
    <t>101513755858</t>
  </si>
  <si>
    <t>GAOU7040650</t>
  </si>
  <si>
    <t>22145290</t>
  </si>
  <si>
    <t>C-BOX-474013</t>
  </si>
  <si>
    <t>101513755842</t>
  </si>
  <si>
    <t>101513755715</t>
  </si>
  <si>
    <t>MEDU4622772</t>
  </si>
  <si>
    <t>MEDUWH352694</t>
  </si>
  <si>
    <t>1195009658</t>
  </si>
  <si>
    <t>101513755716</t>
  </si>
  <si>
    <t>101513755857</t>
  </si>
  <si>
    <t>101513755726</t>
  </si>
  <si>
    <t>101513755725</t>
  </si>
  <si>
    <t>101513755723</t>
  </si>
  <si>
    <t>101513755724</t>
  </si>
  <si>
    <t>1275391705</t>
  </si>
  <si>
    <t>1346-12B0010EN</t>
  </si>
  <si>
    <t>101513755718</t>
  </si>
  <si>
    <t>C-BOX-001403</t>
  </si>
  <si>
    <t>101513755720</t>
  </si>
  <si>
    <t>101513755719</t>
  </si>
  <si>
    <t>1275400527</t>
  </si>
  <si>
    <t>101513755727</t>
  </si>
  <si>
    <t>101513755853</t>
  </si>
  <si>
    <t>101513755852</t>
  </si>
  <si>
    <t>1275402865</t>
  </si>
  <si>
    <t>1458-1030127EN</t>
  </si>
  <si>
    <t>CB.300.PUMP HOUSING</t>
  </si>
  <si>
    <t>PUMP HOUSING</t>
  </si>
  <si>
    <t>101513755854</t>
  </si>
  <si>
    <t>C-BOX-001408</t>
  </si>
  <si>
    <t>1275402905</t>
  </si>
  <si>
    <t>1458-1030144EN</t>
  </si>
  <si>
    <t>101513755855</t>
  </si>
  <si>
    <t>1275406610</t>
  </si>
  <si>
    <t>1401-1060059-92EN</t>
  </si>
  <si>
    <t>AA.600.FLANGE</t>
  </si>
  <si>
    <t>FLANGE</t>
  </si>
  <si>
    <t>101513755717</t>
  </si>
  <si>
    <t>C-PAL-146003</t>
  </si>
  <si>
    <t>C-BOX-197004</t>
  </si>
  <si>
    <t>1275406985</t>
  </si>
  <si>
    <t>1271-5YY0100EN</t>
  </si>
  <si>
    <t>CB.YY.FRAME</t>
  </si>
  <si>
    <t>CO-MOULDED FRAME 8260607</t>
  </si>
  <si>
    <t>101513755848</t>
  </si>
  <si>
    <t>C-PAL-330001</t>
  </si>
  <si>
    <t>C-BOX-001406</t>
  </si>
  <si>
    <t>101513755721</t>
  </si>
  <si>
    <t>101513755850</t>
  </si>
  <si>
    <t>1275409430</t>
  </si>
  <si>
    <t>101513755722</t>
  </si>
  <si>
    <t>1275409435</t>
  </si>
  <si>
    <t>1330-5YY0112EN</t>
  </si>
  <si>
    <t>HEAT SINK 8191577</t>
  </si>
  <si>
    <t>101513755843</t>
  </si>
  <si>
    <t>1275410442</t>
  </si>
  <si>
    <t>W02</t>
  </si>
  <si>
    <t>AYSP61BS362EN</t>
  </si>
  <si>
    <t>BA.SP61.AL-CAST ROTOR</t>
  </si>
  <si>
    <t>AL ROTOR CPL(PROCESS P2)</t>
  </si>
  <si>
    <t>101513755849</t>
  </si>
  <si>
    <t>1574-VYY0003</t>
  </si>
  <si>
    <t>1275410747</t>
  </si>
  <si>
    <t>1458-1030121EN</t>
  </si>
  <si>
    <t>101513755851</t>
  </si>
  <si>
    <t>C-PAL-295001</t>
  </si>
  <si>
    <t>1275410806</t>
  </si>
  <si>
    <t>1201-12B0002EN</t>
  </si>
  <si>
    <t>CB.YY.CAP</t>
  </si>
  <si>
    <t>FRONT CAP</t>
  </si>
  <si>
    <t>101513755844</t>
  </si>
  <si>
    <t>1275410824</t>
  </si>
  <si>
    <t>1404-12C0002EN</t>
  </si>
  <si>
    <t>BA.YY.YOKE ASSY</t>
  </si>
  <si>
    <t>YOKE ASSY</t>
  </si>
  <si>
    <t>101513755847</t>
  </si>
  <si>
    <t>1275410839</t>
  </si>
  <si>
    <t>1339-12C0007EN</t>
  </si>
  <si>
    <t>BA.YY.STACK CPL</t>
  </si>
  <si>
    <t>STACK CPL</t>
  </si>
  <si>
    <t>101513755845</t>
  </si>
  <si>
    <t>1275410856</t>
  </si>
  <si>
    <t>1339-12C0008EN</t>
  </si>
  <si>
    <t>101513755846</t>
  </si>
  <si>
    <t>3275162346</t>
  </si>
  <si>
    <t>1330-5YY0251EN</t>
  </si>
  <si>
    <t>HEAT SINK PLATE</t>
  </si>
  <si>
    <t>101513755856</t>
  </si>
  <si>
    <t>1275389122</t>
  </si>
  <si>
    <t>101513756389</t>
  </si>
  <si>
    <t>1275389205</t>
  </si>
  <si>
    <t>1271-5YY0099EN</t>
  </si>
  <si>
    <t>CO-MOULDED FRAME 8260612</t>
  </si>
  <si>
    <t>101513756388</t>
  </si>
  <si>
    <t>101513756387</t>
  </si>
  <si>
    <t>101513756351</t>
  </si>
  <si>
    <t>1015082404</t>
  </si>
  <si>
    <t>1104-1030078EN</t>
  </si>
  <si>
    <t>DIRECT-JMX.COMMUTATOR.ASSEMBLY COMMUTATOR</t>
  </si>
  <si>
    <t>COMMUTATOR</t>
  </si>
  <si>
    <t>101513756830</t>
  </si>
  <si>
    <t>CSCL ASIA V.E170</t>
  </si>
  <si>
    <t>WHSU5760194</t>
  </si>
  <si>
    <t>22145527</t>
  </si>
  <si>
    <t>101513756854</t>
  </si>
  <si>
    <t>101513756843</t>
  </si>
  <si>
    <t>101513756828</t>
  </si>
  <si>
    <t>1015082423</t>
  </si>
  <si>
    <t>1205-1010104EN</t>
  </si>
  <si>
    <t>DIRECT-JMX.CONNECTOR / TERMINAL.TERMINAL</t>
  </si>
  <si>
    <t>TERMINAL</t>
  </si>
  <si>
    <t>101513756827</t>
  </si>
  <si>
    <t>1015082426</t>
  </si>
  <si>
    <t>1205-1010103EN</t>
  </si>
  <si>
    <t>101513756826</t>
  </si>
  <si>
    <t>1015082427</t>
  </si>
  <si>
    <t>1474-1030007EN</t>
  </si>
  <si>
    <t>DIRECT-JMX.PLASTIC MOULDING PARTS.COMPONENT</t>
  </si>
  <si>
    <t>FILTER</t>
  </si>
  <si>
    <t>101513756831</t>
  </si>
  <si>
    <t>1015083178</t>
  </si>
  <si>
    <t>101513756844</t>
  </si>
  <si>
    <t>1195010091</t>
  </si>
  <si>
    <t>1403-5YY0136EN</t>
  </si>
  <si>
    <t>DIRECT.STANDARD WASHERS.RING WASHER</t>
  </si>
  <si>
    <t>THRUST SPRING 8130327</t>
  </si>
  <si>
    <t>101513756816</t>
  </si>
  <si>
    <t>1235035691</t>
  </si>
  <si>
    <t>B09</t>
  </si>
  <si>
    <t>PM-INTERNAL-SWO-IM-MX</t>
  </si>
  <si>
    <t>1109-1060020EN</t>
  </si>
  <si>
    <t>DIRECT.STAMPING PARTS (NON-STEEL TYPE).WASHER / SLINGER</t>
  </si>
  <si>
    <t>SLINGER</t>
  </si>
  <si>
    <t>101513756853</t>
  </si>
  <si>
    <t>1275406529</t>
  </si>
  <si>
    <t>0070-1100029</t>
  </si>
  <si>
    <t>POM DURACON M90-44 CF2001</t>
  </si>
  <si>
    <t>101513756528</t>
  </si>
  <si>
    <t>1275409292</t>
  </si>
  <si>
    <t>101513756530</t>
  </si>
  <si>
    <t>1275411620</t>
  </si>
  <si>
    <t>101513756529</t>
  </si>
  <si>
    <t>1615004687</t>
  </si>
  <si>
    <t>101513756850</t>
  </si>
  <si>
    <t>1615004688</t>
  </si>
  <si>
    <t>1446-12B0001EN</t>
  </si>
  <si>
    <t>TUBE(HOSE)</t>
  </si>
  <si>
    <t>265D4840P001</t>
  </si>
  <si>
    <t>101513756851</t>
  </si>
  <si>
    <t>1615004695</t>
  </si>
  <si>
    <t>0060-G680340EN</t>
  </si>
  <si>
    <t>DIRECT.RAW MAGNET WIRE.CU WIRE MID SIZE (OD &gt;=030~050mm)</t>
  </si>
  <si>
    <t>POLYURETHANE + POLYAMIDE ENAMELLED ALUMINIUM MAGNET WIRE 2-UEWN/A/155</t>
  </si>
  <si>
    <t>101513756849</t>
  </si>
  <si>
    <t>1615004702</t>
  </si>
  <si>
    <t>0062-G070080EN</t>
  </si>
  <si>
    <t>DIRECT.SOLDERING MATERIAL.SOLDER WIRE</t>
  </si>
  <si>
    <t>LEAD FREE SOLDER WIRE SnAg3.5(Ni0.2)</t>
  </si>
  <si>
    <t>101513756852</t>
  </si>
  <si>
    <t>1615004703</t>
  </si>
  <si>
    <t>1205-12B0006EN</t>
  </si>
  <si>
    <t>DIRECT.STAMPING PARTS (NON-STEEL TYPE).TERMINAL/TML LINK /TML SPRING/CONTACT</t>
  </si>
  <si>
    <t>101513756847</t>
  </si>
  <si>
    <t>1615004710</t>
  </si>
  <si>
    <t>0060-G600574EN</t>
  </si>
  <si>
    <t>101513756848</t>
  </si>
  <si>
    <t>3015012970</t>
  </si>
  <si>
    <t>BI-INTERNAL-RUSH-IM-MX</t>
  </si>
  <si>
    <t>101513756829</t>
  </si>
  <si>
    <t>1275391646</t>
  </si>
  <si>
    <t>101513757328</t>
  </si>
  <si>
    <t>1625001883</t>
  </si>
  <si>
    <t>1438-12B0006EN</t>
  </si>
  <si>
    <t>DIRECT.PCBA.IPG PCBA</t>
  </si>
  <si>
    <t>PCB ASSY(COMMERCIAL GRADE)</t>
  </si>
  <si>
    <t>101513757357</t>
  </si>
  <si>
    <t>1625002097</t>
  </si>
  <si>
    <t>1110-V0C0021EN</t>
  </si>
  <si>
    <t>DIRECT.STANDARD WASHERS.PLAIN WASHER (METAL TYPE)</t>
  </si>
  <si>
    <t>WASHER</t>
  </si>
  <si>
    <t>101513757356</t>
  </si>
  <si>
    <t>3235005463</t>
  </si>
  <si>
    <t>PM-INTERNAL-RUSH-HSG-MX</t>
  </si>
  <si>
    <t>101513758252</t>
  </si>
  <si>
    <t>1275395741</t>
  </si>
  <si>
    <t>101513759839</t>
  </si>
  <si>
    <t>ITAJAI EXPRESS V.2612E</t>
  </si>
  <si>
    <t>MEDU5320611</t>
  </si>
  <si>
    <t>20GP</t>
  </si>
  <si>
    <t>MEDUWH374524</t>
  </si>
  <si>
    <t>101513759838</t>
  </si>
  <si>
    <t>1275401753</t>
  </si>
  <si>
    <t>101513759832</t>
  </si>
  <si>
    <t>1275402076</t>
  </si>
  <si>
    <t>101513759834</t>
  </si>
  <si>
    <t>1275404437</t>
  </si>
  <si>
    <t>101513759831</t>
  </si>
  <si>
    <t>1275406535</t>
  </si>
  <si>
    <t>1110-0035030EN</t>
  </si>
  <si>
    <t>CE.300.WASHER</t>
  </si>
  <si>
    <t>WASHER(35030-11000EP)</t>
  </si>
  <si>
    <t>101513759841</t>
  </si>
  <si>
    <t>1275406539</t>
  </si>
  <si>
    <t>1109-0037210EN</t>
  </si>
  <si>
    <t>CE.300.SLINGER</t>
  </si>
  <si>
    <t>SLINGER(37210-10900EP)</t>
  </si>
  <si>
    <t>101513759840</t>
  </si>
  <si>
    <t>101513759843</t>
  </si>
  <si>
    <t>101513759842</t>
  </si>
  <si>
    <t>1275406912</t>
  </si>
  <si>
    <t>1204-0035710EN</t>
  </si>
  <si>
    <t>CE.300.BUSHING RETAINER</t>
  </si>
  <si>
    <t>BUSHING RETAINER(35710-20400/EP)</t>
  </si>
  <si>
    <t>101513759844</t>
  </si>
  <si>
    <t>1275406986</t>
  </si>
  <si>
    <t>1106-5YY0013-T2EN</t>
  </si>
  <si>
    <t>101513759833</t>
  </si>
  <si>
    <t>1275409294</t>
  </si>
  <si>
    <t>1106-5YY0032EN</t>
  </si>
  <si>
    <t>COLLECTOR LINKING 8191853(1106-5YY0032-T2EN)</t>
  </si>
  <si>
    <t>101513759822</t>
  </si>
  <si>
    <t>1275409309</t>
  </si>
  <si>
    <t>101513759824</t>
  </si>
  <si>
    <t>1275409320</t>
  </si>
  <si>
    <t>1106-5YY0031EN</t>
  </si>
  <si>
    <t>COLLECTOR LINKING 8191852(1106-5YY0031-T2EN)</t>
  </si>
  <si>
    <t>101513759845</t>
  </si>
  <si>
    <t>1275409333</t>
  </si>
  <si>
    <t>1202-5YY0024-76EN</t>
  </si>
  <si>
    <t>PM.YY.BUSHING</t>
  </si>
  <si>
    <t>BUSHING 8060078</t>
  </si>
  <si>
    <t>101513759837</t>
  </si>
  <si>
    <t>C-PAL-810001</t>
  </si>
  <si>
    <t>C-BOX-811001</t>
  </si>
  <si>
    <t>1275409334</t>
  </si>
  <si>
    <t>1209-5YY0496EN</t>
  </si>
  <si>
    <t>TERMINAL 8351299(1209-5YY0496-T2EN)</t>
  </si>
  <si>
    <t>101513759826</t>
  </si>
  <si>
    <t>1275409339</t>
  </si>
  <si>
    <t>101513759825</t>
  </si>
  <si>
    <t>1275409345</t>
  </si>
  <si>
    <t>1106-5YY0033EN</t>
  </si>
  <si>
    <t>COLLECTOR LINKING 8191854(1106-5YY0033-T2EN)</t>
  </si>
  <si>
    <t>101513759823</t>
  </si>
  <si>
    <t>1275409356</t>
  </si>
  <si>
    <t>101513759827</t>
  </si>
  <si>
    <t>1275409372</t>
  </si>
  <si>
    <t>1209-5YY0500EN</t>
  </si>
  <si>
    <t>TERMINAL 8351333(1209-5YY0500-T2EN)</t>
  </si>
  <si>
    <t>101513759828</t>
  </si>
  <si>
    <t>C-BOX-594245</t>
  </si>
  <si>
    <t>1275411878</t>
  </si>
  <si>
    <t>1109-1060034EN</t>
  </si>
  <si>
    <t>CE.600.SLINGER</t>
  </si>
  <si>
    <t>PLASTIC SLINGER</t>
  </si>
  <si>
    <t>101513759835</t>
  </si>
  <si>
    <t>1275412200</t>
  </si>
  <si>
    <t>1110-EQN0001EN</t>
  </si>
  <si>
    <t>CE.YY.WASHER</t>
  </si>
  <si>
    <t>101513759829</t>
  </si>
  <si>
    <t>C-PAL-146005</t>
  </si>
  <si>
    <t>C-BOX-150003</t>
  </si>
  <si>
    <t>1275412202</t>
  </si>
  <si>
    <t>1202-1060393EN</t>
  </si>
  <si>
    <t>PM.600.BUSHING</t>
  </si>
  <si>
    <t>BUSHING(1202-1060081-87)</t>
  </si>
  <si>
    <t>101513759830</t>
  </si>
  <si>
    <t>1275412968</t>
  </si>
  <si>
    <t>1110-1060119-56EN</t>
  </si>
  <si>
    <t>CE.600.WASHER</t>
  </si>
  <si>
    <t>101513759836</t>
  </si>
  <si>
    <t>C-PAL-391004</t>
  </si>
  <si>
    <t>C-BOX-474029</t>
  </si>
  <si>
    <t>101513756821</t>
  </si>
  <si>
    <t>CMA CGM PLATINUM V.1WU0OE1MA</t>
  </si>
  <si>
    <t>FFAU5676599</t>
  </si>
  <si>
    <t>OOLU2038505511</t>
  </si>
  <si>
    <t>1015082408</t>
  </si>
  <si>
    <t>101513756818</t>
  </si>
  <si>
    <t>101513756817</t>
  </si>
  <si>
    <t>1195009790</t>
  </si>
  <si>
    <t>1275-5YY0685EN</t>
  </si>
  <si>
    <t>COMPLETE WIRE HARNESS 9181358</t>
  </si>
  <si>
    <t>101513756820</t>
  </si>
  <si>
    <t>C-BOX-233191</t>
  </si>
  <si>
    <t>1195009855</t>
  </si>
  <si>
    <t>1275-5YY0564EN</t>
  </si>
  <si>
    <t>COMPLETE HARNESS 9181180</t>
  </si>
  <si>
    <t>101513756819</t>
  </si>
  <si>
    <t>101513756577</t>
  </si>
  <si>
    <t>OOCU6912465</t>
  </si>
  <si>
    <t>OOLU2038505510</t>
  </si>
  <si>
    <t>1275391695</t>
  </si>
  <si>
    <t>101513756573</t>
  </si>
  <si>
    <t>1275402103</t>
  </si>
  <si>
    <t>101513756574</t>
  </si>
  <si>
    <t>1275406544</t>
  </si>
  <si>
    <t>1102-0039190EN</t>
  </si>
  <si>
    <t>BA.300.LAMINATION</t>
  </si>
  <si>
    <t>LAMINATION(39190-10200EN)</t>
  </si>
  <si>
    <t>101513756571</t>
  </si>
  <si>
    <t>C-PAL-146011</t>
  </si>
  <si>
    <t>C-BOX-001389</t>
  </si>
  <si>
    <t>101513756578</t>
  </si>
  <si>
    <t>1275409402</t>
  </si>
  <si>
    <t>101513756570</t>
  </si>
  <si>
    <t>1275409417</t>
  </si>
  <si>
    <t>101513756569</t>
  </si>
  <si>
    <t>1275409423</t>
  </si>
  <si>
    <t>1301-5YY0311EN0093</t>
  </si>
  <si>
    <t>HOUSING 8030650</t>
  </si>
  <si>
    <t>101513756824</t>
  </si>
  <si>
    <t>1275409425</t>
  </si>
  <si>
    <t>101513756822</t>
  </si>
  <si>
    <t>101513756823</t>
  </si>
  <si>
    <t>101513756572</t>
  </si>
  <si>
    <t>101513756583</t>
  </si>
  <si>
    <t>1275410743</t>
  </si>
  <si>
    <t>101513756580</t>
  </si>
  <si>
    <t>1275410781</t>
  </si>
  <si>
    <t>1339-12B0007EN</t>
  </si>
  <si>
    <t>101513756575</t>
  </si>
  <si>
    <t>101513756579</t>
  </si>
  <si>
    <t>1275410840</t>
  </si>
  <si>
    <t>101513756582</t>
  </si>
  <si>
    <t>1275410854</t>
  </si>
  <si>
    <t>1339-12B0009EN</t>
  </si>
  <si>
    <t>101513756576</t>
  </si>
  <si>
    <t>101513756581</t>
  </si>
  <si>
    <t>1275411868</t>
  </si>
  <si>
    <t>1301-1030476EN</t>
  </si>
  <si>
    <t>REAR HOUSING(C5B6D-30100EN)</t>
  </si>
  <si>
    <t>101513756825</t>
  </si>
  <si>
    <t>101513757378</t>
  </si>
  <si>
    <t>COSCO-SEA-GEN</t>
  </si>
  <si>
    <t>EVER FASHION V.0775-026E</t>
  </si>
  <si>
    <t>CSLU6140168</t>
  </si>
  <si>
    <t>COSU6445465470</t>
  </si>
  <si>
    <t>1195010018</t>
  </si>
  <si>
    <t>1606-5YY5022EN</t>
  </si>
  <si>
    <t>EMI FILTER 3590022</t>
  </si>
  <si>
    <t>101513757377</t>
  </si>
  <si>
    <t>C-BOX-233139</t>
  </si>
  <si>
    <t>101513757375</t>
  </si>
  <si>
    <t>101513757374</t>
  </si>
  <si>
    <t>1275381915</t>
  </si>
  <si>
    <t>1415-EQN0006EN</t>
  </si>
  <si>
    <t>CB.YY.GEAR</t>
  </si>
  <si>
    <t>BIG GEAR</t>
  </si>
  <si>
    <t>101513757372</t>
  </si>
  <si>
    <t>C-BOX-001446</t>
  </si>
  <si>
    <t>101513757360</t>
  </si>
  <si>
    <t>101513757373</t>
  </si>
  <si>
    <t>101513757371</t>
  </si>
  <si>
    <t>101513757369</t>
  </si>
  <si>
    <t>1275402163</t>
  </si>
  <si>
    <t>101513757370</t>
  </si>
  <si>
    <t>101513757363</t>
  </si>
  <si>
    <t>101513757366</t>
  </si>
  <si>
    <t>101513757361</t>
  </si>
  <si>
    <t>101513757368</t>
  </si>
  <si>
    <t>101513757367</t>
  </si>
  <si>
    <t>101513757379</t>
  </si>
  <si>
    <t>101513757376</t>
  </si>
  <si>
    <t>1275410777</t>
  </si>
  <si>
    <t>1164-12B0011EN</t>
  </si>
  <si>
    <t>CB.SN31.VOLUTE</t>
  </si>
  <si>
    <t>VOLUTE</t>
  </si>
  <si>
    <t>101513757364</t>
  </si>
  <si>
    <t>1275410802</t>
  </si>
  <si>
    <t>1484-12B0015EN</t>
  </si>
  <si>
    <t>CB.11.IMPELLER</t>
  </si>
  <si>
    <t>101513757362</t>
  </si>
  <si>
    <t>1275410859</t>
  </si>
  <si>
    <t>1404-12B0003EN</t>
  </si>
  <si>
    <t>101513757365</t>
  </si>
  <si>
    <t>1015081116</t>
  </si>
  <si>
    <t>1999-1031492EN</t>
  </si>
  <si>
    <t>KC335XLG-1031492</t>
  </si>
  <si>
    <t>101513757732</t>
  </si>
  <si>
    <t>TCKU7387607</t>
  </si>
  <si>
    <t>OOLU2038505512</t>
  </si>
  <si>
    <t>1015081117</t>
  </si>
  <si>
    <t>1999-1031491EN</t>
  </si>
  <si>
    <t>KC335XLG-1031491</t>
  </si>
  <si>
    <t>101513757731</t>
  </si>
  <si>
    <t>101513757730</t>
  </si>
  <si>
    <t>101513757727</t>
  </si>
  <si>
    <t>1195009553</t>
  </si>
  <si>
    <t>1275-5YY0566EN</t>
  </si>
  <si>
    <t>COMPLETE HARNESS 9181181</t>
  </si>
  <si>
    <t>101513757728</t>
  </si>
  <si>
    <t>1195009646</t>
  </si>
  <si>
    <t>101513757726</t>
  </si>
  <si>
    <t>101513757729</t>
  </si>
  <si>
    <t>1275410800</t>
  </si>
  <si>
    <t>1301-12B0010EN</t>
  </si>
  <si>
    <t>CB.YY.HOUSING</t>
  </si>
  <si>
    <t>HOUSING</t>
  </si>
  <si>
    <t>101513757725</t>
  </si>
  <si>
    <t>101513758528</t>
  </si>
  <si>
    <t>OOCU9364658</t>
  </si>
  <si>
    <t>COSU6445465472</t>
  </si>
  <si>
    <t>1195009723</t>
  </si>
  <si>
    <t>1275-5YY0561EN</t>
  </si>
  <si>
    <t>COMPLETE HARNESS 9181164</t>
  </si>
  <si>
    <t>101513758311</t>
  </si>
  <si>
    <t>CSLU6151413</t>
  </si>
  <si>
    <t>COSU6445465471</t>
  </si>
  <si>
    <t>1195009799</t>
  </si>
  <si>
    <t>101513758524</t>
  </si>
  <si>
    <t>101513758310</t>
  </si>
  <si>
    <t>1275349993</t>
  </si>
  <si>
    <t>101513758324</t>
  </si>
  <si>
    <t>1275364908</t>
  </si>
  <si>
    <t>101513758322</t>
  </si>
  <si>
    <t>101513758321</t>
  </si>
  <si>
    <t>101513758320</t>
  </si>
  <si>
    <t>1275389202</t>
  </si>
  <si>
    <t>101513758318</t>
  </si>
  <si>
    <t>101513758317</t>
  </si>
  <si>
    <t>1275396019</t>
  </si>
  <si>
    <t>1330-5YY0100EN</t>
  </si>
  <si>
    <t>BZ.YY.SUPPORT</t>
  </si>
  <si>
    <t>MOTOR SUPPORT 8191561</t>
  </si>
  <si>
    <t>101513758537</t>
  </si>
  <si>
    <t>1275400528</t>
  </si>
  <si>
    <t>1205-12C0016EN</t>
  </si>
  <si>
    <t>TERMINAL(OLD PN:1205-12C0010-T1)</t>
  </si>
  <si>
    <t>101513758546</t>
  </si>
  <si>
    <t>1275400531</t>
  </si>
  <si>
    <t>101513758545</t>
  </si>
  <si>
    <t>1275400543</t>
  </si>
  <si>
    <t>101513758544</t>
  </si>
  <si>
    <t>101513758533</t>
  </si>
  <si>
    <t>1275402123</t>
  </si>
  <si>
    <t>101513758543</t>
  </si>
  <si>
    <t>101513758534</t>
  </si>
  <si>
    <t>1275402493</t>
  </si>
  <si>
    <t>101513758323</t>
  </si>
  <si>
    <t>1275406538</t>
  </si>
  <si>
    <t>1108-0033100EN0018</t>
  </si>
  <si>
    <t>CE.300.SPACER</t>
  </si>
  <si>
    <t>TUMBLED SPACER(33100-10818EP)</t>
  </si>
  <si>
    <t>101513758529</t>
  </si>
  <si>
    <t>1275406611</t>
  </si>
  <si>
    <t>101513758313</t>
  </si>
  <si>
    <t>1275409359</t>
  </si>
  <si>
    <t>101513758538</t>
  </si>
  <si>
    <t>1275409407</t>
  </si>
  <si>
    <t>101513758530</t>
  </si>
  <si>
    <t>101513758316</t>
  </si>
  <si>
    <t>1275409434</t>
  </si>
  <si>
    <t>1326-5YY0037EN</t>
  </si>
  <si>
    <t>CONNECTING LINK</t>
  </si>
  <si>
    <t>101513758541</t>
  </si>
  <si>
    <t>C-BOX-594202</t>
  </si>
  <si>
    <t>101513758539</t>
  </si>
  <si>
    <t>1275409441</t>
  </si>
  <si>
    <t>101513758531</t>
  </si>
  <si>
    <t>1275409448</t>
  </si>
  <si>
    <t>101513758319</t>
  </si>
  <si>
    <t>1275409459</t>
  </si>
  <si>
    <t>1326-5YY0039EN</t>
  </si>
  <si>
    <t>101513758540</t>
  </si>
  <si>
    <t>1275410445</t>
  </si>
  <si>
    <t>101513758536</t>
  </si>
  <si>
    <t>1275410745</t>
  </si>
  <si>
    <t>101513758535</t>
  </si>
  <si>
    <t>1275410750</t>
  </si>
  <si>
    <t>101513758542</t>
  </si>
  <si>
    <t>1275410779</t>
  </si>
  <si>
    <t>101513758525</t>
  </si>
  <si>
    <t>1275410815</t>
  </si>
  <si>
    <t>1163-12B0002EN0093</t>
  </si>
  <si>
    <t>AA.YY.BLADE</t>
  </si>
  <si>
    <t>BLADE</t>
  </si>
  <si>
    <t>101513758532</t>
  </si>
  <si>
    <t>C-PAL-146018</t>
  </si>
  <si>
    <t>C-BOX-001302</t>
  </si>
  <si>
    <t>1275410857</t>
  </si>
  <si>
    <t>101513758526</t>
  </si>
  <si>
    <t>1275411633</t>
  </si>
  <si>
    <t>101513758527</t>
  </si>
  <si>
    <t>1275411876</t>
  </si>
  <si>
    <t>101513758315</t>
  </si>
  <si>
    <t>1275411880</t>
  </si>
  <si>
    <t>101513758314</t>
  </si>
  <si>
    <t>3275162411</t>
  </si>
  <si>
    <t>1401-1060029-92EN</t>
  </si>
  <si>
    <t>101513758312</t>
  </si>
  <si>
    <t>101513759237</t>
  </si>
  <si>
    <t>TCNU2592007</t>
  </si>
  <si>
    <t>COSU6445465473</t>
  </si>
  <si>
    <t>1195009690</t>
  </si>
  <si>
    <t>101513759242</t>
  </si>
  <si>
    <t>101513759238</t>
  </si>
  <si>
    <t>101513759249</t>
  </si>
  <si>
    <t>101513759233</t>
  </si>
  <si>
    <t>1275396013</t>
  </si>
  <si>
    <t>101513759246</t>
  </si>
  <si>
    <t>101513759241</t>
  </si>
  <si>
    <t>1275402821</t>
  </si>
  <si>
    <t>1301-1030463EN</t>
  </si>
  <si>
    <t>101513759245</t>
  </si>
  <si>
    <t>C-BOX-001222</t>
  </si>
  <si>
    <t>1275402886</t>
  </si>
  <si>
    <t>1426-1030045EN</t>
  </si>
  <si>
    <t>101513759243</t>
  </si>
  <si>
    <t>101513759247</t>
  </si>
  <si>
    <t>101513759263</t>
  </si>
  <si>
    <t>GEODIS HK-AIR-GEN</t>
  </si>
  <si>
    <t>CV5932</t>
  </si>
  <si>
    <t>HKGA26534884</t>
  </si>
  <si>
    <t>1275406548</t>
  </si>
  <si>
    <t>101513759244</t>
  </si>
  <si>
    <t>101513759240</t>
  </si>
  <si>
    <t>101513759239</t>
  </si>
  <si>
    <t>101513759248</t>
  </si>
  <si>
    <t>101513759236</t>
  </si>
  <si>
    <t>101513759234</t>
  </si>
  <si>
    <t>101513759235</t>
  </si>
  <si>
    <t>3275162621</t>
  </si>
  <si>
    <t>1330-5YY0088EN</t>
  </si>
  <si>
    <t>T</t>
  </si>
  <si>
    <t>SUPPORT 8191539</t>
  </si>
  <si>
    <t>101513759138</t>
  </si>
  <si>
    <t>CV5161</t>
  </si>
  <si>
    <t>HKGA26534786</t>
  </si>
  <si>
    <t>8080003773</t>
  </si>
  <si>
    <t>SCS INDIRECT BUYER</t>
  </si>
  <si>
    <t>47660 HALYARD DRIVE    PLYMOUTH  MI  48170  US</t>
  </si>
  <si>
    <t>08-TRADE-IM</t>
  </si>
  <si>
    <t>NA</t>
  </si>
  <si>
    <t>CAPEX-08</t>
  </si>
  <si>
    <t>CAPEX SO/PO</t>
  </si>
  <si>
    <t>50900007013-1</t>
  </si>
  <si>
    <t>JIANGMEN</t>
  </si>
  <si>
    <t>51002320128-1-1</t>
  </si>
  <si>
    <t>101011395628</t>
  </si>
  <si>
    <t>ZIM MOUNT BLANCE V.12E</t>
  </si>
  <si>
    <t>AMFU4236030</t>
  </si>
  <si>
    <t>50900007013-2</t>
  </si>
  <si>
    <t>51002320128-2-1</t>
  </si>
  <si>
    <t>101011395629</t>
  </si>
  <si>
    <t>JXLU6016257</t>
  </si>
  <si>
    <t>50900007013-3</t>
  </si>
  <si>
    <t>51002320128-3-1</t>
  </si>
  <si>
    <t>101011395630</t>
  </si>
  <si>
    <t>101513759571</t>
  </si>
  <si>
    <t>CAIU8394197</t>
  </si>
  <si>
    <t>MEDUWH374573</t>
  </si>
  <si>
    <t>1195009694</t>
  </si>
  <si>
    <t>101513759562</t>
  </si>
  <si>
    <t>101513759569</t>
  </si>
  <si>
    <t>1275391694</t>
  </si>
  <si>
    <t>101513759567</t>
  </si>
  <si>
    <t>101513759566</t>
  </si>
  <si>
    <t>101513759577</t>
  </si>
  <si>
    <t>101513759563</t>
  </si>
  <si>
    <t>101513759574</t>
  </si>
  <si>
    <t>101513759565</t>
  </si>
  <si>
    <t>101513759575</t>
  </si>
  <si>
    <t>101513759564</t>
  </si>
  <si>
    <t>101513759568</t>
  </si>
  <si>
    <t>101513759570</t>
  </si>
  <si>
    <t>1275411631</t>
  </si>
  <si>
    <t>AYSP61AS871EN</t>
  </si>
  <si>
    <t>BA.SP61.LAMINATION</t>
  </si>
  <si>
    <t>YOKE CPL 18</t>
  </si>
  <si>
    <t>101513759572</t>
  </si>
  <si>
    <t>101513759573</t>
  </si>
  <si>
    <t>1275412205</t>
  </si>
  <si>
    <t>1301-1060387EN</t>
  </si>
  <si>
    <t>AA.600.REAR HOUSING</t>
  </si>
  <si>
    <t>REAR HOUSING</t>
  </si>
  <si>
    <t>101513759576</t>
  </si>
  <si>
    <t>C-BOX-474189</t>
  </si>
  <si>
    <t>101513760378</t>
  </si>
  <si>
    <t>EVER LISSOME V.E073</t>
  </si>
  <si>
    <t>SEGU9932801</t>
  </si>
  <si>
    <t>22145873</t>
  </si>
  <si>
    <t>101513760376</t>
  </si>
  <si>
    <t>1015082411</t>
  </si>
  <si>
    <t>CPPMSF305/7AN</t>
  </si>
  <si>
    <t>DIRECT-JMX.FERRITE MAGNET.DRY MAGNET</t>
  </si>
  <si>
    <t>101513760379</t>
  </si>
  <si>
    <t>101513760372</t>
  </si>
  <si>
    <t>101513760377</t>
  </si>
  <si>
    <t>1015083098</t>
  </si>
  <si>
    <t>1318-1030079EN</t>
  </si>
  <si>
    <t>101513760375</t>
  </si>
  <si>
    <t>1015083180</t>
  </si>
  <si>
    <t>101513760373</t>
  </si>
  <si>
    <t>1195009932</t>
  </si>
  <si>
    <t>1616-5YY3184-MTEN</t>
  </si>
  <si>
    <t>CAPACITOR 8340109</t>
  </si>
  <si>
    <t>101513760338</t>
  </si>
  <si>
    <t>1195010011</t>
  </si>
  <si>
    <t>1307-5YY0222EN</t>
  </si>
  <si>
    <t>DIRECT.FERRITE MAGNET.WET MAGNET: Grade 6 &amp; 9</t>
  </si>
  <si>
    <t>101513760345</t>
  </si>
  <si>
    <t>1195010096</t>
  </si>
  <si>
    <t>1318-5YY0073EN</t>
  </si>
  <si>
    <t>GROMMET 8200511</t>
  </si>
  <si>
    <t>101513760343</t>
  </si>
  <si>
    <t>1195010097</t>
  </si>
  <si>
    <t>101513760342</t>
  </si>
  <si>
    <t>1195010098</t>
  </si>
  <si>
    <t>101513760344</t>
  </si>
  <si>
    <t>1195010101</t>
  </si>
  <si>
    <t>101513760341</t>
  </si>
  <si>
    <t>1195010102</t>
  </si>
  <si>
    <t>101513760340</t>
  </si>
  <si>
    <t>1195010256</t>
  </si>
  <si>
    <t>101513760339</t>
  </si>
  <si>
    <t>1235035717</t>
  </si>
  <si>
    <t>1415-1060678EN</t>
  </si>
  <si>
    <t>DIRECT-JMX.SINTERING GEAR / GEAR BOX ASSEMBLY.GEAR / PINION</t>
  </si>
  <si>
    <t>101513760380</t>
  </si>
  <si>
    <t>1275406530</t>
  </si>
  <si>
    <t>RMACDR25D</t>
  </si>
  <si>
    <t>DURACON</t>
  </si>
  <si>
    <t>101513760113</t>
  </si>
  <si>
    <t>1275409295</t>
  </si>
  <si>
    <t>101513760115</t>
  </si>
  <si>
    <t>101513760114</t>
  </si>
  <si>
    <t>1275416511</t>
  </si>
  <si>
    <t>101513760116</t>
  </si>
  <si>
    <t>1325003406</t>
  </si>
  <si>
    <t>32-INTERNAL-SWO-IM-MX</t>
  </si>
  <si>
    <t>CPSP61C01032EN</t>
  </si>
  <si>
    <t>BZ.SP61.BRACKET</t>
  </si>
  <si>
    <t>BRACKET ZAMAC3 (EF)</t>
  </si>
  <si>
    <t>101513760369</t>
  </si>
  <si>
    <t>1465007837</t>
  </si>
  <si>
    <t>ST900</t>
  </si>
  <si>
    <t>ST-INTERNAL-SWO-IM-MX</t>
  </si>
  <si>
    <t>1307-1060378EN</t>
  </si>
  <si>
    <t>DIRECT.FERRITE MAGNET.WET MAGNET: Grade 12 &amp; above</t>
  </si>
  <si>
    <t>NOR-J46</t>
  </si>
  <si>
    <t>101513760381</t>
  </si>
  <si>
    <t>1615004698</t>
  </si>
  <si>
    <t>101513760367</t>
  </si>
  <si>
    <t>1615004699</t>
  </si>
  <si>
    <t>1318-12B0005EN</t>
  </si>
  <si>
    <t>101513760362</t>
  </si>
  <si>
    <t>1615004711</t>
  </si>
  <si>
    <t>1318-12B0009EN</t>
  </si>
  <si>
    <t>101513760364</t>
  </si>
  <si>
    <t>1615004713</t>
  </si>
  <si>
    <t>101513760365</t>
  </si>
  <si>
    <t>1615004721</t>
  </si>
  <si>
    <t>101513760363</t>
  </si>
  <si>
    <t>1615004724</t>
  </si>
  <si>
    <t>101513760366</t>
  </si>
  <si>
    <t>TRHU4923520</t>
  </si>
  <si>
    <t>22145872</t>
  </si>
  <si>
    <t>1625001896</t>
  </si>
  <si>
    <t>101513760370</t>
  </si>
  <si>
    <t>1625002099</t>
  </si>
  <si>
    <t>1101-V0C0204EN</t>
  </si>
  <si>
    <t>DIRECT.SHAFT / GRINDING PARTS.STEP SHAFT</t>
  </si>
  <si>
    <t>101513760368</t>
  </si>
  <si>
    <t>3015012969</t>
  </si>
  <si>
    <t>101513760374</t>
  </si>
  <si>
    <t>3625000268</t>
  </si>
  <si>
    <t>S2-INTERNAL-RUSH-IM-MX</t>
  </si>
  <si>
    <t>1205-10C0010EN</t>
  </si>
  <si>
    <t>101513760371</t>
  </si>
  <si>
    <t>1015083013</t>
  </si>
  <si>
    <t>RMEPPD219</t>
  </si>
  <si>
    <t>DIRECT.RAW CHEMICAL.EPOXY POWDER</t>
  </si>
  <si>
    <t>EPOXY POWDER</t>
  </si>
  <si>
    <t>101513762032</t>
  </si>
  <si>
    <t>1275396291</t>
  </si>
  <si>
    <t>101513762033</t>
  </si>
  <si>
    <t>1275402068</t>
  </si>
  <si>
    <t>101513762135</t>
  </si>
  <si>
    <t>101513762445</t>
  </si>
  <si>
    <t>1235035732</t>
  </si>
  <si>
    <t>1123-1060052EN</t>
  </si>
  <si>
    <t>SEC.N.NONE</t>
  </si>
  <si>
    <t>COMM. AND STACK ASS'Y</t>
  </si>
  <si>
    <t>101513762446</t>
  </si>
  <si>
    <t>C-BOX-233036</t>
  </si>
  <si>
    <t>1275401760</t>
  </si>
  <si>
    <t>101513762492</t>
  </si>
  <si>
    <t>1275402066</t>
  </si>
  <si>
    <t>101513762499</t>
  </si>
  <si>
    <t>1275402797</t>
  </si>
  <si>
    <t>101513762496</t>
  </si>
  <si>
    <t>1275404145</t>
  </si>
  <si>
    <t>101513762495</t>
  </si>
  <si>
    <t>101513762505</t>
  </si>
  <si>
    <t>101513762508</t>
  </si>
  <si>
    <t>101513762506</t>
  </si>
  <si>
    <t>1275406644</t>
  </si>
  <si>
    <t>1202-V0C0018EN</t>
  </si>
  <si>
    <t>PM.YY.BEARING</t>
  </si>
  <si>
    <t>BEARING</t>
  </si>
  <si>
    <t>101513762502</t>
  </si>
  <si>
    <t>1275406992</t>
  </si>
  <si>
    <t>101513762501</t>
  </si>
  <si>
    <t>1275406997</t>
  </si>
  <si>
    <t>101513762464</t>
  </si>
  <si>
    <t>1275407002</t>
  </si>
  <si>
    <t>101513762452</t>
  </si>
  <si>
    <t>1275407004</t>
  </si>
  <si>
    <t>1101-5YY0313EN</t>
  </si>
  <si>
    <t>Shaft 8000785</t>
  </si>
  <si>
    <t>101513762457</t>
  </si>
  <si>
    <t>1275407007</t>
  </si>
  <si>
    <t>1101-5YY0343EN</t>
  </si>
  <si>
    <t>SHAFT 8000830</t>
  </si>
  <si>
    <t>101513762498</t>
  </si>
  <si>
    <t>1275407008</t>
  </si>
  <si>
    <t>101513762497</t>
  </si>
  <si>
    <t>1275409300</t>
  </si>
  <si>
    <t>1204-5YY0009-56EN</t>
  </si>
  <si>
    <t>CE.YY.BUSHING RETAINER</t>
  </si>
  <si>
    <t>BUSHING RETAINER 8130291</t>
  </si>
  <si>
    <t>101513762451</t>
  </si>
  <si>
    <t>C-PAL-517002</t>
  </si>
  <si>
    <t>C-BOX-001185</t>
  </si>
  <si>
    <t>1275409301</t>
  </si>
  <si>
    <t>101513762458</t>
  </si>
  <si>
    <t>1275409302</t>
  </si>
  <si>
    <t>101513762460</t>
  </si>
  <si>
    <t>1275409307</t>
  </si>
  <si>
    <t>101513762493</t>
  </si>
  <si>
    <t>1275409312</t>
  </si>
  <si>
    <t>101513762461</t>
  </si>
  <si>
    <t>1275409315</t>
  </si>
  <si>
    <t>101513762510</t>
  </si>
  <si>
    <t>1275409316</t>
  </si>
  <si>
    <t>101513762450</t>
  </si>
  <si>
    <t>1275409323</t>
  </si>
  <si>
    <t>1108-5YY0015EP</t>
  </si>
  <si>
    <t>PM.YY.SPACER</t>
  </si>
  <si>
    <t>SPACER 8140174</t>
  </si>
  <si>
    <t>101513762447</t>
  </si>
  <si>
    <t>1275409325</t>
  </si>
  <si>
    <t>1209-5YY0465EN</t>
  </si>
  <si>
    <t>TERMINAL 8351293(1209-5YY0465-T2EN)</t>
  </si>
  <si>
    <t>101513762454</t>
  </si>
  <si>
    <t>1275409327</t>
  </si>
  <si>
    <t>101513762459</t>
  </si>
  <si>
    <t>1275409328</t>
  </si>
  <si>
    <t>101513762465</t>
  </si>
  <si>
    <t>1275409331</t>
  </si>
  <si>
    <t>101513762470</t>
  </si>
  <si>
    <t>1275409336</t>
  </si>
  <si>
    <t>101513762441</t>
  </si>
  <si>
    <t>1275409340</t>
  </si>
  <si>
    <t>101513762467</t>
  </si>
  <si>
    <t>1275409341</t>
  </si>
  <si>
    <t>101513762511</t>
  </si>
  <si>
    <t>1275409342</t>
  </si>
  <si>
    <t>101513762466</t>
  </si>
  <si>
    <t>1275409347</t>
  </si>
  <si>
    <t>101513762455</t>
  </si>
  <si>
    <t>1275409351</t>
  </si>
  <si>
    <t>1209-5YY0495EN</t>
  </si>
  <si>
    <t>TERMINAL 8351298(1209-5YY0495-T2EN)</t>
  </si>
  <si>
    <t>101513762462</t>
  </si>
  <si>
    <t>1275409352</t>
  </si>
  <si>
    <t>101513762463</t>
  </si>
  <si>
    <t>1275409354</t>
  </si>
  <si>
    <t>101513762494</t>
  </si>
  <si>
    <t>1275409366</t>
  </si>
  <si>
    <t>1250-5YY0031EN</t>
  </si>
  <si>
    <t>CE.YY.BRUSH HOLDER</t>
  </si>
  <si>
    <t>BRUSH HOLDER 8160191</t>
  </si>
  <si>
    <t>101513762453</t>
  </si>
  <si>
    <t>1275409368</t>
  </si>
  <si>
    <t>101513762468</t>
  </si>
  <si>
    <t>1275409370</t>
  </si>
  <si>
    <t>1209-5YY0499EN</t>
  </si>
  <si>
    <t>TERMINAL 8351332(1209-5YY0499-T2EN)</t>
  </si>
  <si>
    <t>101513762471</t>
  </si>
  <si>
    <t>1275409381</t>
  </si>
  <si>
    <t>101513762472</t>
  </si>
  <si>
    <t>1275409387</t>
  </si>
  <si>
    <t>101513762474</t>
  </si>
  <si>
    <t>1275409393</t>
  </si>
  <si>
    <t>101513762456</t>
  </si>
  <si>
    <t>1275409395</t>
  </si>
  <si>
    <t>101513762469</t>
  </si>
  <si>
    <t>1275409396</t>
  </si>
  <si>
    <t>101513762473</t>
  </si>
  <si>
    <t>1275409401</t>
  </si>
  <si>
    <t>101513762449</t>
  </si>
  <si>
    <t>1275409408</t>
  </si>
  <si>
    <t>101513762448</t>
  </si>
  <si>
    <t>1275410443</t>
  </si>
  <si>
    <t>101513762507</t>
  </si>
  <si>
    <t>1275411879</t>
  </si>
  <si>
    <t>1308-0065000EN</t>
  </si>
  <si>
    <t>CE.600.MAGNET SPRING</t>
  </si>
  <si>
    <t>MAGNET SPRING(65000-30800EP)</t>
  </si>
  <si>
    <t>101513762509</t>
  </si>
  <si>
    <t>C-PAL-171003</t>
  </si>
  <si>
    <t>C-BOX-001049</t>
  </si>
  <si>
    <t>1275412193</t>
  </si>
  <si>
    <t>101513762444</t>
  </si>
  <si>
    <t>1275412194</t>
  </si>
  <si>
    <t>101513762443</t>
  </si>
  <si>
    <t>1275412197</t>
  </si>
  <si>
    <t>101513762475</t>
  </si>
  <si>
    <t>1275412967</t>
  </si>
  <si>
    <t>101513762491</t>
  </si>
  <si>
    <t>1275413615</t>
  </si>
  <si>
    <t>101513762442</t>
  </si>
  <si>
    <t>1465007964</t>
  </si>
  <si>
    <t>HAMEN FL KUANG</t>
  </si>
  <si>
    <t>Mexico AS Products Planner</t>
  </si>
  <si>
    <t>ST003</t>
  </si>
  <si>
    <t>ST-INTERNAL-SWO-HSG-MX</t>
  </si>
  <si>
    <t>21244-99900</t>
  </si>
  <si>
    <t>DC.200.PC200LG</t>
  </si>
  <si>
    <t>PC200LG-21244</t>
  </si>
  <si>
    <t>101513762500</t>
  </si>
  <si>
    <t>C-PAL-187003</t>
  </si>
  <si>
    <t>C-BOX-132003</t>
  </si>
  <si>
    <t>101513762503</t>
  </si>
  <si>
    <t>3235005466</t>
  </si>
  <si>
    <t>101513762504</t>
  </si>
  <si>
    <t>1015081110</t>
  </si>
  <si>
    <t>101513760042</t>
  </si>
  <si>
    <t>APL DUBLIN V.1WU0QE1MA</t>
  </si>
  <si>
    <t>OOCU8204341</t>
  </si>
  <si>
    <t>OOLU2038519440</t>
  </si>
  <si>
    <t>1015082902</t>
  </si>
  <si>
    <t>101513760040</t>
  </si>
  <si>
    <t>1195010019</t>
  </si>
  <si>
    <t>1606-5YY5024EN</t>
  </si>
  <si>
    <t>EMI FILTER 3590024</t>
  </si>
  <si>
    <t>101513760041</t>
  </si>
  <si>
    <t>C-BOX-233138</t>
  </si>
  <si>
    <t>101513760046</t>
  </si>
  <si>
    <t>1275391734</t>
  </si>
  <si>
    <t>1100-12B0008EN</t>
  </si>
  <si>
    <t>OVERMOLDED ROTOR</t>
  </si>
  <si>
    <t>101513760056</t>
  </si>
  <si>
    <t>C-BOX-001083</t>
  </si>
  <si>
    <t>1275391740</t>
  </si>
  <si>
    <t>101513760045</t>
  </si>
  <si>
    <t>1275396371</t>
  </si>
  <si>
    <t>101513760048</t>
  </si>
  <si>
    <t>101513760038</t>
  </si>
  <si>
    <t>1275402116</t>
  </si>
  <si>
    <t>101513760039</t>
  </si>
  <si>
    <t>1275402831</t>
  </si>
  <si>
    <t>101513760059</t>
  </si>
  <si>
    <t>1275402833</t>
  </si>
  <si>
    <t>101513760058</t>
  </si>
  <si>
    <t>1275406545</t>
  </si>
  <si>
    <t>1458-1030109EN</t>
  </si>
  <si>
    <t>101513760043</t>
  </si>
  <si>
    <t>1275407018</t>
  </si>
  <si>
    <t>101513760050</t>
  </si>
  <si>
    <t>1275409415</t>
  </si>
  <si>
    <t>101513760052</t>
  </si>
  <si>
    <t>1275410748</t>
  </si>
  <si>
    <t>1426-1030044EN</t>
  </si>
  <si>
    <t>101513760057</t>
  </si>
  <si>
    <t>1275410860</t>
  </si>
  <si>
    <t>101513760049</t>
  </si>
  <si>
    <t>1275411622</t>
  </si>
  <si>
    <t>1277-1030086EN</t>
  </si>
  <si>
    <t>101513760044</t>
  </si>
  <si>
    <t>1275411623</t>
  </si>
  <si>
    <t>1301-1030479EN</t>
  </si>
  <si>
    <t>REAR HOUSING(C3B6D-30100EN)</t>
  </si>
  <si>
    <t>101513760054</t>
  </si>
  <si>
    <t>1275411632</t>
  </si>
  <si>
    <t>AYSP61AS981EN</t>
  </si>
  <si>
    <t>101513760051</t>
  </si>
  <si>
    <t>101513760055</t>
  </si>
  <si>
    <t>1275413915</t>
  </si>
  <si>
    <t>101513760053</t>
  </si>
  <si>
    <t>3275162624</t>
  </si>
  <si>
    <t>1484-12C0010EN</t>
  </si>
  <si>
    <t>101513760047</t>
  </si>
  <si>
    <t>1015081114</t>
  </si>
  <si>
    <t>101513760590</t>
  </si>
  <si>
    <t>EVER LISSOME V.0776-073E</t>
  </si>
  <si>
    <t>OOLU9103769</t>
  </si>
  <si>
    <t>COSU6446583350</t>
  </si>
  <si>
    <t>1015082407</t>
  </si>
  <si>
    <t>101513760589</t>
  </si>
  <si>
    <t>1195009788</t>
  </si>
  <si>
    <t>1275-5YY0677EN</t>
  </si>
  <si>
    <t>COMPLETE HARNESS 9181350</t>
  </si>
  <si>
    <t>101513760587</t>
  </si>
  <si>
    <t>1195009798</t>
  </si>
  <si>
    <t>101513760588</t>
  </si>
  <si>
    <t>1195010077</t>
  </si>
  <si>
    <t>101513760586</t>
  </si>
  <si>
    <t>101513760592</t>
  </si>
  <si>
    <t>1275396035</t>
  </si>
  <si>
    <t>101513760593</t>
  </si>
  <si>
    <t>1275396169</t>
  </si>
  <si>
    <t>101513760591</t>
  </si>
  <si>
    <t>1275402092</t>
  </si>
  <si>
    <t>101513760594</t>
  </si>
  <si>
    <t>101513760599</t>
  </si>
  <si>
    <t>101513760600</t>
  </si>
  <si>
    <t>1275409383</t>
  </si>
  <si>
    <t>101513760601</t>
  </si>
  <si>
    <t>101513760595</t>
  </si>
  <si>
    <t>1275409437</t>
  </si>
  <si>
    <t>1330-5YY0171EN</t>
  </si>
  <si>
    <t>HEAT SINK  8191845 (1330-5YY0171-C4)</t>
  </si>
  <si>
    <t>101513760598</t>
  </si>
  <si>
    <t>101513761072</t>
  </si>
  <si>
    <t>CSLU6094186</t>
  </si>
  <si>
    <t>COSU6446583351</t>
  </si>
  <si>
    <t>101513761071</t>
  </si>
  <si>
    <t>101513761055</t>
  </si>
  <si>
    <t>101513761054</t>
  </si>
  <si>
    <t>101513761070</t>
  </si>
  <si>
    <t>101513761068</t>
  </si>
  <si>
    <t>101513761069</t>
  </si>
  <si>
    <t>1275402801</t>
  </si>
  <si>
    <t>101513761064</t>
  </si>
  <si>
    <t>101513761073</t>
  </si>
  <si>
    <t>1275409367</t>
  </si>
  <si>
    <t>1271-5YY0098EN</t>
  </si>
  <si>
    <t>CO-MOULDED FRAME 8260610</t>
  </si>
  <si>
    <t>101513761062</t>
  </si>
  <si>
    <t>1275409369</t>
  </si>
  <si>
    <t>101513761061</t>
  </si>
  <si>
    <t>1275409371</t>
  </si>
  <si>
    <t>101513761063</t>
  </si>
  <si>
    <t>101513761066</t>
  </si>
  <si>
    <t>1275409422</t>
  </si>
  <si>
    <t>101513761056</t>
  </si>
  <si>
    <t>101513761067</t>
  </si>
  <si>
    <t>101513761057</t>
  </si>
  <si>
    <t>1275410822</t>
  </si>
  <si>
    <t>101513761059</t>
  </si>
  <si>
    <t>1275410855</t>
  </si>
  <si>
    <t>101513761058</t>
  </si>
  <si>
    <t>101513761060</t>
  </si>
  <si>
    <t>101513761065</t>
  </si>
  <si>
    <t>3275162584</t>
  </si>
  <si>
    <t>1318-1JC0015EN</t>
  </si>
  <si>
    <t>101513761024</t>
  </si>
  <si>
    <t>K4243</t>
  </si>
  <si>
    <t>5743741942</t>
  </si>
  <si>
    <t>3275162586</t>
  </si>
  <si>
    <t>1206-1JH0005EN</t>
  </si>
  <si>
    <t>CB.YY.THRUST PLATE</t>
  </si>
  <si>
    <t>THRUST PLATE(WELDING-1)</t>
  </si>
  <si>
    <t>101513761023</t>
  </si>
  <si>
    <t>101513761889</t>
  </si>
  <si>
    <t>RIO DE JANEIRO EXPRESS V.2613E</t>
  </si>
  <si>
    <t>MSMU6025580</t>
  </si>
  <si>
    <t>MEDUWH488878</t>
  </si>
  <si>
    <t>1195009635</t>
  </si>
  <si>
    <t>101513761890</t>
  </si>
  <si>
    <t>1195009695</t>
  </si>
  <si>
    <t>101513761895</t>
  </si>
  <si>
    <t>101513761893</t>
  </si>
  <si>
    <t>101513761894</t>
  </si>
  <si>
    <t>101513761891</t>
  </si>
  <si>
    <t>1195009843</t>
  </si>
  <si>
    <t>1275-5YY0687EN</t>
  </si>
  <si>
    <t>COMPLETE WIRE HARNESS 9181361</t>
  </si>
  <si>
    <t>101513761892</t>
  </si>
  <si>
    <t>101513762034</t>
  </si>
  <si>
    <t>CCLU7843605</t>
  </si>
  <si>
    <t>COSU6446583352</t>
  </si>
  <si>
    <t>1275370296</t>
  </si>
  <si>
    <t>101513762038</t>
  </si>
  <si>
    <t>101513762039</t>
  </si>
  <si>
    <t>101513762037</t>
  </si>
  <si>
    <t>101513762036</t>
  </si>
  <si>
    <t>1275397002</t>
  </si>
  <si>
    <t>101513761985</t>
  </si>
  <si>
    <t>101513761986</t>
  </si>
  <si>
    <t>101513761987</t>
  </si>
  <si>
    <t>101513761899</t>
  </si>
  <si>
    <t>1275409414</t>
  </si>
  <si>
    <t>101513762035</t>
  </si>
  <si>
    <t>1275409442</t>
  </si>
  <si>
    <t>101513762040</t>
  </si>
  <si>
    <t>1275410749</t>
  </si>
  <si>
    <t>101513762041</t>
  </si>
  <si>
    <t>1275410827</t>
  </si>
  <si>
    <t>101513761896</t>
  </si>
  <si>
    <t>101513761897</t>
  </si>
  <si>
    <t>101513762042</t>
  </si>
  <si>
    <t>1275411624</t>
  </si>
  <si>
    <t>101513761984</t>
  </si>
  <si>
    <t>101513761898</t>
  </si>
  <si>
    <t>8126014925</t>
  </si>
  <si>
    <t>Tax ID JEG120120DD4 BOULEVARD MORELOS NO. 1109 MEGA PARQUE INDUSTRIAL AEROPUERTO DE CALERA C.P. 98519 CALERA  ZACATECAS   MX</t>
  </si>
  <si>
    <t>X06</t>
  </si>
  <si>
    <t>TR-TRADE-IM</t>
  </si>
  <si>
    <t>TR-TOOLING</t>
  </si>
  <si>
    <t>NPP.BUY FROM HPHS.CAPEX TOOLING</t>
  </si>
  <si>
    <t>50900006684-1</t>
  </si>
  <si>
    <t>51002321055-1-1</t>
  </si>
  <si>
    <t>101011396062</t>
  </si>
  <si>
    <t>XIAO ZHOU</t>
  </si>
  <si>
    <t>8126014926</t>
  </si>
  <si>
    <t>50900006684-2</t>
  </si>
  <si>
    <t>51002321056-1-1</t>
  </si>
  <si>
    <t>101011396063</t>
  </si>
  <si>
    <t>8126014927</t>
  </si>
  <si>
    <t>50900006684-3</t>
  </si>
  <si>
    <t>51002321057-1-1</t>
  </si>
  <si>
    <t>101011396064</t>
  </si>
  <si>
    <t>101513762321</t>
  </si>
  <si>
    <t>TCLU8687015</t>
  </si>
  <si>
    <t>COSU6446583353</t>
  </si>
  <si>
    <t>101513762335</t>
  </si>
  <si>
    <t>1275395753</t>
  </si>
  <si>
    <t>101513762328</t>
  </si>
  <si>
    <t>101513762327</t>
  </si>
  <si>
    <t>1275396354</t>
  </si>
  <si>
    <t>101513762326</t>
  </si>
  <si>
    <t>101513762333</t>
  </si>
  <si>
    <t>101513762334</t>
  </si>
  <si>
    <t>101513762325</t>
  </si>
  <si>
    <t>101513762336</t>
  </si>
  <si>
    <t>101513762322</t>
  </si>
  <si>
    <t>1275409421</t>
  </si>
  <si>
    <t>101513762331</t>
  </si>
  <si>
    <t>101513762329</t>
  </si>
  <si>
    <t>1275409436</t>
  </si>
  <si>
    <t>101513762323</t>
  </si>
  <si>
    <t>101513762330</t>
  </si>
  <si>
    <t>1275411883</t>
  </si>
  <si>
    <t>101513762324</t>
  </si>
  <si>
    <t>3275162614</t>
  </si>
  <si>
    <t>101513762332</t>
  </si>
  <si>
    <t>101513762966</t>
  </si>
  <si>
    <t>MSMU5349558</t>
  </si>
  <si>
    <t>MEDUWH488886</t>
  </si>
  <si>
    <t>101513762961</t>
  </si>
  <si>
    <t>101513762928</t>
  </si>
  <si>
    <t>101513762965</t>
  </si>
  <si>
    <t>1195010009</t>
  </si>
  <si>
    <t>101513762964</t>
  </si>
  <si>
    <t>101513762937</t>
  </si>
  <si>
    <t>101513762954</t>
  </si>
  <si>
    <t>1275396316</t>
  </si>
  <si>
    <t>1202-12C0002EN</t>
  </si>
  <si>
    <t>CB.11.BUSHING</t>
  </si>
  <si>
    <t>101513762938</t>
  </si>
  <si>
    <t>101513762953</t>
  </si>
  <si>
    <t>1275402804</t>
  </si>
  <si>
    <t>101513762960</t>
  </si>
  <si>
    <t>1275402894</t>
  </si>
  <si>
    <t>101513762962</t>
  </si>
  <si>
    <t>101513762948</t>
  </si>
  <si>
    <t>1275406931</t>
  </si>
  <si>
    <t>101513762940</t>
  </si>
  <si>
    <t>1275406940</t>
  </si>
  <si>
    <t>101513762942</t>
  </si>
  <si>
    <t>1275406948</t>
  </si>
  <si>
    <t>101513762941</t>
  </si>
  <si>
    <t>1275409361</t>
  </si>
  <si>
    <t>101513762930</t>
  </si>
  <si>
    <t>1275409363</t>
  </si>
  <si>
    <t>Y02</t>
  </si>
  <si>
    <t>1108-1YY0106EN</t>
  </si>
  <si>
    <t>CE.YY.SLIP RING</t>
  </si>
  <si>
    <t>SLIP RING</t>
  </si>
  <si>
    <t>101513762934</t>
  </si>
  <si>
    <t>C-PAL-294042</t>
  </si>
  <si>
    <t>C-BOX-474024</t>
  </si>
  <si>
    <t>101513762945</t>
  </si>
  <si>
    <t>101513762949</t>
  </si>
  <si>
    <t>101513762939</t>
  </si>
  <si>
    <t>1275409433</t>
  </si>
  <si>
    <t>1326-5YY0036EN</t>
  </si>
  <si>
    <t>101513762932</t>
  </si>
  <si>
    <t>C-BOX-001192</t>
  </si>
  <si>
    <t>101513762931</t>
  </si>
  <si>
    <t>1275409458</t>
  </si>
  <si>
    <t>1326-5YY0038EN</t>
  </si>
  <si>
    <t>101513762933</t>
  </si>
  <si>
    <t>1275410204</t>
  </si>
  <si>
    <t>101513762958</t>
  </si>
  <si>
    <t>1275410205</t>
  </si>
  <si>
    <t>101513762963</t>
  </si>
  <si>
    <t>1275410444</t>
  </si>
  <si>
    <t>1253-0037210EN</t>
  </si>
  <si>
    <t>CE.300.BRUSH LEAF</t>
  </si>
  <si>
    <t>HEAT TREATED BRUSH LEAF(37210-25356/EP)</t>
  </si>
  <si>
    <t>101513762951</t>
  </si>
  <si>
    <t>101513762936</t>
  </si>
  <si>
    <t>101513762952</t>
  </si>
  <si>
    <t>101513762944</t>
  </si>
  <si>
    <t>1275410830</t>
  </si>
  <si>
    <t>1305-12C0001EN</t>
  </si>
  <si>
    <t>CB.600.BRUSH HOLDER</t>
  </si>
  <si>
    <t>BUSHING HOUSING</t>
  </si>
  <si>
    <t>101513762926</t>
  </si>
  <si>
    <t>101513762943</t>
  </si>
  <si>
    <t>1275411626</t>
  </si>
  <si>
    <t>101513762929</t>
  </si>
  <si>
    <t>1275411629</t>
  </si>
  <si>
    <t>1426-1030036EN</t>
  </si>
  <si>
    <t>101513762959</t>
  </si>
  <si>
    <t>101513762946</t>
  </si>
  <si>
    <t>101513762947</t>
  </si>
  <si>
    <t>1275412201</t>
  </si>
  <si>
    <t>1318-EQN0001EN</t>
  </si>
  <si>
    <t>CR.YY.RUBBER SLEEVE</t>
  </si>
  <si>
    <t>101513762955</t>
  </si>
  <si>
    <t>1275413000</t>
  </si>
  <si>
    <t>1301-1030221EN</t>
  </si>
  <si>
    <t>CB.300.REAR HOUSING</t>
  </si>
  <si>
    <t>101513762935</t>
  </si>
  <si>
    <t>1275413610</t>
  </si>
  <si>
    <t>101513762956</t>
  </si>
  <si>
    <t>1275417155</t>
  </si>
  <si>
    <t>101513762957</t>
  </si>
  <si>
    <t>1275417963</t>
  </si>
  <si>
    <t>101513762950</t>
  </si>
  <si>
    <t>1015082409</t>
  </si>
  <si>
    <t>1318-3030003EN</t>
  </si>
  <si>
    <t>DIRECT-JMX.RUBBER SEAL / RUBBER PARTS.OTHERS</t>
  </si>
  <si>
    <t>RUBBER RING</t>
  </si>
  <si>
    <t>101513763415</t>
  </si>
  <si>
    <t>EVER LOYAL V.E075E</t>
  </si>
  <si>
    <t>TIIU2575610</t>
  </si>
  <si>
    <t>20'</t>
  </si>
  <si>
    <t>22146951</t>
  </si>
  <si>
    <t>101513763416</t>
  </si>
  <si>
    <t>1015082412</t>
  </si>
  <si>
    <t>1318-3030002EN</t>
  </si>
  <si>
    <t>101513763414</t>
  </si>
  <si>
    <t>101513763412</t>
  </si>
  <si>
    <t>WHSU5613188</t>
  </si>
  <si>
    <t>22146952</t>
  </si>
  <si>
    <t>101513763417</t>
  </si>
  <si>
    <t>1015083336</t>
  </si>
  <si>
    <t>101513763418</t>
  </si>
  <si>
    <t>1015083365</t>
  </si>
  <si>
    <t>101513763413</t>
  </si>
  <si>
    <t>1195010092</t>
  </si>
  <si>
    <t>1405-5YY0009EN</t>
  </si>
  <si>
    <t>RING 8291604</t>
  </si>
  <si>
    <t>101513763379</t>
  </si>
  <si>
    <t>1275409291</t>
  </si>
  <si>
    <t>101513763180</t>
  </si>
  <si>
    <t>1275412504</t>
  </si>
  <si>
    <t>101513763179</t>
  </si>
  <si>
    <t>1275412505</t>
  </si>
  <si>
    <t>101513763177</t>
  </si>
  <si>
    <t>1275413609</t>
  </si>
  <si>
    <t>101513763178</t>
  </si>
  <si>
    <t>1325003400</t>
  </si>
  <si>
    <t>101513763401</t>
  </si>
  <si>
    <t>1615004720</t>
  </si>
  <si>
    <t>101513763411</t>
  </si>
  <si>
    <t>1615004722</t>
  </si>
  <si>
    <t>101513763409</t>
  </si>
  <si>
    <t>1615004723</t>
  </si>
  <si>
    <t>101513763410</t>
  </si>
  <si>
    <t>3275162615</t>
  </si>
  <si>
    <t>C&amp;S-INTERNAL-RUSH-IM-MX</t>
  </si>
  <si>
    <t>101513763181</t>
  </si>
  <si>
    <t>3275162616</t>
  </si>
  <si>
    <t>101513763182</t>
  </si>
  <si>
    <t>3615000591</t>
  </si>
  <si>
    <t>S1-INTERNAL-RUSH-IM-MX</t>
  </si>
  <si>
    <t>0060-G600320EN</t>
  </si>
  <si>
    <t>DIRECT.RAW MAGNET WIRE.AL WIRE ULTRA THICK SIZE (OD &gt;300mm)</t>
  </si>
  <si>
    <t>101513763408</t>
  </si>
  <si>
    <t>3195002327</t>
  </si>
  <si>
    <t>PC-INTERNAL-RUSH-IM-MX</t>
  </si>
  <si>
    <t>1117-5YY0048EN</t>
  </si>
  <si>
    <t>DIRECT.LATHE MACHINING PARTS.HIGH PRECISION PARTS</t>
  </si>
  <si>
    <t>SEGMENT CONNECTOR 8350777</t>
  </si>
  <si>
    <t>101513765173</t>
  </si>
  <si>
    <t>SQ7412</t>
  </si>
  <si>
    <t>9525350100</t>
  </si>
  <si>
    <t>3235005676</t>
  </si>
  <si>
    <t>PM-INTERNAL-RUSH-IM-MX</t>
  </si>
  <si>
    <t>1108-1030054EN</t>
  </si>
  <si>
    <t>DIRECT.LATHE MACHINING PARTS.OTHERS</t>
  </si>
  <si>
    <t>SPACER</t>
  </si>
  <si>
    <t>101513765141</t>
  </si>
  <si>
    <t>D0007</t>
  </si>
  <si>
    <t>3036720551</t>
  </si>
  <si>
    <t>3235005678</t>
  </si>
  <si>
    <t>1127-1020056EN</t>
  </si>
  <si>
    <t>SLEEVE</t>
  </si>
  <si>
    <t>101513765142</t>
  </si>
  <si>
    <t>1235035733</t>
  </si>
  <si>
    <t>101513765432</t>
  </si>
  <si>
    <t>1275402064</t>
  </si>
  <si>
    <t>101513765437</t>
  </si>
  <si>
    <t>101513765445</t>
  </si>
  <si>
    <t>1275407005</t>
  </si>
  <si>
    <t>101513765433</t>
  </si>
  <si>
    <t>1275407006</t>
  </si>
  <si>
    <t>101513765434</t>
  </si>
  <si>
    <t>1275409296</t>
  </si>
  <si>
    <t>101513765436</t>
  </si>
  <si>
    <t>1275409304</t>
  </si>
  <si>
    <t>101513765442</t>
  </si>
  <si>
    <t>1275409305</t>
  </si>
  <si>
    <t>101513765443</t>
  </si>
  <si>
    <t>1275409338</t>
  </si>
  <si>
    <t>101513765441</t>
  </si>
  <si>
    <t>1275409346</t>
  </si>
  <si>
    <t>101513765435</t>
  </si>
  <si>
    <t>1275409405</t>
  </si>
  <si>
    <t>101513765438</t>
  </si>
  <si>
    <t>1275412199</t>
  </si>
  <si>
    <t>1313-1060051EN</t>
  </si>
  <si>
    <t>AA.600.KEEPER RING</t>
  </si>
  <si>
    <t>KEEPER RING</t>
  </si>
  <si>
    <t>101513765439</t>
  </si>
  <si>
    <t>1275412999</t>
  </si>
  <si>
    <t>1110-10C0058EN</t>
  </si>
  <si>
    <t>CAS.YY.BUSHING</t>
  </si>
  <si>
    <t>BSG 5.5X8.5X1.6 ZYTEL(WPSP61D0171EN)</t>
  </si>
  <si>
    <t>101513765444</t>
  </si>
  <si>
    <t>1275413612</t>
  </si>
  <si>
    <t>101513765440</t>
  </si>
  <si>
    <t>3235005670</t>
  </si>
  <si>
    <t>1263-1030033EN</t>
  </si>
  <si>
    <t>DIRECT.SPRINGS.SPRING</t>
  </si>
  <si>
    <t>SPRING</t>
  </si>
  <si>
    <t>101513766443</t>
  </si>
  <si>
    <t>D0019A</t>
  </si>
  <si>
    <t>9812317922</t>
  </si>
  <si>
    <t>3235005674</t>
  </si>
  <si>
    <t>1104-1030063EN</t>
  </si>
  <si>
    <t>DIRECT.COMMUTATOR.OTHERS</t>
  </si>
  <si>
    <t>101513766442</t>
  </si>
  <si>
    <t>3235005675</t>
  </si>
  <si>
    <t>1110-1030087EN</t>
  </si>
  <si>
    <t>DIRECT.STANDARD WASHERS.OTHERS</t>
  </si>
  <si>
    <t>101513766444</t>
  </si>
  <si>
    <t>3275162728</t>
  </si>
  <si>
    <t>1206-1JH0007EN</t>
  </si>
  <si>
    <t>RGB.YY.THRUST PLATE</t>
  </si>
  <si>
    <t>THRUST PLATE (STATIC)</t>
  </si>
  <si>
    <t>101513766449</t>
  </si>
  <si>
    <t>9812329111</t>
  </si>
  <si>
    <t>C-BOX-001150</t>
  </si>
  <si>
    <t>101513763396</t>
  </si>
  <si>
    <t>CMA CGM THAMES V.1WU0SE1MA</t>
  </si>
  <si>
    <t>OOCU6799960</t>
  </si>
  <si>
    <t>OOLU2038538960</t>
  </si>
  <si>
    <t>101513763398</t>
  </si>
  <si>
    <t>1195009951</t>
  </si>
  <si>
    <t>101513763397</t>
  </si>
  <si>
    <t>101513763399</t>
  </si>
  <si>
    <t>1275409384</t>
  </si>
  <si>
    <t>101513763394</t>
  </si>
  <si>
    <t>1275409400</t>
  </si>
  <si>
    <t>101513763392</t>
  </si>
  <si>
    <t>1275409424</t>
  </si>
  <si>
    <t>101513763389</t>
  </si>
  <si>
    <t>101513763391</t>
  </si>
  <si>
    <t>1275409449</t>
  </si>
  <si>
    <t>101513763390</t>
  </si>
  <si>
    <t>1275410744</t>
  </si>
  <si>
    <t>101513763395</t>
  </si>
  <si>
    <t>1275411621</t>
  </si>
  <si>
    <t>101513763393</t>
  </si>
  <si>
    <t>101513763400</t>
  </si>
  <si>
    <t>1195009854</t>
  </si>
  <si>
    <t>1275-5YY0787EN</t>
  </si>
  <si>
    <t>101513763900</t>
  </si>
  <si>
    <t>EVER LOYAL V.0776-075E</t>
  </si>
  <si>
    <t>TRHU5512159</t>
  </si>
  <si>
    <t>COSU6447196440</t>
  </si>
  <si>
    <t>1195009890</t>
  </si>
  <si>
    <t>101513763899</t>
  </si>
  <si>
    <t>1275396329</t>
  </si>
  <si>
    <t>101513763893</t>
  </si>
  <si>
    <t>101513763897</t>
  </si>
  <si>
    <t>101513763898</t>
  </si>
  <si>
    <t>101513763896</t>
  </si>
  <si>
    <t>1275409412</t>
  </si>
  <si>
    <t>101513763895</t>
  </si>
  <si>
    <t>101513763892</t>
  </si>
  <si>
    <t>101513763894</t>
  </si>
  <si>
    <t>1015082903</t>
  </si>
  <si>
    <t>101513765066</t>
  </si>
  <si>
    <t>OOLU8995146</t>
  </si>
  <si>
    <t>COSU6447196441</t>
  </si>
  <si>
    <t>1015083097</t>
  </si>
  <si>
    <t>101513765057</t>
  </si>
  <si>
    <t>1195009893</t>
  </si>
  <si>
    <t>101513765058</t>
  </si>
  <si>
    <t>101513765065</t>
  </si>
  <si>
    <t>1195009956</t>
  </si>
  <si>
    <t>101513765059</t>
  </si>
  <si>
    <t>101513765055</t>
  </si>
  <si>
    <t>101513765063</t>
  </si>
  <si>
    <t>101513765061</t>
  </si>
  <si>
    <t>101513765060</t>
  </si>
  <si>
    <t>1275409439</t>
  </si>
  <si>
    <t>101513765068</t>
  </si>
  <si>
    <t>1275409447</t>
  </si>
  <si>
    <t>101513765064</t>
  </si>
  <si>
    <t>101513765056</t>
  </si>
  <si>
    <t>1275412927</t>
  </si>
  <si>
    <t>101513765067</t>
  </si>
  <si>
    <t>101513765120</t>
  </si>
  <si>
    <t>K4223</t>
  </si>
  <si>
    <t>1639561486</t>
  </si>
  <si>
    <t>1275417552</t>
  </si>
  <si>
    <t>101513765062</t>
  </si>
  <si>
    <t>3275162585</t>
  </si>
  <si>
    <t>1318-1JC0016EN</t>
  </si>
  <si>
    <t>CR.YY.RUBBER RING</t>
  </si>
  <si>
    <t>101513765121</t>
  </si>
  <si>
    <t>1015082905</t>
  </si>
  <si>
    <t>101513765457</t>
  </si>
  <si>
    <t>OOLU9820013</t>
  </si>
  <si>
    <t>COSU6447196442</t>
  </si>
  <si>
    <t>1195009713</t>
  </si>
  <si>
    <t>101513765452</t>
  </si>
  <si>
    <t>1195009839</t>
  </si>
  <si>
    <t>101513765471</t>
  </si>
  <si>
    <t>1195009953</t>
  </si>
  <si>
    <t>1275-5YY0696EN</t>
  </si>
  <si>
    <t>COMPLETE WIRE HARNESS 9181377</t>
  </si>
  <si>
    <t>101513765806</t>
  </si>
  <si>
    <t>1195010072</t>
  </si>
  <si>
    <t>101513765472</t>
  </si>
  <si>
    <t>101513765454</t>
  </si>
  <si>
    <t>1275400519</t>
  </si>
  <si>
    <t>101513765467</t>
  </si>
  <si>
    <t>101513765473</t>
  </si>
  <si>
    <t>101513765455</t>
  </si>
  <si>
    <t>1275402845</t>
  </si>
  <si>
    <t>101513765808</t>
  </si>
  <si>
    <t>101513765807</t>
  </si>
  <si>
    <t>1275409374</t>
  </si>
  <si>
    <t>101513765469</t>
  </si>
  <si>
    <t>101513765456</t>
  </si>
  <si>
    <t>101513765453</t>
  </si>
  <si>
    <t>101513765470</t>
  </si>
  <si>
    <t>1275413942</t>
  </si>
  <si>
    <t>101513765458</t>
  </si>
  <si>
    <t>101513765468</t>
  </si>
  <si>
    <t>8126014847</t>
  </si>
  <si>
    <t>TR-SERVICE-SP</t>
  </si>
  <si>
    <t>NPP.BUY FROM HPHS.TOOLING</t>
  </si>
  <si>
    <t>Tooling spareparts/Samples</t>
  </si>
  <si>
    <t>50900007009-1</t>
  </si>
  <si>
    <t>51002318477-1-1</t>
  </si>
  <si>
    <t>101011396568</t>
  </si>
  <si>
    <t>HANNAH ZX MIAO</t>
  </si>
  <si>
    <t>101513766188</t>
  </si>
  <si>
    <t>FFAU5865735</t>
  </si>
  <si>
    <t>COSU6447196443</t>
  </si>
  <si>
    <t>101513766203</t>
  </si>
  <si>
    <t>1195009727</t>
  </si>
  <si>
    <t>101513766189</t>
  </si>
  <si>
    <t>1195009850</t>
  </si>
  <si>
    <t>101513766207</t>
  </si>
  <si>
    <t>101513766208</t>
  </si>
  <si>
    <t>1195009958</t>
  </si>
  <si>
    <t>101513766209</t>
  </si>
  <si>
    <t>1195010036</t>
  </si>
  <si>
    <t>101513766204</t>
  </si>
  <si>
    <t>101513766202</t>
  </si>
  <si>
    <t>1275395742</t>
  </si>
  <si>
    <t>101513766196</t>
  </si>
  <si>
    <t>101513766195</t>
  </si>
  <si>
    <t>1275396036</t>
  </si>
  <si>
    <t>101513766194</t>
  </si>
  <si>
    <t>101513766193</t>
  </si>
  <si>
    <t>1275402868</t>
  </si>
  <si>
    <t>101513766200</t>
  </si>
  <si>
    <t>1275402881</t>
  </si>
  <si>
    <t>101513766199</t>
  </si>
  <si>
    <t>101513766192</t>
  </si>
  <si>
    <t>101513766198</t>
  </si>
  <si>
    <t>1275410198</t>
  </si>
  <si>
    <t>101513766205</t>
  </si>
  <si>
    <t>CX3506</t>
  </si>
  <si>
    <t>HKGA26535759</t>
  </si>
  <si>
    <t>101513766197</t>
  </si>
  <si>
    <t>1275411630</t>
  </si>
  <si>
    <t>1426-1030037EN</t>
  </si>
  <si>
    <t>101513766201</t>
  </si>
  <si>
    <t>1275411881</t>
  </si>
  <si>
    <t>101513766190</t>
  </si>
  <si>
    <t>1275413914</t>
  </si>
  <si>
    <t>101513766191</t>
  </si>
  <si>
    <t>3275162587</t>
  </si>
  <si>
    <t>1318-1JH0005EN</t>
  </si>
  <si>
    <t>O-RING(FOR DYNAMIC PLATE-1)</t>
  </si>
  <si>
    <t>101513766206</t>
  </si>
  <si>
    <t>K4273</t>
  </si>
  <si>
    <t>4785615203</t>
  </si>
  <si>
    <t>1195009703</t>
  </si>
  <si>
    <t>101513766801</t>
  </si>
  <si>
    <t>BUENAVENTURA EXPRESS V.2614E</t>
  </si>
  <si>
    <t>CAAU7526547</t>
  </si>
  <si>
    <t>MEDUWH578918</t>
  </si>
  <si>
    <t>101513766803</t>
  </si>
  <si>
    <t>101513766813</t>
  </si>
  <si>
    <t>101513766802</t>
  </si>
  <si>
    <t>101513766804</t>
  </si>
  <si>
    <t>101513766812</t>
  </si>
  <si>
    <t>101513766814</t>
  </si>
  <si>
    <t>101513766810</t>
  </si>
  <si>
    <t>101513766806</t>
  </si>
  <si>
    <t>101513766800</t>
  </si>
  <si>
    <t>101513766805</t>
  </si>
  <si>
    <t>1275410829</t>
  </si>
  <si>
    <t>101513766799</t>
  </si>
  <si>
    <t>101513766807</t>
  </si>
  <si>
    <t>101513766808</t>
  </si>
  <si>
    <t>101513766809</t>
  </si>
  <si>
    <t>1275411869</t>
  </si>
  <si>
    <t>101513766811</t>
  </si>
  <si>
    <t>1015083337</t>
  </si>
  <si>
    <t>101513767674</t>
  </si>
  <si>
    <t>EVER FRONT V.E038</t>
  </si>
  <si>
    <t>SEGU9929834</t>
  </si>
  <si>
    <t>22147590</t>
  </si>
  <si>
    <t>1015083339</t>
  </si>
  <si>
    <t>101513767666</t>
  </si>
  <si>
    <t>1015083340</t>
  </si>
  <si>
    <t>101513767669</t>
  </si>
  <si>
    <t>WHSU2218868</t>
  </si>
  <si>
    <t>22147589</t>
  </si>
  <si>
    <t>101513767668</t>
  </si>
  <si>
    <t>1015083366</t>
  </si>
  <si>
    <t>101513767673</t>
  </si>
  <si>
    <t>1015083438</t>
  </si>
  <si>
    <t>101513767670</t>
  </si>
  <si>
    <t>1015083440</t>
  </si>
  <si>
    <t>101513767667</t>
  </si>
  <si>
    <t>1015083510</t>
  </si>
  <si>
    <t>101513767672</t>
  </si>
  <si>
    <t>1015083511</t>
  </si>
  <si>
    <t>101513767671</t>
  </si>
  <si>
    <t>1235036878</t>
  </si>
  <si>
    <t>101513767703</t>
  </si>
  <si>
    <t>101513768137</t>
  </si>
  <si>
    <t>1615004714</t>
  </si>
  <si>
    <t>101513768127</t>
  </si>
  <si>
    <t>1615004716</t>
  </si>
  <si>
    <t>101513768125</t>
  </si>
  <si>
    <t>1615004718</t>
  </si>
  <si>
    <t>101513768128</t>
  </si>
  <si>
    <t>1615004719</t>
  </si>
  <si>
    <t>101513768131</t>
  </si>
  <si>
    <t>1615004764</t>
  </si>
  <si>
    <t>101513768129</t>
  </si>
  <si>
    <t>1615004817</t>
  </si>
  <si>
    <t>101513768130</t>
  </si>
  <si>
    <t>1615004830</t>
  </si>
  <si>
    <t>CPSP61C01028EN</t>
  </si>
  <si>
    <t>BRACKET ZAMAC 3 (EF)</t>
  </si>
  <si>
    <t>101513768136</t>
  </si>
  <si>
    <t>1625002100</t>
  </si>
  <si>
    <t>1204-V0C0008EN</t>
  </si>
  <si>
    <t>DIRECT.STAMPING PARTS (STEEL TYPE).BEARING RETAINER</t>
  </si>
  <si>
    <t>BEARING RETAINER</t>
  </si>
  <si>
    <t>101513768132</t>
  </si>
  <si>
    <t>1625002111</t>
  </si>
  <si>
    <t>101513768134</t>
  </si>
  <si>
    <t>1625002145</t>
  </si>
  <si>
    <t>1204-V0C0010EN</t>
  </si>
  <si>
    <t>BRG RET 0.3 S.STL</t>
  </si>
  <si>
    <t>101513768133</t>
  </si>
  <si>
    <t>1625002163</t>
  </si>
  <si>
    <t>0059-V040400EN</t>
  </si>
  <si>
    <t>1-EAIW_AL_MAGNET_WIRE_0.40MM</t>
  </si>
  <si>
    <t>101513768135</t>
  </si>
  <si>
    <t>3235005660</t>
  </si>
  <si>
    <t>CPSPBR396X580EN</t>
  </si>
  <si>
    <t>DIRECT.LATHE MACHINING PARTS.SPACER</t>
  </si>
  <si>
    <t>101513767702</t>
  </si>
  <si>
    <t>3235005681</t>
  </si>
  <si>
    <t>1109-1060001EN</t>
  </si>
  <si>
    <t>101513767377</t>
  </si>
  <si>
    <t>3S704</t>
  </si>
  <si>
    <t>1894141491</t>
  </si>
  <si>
    <t>3615000592</t>
  </si>
  <si>
    <t>101513768126</t>
  </si>
  <si>
    <t>1195010052</t>
  </si>
  <si>
    <t>101513768119</t>
  </si>
  <si>
    <t>1275406995</t>
  </si>
  <si>
    <t>101513768141</t>
  </si>
  <si>
    <t>1275409406</t>
  </si>
  <si>
    <t>1307-5YY0148EN</t>
  </si>
  <si>
    <t>Magnet 8300336</t>
  </si>
  <si>
    <t>101513768140</t>
  </si>
  <si>
    <t>1275417572</t>
  </si>
  <si>
    <t>101513768086</t>
  </si>
  <si>
    <t>3275162694</t>
  </si>
  <si>
    <t>1127-ETB0004EN</t>
  </si>
  <si>
    <t>SB.YY.SLEEVE</t>
  </si>
  <si>
    <t>101513768811</t>
  </si>
  <si>
    <t>BINGKUN ZHA</t>
  </si>
  <si>
    <t>3275162695</t>
  </si>
  <si>
    <t>1127-ETB0002EN</t>
  </si>
  <si>
    <t>101513768810</t>
  </si>
  <si>
    <t>101513769529</t>
  </si>
  <si>
    <t>EVER FRONT V.0778-038E</t>
  </si>
  <si>
    <t>CSNU7460163</t>
  </si>
  <si>
    <t>COSU6448539042</t>
  </si>
  <si>
    <t>101513769758</t>
  </si>
  <si>
    <t>1275406983</t>
  </si>
  <si>
    <t>101513769751</t>
  </si>
  <si>
    <t>1275409297</t>
  </si>
  <si>
    <t>1106-5YY0014-T2EN</t>
  </si>
  <si>
    <t>101513769750</t>
  </si>
  <si>
    <t>1275409306</t>
  </si>
  <si>
    <t>101513769733</t>
  </si>
  <si>
    <t>1275409308</t>
  </si>
  <si>
    <t>101513769736</t>
  </si>
  <si>
    <t>1275409317</t>
  </si>
  <si>
    <t>101513769742</t>
  </si>
  <si>
    <t>1275409318</t>
  </si>
  <si>
    <t>101513769748</t>
  </si>
  <si>
    <t>1275409322</t>
  </si>
  <si>
    <t>101513769734</t>
  </si>
  <si>
    <t>1275409326</t>
  </si>
  <si>
    <t>101513769738</t>
  </si>
  <si>
    <t>1275409329</t>
  </si>
  <si>
    <t>101513769743</t>
  </si>
  <si>
    <t>1275409330</t>
  </si>
  <si>
    <t>101513769749</t>
  </si>
  <si>
    <t>1275409337</t>
  </si>
  <si>
    <t>101513769747</t>
  </si>
  <si>
    <t>1275409344</t>
  </si>
  <si>
    <t>101513769754</t>
  </si>
  <si>
    <t>1275409348</t>
  </si>
  <si>
    <t>101513769737</t>
  </si>
  <si>
    <t>1275409349</t>
  </si>
  <si>
    <t>1209-5YY0494EN</t>
  </si>
  <si>
    <t>TERMINAL 8351295(1209-5YY0494-T2EN)</t>
  </si>
  <si>
    <t>101513769740</t>
  </si>
  <si>
    <t>1275409350</t>
  </si>
  <si>
    <t>101513769741</t>
  </si>
  <si>
    <t>1275409353</t>
  </si>
  <si>
    <t>101513769753</t>
  </si>
  <si>
    <t>1275409375</t>
  </si>
  <si>
    <t>101513769745</t>
  </si>
  <si>
    <t>1275409389</t>
  </si>
  <si>
    <t>101513769746</t>
  </si>
  <si>
    <t>1275409394</t>
  </si>
  <si>
    <t>101513769744</t>
  </si>
  <si>
    <t>1275409399</t>
  </si>
  <si>
    <t>101513769755</t>
  </si>
  <si>
    <t>1275413620</t>
  </si>
  <si>
    <t>101513769759</t>
  </si>
  <si>
    <t>1275413944</t>
  </si>
  <si>
    <t>101513769757</t>
  </si>
  <si>
    <t>1275413945</t>
  </si>
  <si>
    <t>101513769732</t>
  </si>
  <si>
    <t>1275416562</t>
  </si>
  <si>
    <t>101513769739</t>
  </si>
  <si>
    <t>1275417554</t>
  </si>
  <si>
    <t>101513769735</t>
  </si>
  <si>
    <t>3275162697</t>
  </si>
  <si>
    <t>101513769756</t>
  </si>
  <si>
    <t>3275162702</t>
  </si>
  <si>
    <t>101513769752</t>
  </si>
  <si>
    <t>1275366830</t>
  </si>
  <si>
    <t>101513767220</t>
  </si>
  <si>
    <t>CX086</t>
  </si>
  <si>
    <t>HKGA26535766</t>
  </si>
  <si>
    <t>101513768039</t>
  </si>
  <si>
    <t>FFAU3131007</t>
  </si>
  <si>
    <t>COSU6448539040</t>
  </si>
  <si>
    <t>1275406549</t>
  </si>
  <si>
    <t>1277-1030100EN</t>
  </si>
  <si>
    <t>101513768043</t>
  </si>
  <si>
    <t>1275409385</t>
  </si>
  <si>
    <t>101513768044</t>
  </si>
  <si>
    <t>1275409427</t>
  </si>
  <si>
    <t>101513768045</t>
  </si>
  <si>
    <t>101513768040</t>
  </si>
  <si>
    <t>1275410832</t>
  </si>
  <si>
    <t>101513768042</t>
  </si>
  <si>
    <t>1275413003</t>
  </si>
  <si>
    <t>101513768041</t>
  </si>
  <si>
    <t>101513768805</t>
  </si>
  <si>
    <t>CSNU7139997</t>
  </si>
  <si>
    <t>COSU6448539041</t>
  </si>
  <si>
    <t>101513768803</t>
  </si>
  <si>
    <t>1195009800</t>
  </si>
  <si>
    <t>101513768784</t>
  </si>
  <si>
    <t>1195009853</t>
  </si>
  <si>
    <t>101513768804</t>
  </si>
  <si>
    <t>101513768802</t>
  </si>
  <si>
    <t>1275391701</t>
  </si>
  <si>
    <t>101513768798</t>
  </si>
  <si>
    <t>1275395744</t>
  </si>
  <si>
    <t>101513768789</t>
  </si>
  <si>
    <t>1275395988</t>
  </si>
  <si>
    <t>101513768785</t>
  </si>
  <si>
    <t>101513768796</t>
  </si>
  <si>
    <t>101513768788</t>
  </si>
  <si>
    <t>1275409418</t>
  </si>
  <si>
    <t>101513768795</t>
  </si>
  <si>
    <t>101513768794</t>
  </si>
  <si>
    <t>1275409428</t>
  </si>
  <si>
    <t>101513768792</t>
  </si>
  <si>
    <t>101513768797</t>
  </si>
  <si>
    <t>101513768800</t>
  </si>
  <si>
    <t>1275411625</t>
  </si>
  <si>
    <t>101513768801</t>
  </si>
  <si>
    <t>1275411627</t>
  </si>
  <si>
    <t>101513768799</t>
  </si>
  <si>
    <t>1275412507</t>
  </si>
  <si>
    <t>101513768876</t>
  </si>
  <si>
    <t>HKGA26536143</t>
  </si>
  <si>
    <t>1275412928</t>
  </si>
  <si>
    <t>101513768786</t>
  </si>
  <si>
    <t>1275415568</t>
  </si>
  <si>
    <t>101513768787</t>
  </si>
  <si>
    <t>1275415990</t>
  </si>
  <si>
    <t>101513768790</t>
  </si>
  <si>
    <t>1275415991</t>
  </si>
  <si>
    <t>101513768791</t>
  </si>
  <si>
    <t>101513768793</t>
  </si>
  <si>
    <t>3275162588</t>
  </si>
  <si>
    <t>1318-1JH0007EN</t>
  </si>
  <si>
    <t>O-RING(FOR DYNAMIC PLATE-3)</t>
  </si>
  <si>
    <t>101513768877</t>
  </si>
  <si>
    <t>101513769530</t>
  </si>
  <si>
    <t>101513769531</t>
  </si>
  <si>
    <t>1275381953</t>
  </si>
  <si>
    <t>101513769543</t>
  </si>
  <si>
    <t>101513769544</t>
  </si>
  <si>
    <t>101513769535</t>
  </si>
  <si>
    <t>101513769542</t>
  </si>
  <si>
    <t>101513769533</t>
  </si>
  <si>
    <t>1275407017</t>
  </si>
  <si>
    <t>101513769534</t>
  </si>
  <si>
    <t>101513769545</t>
  </si>
  <si>
    <t>1275409457</t>
  </si>
  <si>
    <t>101513769538</t>
  </si>
  <si>
    <t>1275410787</t>
  </si>
  <si>
    <t>101513769537</t>
  </si>
  <si>
    <t>101513769539</t>
  </si>
  <si>
    <t>101513769532</t>
  </si>
  <si>
    <t>101513769541</t>
  </si>
  <si>
    <t>1275415982</t>
  </si>
  <si>
    <t>101513769536</t>
  </si>
  <si>
    <t>1275417089</t>
  </si>
  <si>
    <t>101513769540</t>
  </si>
  <si>
    <t>101513770078</t>
  </si>
  <si>
    <t>TGBU8955558</t>
  </si>
  <si>
    <t>COSU6448539043</t>
  </si>
  <si>
    <t>1275400505</t>
  </si>
  <si>
    <t>101513770075</t>
  </si>
  <si>
    <t>101513770064</t>
  </si>
  <si>
    <t>1275402496</t>
  </si>
  <si>
    <t>101513770063</t>
  </si>
  <si>
    <t>1275406932</t>
  </si>
  <si>
    <t>101513770057</t>
  </si>
  <si>
    <t>1275406959</t>
  </si>
  <si>
    <t>101513770080</t>
  </si>
  <si>
    <t>1275406966</t>
  </si>
  <si>
    <t>101513770058</t>
  </si>
  <si>
    <t>1275406993</t>
  </si>
  <si>
    <t>101513770076</t>
  </si>
  <si>
    <t>101513770077</t>
  </si>
  <si>
    <t>1275409360</t>
  </si>
  <si>
    <t>101513770070</t>
  </si>
  <si>
    <t>101513770069</t>
  </si>
  <si>
    <t>101513770062</t>
  </si>
  <si>
    <t>101513770061</t>
  </si>
  <si>
    <t>1275409438</t>
  </si>
  <si>
    <t>101513770079</t>
  </si>
  <si>
    <t>101513770074</t>
  </si>
  <si>
    <t>101513770065</t>
  </si>
  <si>
    <t>1275409452</t>
  </si>
  <si>
    <t>101513770073</t>
  </si>
  <si>
    <t>1275409453</t>
  </si>
  <si>
    <t>101513770072</t>
  </si>
  <si>
    <t>1275409454</t>
  </si>
  <si>
    <t>101513770071</t>
  </si>
  <si>
    <t>1275413616</t>
  </si>
  <si>
    <t>101513770066</t>
  </si>
  <si>
    <t>1275413618</t>
  </si>
  <si>
    <t>101513770060</t>
  </si>
  <si>
    <t>1275413947</t>
  </si>
  <si>
    <t>101513770067</t>
  </si>
  <si>
    <t>1275413948</t>
  </si>
  <si>
    <t>101513770068</t>
  </si>
  <si>
    <t>1275416657</t>
  </si>
  <si>
    <t>101513770059</t>
  </si>
  <si>
    <t>1275417154</t>
  </si>
  <si>
    <t>1318-1E90170EN</t>
  </si>
  <si>
    <t>101513770052</t>
  </si>
  <si>
    <t>1275417156</t>
  </si>
  <si>
    <t>101513770051</t>
  </si>
  <si>
    <t>101513770876</t>
  </si>
  <si>
    <t>LIMA EXPRESS V.2615E</t>
  </si>
  <si>
    <t>MEDU7325850</t>
  </si>
  <si>
    <t>MEDUWH662415</t>
  </si>
  <si>
    <t>1195009955</t>
  </si>
  <si>
    <t>101513770877</t>
  </si>
  <si>
    <t>101513770895</t>
  </si>
  <si>
    <t>1275391746</t>
  </si>
  <si>
    <t>101513770893</t>
  </si>
  <si>
    <t>1275396348</t>
  </si>
  <si>
    <t>101513770880</t>
  </si>
  <si>
    <t>101513770892</t>
  </si>
  <si>
    <t>1275409420</t>
  </si>
  <si>
    <t>101513770884</t>
  </si>
  <si>
    <t>101513770890</t>
  </si>
  <si>
    <t>101513770885</t>
  </si>
  <si>
    <t>101513770879</t>
  </si>
  <si>
    <t>1275410785</t>
  </si>
  <si>
    <t>101513770883</t>
  </si>
  <si>
    <t>1275410828</t>
  </si>
  <si>
    <t>1459-12C0011EN</t>
  </si>
  <si>
    <t>101513770882</t>
  </si>
  <si>
    <t>C-PAL-382001</t>
  </si>
  <si>
    <t>C-BOX-474273</t>
  </si>
  <si>
    <t>101513770887</t>
  </si>
  <si>
    <t>101513770888</t>
  </si>
  <si>
    <t>101513770889</t>
  </si>
  <si>
    <t>1275413002</t>
  </si>
  <si>
    <t>101513770894</t>
  </si>
  <si>
    <t>101513770878</t>
  </si>
  <si>
    <t>1275415967</t>
  </si>
  <si>
    <t>101513770886</t>
  </si>
  <si>
    <t>1275416002</t>
  </si>
  <si>
    <t>101513770881</t>
  </si>
  <si>
    <t>1275416680</t>
  </si>
  <si>
    <t>1152-5YY0177EN</t>
  </si>
  <si>
    <t>CB.YY.LAMINATION OVERMOLD</t>
  </si>
  <si>
    <t>LAMINATION PACK 9191372</t>
  </si>
  <si>
    <t>101513770891</t>
  </si>
  <si>
    <t>C-BOX-001210</t>
  </si>
  <si>
    <t>101513771137</t>
  </si>
  <si>
    <t>3889824212</t>
  </si>
  <si>
    <t>3235005672</t>
  </si>
  <si>
    <t>1300-1030571EN</t>
  </si>
  <si>
    <t>RH.N.NONE</t>
  </si>
  <si>
    <t>REAR HOUSING ASSY</t>
  </si>
  <si>
    <t>101513771206</t>
  </si>
  <si>
    <t>HKGA26536579</t>
  </si>
  <si>
    <t>C-PAL-176001</t>
  </si>
  <si>
    <t>1500-1030233</t>
  </si>
  <si>
    <t>3275162722</t>
  </si>
  <si>
    <t>1101-1020668EN</t>
  </si>
  <si>
    <t>BB.200.SHAFT</t>
  </si>
  <si>
    <t>101513771207</t>
  </si>
  <si>
    <t>HKGA26536578</t>
  </si>
  <si>
    <t>3625000273</t>
  </si>
  <si>
    <t>101513771174</t>
  </si>
  <si>
    <t>SHANGHAI V.119E</t>
  </si>
  <si>
    <t>CSGU2004557</t>
  </si>
  <si>
    <t>OOLU2038593310</t>
  </si>
  <si>
    <t>3625000274</t>
  </si>
  <si>
    <t>101513771173</t>
  </si>
  <si>
    <t>3275162723</t>
  </si>
  <si>
    <t>1415-1030797EN</t>
  </si>
  <si>
    <t>SB.300.PINION</t>
  </si>
  <si>
    <t>101513771794</t>
  </si>
  <si>
    <t>HKGA26536588</t>
  </si>
  <si>
    <t>C-BOX-001341</t>
  </si>
  <si>
    <t>3275162727</t>
  </si>
  <si>
    <t>1127-1JH0001EN</t>
  </si>
  <si>
    <t>101513771700</t>
  </si>
  <si>
    <t>2538187945</t>
  </si>
  <si>
    <t>3275162801</t>
  </si>
  <si>
    <t>1201-1E90156EN</t>
  </si>
  <si>
    <t>CB.900.END CAP</t>
  </si>
  <si>
    <t>END CAP</t>
  </si>
  <si>
    <t>101513771699</t>
  </si>
  <si>
    <t>HKGA26536584</t>
  </si>
  <si>
    <t>C-PAL-111001</t>
  </si>
  <si>
    <t>C-BOX-001482</t>
  </si>
  <si>
    <t>101513772969</t>
  </si>
  <si>
    <t>HKGA26536738</t>
  </si>
  <si>
    <t>1235036044</t>
  </si>
  <si>
    <t>101513773681</t>
  </si>
  <si>
    <t>1275402089</t>
  </si>
  <si>
    <t>101513773693</t>
  </si>
  <si>
    <t>1275404146</t>
  </si>
  <si>
    <t>101513773679</t>
  </si>
  <si>
    <t>1275407001</t>
  </si>
  <si>
    <t>101513773689</t>
  </si>
  <si>
    <t>1275409299</t>
  </si>
  <si>
    <t>101513773685</t>
  </si>
  <si>
    <t>1275409319</t>
  </si>
  <si>
    <t>101513773692</t>
  </si>
  <si>
    <t>1275409321</t>
  </si>
  <si>
    <t>101513773701</t>
  </si>
  <si>
    <t>1275409324</t>
  </si>
  <si>
    <t>101513773683</t>
  </si>
  <si>
    <t>1275409332</t>
  </si>
  <si>
    <t>101513773702</t>
  </si>
  <si>
    <t>1275409335</t>
  </si>
  <si>
    <t>101513773700</t>
  </si>
  <si>
    <t>1275409343</t>
  </si>
  <si>
    <t>101513773688</t>
  </si>
  <si>
    <t>1275409373</t>
  </si>
  <si>
    <t>101513773687</t>
  </si>
  <si>
    <t>1275409397</t>
  </si>
  <si>
    <t>101513773695</t>
  </si>
  <si>
    <t>1275411882</t>
  </si>
  <si>
    <t>101513773690</t>
  </si>
  <si>
    <t>1275413617</t>
  </si>
  <si>
    <t>101513773708</t>
  </si>
  <si>
    <t>1275413619</t>
  </si>
  <si>
    <t>101513773699</t>
  </si>
  <si>
    <t>101513773698</t>
  </si>
  <si>
    <t>1275413943</t>
  </si>
  <si>
    <t>101513773697</t>
  </si>
  <si>
    <t>101513773696</t>
  </si>
  <si>
    <t>1275415571</t>
  </si>
  <si>
    <t>101513773682</t>
  </si>
  <si>
    <t>1275416521</t>
  </si>
  <si>
    <t>1101-5YY0353EN</t>
  </si>
  <si>
    <t>SHAFT 8000839</t>
  </si>
  <si>
    <t>101513773694</t>
  </si>
  <si>
    <t>1275416559</t>
  </si>
  <si>
    <t>101513773706</t>
  </si>
  <si>
    <t>1275416607</t>
  </si>
  <si>
    <t>101513773691</t>
  </si>
  <si>
    <t>1275416611</t>
  </si>
  <si>
    <t>101513773684</t>
  </si>
  <si>
    <t>1275416618</t>
  </si>
  <si>
    <t>101513773704</t>
  </si>
  <si>
    <t>1275416635</t>
  </si>
  <si>
    <t>101513773705</t>
  </si>
  <si>
    <t>1275417556</t>
  </si>
  <si>
    <t>101513773707</t>
  </si>
  <si>
    <t>1275417561</t>
  </si>
  <si>
    <t>101513773703</t>
  </si>
  <si>
    <t>101513773680</t>
  </si>
  <si>
    <t>3275162701</t>
  </si>
  <si>
    <t>1202-1060185-72EN</t>
  </si>
  <si>
    <t>101513773686</t>
  </si>
  <si>
    <t>101513774364</t>
  </si>
  <si>
    <t>HKGA26537018</t>
  </si>
  <si>
    <t>1195009852</t>
  </si>
  <si>
    <t>101513771041</t>
  </si>
  <si>
    <t>CMA CGM SCANDOLA V.0PPI8E1MA</t>
  </si>
  <si>
    <t>OOCU6524515</t>
  </si>
  <si>
    <t>OOLU2038592800</t>
  </si>
  <si>
    <t>1195009946</t>
  </si>
  <si>
    <t>101513771045</t>
  </si>
  <si>
    <t>101513771042</t>
  </si>
  <si>
    <t>101513771047</t>
  </si>
  <si>
    <t>101513771050</t>
  </si>
  <si>
    <t>1275409377</t>
  </si>
  <si>
    <t>101513771049</t>
  </si>
  <si>
    <t>101513771048</t>
  </si>
  <si>
    <t>1275412998</t>
  </si>
  <si>
    <t>101513771043</t>
  </si>
  <si>
    <t>1275415564</t>
  </si>
  <si>
    <t>101513771046</t>
  </si>
  <si>
    <t>1275416513</t>
  </si>
  <si>
    <t>1103-5YY0130EN</t>
  </si>
  <si>
    <t>CB.YY.SPIDER</t>
  </si>
  <si>
    <t>SPIDER</t>
  </si>
  <si>
    <t>101513771044</t>
  </si>
  <si>
    <t>1195009840</t>
  </si>
  <si>
    <t>101513771743</t>
  </si>
  <si>
    <t>OOCU9018737</t>
  </si>
  <si>
    <t>OOLU2038592801</t>
  </si>
  <si>
    <t>101513771741</t>
  </si>
  <si>
    <t>101513771742</t>
  </si>
  <si>
    <t>1195010035</t>
  </si>
  <si>
    <t>101513771739</t>
  </si>
  <si>
    <t>1195010038</t>
  </si>
  <si>
    <t>101513771740</t>
  </si>
  <si>
    <t>1275391651</t>
  </si>
  <si>
    <t>101513771737</t>
  </si>
  <si>
    <t>101513771744</t>
  </si>
  <si>
    <t>101513771745</t>
  </si>
  <si>
    <t>101513771736</t>
  </si>
  <si>
    <t>101513771735</t>
  </si>
  <si>
    <t>101513771734</t>
  </si>
  <si>
    <t>101513771733</t>
  </si>
  <si>
    <t>1275416721</t>
  </si>
  <si>
    <t>101513771738</t>
  </si>
  <si>
    <t>3235005669</t>
  </si>
  <si>
    <t>PM-INTERNAL-RUSH-HJM-MX</t>
  </si>
  <si>
    <t>1200-1030847AN</t>
  </si>
  <si>
    <t>FG-PM-14E</t>
  </si>
  <si>
    <t>101513771730</t>
  </si>
  <si>
    <t>HKGA26536583</t>
  </si>
  <si>
    <t>C-PAL-233050</t>
  </si>
  <si>
    <t>C-BOX-233185</t>
  </si>
  <si>
    <t>101513772602</t>
  </si>
  <si>
    <t>BUENOS AIRES EXPRESS V.2616E</t>
  </si>
  <si>
    <t>MSNU7011814</t>
  </si>
  <si>
    <t>MEDUWH757603</t>
  </si>
  <si>
    <t>1015083100</t>
  </si>
  <si>
    <t>1999-1031512EN</t>
  </si>
  <si>
    <t>DC.300.KC335MSG</t>
  </si>
  <si>
    <t>KC335MSG-1031512</t>
  </si>
  <si>
    <t>101513772606</t>
  </si>
  <si>
    <t>C-BOX-233066</t>
  </si>
  <si>
    <t>1275383332</t>
  </si>
  <si>
    <t>101513772600</t>
  </si>
  <si>
    <t>1275396033</t>
  </si>
  <si>
    <t>101513772612</t>
  </si>
  <si>
    <t>1275396164</t>
  </si>
  <si>
    <t>101513772603</t>
  </si>
  <si>
    <t>101513772611</t>
  </si>
  <si>
    <t>1275401988</t>
  </si>
  <si>
    <t>1152-5YY0221EN</t>
  </si>
  <si>
    <t>CE.YY.SPIDER</t>
  </si>
  <si>
    <t>101513772605</t>
  </si>
  <si>
    <t>C-BOX-594246</t>
  </si>
  <si>
    <t>101513772601</t>
  </si>
  <si>
    <t>101513772618</t>
  </si>
  <si>
    <t>101513772615</t>
  </si>
  <si>
    <t>1275409456</t>
  </si>
  <si>
    <t>101513772616</t>
  </si>
  <si>
    <t>101513772620</t>
  </si>
  <si>
    <t>101513772613</t>
  </si>
  <si>
    <t>101513772614</t>
  </si>
  <si>
    <t>101513772619</t>
  </si>
  <si>
    <t>101513772608</t>
  </si>
  <si>
    <t>1275415573</t>
  </si>
  <si>
    <t>101513772610</t>
  </si>
  <si>
    <t>1275416619</t>
  </si>
  <si>
    <t>101513772607</t>
  </si>
  <si>
    <t>1275417079</t>
  </si>
  <si>
    <t>101513772604</t>
  </si>
  <si>
    <t>1275419914</t>
  </si>
  <si>
    <t>101513772609</t>
  </si>
  <si>
    <t>1275421626</t>
  </si>
  <si>
    <t>AYSP61AS982EN</t>
  </si>
  <si>
    <t>BA.SP61.LAMINATION SHADING</t>
  </si>
  <si>
    <t>101513772617</t>
  </si>
  <si>
    <t>101513773993</t>
  </si>
  <si>
    <t>TGBU5221360</t>
  </si>
  <si>
    <t>MEDUWH757637</t>
  </si>
  <si>
    <t>1195009697</t>
  </si>
  <si>
    <t>101513773967</t>
  </si>
  <si>
    <t>1195009901</t>
  </si>
  <si>
    <t>101513773994</t>
  </si>
  <si>
    <t>1195010027</t>
  </si>
  <si>
    <t>101513773968</t>
  </si>
  <si>
    <t>101513773984</t>
  </si>
  <si>
    <t>101513773978</t>
  </si>
  <si>
    <t>101513773977</t>
  </si>
  <si>
    <t>101513773976</t>
  </si>
  <si>
    <t>1275400516</t>
  </si>
  <si>
    <t>101513773980</t>
  </si>
  <si>
    <t>101513773991</t>
  </si>
  <si>
    <t>1275406916</t>
  </si>
  <si>
    <t>101513773982</t>
  </si>
  <si>
    <t>1275406938</t>
  </si>
  <si>
    <t>1202-12C0001EN</t>
  </si>
  <si>
    <t>101513773979</t>
  </si>
  <si>
    <t>1275406949</t>
  </si>
  <si>
    <t>101513773983</t>
  </si>
  <si>
    <t>1275406960</t>
  </si>
  <si>
    <t>101513773981</t>
  </si>
  <si>
    <t>1275409357</t>
  </si>
  <si>
    <t>1209-5YY0223-TKEN</t>
  </si>
  <si>
    <t>101513773971</t>
  </si>
  <si>
    <t>1275409358</t>
  </si>
  <si>
    <t>1209-5YY0224-TKEN</t>
  </si>
  <si>
    <t>101513773970</t>
  </si>
  <si>
    <t>1275409362</t>
  </si>
  <si>
    <t>101513773969</t>
  </si>
  <si>
    <t>1275409398</t>
  </si>
  <si>
    <t>101513773972</t>
  </si>
  <si>
    <t>1275409404</t>
  </si>
  <si>
    <t>101513773990</t>
  </si>
  <si>
    <t>101513773992</t>
  </si>
  <si>
    <t>1275410834</t>
  </si>
  <si>
    <t>101513773987</t>
  </si>
  <si>
    <t>101513773973</t>
  </si>
  <si>
    <t>101513773986</t>
  </si>
  <si>
    <t>1275415570</t>
  </si>
  <si>
    <t>101513773975</t>
  </si>
  <si>
    <t>101513773989</t>
  </si>
  <si>
    <t>1275418248</t>
  </si>
  <si>
    <t>WPSP61D0120EN</t>
  </si>
  <si>
    <t>CB.SP61.BUSHING</t>
  </si>
  <si>
    <t>BSG 5.5X8.5X2.2 ZYTEL</t>
  </si>
  <si>
    <t>101513773988</t>
  </si>
  <si>
    <t>1275421625</t>
  </si>
  <si>
    <t>AYSP61AS872EN</t>
  </si>
  <si>
    <t>YOKE CPL 26</t>
  </si>
  <si>
    <t>101513773985</t>
  </si>
  <si>
    <t>3275162703</t>
  </si>
  <si>
    <t>101513773974</t>
  </si>
  <si>
    <t>1015083102</t>
  </si>
  <si>
    <t>101513774392</t>
  </si>
  <si>
    <t>MSMU8888430</t>
  </si>
  <si>
    <t>MEDUWH757645</t>
  </si>
  <si>
    <t>101513774389</t>
  </si>
  <si>
    <t>101513774400</t>
  </si>
  <si>
    <t>101513774394</t>
  </si>
  <si>
    <t>101513774401</t>
  </si>
  <si>
    <t>1275409386</t>
  </si>
  <si>
    <t>101513774402</t>
  </si>
  <si>
    <t>101513774399</t>
  </si>
  <si>
    <t>101513774397</t>
  </si>
  <si>
    <t>101513774403</t>
  </si>
  <si>
    <t>1275409460</t>
  </si>
  <si>
    <t>101513774398</t>
  </si>
  <si>
    <t>1275409462</t>
  </si>
  <si>
    <t>101513774393</t>
  </si>
  <si>
    <t>1275415983</t>
  </si>
  <si>
    <t>101513774395</t>
  </si>
  <si>
    <t>1275415998</t>
  </si>
  <si>
    <t>101513774396</t>
  </si>
  <si>
    <t>101513774391</t>
  </si>
  <si>
    <t>3275162815</t>
  </si>
  <si>
    <t>101513774390</t>
  </si>
  <si>
    <t>1275417573</t>
  </si>
  <si>
    <t>101513769303</t>
  </si>
  <si>
    <t>1015083364</t>
  </si>
  <si>
    <t>101513775140</t>
  </si>
  <si>
    <t>EVER LEGEND V.E075E</t>
  </si>
  <si>
    <t>WHSU6740607</t>
  </si>
  <si>
    <t>22148794</t>
  </si>
  <si>
    <t>101513775134</t>
  </si>
  <si>
    <t>101513775139</t>
  </si>
  <si>
    <t>101513775138</t>
  </si>
  <si>
    <t>1015083439</t>
  </si>
  <si>
    <t>101513775135</t>
  </si>
  <si>
    <t>101513775133</t>
  </si>
  <si>
    <t>1015083628</t>
  </si>
  <si>
    <t>101513775141</t>
  </si>
  <si>
    <t>1015083694</t>
  </si>
  <si>
    <t>101513775137</t>
  </si>
  <si>
    <t>1015084210</t>
  </si>
  <si>
    <t>101513775136</t>
  </si>
  <si>
    <t>1195009938</t>
  </si>
  <si>
    <t>101513775110</t>
  </si>
  <si>
    <t>1195009999</t>
  </si>
  <si>
    <t>101513775107</t>
  </si>
  <si>
    <t>1195010100</t>
  </si>
  <si>
    <t>101513775115</t>
  </si>
  <si>
    <t>1195010244</t>
  </si>
  <si>
    <t>101513775114</t>
  </si>
  <si>
    <t>1195010253</t>
  </si>
  <si>
    <t>1267-5YY0040EN</t>
  </si>
  <si>
    <t>RETAIN RUBBER 8200487</t>
  </si>
  <si>
    <t>101513775108</t>
  </si>
  <si>
    <t>1195010254</t>
  </si>
  <si>
    <t>1254-5YY0002EN</t>
  </si>
  <si>
    <t>DIRECT.FASTENING PARTS.EYELET</t>
  </si>
  <si>
    <t>EYELET 8210315</t>
  </si>
  <si>
    <t>101513775111</t>
  </si>
  <si>
    <t>1195010255</t>
  </si>
  <si>
    <t>101513775109</t>
  </si>
  <si>
    <t>1195010260</t>
  </si>
  <si>
    <t>101513775113</t>
  </si>
  <si>
    <t>1195010262</t>
  </si>
  <si>
    <t>1318-5YY0070EN</t>
  </si>
  <si>
    <t>Retain rubber</t>
  </si>
  <si>
    <t>101513775112</t>
  </si>
  <si>
    <t>1235035718</t>
  </si>
  <si>
    <t>101513775142</t>
  </si>
  <si>
    <t>1235036759</t>
  </si>
  <si>
    <t>101513775132</t>
  </si>
  <si>
    <t>101513774784</t>
  </si>
  <si>
    <t>1275413613</t>
  </si>
  <si>
    <t>101513774783</t>
  </si>
  <si>
    <t>1615004658</t>
  </si>
  <si>
    <t>101513775124</t>
  </si>
  <si>
    <t>1615004712</t>
  </si>
  <si>
    <t>101513775117</t>
  </si>
  <si>
    <t>1615004717</t>
  </si>
  <si>
    <t>101513775123</t>
  </si>
  <si>
    <t>1615004761</t>
  </si>
  <si>
    <t>101513775121</t>
  </si>
  <si>
    <t>1615004762</t>
  </si>
  <si>
    <t>101513775122</t>
  </si>
  <si>
    <t>1615004766</t>
  </si>
  <si>
    <t>101513775120</t>
  </si>
  <si>
    <t>1615004812</t>
  </si>
  <si>
    <t>101513775119</t>
  </si>
  <si>
    <t>1615004832</t>
  </si>
  <si>
    <t>101513775116</t>
  </si>
  <si>
    <t>1615004844</t>
  </si>
  <si>
    <t>101513775118</t>
  </si>
  <si>
    <t>1625002053</t>
  </si>
  <si>
    <t>101513775127</t>
  </si>
  <si>
    <t>1625002101</t>
  </si>
  <si>
    <t>101513775126</t>
  </si>
  <si>
    <t>1625002156</t>
  </si>
  <si>
    <t>101513775128</t>
  </si>
  <si>
    <t>1625002157</t>
  </si>
  <si>
    <t>101513775129</t>
  </si>
  <si>
    <t>1625002158</t>
  </si>
  <si>
    <t>101513775130</t>
  </si>
  <si>
    <t>1625002159</t>
  </si>
  <si>
    <t>101513775125</t>
  </si>
  <si>
    <t>3235005659</t>
  </si>
  <si>
    <t>1104-1060067EN</t>
  </si>
  <si>
    <t>DIRECT.COMMUTATOR.MOLDED COMMUTATOR(BARREL)</t>
  </si>
  <si>
    <t>101513775131</t>
  </si>
  <si>
    <t>3235005677</t>
  </si>
  <si>
    <t>101513775339</t>
  </si>
  <si>
    <t>101513775460</t>
  </si>
  <si>
    <t>CX651</t>
  </si>
  <si>
    <t>HKGA26537258</t>
  </si>
  <si>
    <t>1275400504</t>
  </si>
  <si>
    <t>101513776489</t>
  </si>
  <si>
    <t>3275162737</t>
  </si>
  <si>
    <t>101513776490</t>
  </si>
  <si>
    <t>1015083837</t>
  </si>
  <si>
    <t>101513777871</t>
  </si>
  <si>
    <t>HUMBOLDT EXPRESS V.2617E</t>
  </si>
  <si>
    <t>MSCU5287590</t>
  </si>
  <si>
    <t>MEDUWH864920</t>
  </si>
  <si>
    <t>1235036487</t>
  </si>
  <si>
    <t>101513777873</t>
  </si>
  <si>
    <t>1235036489</t>
  </si>
  <si>
    <t>101513777872</t>
  </si>
  <si>
    <t>101513777712</t>
  </si>
  <si>
    <t>HKGA26537412</t>
  </si>
  <si>
    <t>101513777714</t>
  </si>
  <si>
    <t>QIZHI WANG</t>
  </si>
  <si>
    <t>3275162736</t>
  </si>
  <si>
    <t>101513777713</t>
  </si>
  <si>
    <t>1235036760</t>
  </si>
  <si>
    <t>1200-1060992EN</t>
  </si>
  <si>
    <t>101513778483</t>
  </si>
  <si>
    <t>MSMU2474387</t>
  </si>
  <si>
    <t>MEDUWH864904</t>
  </si>
  <si>
    <t>C-PAL-345015</t>
  </si>
  <si>
    <t>C-BOX-594046</t>
  </si>
  <si>
    <t>1275404147</t>
  </si>
  <si>
    <t>101513778501</t>
  </si>
  <si>
    <t>101513778485</t>
  </si>
  <si>
    <t>1275409355</t>
  </si>
  <si>
    <t>101513778492</t>
  </si>
  <si>
    <t>1275409365</t>
  </si>
  <si>
    <t>101513778503</t>
  </si>
  <si>
    <t>1275409378</t>
  </si>
  <si>
    <t>101513778487</t>
  </si>
  <si>
    <t>1275412195</t>
  </si>
  <si>
    <t>101513778497</t>
  </si>
  <si>
    <t>101513778511</t>
  </si>
  <si>
    <t>101513778510</t>
  </si>
  <si>
    <t>101513778509</t>
  </si>
  <si>
    <t>101513778508</t>
  </si>
  <si>
    <t>1275413946</t>
  </si>
  <si>
    <t>101513778507</t>
  </si>
  <si>
    <t>1275416512</t>
  </si>
  <si>
    <t>101513778500</t>
  </si>
  <si>
    <t>1275416519</t>
  </si>
  <si>
    <t>101513778513</t>
  </si>
  <si>
    <t>1275416532</t>
  </si>
  <si>
    <t>101513778512</t>
  </si>
  <si>
    <t>1275416534</t>
  </si>
  <si>
    <t>101513778514</t>
  </si>
  <si>
    <t>1275416565</t>
  </si>
  <si>
    <t>101513778494</t>
  </si>
  <si>
    <t>101513778486</t>
  </si>
  <si>
    <t>1275416616</t>
  </si>
  <si>
    <t>101513778490</t>
  </si>
  <si>
    <t>1275416647</t>
  </si>
  <si>
    <t>101513778484</t>
  </si>
  <si>
    <t>1275416654</t>
  </si>
  <si>
    <t>101513778506</t>
  </si>
  <si>
    <t>1275416656</t>
  </si>
  <si>
    <t>101513778495</t>
  </si>
  <si>
    <t>1275416672</t>
  </si>
  <si>
    <t>101513778493</t>
  </si>
  <si>
    <t>1275417555</t>
  </si>
  <si>
    <t>101513778489</t>
  </si>
  <si>
    <t>1275417557</t>
  </si>
  <si>
    <t>1308-1040009EN</t>
  </si>
  <si>
    <t>CE.400.MAGNET SPRING</t>
  </si>
  <si>
    <t>MAGNET SPRING</t>
  </si>
  <si>
    <t>101513778488</t>
  </si>
  <si>
    <t>1275417559</t>
  </si>
  <si>
    <t>101513778482</t>
  </si>
  <si>
    <t>1275418535</t>
  </si>
  <si>
    <t>1101-10C0357EN</t>
  </si>
  <si>
    <t>101513778502</t>
  </si>
  <si>
    <t>1275418953</t>
  </si>
  <si>
    <t>101513778496</t>
  </si>
  <si>
    <t>1275419135</t>
  </si>
  <si>
    <t>1101-1130211EN</t>
  </si>
  <si>
    <t>101513778505</t>
  </si>
  <si>
    <t>1275420516</t>
  </si>
  <si>
    <t>101513778491</t>
  </si>
  <si>
    <t>1275420517</t>
  </si>
  <si>
    <t>101513778498</t>
  </si>
  <si>
    <t>1275420522</t>
  </si>
  <si>
    <t>101513778499</t>
  </si>
  <si>
    <t>1275423448</t>
  </si>
  <si>
    <t>1127-12B0001EN</t>
  </si>
  <si>
    <t>PM.700.SLEEVE</t>
  </si>
  <si>
    <t>101513778504</t>
  </si>
  <si>
    <t>3275162802</t>
  </si>
  <si>
    <t>101513778200</t>
  </si>
  <si>
    <t>HKGA26537534</t>
  </si>
  <si>
    <t>1015083099</t>
  </si>
  <si>
    <t>101513774735</t>
  </si>
  <si>
    <t>CMA CGM ANDROMEDA V.1WU0YE1MA</t>
  </si>
  <si>
    <t>CCLU7673540</t>
  </si>
  <si>
    <t>OOLU2038612760</t>
  </si>
  <si>
    <t>101513774734</t>
  </si>
  <si>
    <t>1195009718</t>
  </si>
  <si>
    <t>101513774731</t>
  </si>
  <si>
    <t>1195009944</t>
  </si>
  <si>
    <t>1275-5YY0573EN</t>
  </si>
  <si>
    <t>COMPLETE HARNESS 9181219</t>
  </si>
  <si>
    <t>101513774733</t>
  </si>
  <si>
    <t>101513774741</t>
  </si>
  <si>
    <t>1275396374</t>
  </si>
  <si>
    <t>101513774736</t>
  </si>
  <si>
    <t>1275402115</t>
  </si>
  <si>
    <t>101513774740</t>
  </si>
  <si>
    <t>1275415978</t>
  </si>
  <si>
    <t>101513774738</t>
  </si>
  <si>
    <t>1275416006</t>
  </si>
  <si>
    <t>101513774737</t>
  </si>
  <si>
    <t>101513774739</t>
  </si>
  <si>
    <t>3235005671</t>
  </si>
  <si>
    <t>101513774732</t>
  </si>
  <si>
    <t>1015083101</t>
  </si>
  <si>
    <t>101513775518</t>
  </si>
  <si>
    <t>CSNU7568097</t>
  </si>
  <si>
    <t>OOLU2038612761</t>
  </si>
  <si>
    <t>101513775517</t>
  </si>
  <si>
    <t>101513775516</t>
  </si>
  <si>
    <t>101513775505</t>
  </si>
  <si>
    <t>101513775515</t>
  </si>
  <si>
    <t>101513775519</t>
  </si>
  <si>
    <t>101513775513</t>
  </si>
  <si>
    <t>101513775510</t>
  </si>
  <si>
    <t>101513775511</t>
  </si>
  <si>
    <t>1275415576</t>
  </si>
  <si>
    <t>101513775512</t>
  </si>
  <si>
    <t>1275415971</t>
  </si>
  <si>
    <t>101513775507</t>
  </si>
  <si>
    <t>1275415992</t>
  </si>
  <si>
    <t>101513775506</t>
  </si>
  <si>
    <t>1275415993</t>
  </si>
  <si>
    <t>101513775509</t>
  </si>
  <si>
    <t>101513775508</t>
  </si>
  <si>
    <t>1275416621</t>
  </si>
  <si>
    <t>101513775514</t>
  </si>
  <si>
    <t>1275416671</t>
  </si>
  <si>
    <t>101513775504</t>
  </si>
  <si>
    <t>3275162840</t>
  </si>
  <si>
    <t>1149-EYY0002EN</t>
  </si>
  <si>
    <t>CR.YY.PLASTIC BALL</t>
  </si>
  <si>
    <t>PLASTIC BALL</t>
  </si>
  <si>
    <t>101513775860</t>
  </si>
  <si>
    <t>HKGA26537259</t>
  </si>
  <si>
    <t>3275162841</t>
  </si>
  <si>
    <t>1318-ETB0002EN</t>
  </si>
  <si>
    <t>CR.YY.GASKET</t>
  </si>
  <si>
    <t>GASKET</t>
  </si>
  <si>
    <t>101513775862</t>
  </si>
  <si>
    <t>3275162842</t>
  </si>
  <si>
    <t>1318-EYY0002EN</t>
  </si>
  <si>
    <t>101513775863</t>
  </si>
  <si>
    <t>3275162843</t>
  </si>
  <si>
    <t>1318-EYY0001EN</t>
  </si>
  <si>
    <t>101513775861</t>
  </si>
  <si>
    <t>101513776410</t>
  </si>
  <si>
    <t>CSNU6595689</t>
  </si>
  <si>
    <t>OOLU2038612762</t>
  </si>
  <si>
    <t>1195009838</t>
  </si>
  <si>
    <t>101513776411</t>
  </si>
  <si>
    <t>101513776409</t>
  </si>
  <si>
    <t>1275391650</t>
  </si>
  <si>
    <t>101513776408</t>
  </si>
  <si>
    <t>101513776413</t>
  </si>
  <si>
    <t>1275400520</t>
  </si>
  <si>
    <t>101513776414</t>
  </si>
  <si>
    <t>1275400546</t>
  </si>
  <si>
    <t>101513776412</t>
  </si>
  <si>
    <t>101513776421</t>
  </si>
  <si>
    <t>1275415566</t>
  </si>
  <si>
    <t>101513776420</t>
  </si>
  <si>
    <t>1275415972</t>
  </si>
  <si>
    <t>1459-12B0012EN</t>
  </si>
  <si>
    <t>101513776416</t>
  </si>
  <si>
    <t>1275415986</t>
  </si>
  <si>
    <t>101513776417</t>
  </si>
  <si>
    <t>1275415994</t>
  </si>
  <si>
    <t>1459-12B0011EN</t>
  </si>
  <si>
    <t>CB.YY.COVER</t>
  </si>
  <si>
    <t>101513776415</t>
  </si>
  <si>
    <t>101513776419</t>
  </si>
  <si>
    <t>101513776418</t>
  </si>
  <si>
    <t>101513777047</t>
  </si>
  <si>
    <t>MEDU4556686</t>
  </si>
  <si>
    <t>MEDUWH864912</t>
  </si>
  <si>
    <t>101513777046</t>
  </si>
  <si>
    <t>101513777064</t>
  </si>
  <si>
    <t>101513777063</t>
  </si>
  <si>
    <t>101513777062</t>
  </si>
  <si>
    <t>101513777053</t>
  </si>
  <si>
    <t>101513777061</t>
  </si>
  <si>
    <t>101513777059</t>
  </si>
  <si>
    <t>101513777058</t>
  </si>
  <si>
    <t>1275413916</t>
  </si>
  <si>
    <t>101513777052</t>
  </si>
  <si>
    <t>101513777050</t>
  </si>
  <si>
    <t>1275415567</t>
  </si>
  <si>
    <t>101513777060</t>
  </si>
  <si>
    <t>101513777051</t>
  </si>
  <si>
    <t>1275415574</t>
  </si>
  <si>
    <t>101513777057</t>
  </si>
  <si>
    <t>101513777056</t>
  </si>
  <si>
    <t>101513777055</t>
  </si>
  <si>
    <t>101513777048</t>
  </si>
  <si>
    <t>101513777049</t>
  </si>
  <si>
    <t>1275420315</t>
  </si>
  <si>
    <t>101513777054</t>
  </si>
  <si>
    <t>101513777879</t>
  </si>
  <si>
    <t>101513777877</t>
  </si>
  <si>
    <t>101513777878</t>
  </si>
  <si>
    <t>1275389716</t>
  </si>
  <si>
    <t>101513777900</t>
  </si>
  <si>
    <t>101513777889</t>
  </si>
  <si>
    <t>1275400514</t>
  </si>
  <si>
    <t>101513777891</t>
  </si>
  <si>
    <t>101513777887</t>
  </si>
  <si>
    <t>101513777901</t>
  </si>
  <si>
    <t>1275406917</t>
  </si>
  <si>
    <t>101513777895</t>
  </si>
  <si>
    <t>1275406934</t>
  </si>
  <si>
    <t>101513777894</t>
  </si>
  <si>
    <t>1275406972</t>
  </si>
  <si>
    <t>101513777893</t>
  </si>
  <si>
    <t>101513777888</t>
  </si>
  <si>
    <t>1275409461</t>
  </si>
  <si>
    <t>101513777902</t>
  </si>
  <si>
    <t>101513777905</t>
  </si>
  <si>
    <t>1275413611</t>
  </si>
  <si>
    <t>101513777904</t>
  </si>
  <si>
    <t>101513777897</t>
  </si>
  <si>
    <t>1275413941</t>
  </si>
  <si>
    <t>101513777898</t>
  </si>
  <si>
    <t>101513777908</t>
  </si>
  <si>
    <t>101513777885</t>
  </si>
  <si>
    <t>1275415572</t>
  </si>
  <si>
    <t>101513777896</t>
  </si>
  <si>
    <t>101513777886</t>
  </si>
  <si>
    <t>1275416591</t>
  </si>
  <si>
    <t>101513777880</t>
  </si>
  <si>
    <t>1275416604</t>
  </si>
  <si>
    <t>1459-5YY0364EN</t>
  </si>
  <si>
    <t>101513777907</t>
  </si>
  <si>
    <t>1275416615</t>
  </si>
  <si>
    <t>1459-5YY0363EN</t>
  </si>
  <si>
    <t>101513777906</t>
  </si>
  <si>
    <t>101513777899</t>
  </si>
  <si>
    <t>1275416675</t>
  </si>
  <si>
    <t>101513777881</t>
  </si>
  <si>
    <t>1275416710</t>
  </si>
  <si>
    <t>101513777882</t>
  </si>
  <si>
    <t>1275416712</t>
  </si>
  <si>
    <t>101513777883</t>
  </si>
  <si>
    <t>101513777876</t>
  </si>
  <si>
    <t>1275417553</t>
  </si>
  <si>
    <t>101513777903</t>
  </si>
  <si>
    <t>1275420523</t>
  </si>
  <si>
    <t>101513777884</t>
  </si>
  <si>
    <t>1275421825</t>
  </si>
  <si>
    <t>101513777890</t>
  </si>
  <si>
    <t>101513779152</t>
  </si>
  <si>
    <t>3275162910</t>
  </si>
  <si>
    <t>1459-12C0014EN</t>
  </si>
  <si>
    <t>101513777892</t>
  </si>
  <si>
    <t>1195009927</t>
  </si>
  <si>
    <t>101513778304</t>
  </si>
  <si>
    <t>CMA CGM HELIUM V.1WU10E1MA</t>
  </si>
  <si>
    <t>CSGU6547742</t>
  </si>
  <si>
    <t>OOLU2038632800</t>
  </si>
  <si>
    <t>101513778310</t>
  </si>
  <si>
    <t>101513778313</t>
  </si>
  <si>
    <t>101513778306</t>
  </si>
  <si>
    <t>101513778311</t>
  </si>
  <si>
    <t>101513778312</t>
  </si>
  <si>
    <t>101513778307</t>
  </si>
  <si>
    <t>1275416584</t>
  </si>
  <si>
    <t>1301-5YY0390EN0093</t>
  </si>
  <si>
    <t>101513778314</t>
  </si>
  <si>
    <t>C-BOX-117112</t>
  </si>
  <si>
    <t>101513778305</t>
  </si>
  <si>
    <t>101513778309</t>
  </si>
  <si>
    <t>1275416666</t>
  </si>
  <si>
    <t>101513778315</t>
  </si>
  <si>
    <t>101513778317</t>
  </si>
  <si>
    <t>1275421620</t>
  </si>
  <si>
    <t>101513778308</t>
  </si>
  <si>
    <t>3275162743</t>
  </si>
  <si>
    <t>101513778316</t>
  </si>
  <si>
    <t>Rec. Exp</t>
  </si>
  <si>
    <t>Cuanto Fact</t>
  </si>
  <si>
    <t>Frida| Martha</t>
  </si>
  <si>
    <t>Balance</t>
  </si>
  <si>
    <t>%Pct Allow</t>
  </si>
  <si>
    <t>Capex</t>
  </si>
  <si>
    <t>MCS</t>
  </si>
  <si>
    <t>PRO NUMBER/ TRACKING #</t>
  </si>
  <si>
    <t>List unig cont</t>
  </si>
  <si>
    <t>%Pond</t>
  </si>
  <si>
    <t>Cost</t>
  </si>
  <si>
    <t>Container Cost</t>
  </si>
  <si>
    <t>Total</t>
  </si>
  <si>
    <t>Bu</t>
  </si>
  <si>
    <t>Amount(USD)</t>
  </si>
  <si>
    <t>Count</t>
  </si>
  <si>
    <t>New Amoutn</t>
  </si>
  <si>
    <t>Referencia</t>
  </si>
  <si>
    <t>Caja</t>
  </si>
  <si>
    <t>% uso</t>
  </si>
  <si>
    <t>Transporte</t>
  </si>
  <si>
    <t>Linea Caja</t>
  </si>
  <si>
    <t>Transfer</t>
  </si>
  <si>
    <t>Fecha Ent. Doc</t>
  </si>
  <si>
    <t>Hora Ent. Doc</t>
  </si>
  <si>
    <t>Fecha Not. Transfer</t>
  </si>
  <si>
    <t>Hora Not. Transfer</t>
  </si>
  <si>
    <t>Fecha Arr. Transfer</t>
  </si>
  <si>
    <t>Hora Arr. Transfer</t>
  </si>
  <si>
    <t>Fecha Salida Transfer</t>
  </si>
  <si>
    <t>Hora Salida Transfer</t>
  </si>
  <si>
    <t>Fecha Cruce</t>
  </si>
  <si>
    <t>Hora Cruce</t>
  </si>
  <si>
    <t>Rec. Aduanero</t>
  </si>
  <si>
    <t>Hora Rojo</t>
  </si>
  <si>
    <t>Hora Lib.Rojo</t>
  </si>
  <si>
    <t>TSR</t>
  </si>
  <si>
    <t>Nombre Cliente</t>
  </si>
  <si>
    <t>Codigo Cliente</t>
  </si>
  <si>
    <t>No. Planta</t>
  </si>
  <si>
    <t>Nombre planta</t>
  </si>
  <si>
    <t>Trafico</t>
  </si>
  <si>
    <t>Pedimento</t>
  </si>
  <si>
    <t>Remesa</t>
  </si>
  <si>
    <t>Clave</t>
  </si>
  <si>
    <t>Aduana</t>
  </si>
  <si>
    <t>Patente</t>
  </si>
  <si>
    <t>Carga Previa</t>
  </si>
  <si>
    <t>Fecha Car. Previa</t>
  </si>
  <si>
    <t>Hora Car. Previa</t>
  </si>
  <si>
    <t>Bultos</t>
  </si>
  <si>
    <t>Candados</t>
  </si>
  <si>
    <t>Ref. Dicex</t>
  </si>
  <si>
    <t>Fecha Recibo</t>
  </si>
  <si>
    <t>Factura</t>
  </si>
  <si>
    <t>Fecha Factura</t>
  </si>
  <si>
    <t>Importe</t>
  </si>
  <si>
    <t>Orden de Compra</t>
  </si>
  <si>
    <t>COVE</t>
  </si>
  <si>
    <t>Proveedor</t>
  </si>
  <si>
    <t>Domicilio</t>
  </si>
  <si>
    <t>Guia Pack.</t>
  </si>
  <si>
    <t>Codigo Suc.</t>
  </si>
  <si>
    <t>Peso Bruto (Kgs)</t>
  </si>
  <si>
    <t>Peso Bruto (Lbs)</t>
  </si>
  <si>
    <t>Orden</t>
  </si>
  <si>
    <t>No. Parte Prov.</t>
  </si>
  <si>
    <t>No. Pte. Impo</t>
  </si>
  <si>
    <t>Fraccion</t>
  </si>
  <si>
    <t>Descripcion Parte Prov.</t>
  </si>
  <si>
    <t>Cantidad</t>
  </si>
  <si>
    <t>Monto Partida</t>
  </si>
  <si>
    <t>Rout</t>
  </si>
  <si>
    <t>Doc Scan</t>
  </si>
  <si>
    <t>Caja Scan</t>
  </si>
  <si>
    <t>Ejecutivo</t>
  </si>
  <si>
    <t>RM-J-1325LI26- M19</t>
  </si>
  <si>
    <t>5324104</t>
  </si>
  <si>
    <t>0</t>
  </si>
  <si>
    <t>TRANSFER REAL CARRIERS</t>
  </si>
  <si>
    <t>3LCB</t>
  </si>
  <si>
    <t>09/04/2026</t>
  </si>
  <si>
    <t>00:00:00</t>
  </si>
  <si>
    <t>STDS9-01163</t>
  </si>
  <si>
    <t>JOHNSON ELECTRIC GROUP MEXICO S DE RL DE CV</t>
  </si>
  <si>
    <t>01</t>
  </si>
  <si>
    <t>JEGIN-42396</t>
  </si>
  <si>
    <t>6089046</t>
  </si>
  <si>
    <t>5</t>
  </si>
  <si>
    <t>IN</t>
  </si>
  <si>
    <t>NUEVO LAREDO, TAMAULIPAS.</t>
  </si>
  <si>
    <t>3483</t>
  </si>
  <si>
    <t>1</t>
  </si>
  <si>
    <t>BDE230489286,</t>
  </si>
  <si>
    <t>TDS26-00225</t>
  </si>
  <si>
    <t>057895</t>
  </si>
  <si>
    <t>26/03/2026</t>
  </si>
  <si>
    <t>$1,854.39</t>
  </si>
  <si>
    <t>COVE2681KLME6</t>
  </si>
  <si>
    <t>NAGASE CHEMTEX AMERICA LLC</t>
  </si>
  <si>
    <t>100 INNOVATION COURT, DELAWARE OH, USA 43015</t>
  </si>
  <si>
    <t>109190900700</t>
  </si>
  <si>
    <t>0081-1000095</t>
  </si>
  <si>
    <t>3506919999</t>
  </si>
  <si>
    <t>ADHESIVO A BASE DE RESINAS EPOXICAS</t>
  </si>
  <si>
    <t>3</t>
  </si>
  <si>
    <t>1854.39</t>
  </si>
  <si>
    <t>JUAN NOLASCO</t>
  </si>
  <si>
    <t>2</t>
  </si>
  <si>
    <t>TDS26-00217</t>
  </si>
  <si>
    <t>057943</t>
  </si>
  <si>
    <t>30/03/2026</t>
  </si>
  <si>
    <t>COVE2681KIYR1</t>
  </si>
  <si>
    <t>109313150100</t>
  </si>
  <si>
    <t>8</t>
  </si>
  <si>
    <t>TDS26-00221</t>
  </si>
  <si>
    <t>700070560</t>
  </si>
  <si>
    <t>17/03/2026</t>
  </si>
  <si>
    <t>$6,140.00</t>
  </si>
  <si>
    <t>COVE2681KOCW5</t>
  </si>
  <si>
    <t>RUTRONIK ELECTRONICS WORLDWIDE</t>
  </si>
  <si>
    <t>2745 3111 N. UNIVERSITY DRIVE, PLANO TX, USA 33065</t>
  </si>
  <si>
    <t>95966923</t>
  </si>
  <si>
    <t>1616-5TP1037</t>
  </si>
  <si>
    <t>8532240400</t>
  </si>
  <si>
    <t>CAPACITOR DE CERAMICACAPACITOR DE CERAMICA</t>
  </si>
  <si>
    <t>20000</t>
  </si>
  <si>
    <t>6140</t>
  </si>
  <si>
    <t>9</t>
  </si>
  <si>
    <t>TDS26-00230</t>
  </si>
  <si>
    <t>10/04/2026</t>
  </si>
  <si>
    <t>7034263922</t>
  </si>
  <si>
    <t>01/04/2026</t>
  </si>
  <si>
    <t>$140.20</t>
  </si>
  <si>
    <t>COVE2681KQ0C2</t>
  </si>
  <si>
    <t>APPLIED INDUSTRIAL TECHNOLOGIES</t>
  </si>
  <si>
    <t>S/N 2730 KEENEN AVE, DAYTON OHIO, USA 45414</t>
  </si>
  <si>
    <t>870170200600</t>
  </si>
  <si>
    <t>22</t>
  </si>
  <si>
    <t>1428-10C0001</t>
  </si>
  <si>
    <t>3926901400</t>
  </si>
  <si>
    <t>CINCHO DE PLASTICO</t>
  </si>
  <si>
    <t>140.2</t>
  </si>
  <si>
    <t>TDS26-00220</t>
  </si>
  <si>
    <t>CD99125556</t>
  </si>
  <si>
    <t>$17,982.00</t>
  </si>
  <si>
    <t>COVE2681KK2N8</t>
  </si>
  <si>
    <t>COMPAL USA</t>
  </si>
  <si>
    <t>1 TECHNOLOGY WAY, LOGANSPORT IN, USA 46947</t>
  </si>
  <si>
    <t>108870290705</t>
  </si>
  <si>
    <t>1438-EQH0055</t>
  </si>
  <si>
    <t>8534000499</t>
  </si>
  <si>
    <t>CIRCUITO IMPRESO</t>
  </si>
  <si>
    <t>8100</t>
  </si>
  <si>
    <t>17982</t>
  </si>
  <si>
    <t>4</t>
  </si>
  <si>
    <t>TDS26-00222</t>
  </si>
  <si>
    <t>JEMEX492026</t>
  </si>
  <si>
    <t>$1,250.00</t>
  </si>
  <si>
    <t>COVE2681KL311</t>
  </si>
  <si>
    <t>DETROIT THERMAL SYSTEMS</t>
  </si>
  <si>
    <t>6505 COGSWELL ST., ROMULUS MI, USA 48174</t>
  </si>
  <si>
    <t>321-3348</t>
  </si>
  <si>
    <t>TAPA PLASTICA</t>
  </si>
  <si>
    <t>3923500100</t>
  </si>
  <si>
    <t>25</t>
  </si>
  <si>
    <t>CHAROLA PLASTICA</t>
  </si>
  <si>
    <t>3923100301</t>
  </si>
  <si>
    <t>240</t>
  </si>
  <si>
    <t>1200</t>
  </si>
  <si>
    <t>BASE PLASTICA</t>
  </si>
  <si>
    <t>3923909900</t>
  </si>
  <si>
    <t>6</t>
  </si>
  <si>
    <t>TDS26-00202</t>
  </si>
  <si>
    <t>L00002404836</t>
  </si>
  <si>
    <t>14/03/2026</t>
  </si>
  <si>
    <t>$2,233.44</t>
  </si>
  <si>
    <t>COVE2681KM6J8</t>
  </si>
  <si>
    <t>SMALLEY STEEL RING COMPANY</t>
  </si>
  <si>
    <t>555 OAKWOOD ROAD, LAKE ZURICH IL, USA 60047</t>
  </si>
  <si>
    <t>399612952495,495809,495808</t>
  </si>
  <si>
    <t>1204-5YY0012</t>
  </si>
  <si>
    <t>7318210200</t>
  </si>
  <si>
    <t>ARANDELA DE MUELLE</t>
  </si>
  <si>
    <t>39600</t>
  </si>
  <si>
    <t>2233.44</t>
  </si>
  <si>
    <t>7</t>
  </si>
  <si>
    <t>TDS26-00192</t>
  </si>
  <si>
    <t>L00002406237</t>
  </si>
  <si>
    <t>20/03/2026</t>
  </si>
  <si>
    <t>COVE2681KN9G7</t>
  </si>
  <si>
    <t>399800819705 ,496555,496554</t>
  </si>
  <si>
    <t>JEGIN-42359</t>
  </si>
  <si>
    <t>6089047</t>
  </si>
  <si>
    <t>TDS26-00164</t>
  </si>
  <si>
    <t>12/03/2026</t>
  </si>
  <si>
    <t>00018245</t>
  </si>
  <si>
    <t>03/03/2026</t>
  </si>
  <si>
    <t>$11.50</t>
  </si>
  <si>
    <t>COVE2681KQZS8</t>
  </si>
  <si>
    <t>MAGNEFORCE INC.</t>
  </si>
  <si>
    <t>155 SHAFFER DR. N.E., WARREN OH, USA 44484</t>
  </si>
  <si>
    <t>1Z5455240396960013 ,494906 -</t>
  </si>
  <si>
    <t>32560</t>
  </si>
  <si>
    <t>9032900299</t>
  </si>
  <si>
    <t>PARTE PARA MODULO DE CONTROL</t>
  </si>
  <si>
    <t>11.5</t>
  </si>
  <si>
    <t>P8520</t>
  </si>
  <si>
    <t>PAN AMERICAN EXPRESS INC.</t>
  </si>
  <si>
    <t>PANAMERICA</t>
  </si>
  <si>
    <t>06/04/2026</t>
  </si>
  <si>
    <t>STDS9-01162</t>
  </si>
  <si>
    <t>BDE230489281,</t>
  </si>
  <si>
    <t>TDS26-00215</t>
  </si>
  <si>
    <t>CD99125496</t>
  </si>
  <si>
    <t>$27,552.96</t>
  </si>
  <si>
    <t>1438-EQM0074</t>
  </si>
  <si>
    <t>4320</t>
  </si>
  <si>
    <t>9184.32</t>
  </si>
  <si>
    <t>17</t>
  </si>
  <si>
    <t>TDS26-00214</t>
  </si>
  <si>
    <t>MXO-26900</t>
  </si>
  <si>
    <t>$1,870.00</t>
  </si>
  <si>
    <t>SAIA BURGESS AUTOMOTIVE ACTUATORS LLC</t>
  </si>
  <si>
    <t>755 BILL JONES INDUSTRIAL DR, SPRINGFIELD TN, USA 37172</t>
  </si>
  <si>
    <t>M5017091</t>
  </si>
  <si>
    <t>85</t>
  </si>
  <si>
    <t>CAJAS PLASTICAS</t>
  </si>
  <si>
    <t>CAJAS PLASTICA</t>
  </si>
  <si>
    <t>340</t>
  </si>
  <si>
    <t>1700</t>
  </si>
  <si>
    <t>TDS26-00213</t>
  </si>
  <si>
    <t>NY630480</t>
  </si>
  <si>
    <t>$8,121.60</t>
  </si>
  <si>
    <t>MABUCHI MOTOR AMERICA CORP</t>
  </si>
  <si>
    <t>3001 WEST BIG BEAVER ROAD, TROY MI, USA 48084</t>
  </si>
  <si>
    <t>1999-EQH0003</t>
  </si>
  <si>
    <t>MOTOR DE CORRIENTE DIRECTA</t>
  </si>
  <si>
    <t>8640</t>
  </si>
  <si>
    <t>8121.6</t>
  </si>
  <si>
    <t>M-J-1331LI26- M46.PFA</t>
  </si>
  <si>
    <t>14-BK-9L</t>
  </si>
  <si>
    <t>JOGS TRANSPORTES</t>
  </si>
  <si>
    <t>GSJO</t>
  </si>
  <si>
    <t>16/04/2026</t>
  </si>
  <si>
    <t>STDS9-01164</t>
  </si>
  <si>
    <t>JEGIN-42532</t>
  </si>
  <si>
    <t>6089049</t>
  </si>
  <si>
    <t>BDE230489282,</t>
  </si>
  <si>
    <t>TDS26-00245</t>
  </si>
  <si>
    <t>CD99125718</t>
  </si>
  <si>
    <t>14/04/2026</t>
  </si>
  <si>
    <t>$12,371.40</t>
  </si>
  <si>
    <t>2604004104</t>
  </si>
  <si>
    <t>1438-EQH0053</t>
  </si>
  <si>
    <t>2700</t>
  </si>
  <si>
    <t>5856.3</t>
  </si>
  <si>
    <t>1438-EQH0044</t>
  </si>
  <si>
    <t>6515.1</t>
  </si>
  <si>
    <t>RM-J-1339LI26- M19</t>
  </si>
  <si>
    <t>CB-032</t>
  </si>
  <si>
    <t>LISAS TRANSPORT</t>
  </si>
  <si>
    <t>LSSO</t>
  </si>
  <si>
    <t>17/04/2026</t>
  </si>
  <si>
    <t>STDS9-01165</t>
  </si>
  <si>
    <t>BDE230489287,</t>
  </si>
  <si>
    <t>TDS26-00232</t>
  </si>
  <si>
    <t>057966</t>
  </si>
  <si>
    <t>$518.80</t>
  </si>
  <si>
    <t>COVE2681ZNNT3</t>
  </si>
  <si>
    <t>108757687904</t>
  </si>
  <si>
    <t>0081-1000096</t>
  </si>
  <si>
    <t>7244B</t>
  </si>
  <si>
    <t>518.8</t>
  </si>
  <si>
    <t>057986</t>
  </si>
  <si>
    <t>07/04/2026</t>
  </si>
  <si>
    <t>$2,472.52</t>
  </si>
  <si>
    <t>2472.52</t>
  </si>
  <si>
    <t>057987</t>
  </si>
  <si>
    <t>$3,115.25</t>
  </si>
  <si>
    <t>0081-1010033</t>
  </si>
  <si>
    <t>3115.25</t>
  </si>
  <si>
    <t>10</t>
  </si>
  <si>
    <t>TDS26-00198</t>
  </si>
  <si>
    <t>111119289</t>
  </si>
  <si>
    <t>16/03/2026</t>
  </si>
  <si>
    <t>$4,287.00</t>
  </si>
  <si>
    <t>COVE2681ZU233</t>
  </si>
  <si>
    <t>ELKEM SILICONES USA</t>
  </si>
  <si>
    <t>7979 PARK PLACE ROAD, YORK SC, USA 29745</t>
  </si>
  <si>
    <t>77125565190-2</t>
  </si>
  <si>
    <t>100</t>
  </si>
  <si>
    <t>0081-1000098</t>
  </si>
  <si>
    <t>3214100100</t>
  </si>
  <si>
    <t>MASTIQUE A BASE DE PLASTICO</t>
  </si>
  <si>
    <t>4287</t>
  </si>
  <si>
    <t>TDS26-00187</t>
  </si>
  <si>
    <t>19/03/2026</t>
  </si>
  <si>
    <t>2026-73454-00</t>
  </si>
  <si>
    <t>$1,106.10</t>
  </si>
  <si>
    <t>COVE2681ZT1C7</t>
  </si>
  <si>
    <t>ULTRACHEM INC</t>
  </si>
  <si>
    <t>900 CENTERPOINT BLVD, NEW CASTLE DE, USA 19720</t>
  </si>
  <si>
    <t>108715967803</t>
  </si>
  <si>
    <t>RMOLOM350</t>
  </si>
  <si>
    <t>3403999900</t>
  </si>
  <si>
    <t>ACEITE LUBRICANTE SINTETICO</t>
  </si>
  <si>
    <t>1106.1</t>
  </si>
  <si>
    <t>TDS26-00209</t>
  </si>
  <si>
    <t>26018193</t>
  </si>
  <si>
    <t>$6,180.00</t>
  </si>
  <si>
    <t>COVE2681ZS8W6</t>
  </si>
  <si>
    <t>ENTEC POLYMERS</t>
  </si>
  <si>
    <t>1900 SUMMIT TOWER BLVD, ORLANDO FLORIDA, USA 32810</t>
  </si>
  <si>
    <t>I879347691</t>
  </si>
  <si>
    <t>2000</t>
  </si>
  <si>
    <t>0070-M010001</t>
  </si>
  <si>
    <t>3907100502</t>
  </si>
  <si>
    <t>COPOLIMEROS DE TRIOXANO EN PELLETS</t>
  </si>
  <si>
    <t>6180</t>
  </si>
  <si>
    <t>26021073</t>
  </si>
  <si>
    <t>$14,760.00</t>
  </si>
  <si>
    <t>3000</t>
  </si>
  <si>
    <t>0070-1100005-W</t>
  </si>
  <si>
    <t>14760</t>
  </si>
  <si>
    <t>11</t>
  </si>
  <si>
    <t>TDS26-00238</t>
  </si>
  <si>
    <t>279701</t>
  </si>
  <si>
    <t>03/04/2026</t>
  </si>
  <si>
    <t>COVE2681ZUUF2</t>
  </si>
  <si>
    <t>380212773580 ,497076,497077</t>
  </si>
  <si>
    <t>TDS26-00247</t>
  </si>
  <si>
    <t>42473-00</t>
  </si>
  <si>
    <t>$8,606.40</t>
  </si>
  <si>
    <t>COVE2681ZR3D7</t>
  </si>
  <si>
    <t>CONSOLIDATED ELECTRONIC WIRE &amp; CABLE INC.</t>
  </si>
  <si>
    <t>11044 KING STREET, FRANKLIN PARK IL, USA 60131</t>
  </si>
  <si>
    <t>028-6088923</t>
  </si>
  <si>
    <t>0061-V150018-N</t>
  </si>
  <si>
    <t>8544499999</t>
  </si>
  <si>
    <t>CABLE SIN CONEXION</t>
  </si>
  <si>
    <t>40000</t>
  </si>
  <si>
    <t>3129.6</t>
  </si>
  <si>
    <t>0061-V150018-R</t>
  </si>
  <si>
    <t>0061-V150018-W</t>
  </si>
  <si>
    <t>30000</t>
  </si>
  <si>
    <t>2347.2</t>
  </si>
  <si>
    <t>TDS26-00235</t>
  </si>
  <si>
    <t>6100035113</t>
  </si>
  <si>
    <t>23/03/2026</t>
  </si>
  <si>
    <t>$9,540.00</t>
  </si>
  <si>
    <t>COVE2681ZOG05</t>
  </si>
  <si>
    <t>W.L. GORE AND ASSOCIATES INC</t>
  </si>
  <si>
    <t>401 AIRPORT ROAD, ELKTON MD, USA 21921</t>
  </si>
  <si>
    <t>513621523882 ,497156</t>
  </si>
  <si>
    <t>1474-5YY0005</t>
  </si>
  <si>
    <t>4016930499</t>
  </si>
  <si>
    <t>JUNTA</t>
  </si>
  <si>
    <t>9540</t>
  </si>
  <si>
    <t>TDS26-00246</t>
  </si>
  <si>
    <t>CD99125722</t>
  </si>
  <si>
    <t>$9,396.00</t>
  </si>
  <si>
    <t>COVE2681ZQDF1</t>
  </si>
  <si>
    <t>118-0244401</t>
  </si>
  <si>
    <t>1438-EQH0040</t>
  </si>
  <si>
    <t>TARJETA DE CIRCUITO IMPRESO</t>
  </si>
  <si>
    <t>9396</t>
  </si>
  <si>
    <t>16</t>
  </si>
  <si>
    <t>TDS26-00248</t>
  </si>
  <si>
    <t>MXO-26909</t>
  </si>
  <si>
    <t>$1,760.00</t>
  </si>
  <si>
    <t>COVE2681ZRLU8</t>
  </si>
  <si>
    <t>1931742</t>
  </si>
  <si>
    <t>80</t>
  </si>
  <si>
    <t>320</t>
  </si>
  <si>
    <t>1600</t>
  </si>
  <si>
    <t>TDS26-00242</t>
  </si>
  <si>
    <t>NY640127</t>
  </si>
  <si>
    <t>13/04/2026</t>
  </si>
  <si>
    <t>COVE2681ZPIT1</t>
  </si>
  <si>
    <t>JEGIN-42533</t>
  </si>
  <si>
    <t>6089050</t>
  </si>
  <si>
    <t>TDS26-00149</t>
  </si>
  <si>
    <t>04/03/2026</t>
  </si>
  <si>
    <t>36258061</t>
  </si>
  <si>
    <t>$534.60</t>
  </si>
  <si>
    <t>RADWELL INTERNATIONAL LLC</t>
  </si>
  <si>
    <t>1 MILLENIUM DRIVE, WILLINGBORO NEW JERSEY, USA 08046</t>
  </si>
  <si>
    <t>417366879986 ,494432-</t>
  </si>
  <si>
    <t>MBDLT25SF</t>
  </si>
  <si>
    <t>8504401300</t>
  </si>
  <si>
    <t>CONTROLADOR DE VELOCIDAD PARA MOTOR</t>
  </si>
  <si>
    <t>534.6</t>
  </si>
  <si>
    <t>TDS26-00180</t>
  </si>
  <si>
    <t>36278395</t>
  </si>
  <si>
    <t>05/03/2026</t>
  </si>
  <si>
    <t>$536.80</t>
  </si>
  <si>
    <t>417366908438,495350</t>
  </si>
  <si>
    <t>D02GG40V35</t>
  </si>
  <si>
    <t>8536100300</t>
  </si>
  <si>
    <t>FUSIBLES</t>
  </si>
  <si>
    <t>536.8</t>
  </si>
  <si>
    <t>TDS26-00239</t>
  </si>
  <si>
    <t>36346481</t>
  </si>
  <si>
    <t>$195.58</t>
  </si>
  <si>
    <t>519018787108 ,497075</t>
  </si>
  <si>
    <t>57CM23-BZ</t>
  </si>
  <si>
    <t>8501310300</t>
  </si>
  <si>
    <t>SERVOMOTOR</t>
  </si>
  <si>
    <t>195.58</t>
  </si>
  <si>
    <t>TDS26-00237</t>
  </si>
  <si>
    <t>36367001</t>
  </si>
  <si>
    <t>$76.21</t>
  </si>
  <si>
    <t>519018813040 ,497099</t>
  </si>
  <si>
    <t>AE1/AP-4F</t>
  </si>
  <si>
    <t>8536509999</t>
  </si>
  <si>
    <t>SENSOR DE PROXIMIDAD</t>
  </si>
  <si>
    <t>76.21</t>
  </si>
  <si>
    <t>TDS26-00251</t>
  </si>
  <si>
    <t>62955465</t>
  </si>
  <si>
    <t>$47.80</t>
  </si>
  <si>
    <t>MC MASTER-CARR SUPPLY COMPANY</t>
  </si>
  <si>
    <t>9630 NORWALK BLVD, SANTA FE SPRING CA, USA 90670</t>
  </si>
  <si>
    <t>512609708440</t>
  </si>
  <si>
    <t>90025K408</t>
  </si>
  <si>
    <t>JUNTA DE CAUCHO</t>
  </si>
  <si>
    <t>40</t>
  </si>
  <si>
    <t>47.8</t>
  </si>
  <si>
    <t>CB-045</t>
  </si>
  <si>
    <t>20/04/2026</t>
  </si>
  <si>
    <t>STDS9-01166</t>
  </si>
  <si>
    <t>JEGIN-42707</t>
  </si>
  <si>
    <t>6089052</t>
  </si>
  <si>
    <t>41</t>
  </si>
  <si>
    <t>BDE230489283,</t>
  </si>
  <si>
    <t>TDS26-00166</t>
  </si>
  <si>
    <t>1GVL-TKJC-WD11</t>
  </si>
  <si>
    <t>$2,954.15</t>
  </si>
  <si>
    <t>COVE26822O2M4</t>
  </si>
  <si>
    <t>JOHNSON ELECTRIC NORTH AMERICA INC</t>
  </si>
  <si>
    <t>47660 HALYARD DRIVE, PLYMOUTH MICHIGAN, USA 48170</t>
  </si>
  <si>
    <t>111-8495533-9976235</t>
  </si>
  <si>
    <t>VILROS RASPBERRY PI 4 8GB BASIC STARTER KIT WITH FAN COOLED HEAVY DUTY ALUMINUM ALLOY CASE (BLACK CA</t>
  </si>
  <si>
    <t>8471500100</t>
  </si>
  <si>
    <t>UNIDAD DE PROCESO</t>
  </si>
  <si>
    <t>674.95</t>
  </si>
  <si>
    <t>HPMN 24V 10A 240W POWER SUPPLY AC/DC ADAPTER UNIVERSAL REGULATED SWITCHING AC 110-220V TO DC 24 VOLT</t>
  </si>
  <si>
    <t>8504409900</t>
  </si>
  <si>
    <t>CONVRTIDOR ESTATICO</t>
  </si>
  <si>
    <t>15.9</t>
  </si>
  <si>
    <t>VILROS RASPBERRY PI 4 COMPLETE STARTER KIT- INCLUDES RASPBERRY PI 4 BOARD, FAN COOLED CASE, 64GB PRE</t>
  </si>
  <si>
    <t>8534000402</t>
  </si>
  <si>
    <t>CIRCUITO MULTICAPAS</t>
  </si>
  <si>
    <t>619.96</t>
  </si>
  <si>
    <t>UXCELL 2MM DIA TEMPERATURE SENSOR PROBE TESTER K-TYPE THERMOCOUPLE WIRE CABLE 32M L</t>
  </si>
  <si>
    <t>9032899900</t>
  </si>
  <si>
    <t>TERMOPAR</t>
  </si>
  <si>
    <t>22.98</t>
  </si>
  <si>
    <t>ARDUCAM MULTI CAMERA ADAPTER MODULE V2.2 FOR RASPBERRY PI 5, 4B, COMPATIBLE WITH RASPERRY PI CAMERA</t>
  </si>
  <si>
    <t>8517621799</t>
  </si>
  <si>
    <t>APARATO DE TRANSMISION</t>
  </si>
  <si>
    <t>49</t>
  </si>
  <si>
    <t>ARDUCAM FOR RASPBERRY PI HQ CAMERA MODULE,12.3MP IMX477 RASPBERRY PI CAMERA FOR RASPBERRY PI5/4B/3B+</t>
  </si>
  <si>
    <t>8529909991</t>
  </si>
  <si>
    <t>PARTE PARA CAMARA</t>
  </si>
  <si>
    <t>51.99</t>
  </si>
  <si>
    <t>ARDUCAM 2.8-12MM VARIFOCAL C-MOUNT LENS FOR RASPBERRY PI HQ CAMERA, WITH C-CS ADAPTER, INDUSTRIAL TE</t>
  </si>
  <si>
    <t>64.34</t>
  </si>
  <si>
    <t>ARDUCAM IMX477 PI HQ CAMERA FOR RASPBERRY PI 5, COMES WITH A 1/2.3 6MM FOCAL LENGTH CS LENS, WIDELY</t>
  </si>
  <si>
    <t>67.99</t>
  </si>
  <si>
    <t>135.98</t>
  </si>
  <si>
    <t>12</t>
  </si>
  <si>
    <t>271.96</t>
  </si>
  <si>
    <t>13</t>
  </si>
  <si>
    <t>3PCS 15 PIN 30CM 50CM 100CM FFC RIBBON FLEXIBLE FLAT CABLE FOR CAMERA PI CAMERA CABLE LONG EXTENSION</t>
  </si>
  <si>
    <t>8544429904</t>
  </si>
  <si>
    <t>CABLE DE COBRE PROVISTO DE PIEZAS DE CONEXION</t>
  </si>
  <si>
    <t>7.79</t>
  </si>
  <si>
    <t>14</t>
  </si>
  <si>
    <t>SEEED STUDIO CORAL USB ACCELERATOR ACCELERATOR COPROCESSOR FOR RASPBERRY PI AND OTHER EMBEDDED SINGL</t>
  </si>
  <si>
    <t>8471909900</t>
  </si>
  <si>
    <t>UNIDAD EXTERNA DE PROCESAMIENTO DE DATOS</t>
  </si>
  <si>
    <t>82.99</t>
  </si>
  <si>
    <t>15</t>
  </si>
  <si>
    <t>580.93</t>
  </si>
  <si>
    <t>ZOWIETEK 5-50MM 12MP C-MOUNT LOW DISTORTION ZOOM LENS, WITH C-CS ADAPTER, FOR ZOWIECAM POV CS/C MOUN</t>
  </si>
  <si>
    <t>9002110100</t>
  </si>
  <si>
    <t>LENTES PARA CAMARA</t>
  </si>
  <si>
    <t>95.06</t>
  </si>
  <si>
    <t>ARDUCAM M12 LENS SET FOR USB CAMERA(1/2.7 1/2.8 1/2.9), TELEPHOTO, MACRO, WIDE ANGLE, FISHEYE LENS K</t>
  </si>
  <si>
    <t>98.99</t>
  </si>
  <si>
    <t>1MTM-PXM1-6JLW</t>
  </si>
  <si>
    <t>28/03/2026</t>
  </si>
  <si>
    <t>$350.42</t>
  </si>
  <si>
    <t>FFR-FLAT6.6</t>
  </si>
  <si>
    <t>CABLE</t>
  </si>
  <si>
    <t>4.49</t>
  </si>
  <si>
    <t>103.98</t>
  </si>
  <si>
    <t>1NKC-XL3T-GNRW</t>
  </si>
  <si>
    <t>21/03/2026</t>
  </si>
  <si>
    <t>$3,891.35</t>
  </si>
  <si>
    <t>154.99</t>
  </si>
  <si>
    <t>8.98</t>
  </si>
  <si>
    <t>22.45</t>
  </si>
  <si>
    <t>26.94</t>
  </si>
  <si>
    <t>392</t>
  </si>
  <si>
    <t>ARDU6-25</t>
  </si>
  <si>
    <t>LENTE PARA CAMARA</t>
  </si>
  <si>
    <t>445.41</t>
  </si>
  <si>
    <t>467.91</t>
  </si>
  <si>
    <t>155.97</t>
  </si>
  <si>
    <t>311.94</t>
  </si>
  <si>
    <t>18</t>
  </si>
  <si>
    <t>19</t>
  </si>
  <si>
    <t>193.02</t>
  </si>
  <si>
    <t>20</t>
  </si>
  <si>
    <t>21</t>
  </si>
  <si>
    <t>62.32</t>
  </si>
  <si>
    <t>23</t>
  </si>
  <si>
    <t>MOKOSE 5-12MM CCTV CAMERA LENS 6MP PIXELS 1/1.8 ZOOM C-MOUNT INDUSTRIAL CAMERA MANUAL LENS LOW DISTO</t>
  </si>
  <si>
    <t>78.5</t>
  </si>
  <si>
    <t>24</t>
  </si>
  <si>
    <t>380.24</t>
  </si>
  <si>
    <t>26</t>
  </si>
  <si>
    <t>1NNT-T7QR-14M1</t>
  </si>
  <si>
    <t>15/03/2026</t>
  </si>
  <si>
    <t>$1,818.16</t>
  </si>
  <si>
    <t>ARDU-CS.6-25</t>
  </si>
  <si>
    <t>JUEGO DE LENTES PARA CAMARA</t>
  </si>
  <si>
    <t>653.34</t>
  </si>
  <si>
    <t>134.99</t>
  </si>
  <si>
    <t>143.1</t>
  </si>
  <si>
    <t>GEEEKPI 7-INCH SCREEN FOR RASPBERRY PI, 1024X600 IPS LCD DISPLAY, HDMI PORTABLE MONITOR FOR PI 5/4B/</t>
  </si>
  <si>
    <t>8528520201</t>
  </si>
  <si>
    <t>MONITOR PARA COMPUTADORA</t>
  </si>
  <si>
    <t>393.2</t>
  </si>
  <si>
    <t>49.49</t>
  </si>
  <si>
    <t>165.98</t>
  </si>
  <si>
    <t>1VTT-3L6Y-C366</t>
  </si>
  <si>
    <t>10/03/2026</t>
  </si>
  <si>
    <t>$84.22</t>
  </si>
  <si>
    <t>39.32</t>
  </si>
  <si>
    <t>13.47</t>
  </si>
  <si>
    <t>17.96</t>
  </si>
  <si>
    <t>TDS26-00244</t>
  </si>
  <si>
    <t>20483199</t>
  </si>
  <si>
    <t>AF-J-0908LI26-M00.1</t>
  </si>
  <si>
    <t>P8605</t>
  </si>
  <si>
    <t>21/04/2026</t>
  </si>
  <si>
    <t>STDS9-01167</t>
  </si>
  <si>
    <t>JEGAF-42709</t>
  </si>
  <si>
    <t>6089054</t>
  </si>
  <si>
    <t>AF</t>
  </si>
  <si>
    <t>BDE230489288,</t>
  </si>
  <si>
    <t>TDS26-00253</t>
  </si>
  <si>
    <t>50800043560</t>
  </si>
  <si>
    <t>$11,579.85</t>
  </si>
  <si>
    <t>T233805</t>
  </si>
  <si>
    <t>139313</t>
  </si>
  <si>
    <t>9031809999</t>
  </si>
  <si>
    <t>MAQUINA PARA MEDICION DE COORDENADAS DESENSAMBLADA CON ACCESORIOS PARA SU USO</t>
  </si>
  <si>
    <t>11579.85</t>
  </si>
  <si>
    <t>RM-J-1343LI26- M19</t>
  </si>
  <si>
    <t>27-BK-1X</t>
  </si>
  <si>
    <t>22/04/2026</t>
  </si>
  <si>
    <t>STDS9-01168</t>
  </si>
  <si>
    <t>JEGIN-42743</t>
  </si>
  <si>
    <t>6082017</t>
  </si>
  <si>
    <t>COLOMBIA, COLOMBIA, NUEVO LEON.</t>
  </si>
  <si>
    <t>BDE230489284,</t>
  </si>
  <si>
    <t>TDS26-00254</t>
  </si>
  <si>
    <t>11871416-1</t>
  </si>
  <si>
    <t>$730.55</t>
  </si>
  <si>
    <t>KRAYDEN INC</t>
  </si>
  <si>
    <t>1491 WEST 124 TH AVENUE, WESTMINSTER CO, USA 80234</t>
  </si>
  <si>
    <t>471164304034,498065</t>
  </si>
  <si>
    <t>RMEPGL001-1</t>
  </si>
  <si>
    <t>HT744908</t>
  </si>
  <si>
    <t>JGO DE ADHESIVO A BASE DE RESINA EPOXICA Y ENDURECEDOR</t>
  </si>
  <si>
    <t>730.55</t>
  </si>
  <si>
    <t>CB-022</t>
  </si>
  <si>
    <t>24/04/2026</t>
  </si>
  <si>
    <t>STDS9-01169</t>
  </si>
  <si>
    <t>BDE230489285,</t>
  </si>
  <si>
    <t>TDS26-00260</t>
  </si>
  <si>
    <t>058030</t>
  </si>
  <si>
    <t>087-2741843</t>
  </si>
  <si>
    <t>TDS26-00259</t>
  </si>
  <si>
    <t>058055</t>
  </si>
  <si>
    <t>0872741844</t>
  </si>
  <si>
    <t>TDS26-00233</t>
  </si>
  <si>
    <t>103489</t>
  </si>
  <si>
    <t>$17,280.00</t>
  </si>
  <si>
    <t>M. LIZEN MANUFACTURING CO.</t>
  </si>
  <si>
    <t>S/N 2625 FEDERAL SIGNAL DRIVE, UNIVERSITY PARK ILLINOIS , USA 60484</t>
  </si>
  <si>
    <t>709730136</t>
  </si>
  <si>
    <t>150</t>
  </si>
  <si>
    <t>1410-EQH0109</t>
  </si>
  <si>
    <t>8536909999</t>
  </si>
  <si>
    <t>CONTACTOR PARA ESCOBILLA</t>
  </si>
  <si>
    <t>9000</t>
  </si>
  <si>
    <t>17280</t>
  </si>
  <si>
    <t>TDS26-00223</t>
  </si>
  <si>
    <t>111119507</t>
  </si>
  <si>
    <t>27/03/2026</t>
  </si>
  <si>
    <t>$12,861.00</t>
  </si>
  <si>
    <t>010-7382269</t>
  </si>
  <si>
    <t>0081-1000097</t>
  </si>
  <si>
    <t>7244A</t>
  </si>
  <si>
    <t>6430.5</t>
  </si>
  <si>
    <t>TDS26-00218</t>
  </si>
  <si>
    <t>211430</t>
  </si>
  <si>
    <t>$1,626.00</t>
  </si>
  <si>
    <t>T&amp;C STAMPING INC</t>
  </si>
  <si>
    <t>S/N 1403 FREEMAN AVENUE, ATHENS ALABAMA, USA 35613</t>
  </si>
  <si>
    <t>10836564530-5</t>
  </si>
  <si>
    <t>1401-EQH0002</t>
  </si>
  <si>
    <t>8503009999</t>
  </si>
  <si>
    <t>ENSAMBLE DE TAPA FINAL</t>
  </si>
  <si>
    <t>15000</t>
  </si>
  <si>
    <t>813</t>
  </si>
  <si>
    <t>TDS26-00226</t>
  </si>
  <si>
    <t>90918270</t>
  </si>
  <si>
    <t>25/03/2026</t>
  </si>
  <si>
    <t>$634.90</t>
  </si>
  <si>
    <t>EFC INTERNATIONAL</t>
  </si>
  <si>
    <t>S/N 4150 CHANDLER DRIVE, HANOVER PARK ILLINOIS, USA 60133</t>
  </si>
  <si>
    <t>399935447220</t>
  </si>
  <si>
    <t>40433</t>
  </si>
  <si>
    <t>7318150400</t>
  </si>
  <si>
    <t>TORNILLO DE ACERO</t>
  </si>
  <si>
    <t>14000</t>
  </si>
  <si>
    <t>634.9</t>
  </si>
  <si>
    <t>TDS26-00258</t>
  </si>
  <si>
    <t>CD99125719</t>
  </si>
  <si>
    <t>$1,904.50</t>
  </si>
  <si>
    <t>870688263908</t>
  </si>
  <si>
    <t>1621-MYY0007</t>
  </si>
  <si>
    <t>243192201</t>
  </si>
  <si>
    <t>325</t>
  </si>
  <si>
    <t>1904.5</t>
  </si>
  <si>
    <t>CD99125720</t>
  </si>
  <si>
    <t>$1,183.72</t>
  </si>
  <si>
    <t>202</t>
  </si>
  <si>
    <t>1183.72</t>
  </si>
  <si>
    <t>TDS26-00261</t>
  </si>
  <si>
    <t>JEMEX42226</t>
  </si>
  <si>
    <t>$250.00</t>
  </si>
  <si>
    <t>41895-</t>
  </si>
  <si>
    <t>48</t>
  </si>
  <si>
    <t>TDS26-00262</t>
  </si>
  <si>
    <t>MXO-26913</t>
  </si>
  <si>
    <t>$1,325.00</t>
  </si>
  <si>
    <t>60</t>
  </si>
  <si>
    <t>241</t>
  </si>
  <si>
    <t>1205</t>
  </si>
  <si>
    <t>TDS26-00263</t>
  </si>
  <si>
    <t>NY640226</t>
  </si>
  <si>
    <t>JEGIN-42708</t>
  </si>
  <si>
    <t>6089053</t>
  </si>
  <si>
    <t>TDS26-00257</t>
  </si>
  <si>
    <t>097725</t>
  </si>
  <si>
    <t>$2,134.40</t>
  </si>
  <si>
    <t>SEHO NORTH AMERICA INC</t>
  </si>
  <si>
    <t>1445 JAMIKE DR, ERLANGER KY, USA 41018</t>
  </si>
  <si>
    <t>870611703950 ,498066</t>
  </si>
  <si>
    <t>91165032</t>
  </si>
  <si>
    <t>8483100801</t>
  </si>
  <si>
    <t>FLECHA</t>
  </si>
  <si>
    <t>190.62</t>
  </si>
  <si>
    <t>91165023</t>
  </si>
  <si>
    <t>971.89</t>
  </si>
  <si>
    <t>RM-J-1359LI26-M23.CS1037</t>
  </si>
  <si>
    <t>CB-011</t>
  </si>
  <si>
    <t>27/04/2026</t>
  </si>
  <si>
    <t>STDS9-01170</t>
  </si>
  <si>
    <t>JEGIN-42900</t>
  </si>
  <si>
    <t>6089055</t>
  </si>
  <si>
    <t>BDE230489289,</t>
  </si>
  <si>
    <t>TDS26-00224</t>
  </si>
  <si>
    <t>26019312</t>
  </si>
  <si>
    <t>$5,270.00</t>
  </si>
  <si>
    <t>COVE2682HA9E5</t>
  </si>
  <si>
    <t>102218564-01</t>
  </si>
  <si>
    <t>1000</t>
  </si>
  <si>
    <t>0070-1200005</t>
  </si>
  <si>
    <t>3902309900</t>
  </si>
  <si>
    <t>ELASTOMERO TERMOPLASTICO EN FORMA PRIMARIA</t>
  </si>
  <si>
    <t>5270</t>
  </si>
  <si>
    <t>TDS26-00264</t>
  </si>
  <si>
    <t>MXO-26917</t>
  </si>
  <si>
    <t>$27,888.12</t>
  </si>
  <si>
    <t>COVE2682HF294</t>
  </si>
  <si>
    <t>BOMBA DE AGUA</t>
  </si>
  <si>
    <t>720</t>
  </si>
  <si>
    <t>27228.1199976</t>
  </si>
  <si>
    <t>30</t>
  </si>
  <si>
    <t>120</t>
  </si>
  <si>
    <t>600</t>
  </si>
  <si>
    <t>Inbound</t>
  </si>
  <si>
    <t>RM-J-1316LI26- M19</t>
  </si>
  <si>
    <t>RM-J-1342LI26- M19.1</t>
  </si>
  <si>
    <t>RM-J-1357LI26-M19   </t>
  </si>
  <si>
    <t>Unique</t>
  </si>
  <si>
    <t>Miscelaneus</t>
  </si>
  <si>
    <t>Machine</t>
  </si>
  <si>
    <t>% Propot</t>
  </si>
  <si>
    <t>Fix BU</t>
  </si>
  <si>
    <t>Sea %PCT</t>
  </si>
  <si>
    <t>Sea</t>
  </si>
  <si>
    <t>Land %PCT</t>
  </si>
  <si>
    <t xml:space="preserve">Viewer </t>
  </si>
  <si>
    <t>Arg. Var $</t>
  </si>
  <si>
    <t>Outbound %PCT</t>
  </si>
  <si>
    <t>Type</t>
  </si>
  <si>
    <t>═══════════════════════════════════════════════════════════════════════════════════════</t>
  </si>
  <si>
    <t>🧪 SECCIÓN W18 - PRUEBA SEMANA 18 (Exportaciones) - Costo Fijo: $1,500 USD</t>
  </si>
  <si>
    <t>W18 Extraction</t>
  </si>
  <si>
    <t>W18 Output</t>
  </si>
  <si>
    <t>Fix Cost W18</t>
  </si>
  <si>
    <t>TOTAL</t>
  </si>
  <si>
    <t>Costo Fijo por Reference:</t>
  </si>
  <si>
    <t>Validación</t>
  </si>
  <si>
    <t>#</t>
  </si>
  <si>
    <t>Container</t>
  </si>
  <si>
    <t>📦 PRORRATEO IMPO (LAND) — REPORTE IMPO ABRIL MAYO.xlsx</t>
  </si>
  <si>
    <t>Regla:</t>
  </si>
  <si>
    <t>Amount = (Peso del item / Peso total Reference) × $1,200</t>
  </si>
  <si>
    <t>BU detectado</t>
  </si>
  <si>
    <t>%Proporción</t>
  </si>
  <si>
    <t>Amount ($)</t>
  </si>
  <si>
    <t>RM-J-1361LI26-M19</t>
  </si>
  <si>
    <t>CB-052</t>
  </si>
  <si>
    <t>0070-E050001</t>
  </si>
  <si>
    <t>0070-G020001-B</t>
  </si>
  <si>
    <t>0070-M130001</t>
  </si>
  <si>
    <t>0073-V15A295</t>
  </si>
  <si>
    <t>1201-1E90108</t>
  </si>
  <si>
    <t>1275-31E0001</t>
  </si>
  <si>
    <t>1392-5YY0075</t>
  </si>
  <si>
    <t>1420-1E90020</t>
  </si>
  <si>
    <t>1420-1E90023</t>
  </si>
  <si>
    <t>1474-5YY0004</t>
  </si>
  <si>
    <t>601.8200.017</t>
  </si>
  <si>
    <t>RM-J-1377LI26-M19.2</t>
  </si>
  <si>
    <t>CB-072</t>
  </si>
  <si>
    <t>RM-J-1381LI26-M00</t>
  </si>
  <si>
    <t>CB-070</t>
  </si>
  <si>
    <t>0070-1100007-B</t>
  </si>
  <si>
    <t>0083-1000015</t>
  </si>
  <si>
    <t>1299-5YY0085</t>
  </si>
  <si>
    <t>1438-EQH0051</t>
  </si>
  <si>
    <t>RM-J-1390LI26-M23</t>
  </si>
  <si>
    <t>04-BE-2T</t>
  </si>
  <si>
    <t>XPD</t>
  </si>
  <si>
    <t>021200-20854</t>
  </si>
  <si>
    <t>075577-057054</t>
  </si>
  <si>
    <t># Refs únicas:</t>
  </si>
  <si>
    <t>Costo esperado:</t>
  </si>
  <si>
    <t>Validación:</t>
  </si>
  <si>
    <t>🚢 PRORRATEO EXPO (OUTBOUND) — REPORTE EXPO W19.xlsx</t>
  </si>
  <si>
    <t>Costo Fijo por Waybill:</t>
  </si>
  <si>
    <t>Calc_Exp = (Peso del item / Peso total Waybill) × $1,500 | BU extraído del patrón del Waybill (segundo BU si hay 2)</t>
  </si>
  <si>
    <t>Transport</t>
  </si>
  <si>
    <t>Calc_Exp ($)</t>
  </si>
  <si>
    <t>FG-R-2209LE26.M46/M45</t>
  </si>
  <si>
    <t>JOHNSON ELECTRIC NA (TDS)</t>
  </si>
  <si>
    <t>JOHNSON ELECTRIC NA (MDS)</t>
  </si>
  <si>
    <t>FG-R-2216LE26.M46/M45</t>
  </si>
  <si>
    <t>JOHNSON ELECTRIC NA (DRAIN)</t>
  </si>
  <si>
    <t>FG-R-2221LE26.M45</t>
  </si>
  <si>
    <t>SNLU141763</t>
  </si>
  <si>
    <t>BROAN NUTONE</t>
  </si>
  <si>
    <t>1999-10C0157EN</t>
  </si>
  <si>
    <t>FG-R-2215LE26.M01/M45</t>
  </si>
  <si>
    <t>VT05</t>
  </si>
  <si>
    <t>1999-1WP0122EN</t>
  </si>
  <si>
    <t>FG-R-2216LE26.M46/M45-2</t>
  </si>
  <si>
    <t>JOHNSON ELECTRIC NA (GOGGINS)</t>
  </si>
  <si>
    <t>FG-R-2217LE26.M01/M45</t>
  </si>
  <si>
    <t>FG-R-2219LE26.M19</t>
  </si>
  <si>
    <t>SAIA-BURGESS</t>
  </si>
  <si>
    <t>FG-R-2220LE26.M19</t>
  </si>
  <si>
    <t>1999-5YY1450EN</t>
  </si>
  <si>
    <t>FG-R-2218LE26.M46/M45</t>
  </si>
  <si>
    <t>TA003</t>
  </si>
  <si>
    <t># Waybills únicos:</t>
  </si>
  <si>
    <t>M00</t>
  </si>
  <si>
    <t>BU Final</t>
  </si>
  <si>
    <t>—</t>
  </si>
  <si>
    <t>LAND</t>
  </si>
  <si>
    <t>OUTBOUND</t>
  </si>
  <si>
    <t># Items</t>
  </si>
  <si>
    <t>Monto Total ($)</t>
  </si>
  <si>
    <t>RESUMEN POR BU FINAL</t>
  </si>
  <si>
    <t>Estado</t>
  </si>
  <si>
    <t>🔍 ANÁLISIS DE CÓDIGO — SistemaLogistico (Python + pandas)</t>
  </si>
  <si>
    <t>Bitácora acumulativa — Análisis clase por clase contra REGLAS_PROCESO</t>
  </si>
  <si>
    <t>Clase / Archivo</t>
  </si>
  <si>
    <t>Propósito</t>
  </si>
  <si>
    <t>Reglas que implementa</t>
  </si>
  <si>
    <t>✅ Bien</t>
  </si>
  <si>
    <t>🟡 Dudas</t>
  </si>
  <si>
    <t>🔴 Bugs / Riesgos</t>
  </si>
  <si>
    <t>🔗 Dependencias</t>
  </si>
  <si>
    <t>💡 Sugerencias</t>
  </si>
  <si>
    <t>📖 LEYENDA DE ESTADOS</t>
  </si>
  <si>
    <t>🟢 OK — Clase correcta, sin observaciones críticas</t>
  </si>
  <si>
    <t>🟡 Revisar — Tiene ambigüedades o decisiones pendientes</t>
  </si>
  <si>
    <t>🔴 Corregir — Tiene bugs activos o no cubre reglas críticas</t>
  </si>
  <si>
    <t>config/config.yaml</t>
  </si>
  <si>
    <t>Configuración central del sistema: costos default, mapeo de columnas, rutas, reglas Miscelaneus, detección de hojas y validaciones. Externaliza parámetros para evitar tocar código.</t>
  </si>
  <si>
    <t>§3 Miscelaneus (completo) | §5 Sea cols | §6 Land cols | §7 Costos default | §11 Detección hojas | §9 Tolerancia $0.01</t>
  </si>
  <si>
    <t>• Costos $1500/$2500/$1200 coinciden con Excel
• Miscelaneus con 2 listas (sin filtro / con filtro guion) — elegante y correcto
• Tolerancia $0.01 OK
• Detección de hojas parametrizada
• Capex con peso=0 y pct_pond=1.0 correcto
• YAML bien comentado y legible</t>
  </si>
  <si>
    <t>• exclusiones.summary_pct_sea solo aplica a Sea; ¿Land y Outbound también deben excluir Capex/MCS?
• Mapeo Outbound apunta a bloque crudo (B-AR) o procesado (BG-BO)?
• Mapeo Land tiene 2 bloques (B-BC crudo y BS-CE procesado), ¿cuál se usa?
• bu_catalog.json referenciado pero no analizado aún
• palabras_sin_filtro solo tiene PLASTIC/CHAROLA, ¿faltan más keywords?
• bloquear_si_error_critico=true pero "error crítico" no definido</t>
  </si>
  <si>
    <t>🔴 Mapeo Outbound: fila_encabezado=8 y letras B/C/D/E/F/G no coinciden con el Excel actual (encabezados reales están en BG4:BO4). POSIBLE CAUSA del bug de $500 en PRORRATEO_EXPO.
🔴 Falta config para "segundo BU" en Outbound (regla hardcodeada en código)
🔴 Falta política para multi-BU subinventory (8 AMBIGUO sin resolver)
🔴 Falta config de normalización (UPPER, strip)
🔴 Falta política para 3+ BUs en Waybill</t>
  </si>
  <si>
    <t>→ src/ingesta/mapeo_columnas.py (alias delegados aquí)
→ src/reglas/bu_catalog.json (referenciado, no visto)
→ Todo módulo que lea costos/columnas/rutas
→ Hojas Excel: Outbound, Sea, land, REGLAS_PROCESO</t>
  </si>
  <si>
    <t>1. Agregar schema_version: 1 para futuras migraciones
2. Validar YAML al arranque con pydantic
3. Unificar exclusiones Capex/MCS para todas las hojas
4. Documentar en comentarios cuál bloque del Excel se lee
5. Añadir sección normalizacion: {bu_a_upper, strip_whitespace}
6. Añadir multi_bu_subinventory: {estrategia: ...}
7. Parametrizar regla del segundo BU Outbound</t>
  </si>
  <si>
    <t>🟡 Revisar</t>
  </si>
  <si>
    <t>src/ingesta/detector_header.py</t>
  </si>
  <si>
    <t>Detecta automáticamente la fila de encabezado en cada hoja del Excel. Escanea las primeras N filas, asigna un score a cada una según columnas reconocidas, columnas críticas presentes y dispersión horizontal, y devuelve la fila ganadora. Filtra filas 'ruido' (numeración, merged, marcadores 'x').</t>
  </si>
  <si>
    <t>§11 Detección Automática de Hojas (parcial) | §10 Mapeo de Columnas (vía buscar_columna_logica)</t>
  </si>
  <si>
    <t>• Algoritmo de scoring multifactor (reconocidas + críticas + cobertura) — muy bien pensado
• Detección de ruido (numeración 1-2-3, 'x', merged) — excelente para tu Excel real
• Bonus por cobertura horizontal — resuelve el problema de bloques BG-BO vs B-AR de Outbound
• Logging detallado con top-3 candidatas para diagnóstico
• Type hints completos y docstrings claros
• max_filas_escanear ampliado a 20 (los encabezados de Outbound están en fila 8)
• Manejo de errores en lectura del Excel (try/except con warning)
• Filtros progresivos: vacías → ruido → mínimo de reconocidas
• Devuelve tupla (fila, num_reconocidas) — útil para validación posterior</t>
  </si>
  <si>
    <t>• PATRON_NUMERICO_SECUENCIAL solo cubre 1-999 (\d{1,3}); ¿qué si hay más de 1000 columnas numeradas? Poco probable pero hardcode.
• Umbral 60% en _es_fila_ruido es arbitrario; ¿documentado el porqué?
• Cobertura normalizada a /50.0 columnas — pero Outbound tiene 75 cols y Sea tiene 103. ¿No debería ser dinámico?
• COLUMNAS_CRITICAS_BONUS está HARDCODEADO en el módulo, NO en config.yaml — contradice la filosofía 'sin tocar código'
• max_filas_escanear default=20 en el código, pero config.yaml dice 15. ¿Cuál gana?
• min_columnas_reconocidas default=3 hardcoded, también está en YAML
• No usa el YAML para nada — todos los parámetros vienen por argumento
• ¿Qué pasa si hay empate de score entre dos filas? Toma la primera por orden de aparición (estable), pero no documentado</t>
  </si>
  <si>
    <t>🔴 RIESGO ALTO: La fila 8 de Outbound (BG-BO con headers procesados) compite con la fila 3-4 (que tiene 'Data', numeración, 'x'). Si el scoring favorece la fila equivocada, lee del bloque crudo y NO del bloque procesado → posible causa del bug de $500.
🟡 No lee config.yaml; los parámetros del YAML quedan ignorados si el caller no los pasa.
🟡 _calcular_cobertura_horizontal divide por 50 constante: en hojas anchas (Sea=103 cols) la cobertura se satura en 1.0 demasiado fácil; en hojas angostas penaliza injustamente.
🟡 Cobertura usa max-min de posiciones, pero NO mide huecos internos (3 cols en posiciones 0,1,2 da rango 2; en 0,25,50 da rango 50 — ambos tienen 3 cols pero scoring muy distinto, lo cual es correcto, pero no detecta densidad).
🟡 No hay tie-breaker explícito si dos filas tienen el mismo score.
🟡 PATRON_MERGED busca '~' literal — eso es un artefacto de cómo el preview muestra merged cells, NO de cómo pandas los lee realmente. Verificar si funciona en producción.</t>
  </si>
  <si>
    <t>← src/ingesta/mapeo_columnas.buscar_columna_logica (CRÍTICA — toda la lógica de reconocimiento depende de esta función)
← src/utils/logger.configurar_logger
← pandas.read_excel
→ Lo usa todo módulo que necesite leer una hoja con encabezado variable (probablemente src/ingesta/lector_excel.py o similar)</t>
  </si>
  <si>
    <t>1. 🔴 PRIORIDAD: Validar manualmente con tu Excel real qué fila detecta para 'Outbound'. Si detecta fila 4 (B-AR) en vez de fila 8 (BG-BO), ahí está el bug.
2. Mover COLUMNAS_CRITICAS_BONUS a config.yaml para que sea modificable sin código
3. Leer max_filas_escanear y min_columnas_reconocidas desde config.yaml por defecto
4. Hacer cobertura dinámica: dividir por (num_columnas_totales / 2) en vez de 50 fijo
5. Agregar tie-breaker: si empate de score, preferir la fila con MAYOR num_reconocidas; si sigue empate, la fila MÁS ABAJO (más probable que sea header procesado)
6. Agregar test con hoja Outbound real para asegurar que detecta fila 8
7. Logging: cuando hay 2 candidatas con score similar (&lt;10% diferencia), advertir explícitamente
8. Considerar bonus extra si la fila está PRECEDIDA por filas vacías o ruido (patrón típico de header procesado)</t>
  </si>
  <si>
    <t>src/ingesta/detector_hojas.py</t>
  </si>
  <si>
    <t>Detecta automáticamente cuál hoja del Excel corresponde a una operación dada (land/outbound/sea), sin depender del nombre. Analiza cada hoja: la ignora si su nombre coincide con metadata, detecta su fila de encabezado, mapea columnas con alias, calcula un score, y devuelve la hoja ganadora junto con el análisis de todas. Soporta múltiples formatos de retorno de calcular_score_hoja (dict o int) por compatibilidad.</t>
  </si>
  <si>
    <t>§11 Detección Automática de Hojas (completo) | §10 Mapeo de Columnas (vía mapear_columnas_dataframe) | §9 Score mínimo configurable</t>
  </si>
  <si>
    <t>• Arquitectura limpia: 3 funciones con responsabilidad única (listar/analizar/elegir)
• Lista HOJAS_IGNORADAS robusta: cubre metadata, summary, consolidado, readme (case-insensitive con búsqueda parcial)
• Manejo defensivo del retorno de calcular_score_hoja: soporta dict, int o None — buena retro-compatibilidad
• Soporte dual de COLUMNAS_POR_OPERACION (dict con 'criticas' o lista plana legacy)
• Devuelve TUPLA (mejor, todas) — permite mostrar al usuario por qué se descartaron otras hojas
• Logging muy completo con separadores visuales y emojis (facilita debugging)
• Tie-breaker en sort: si empate de score, gana la hoja con MÁS FILAS (criterio sensato)
• Try/except defensivo en listar_hojas y read_excel
• Devuelve None si nada cumple score mínimo → fuerza selección manual (no falla silenciosamente)
• openpyxl read_only=True para listado rápido sin cargar datos
• fila_header se conserva y se reporta en log (debugging)</t>
  </si>
  <si>
    <t>• HOJAS_IGNORADAS está HARDCODEADA en el módulo, NO en config.yaml — duplica la lista que ya está en YAML (deteccion_hojas.hojas_ignoradas)
• score_minimo default=25 hardcoded; también está en YAML (deteccion_hojas.score_minimo). ¿Cuál gana en producción?
• HOJAS_IGNORADAS tiene 'summary' y 'consolidado' — correcto para Excel fuente, pero ¿qué si el usuario nombra su hoja fuente 'Summary Outbound Mayo'? Falsos positivos posibles
• No hay forma de FORZAR una hoja específica (override manual desde UI/config)
• ¿Qué pasa si DOS hojas tienen el mismo score alto? Toma la primera por orden — pero no se advierte al usuario de la ambigüedad
• La función analizar_hoja lee el Excel COMPLETO (df = pd.read_excel) para cada hoja, sin nrows. En archivos con hoja Sea de 1217 filas × 103 cols esto es costoso. ¿Se podría limitar para el scoring?
• Si calcular_score_hoja devuelve dict pero sin clave 'score', cae a 0 silenciosamente — podría enmascarar bugs
• No valida que 'operacion' sea válida (land/outbound/sea) — si se pasa 'Land' (mayúscula) o 'sea ', podría romper COLUMNAS_POR_OPERACION.get()
• El log dice 'HOJA ELEGIDA' aún cuando el score sea apenas 25 (umbral mínimo) — no diferencia 'mejor candidata clara' vs 'apenas pasa'</t>
  </si>
  <si>
    <t>🔴 RIESGO ALTO con tu Excel real: la hoja 'land' tiene DOS bloques de columnas — uno crudo (B5:BL fila 5) y uno procesado (BS5:CE5 fila 5). Ambos tienen 'Reference', 'BU', 'Method'. detector_hojas elegirá UNA fila de encabezado (la de mayor score) y leerá DESDE AHÍ hacia la derecha. Si elige fila 5 con bloque crudo, los nombres se duplican y pandas renombra automáticamente (Reference.1, BU.1) — el mapeo de alias podría fallar para el bloque procesado.
🔴 Hoja 'Outbound' tiene el mismo problema: fila 4 tiene marcadores 'x' + 'BG4:BO4' headers reales; fila 8 (según YAML) también. Si el detector elige fila 4 por la 'cobertura horizontal', leería el bloque crudo Y el procesado en el mismo df → riesgo de doble cálculo o columnas mal mapeadas. ESTA ES UNA HIPÓTESIS FUERTE para el bug de $500.
🟡 No usa config.yaml: HOJAS_IGNORADAS y score_minimo están duplicados entre código y YAML.
🟡 listar_hojas() devuelve [] si falla load_workbook, pero la función llamadora obtiene (None, []) que es indistinguible de 'archivo válido pero sin hojas'.
🟡 analizar_hoja hace df = pd.read_excel(hoja_completa) — lectura costosa repetida. Con 9 hojas en tu Excel, esto se ejecuta 9 veces aunque algunas se ignoren después (la ignorada por nombre se libera rápido, pero las demás cargan todo).
🟡 mejor_hoja devuelve un dict, NO el DataFrame. El caller deberá releer el Excel una tercera vez para obtener los datos reales → 3 lecturas del mismo archivo.</t>
  </si>
  <si>
    <t>← src/ingesta/detector_header.detectar_fila_encabezado (clase #2 ya analizada)
← src/ingesta/mapeo_columnas: mapear_columnas_dataframe, calcular_score_hoja, COLUMNAS_POR_OPERACION (CRÍTICA — aún no vista)
← src/utils/logger.configurar_logger
← openpyxl.load_workbook (para listar hojas)
← pandas.read_excel (para cargar datos)
→ Lo usa el orquestador del pipeline (probablemente src/ingesta/lector_excel.py o el main)
→ La UI también podría llamarlo para mostrar al usuario qué hoja se eligió</t>
  </si>
  <si>
    <t>1. 🔴 PRIORIDAD: Leer HOJAS_IGNORADAS y score_minimo desde config.yaml (deteccion_hojas.hojas_ignoradas, deteccion_hojas.score_minimo). Eliminar duplicación con el YAML.
2. 🔴 Agregar parámetro forzar_hoja: Optional[str] para override manual (útil cuando el detector elige mal)
3. 🟡 Validar operacion al entrar: assert operacion in ('land','outbound','sea')
4. 🟡 En analizar_hoja, limitar pd.read_excel con nrows=50 para el scoring (la lectura completa la hace el caller después). Reduce 9× lecturas grandes a 9× lecturas pequeñas.
5. 🟡 Advertir si TOP-1 y TOP-2 tienen score similar (&lt;20% diferencia) — posible ambigüedad
6. 🟡 Cuando el score apenas pasa el mínimo (ej. 25-30), loguear como WARN 'hoja elegida apenas pasa umbral'
7. 💡 Agregar pruebas con tu Excel real: confirmar que detecta 'Outbound' fila 8 (no fila 4) y 'land' fila 5 con bloque correcto
8. 💡 Cache de listar_hojas — si el caller llama 3 veces seguidas (una por operacion), abrir el workbook 3 veces. Considerar cachear.
9. 💡 Que mejor_hoja incluya el DataFrame ya cargado (con header correcto) para evitar 3a lectura del archivo</t>
  </si>
  <si>
    <t>src/ingesta/excepciones.py</t>
  </si>
  <si>
    <t>Define las excepciones personalizadas del módulo de ingesta. Establece una jerarquía con IngestaError como base y 4 excepciones específicas: ArchivoInvalidoError, HojaNoEncontradaError (con contexto de hojas disponibles), ColumnaFaltanteError (con lista de faltantes y tipo de operación) y DatosVaciosError. Permite que el caller capture errores específicos y muestre mensajes claros al usuario.</t>
  </si>
  <si>
    <t>§9 Validaciones Automáticas (parcial — soporta el reporte de errores, pero NO los detecta él mismo) | §10 Mapeo de Columnas (ColumnaFaltanteError es el contrato que usa el mapeo)</t>
  </si>
  <si>
    <t>• Jerarquía limpia: IngestaError base permite "except IngestaError" para capturar todo el módulo de una sola vez
• Excepciones con contexto enriquecido: HojaNoEncontradaError guarda hojas_esperada Y hojas_disponibles (permite UI mostrar dropdown con opciones)
• ColumnaFaltanteError guarda tipo_operacion (land/outbound/sea) para mensajes específicos
• Atributos accesibles desde fuera (self.hoja_esperada, self.columnas_faltantes) — útiles para logging estructurado y UI
• Mensajes de error en español, listos para el usuario final (no técnicos)
• Docstrings claros en cada excepción
• Sigue las mejores prácticas de Python: heredar de Exception, llamar super().__init__()
• Sin dependencias externas — módulo autocontenido, fácil de importar desde cualquier lado</t>
  </si>
  <si>
    <t>• ¿Quién las LANZA realmente? No vi imports de este módulo en detector_header.py ni detector_hojas.py. Los detectores devuelven None silenciosamente en vez de lanzar HojaNoEncontradaError o ColumnaFaltanteError — inconsistencia con la filosofía de excepciones.
• ColumnaFaltanteError espera "tipo_operacion" como string libre — ¿se valida que sea "land"/"outbound"/"sea"? Riesgo de inconsistencia con resto del código.
• DatosVaciosError no tiene constructor enriquecido (no guarda contexto como hoja_nombre o num_filas leídas). Más simple pero menos útil.
• ArchivoInvalidoError tampoco guarda contexto (ruta del archivo, motivo del fallo).
• No hay excepción para "score insuficiente" (cuando ninguna hoja alcanza el umbral). detector_hojas devuelve (None, lista) en ese caso — se podría unificar con una ScoreInsuficienteError.
• No hay excepción para "BU no detectado" o "patrón Reference inválido" — esas vivirán probablemente en src/reglas/.
• ¿Hay tests unitarios que prueben los mensajes? Sin tests, un refactor de string podría romper la UI silenciosamente.</t>
  </si>
  <si>
    <t>🟡 SUBUTILIZACIÓN: las excepciones existen pero los detectores NO las lanzan. Hoy devuelven None o tuplas vacías. Esto significa que:
  - El caller no puede distinguir "archivo corrupto" de "hoja no encontrada" de "columnas faltantes"
  - La UI muestra mensajes genéricos en lugar de los mensajes ricos que estas excepciones ya tienen preparados
  - Es código MUERTO si nunca se lanza
🟡 FALTA: validación de tipos en __init__ — si alguien pasa hojas_disponibles=None en lugar de [], el f-string mostrará "None" feo.
🟡 ColumnaFaltanteError junta con ", " — si una columna tiene coma en su nombre (poco probable pero posible con alias del usuario), el mensaje se vuelve confuso.
🟡 No hay logging automático al lanzar — el caller debe acordarse de loguear; podría hacerse en __init__ con un logger del módulo.
🟡 INCONSISTENCIA con detector_hojas.py: ese módulo tiene su propia lógica de "ignorar hoja por nombre" pero no lanza HojaNoEncontradaError cuando NINGUNA hoja se ajusta — solo retorna None.</t>
  </si>
  <si>
    <t>← Exception (built-in Python)
→ Debería ser importada por: src/ingesta/detector_header.py, src/ingesta/detector_hojas.py, src/ingesta/mapeo_columnas.py, src/ingesta/lector_excel.py (si existe), y la UI
→ La UI (src/ui/) debería capturar IngestaError genérica y mostrar mensaje al usuario
→ Sin dependencias externas (sin imports propios) — buen patrón para módulo de excepciones</t>
  </si>
  <si>
    <t>1. 🔴 PRIORIDAD: Refactorizar detector_hojas.py y detector_header.py para que LANCEN estas excepciones en lugar de devolver None silenciosamente. Hoy las excepciones son código muerto.
2. Agregar ScoreInsuficienteError(IngestaError) con atributos: score_obtenido, score_minimo, mejor_hoja_candidata — para el caso de detector_hojas.detectar_hoja_optima cuando nadie pasa el umbral.
3. Agregar PatronReferenceInvalidoError(IngestaError) para cuando un Reference no matchea RM-J-####LI##-M## (útil en reglas).
4. Enriquecer ArchivoInvalidoError con: ruta_archivo, motivo_tecnico (excepción original).
5. Enriquecer DatosVaciosError con: hoja_nombre, fila_header detectada.
6. Agregar validación en __init__ de HojaNoEncontradaError: if hojas_disponibles is None: hojas_disponibles = []
7. Considerar mover la jerarquía a src/utils/excepciones.py (raíz común) si otros módulos como reglas/ o procesamiento/ también van a necesitar sus propias excepciones — se evita duplicar IngestaError-equivalentes.
8. Agregar test unitario simple: from src.ingesta.excepciones import * y verificar que cada excepción se instancia correctamente con sus argumentos.
9. 💡 Considerar usar dataclasses o attrs para excepciones con muchos atributos (más declarativo).
10. 💡 Implementar __str__ y __repr__ separados: __str__ para usuario, __repr__ para logs/debugging.</t>
  </si>
  <si>
    <t>🟢 OK</t>
  </si>
  <si>
    <t>src/ingesta/lector_excel.py</t>
  </si>
  <si>
    <t>Orquestador de la ingesta. Tres funciones públicas (cargar_land, cargar_outbound, cargar_sea) que cada una: (1) detecta hoja óptima vía _leer_hoja_tolerante, (2) lee con header detectado, (3) mapea alias, (4) valida columnas críticas, (5) normaliza tipos, (6) limpia filas inválidas, (7) aplica reglas específicas (alias retrocompat, costos variables Outbound, inferencia BU Sea). Es el PUNTO DE ENTRADA real del pipeline desde el Excel del usuario al DataFrame procesable.</t>
  </si>
  <si>
    <t>§1 Conservación (filtra peso&lt;=0) | §2 BUs dinámicos (no encasilla) | §5 Sea (auto-inferencia BU desde MAESTRO_BU_SEA) | §6 Land (BU inferido de Reference si falta) | §7 Costos variables Outbound (tabla BC:BE) | §9 Validaciones (columnas críticas, datos no vacíos) | §10 Mapeo alias | §11 Detección hojas | §12 Problemas frecuentes (filas totales)</t>
  </si>
  <si>
    <t>• Arquitectura excelente: _leer_hoja_tolerante centraliza la lógica común de las 3 operaciones (DRY)
• Soporta hoja_forzada en TODAS las funciones (override manual desde UI) — RESUELVE limitación de detector_hojas que no tenía override
• LANZA las excepciones de excepciones.py correctamente (HojaNoEncontradaError, ColumnaFaltanteError, DatosVaciosError) — finalmente se usan, ya no son código muerto
• Maneja BU opcional con fallback: si falta, se infiere (Sea→MAESTRO, Land→Reference)
• Alias retrocompatibilidad (Peso Bruto→Peso Bruto (Kgs), Item→No. Parte Prov, etc.) — protege código downstream
• df.attrs[info_lectura] propaga metadata para auditoría
• _intentar_cargar_costos_outbound v3 brillante: lee header=None, busca posiciones por adyacencia, extrae por iloc (inmune a duplicados Reference/Reference.1)
• Score interno en _intentar_cargar_costos_outbound para elegir entre múltiples candidatos
• BLINDAJE FINAL en costos Outbound (verifica suma&gt;0, copy deep) — defensivo de verdad
• 3 capas de diagnóstico Outbound: log si None, log si vacío, validación de cobertura refs datos vs refs costos
• Detecta el bug "31 waybills × $1500 = $46,500" ANTES de procesarlo (capa de seguridad)
• Filtros progresivos: eliminar_filas_vacias → eliminar_filas_totales → peso&gt;0
• Logging con separadores visuales claros</t>
  </si>
  <si>
    <t>• cargar_outbound asume "Reference" es el Waybill (df["Waybill Number"] = df["Reference"] si no existe), pero los Waybills reales son del tipo FG-R-2209LE26.M46/M45 que en el Excel viven en col BI4 mapeado como "Reference" lógico. ¿Y si el bloque crudo (col D) también se llama Reference y tiene OTRO valor (ej. "RM-J-...")? Pandas renombrará a Reference.1 → el mapeo podría confundirse
• En cargar_land NO hay carga de tabla de costos variables (Land tampoco la soporta según §7), pero la hoja land!BZ tiene una columna "Cost" con valor 1200 — ¿se ignora o se lee? Inconsistencia: Outbound carga costos, Land no
• cargar_sea llama inferir_bu_sea (módulo aún no visto) — toda la lógica de §5 vive ahí, no aquí
• ¿Qué pasa si hoja_forzada se pasa pero la hoja no existe en el Excel? analizar_hoja lo manejará, pero podría romper antes con KeyError
• hoja_forzada con score&lt;10 lanza HojaNoEncontradaError con mensaje engañoso (la hoja SÍ existe, solo tiene mal score). Mejor lanzar ColumnaFaltanteError o nueva ScoreInsuficienteError
• cargar_outbound retorna Tuple(df, df_costos) pero cargar_land y cargar_sea retornan solo df — INCONSISTENCIA de firma
• info_lectura no se retorna explícitamente, solo via df.attrs — los atributos de DataFrame se PIERDEN en operaciones como concat, merge, groupby. Riesgo silencioso.
• El bloque "return mejor_df" aparece DOS VECES en _intentar_cargar_costos_outbound (líneas duplicadas) — el segundo es código muerto pero no rompe nada</t>
  </si>
  <si>
    <t>🔴 BUG ACTIVO — código duplicado en _intentar_cargar_costos_outbound: aparece "return mejor_df" dos veces seguidas (uno después del blindaje, otro antes del except). El segundo nunca se ejecuta pero refleja un copy-paste mal hecho. NO causa bug, pero es señal de refactor incompleto.
🔴 HIPÓTESIS FUERTE del bug de $500 — pendiente de confirmar con mapeo_columnas.py:
  El Excel Outbound tiene Reference en DOS lugares: col D4 (bloque crudo, valores como "RM-J-...") y col BI4 (bloque procesado, valores como "FG-R-2209LE26.M46/M45"). Si detector_header elige fila 4 como header, pandas lee ambas y la segunda se renombra a Reference.1. mapear_columnas_dataframe debe elegir CUÁL es la "Reference" lógica. Si elige la equivocada, df["Reference"] = bloque crudo → df["Waybill Number"] = df["Reference"] copia el valor INCORRECTO → todo el prorrateo Outbound se hace por un agrupador equivocado → diferencia de $500.
🟡 RIESGO de pérdida de metadata: df.attrs[info_lectura] se pierde tras concat/merge/groupby (es comportamiento documentado de pandas). Si el pipeline downstream hace cualquier transformación gruesa, pierdes la trazabilidad de qué hoja se leyó.
🟡 cargar_land filtra peso&gt;0 SILENCIOSAMENTE: si un item tiene peso=0 (error de captura), se elimina sin warning. La regla §1 dice "Si peso total es 0 → marcar como ERROR (división por cero)", pero aquí se OCULTA el problema en lugar de reportarlo.
🟡 cargar_outbound NO valida que Waybill Number tenga el patrón esperado (FG-X-####LE##.M##/M##). Si el bloque crudo Reference se copia a Waybill Number con un valor "RM-J-..." (patrón Land), el resto del pipeline asume que es un Waybill válido y rompe la regla del "segundo BU".
🟡 cargar_outbound NO levanta excepción si df_costos viene None — solo logea warning. Si la regla de tu negocio dice "Outbound DEBE tener tabla de costos", debería ser ERROR, no WARN.
🟡 hoja_forzada se intenta con score&lt;10 → si la hoja forzada tiene score 5, devuelve HojaNoEncontradaError con el nombre forzado. Para el usuario es confuso: él SABE que la hoja existe.
🟡 cargar_sea hace import dinámico DENTRO de un try/except (from src.reglas.inferir_bu_sea import inferir_bu_sea). Si el módulo NO existe, se captura silencioso con warning — pero la auto-inferencia es CRÍTICA para Sea. Debería fallar duro si no existe el módulo.
🟡 Posible doble lectura del Excel: _leer_hoja_tolerante hace pd.read_excel COMPLETO, luego _intentar_cargar_costos_outbound vuelve a hacer pd.read_excel del mismo archivo. Costoso si el archivo es grande (Sea tiene 1217×103).</t>
  </si>
  <si>
    <t>← src/ingesta/excepciones.py (USA correctamente — finalmente integradas)
← src/ingesta/normalizador.py (normalizar_texto, normalizar_numerico, eliminar_filas_vacias, eliminar_filas_totales — AÚN NO VISTO)
← src/ingesta/detector_hojas.py (detectar_hoja_optima, listar_hojas, analizar_hoja)
← src/ingesta/mapeo_columnas.py (mapear_columnas_dataframe, validar_columnas_criticas — CRÍTICO, AÚN NO VISTO)
← src/utils/logger.py
← src/reglas/inferir_bu_sea.py (import dinámico — AÚN NO VISTO)
→ Es llamado por: probablemente src/procesamiento/ o el orquestador principal
→ La UI lo llama para cargar archivos (probablemente src/ui/pestanias/)</t>
  </si>
  <si>
    <t>1. 🔴 PRIORIDAD: Eliminar el "return mejor_df" duplicado en _intentar_cargar_costos_outbound (líneas 270 y 280 aprox).
2. 🔴 PRIORIDAD: Después de ver mapeo_columnas.py, validar QUÉ columna del Excel Outbound se está mapeando como "Reference" lógico. Si es la equivocada (col D del bloque crudo en lugar de col BI del bloque procesado), ahí está el bug de $500.
3. Validar el patrón del Waybill Number cargado: si no matchea FG-X-####LE##.M##/M.. → warning explícito. Reduce riesgo de cargar valores equivocados.
4. Unificar firma de retorno: hacer que las 3 funciones retornen (df, info, opcional_extra) — consistencia.
5. Reemplazar df.attrs[info_lectura] por un objeto LoaderResult: NamedTuple/dataclass que sobrevive transformaciones. Los atributos se pierden silenciosamente.
6. Cambiar el filtro peso&lt;=0 silencioso por un LOG WARN con cantidad de filas eliminadas + opcional: agregar columna ERROR a un df_errores secundario para auditoría.
7. Distinguir HojaNoEncontradaError vs ScoreInsuficienteError: si la hoja existe pero no califica, el mensaje debe decirlo claramente.
8. Para cargar_sea: si el import de inferir_bu_sea falla, dependerá del valor de un flag (modo_estricto=True en producción, False en dev). Hoy es silencioso siempre.
9. Refactor: _intentar_cargar_costos_outbound podría recibir el df_raw ya cargado en _leer_hoja_tolerante para evitar segunda lectura del archivo (ahorro de I/O).
10. Agregar validación post-mapeo: si después de mapear hay columnas "Reference.1", "Reference.2" sobrantes, loguear como WARN. Hoy se ignoran silenciosamente.
11. Documentar en docstring: cargar_outbound retorna TUPLA (df, df_costos|None). Hoy lo dice el código pero no es evidente desde fuera.
12. Test unitario con 3 fixtures: tu Excel real (REPORTE EXPO W19, REPORTE IMPO ABRIL MAYO, EXCEL OUTBOUND con costos embebidos) → confirmar que cada uno se carga sin warning crítico.</t>
  </si>
  <si>
    <t>src/ingesta/mapeo_columnas.py</t>
  </si>
  <si>
    <t>🔴 Corregir</t>
  </si>
  <si>
    <t>src/ingesta/normalizador.py</t>
  </si>
  <si>
    <t>src/ingesta/validador_columnas.py</t>
  </si>
  <si>
    <t>src/procesamiento/capex_handler.py</t>
  </si>
  <si>
    <t>src/procesamiento/generar_summary.py</t>
  </si>
  <si>
    <t>src/procesamiento/procesar_land.py</t>
  </si>
  <si>
    <t>src/procesamiento/procesar_outbound.py</t>
  </si>
  <si>
    <t>Capa DELGADA sobre mapeo_columnas.py. Define COLUMNAS_OBLIGATORIAS (constante legacy con nombres antiguos: 'Item Code', 'Total Gross Weight', 'Peso Bruto (Kgs)') y dos funciones públicas: validar_columnas (delega 100% en validar_columnas_criticas de mapeo_columnas) y obtener_resumen_columnas (metadata simple: # cols, lista cols, # filas, # filas con datos).</t>
  </si>
  <si>
    <t>§9 Validaciones (ColumnaFaltanteError) | §10 Mapeo de Columnas (delegado)</t>
  </si>
  <si>
    <t>• Excepciones de excepciones.py finalmente usadas (ColumnaFaltanteError)
• Type hints presentes
• Single Responsibility en cada función
• Reutiliza validar_columnas_criticas en lugar de duplicar</t>
  </si>
  <si>
    <t>• ¿Alguien IMPORTA este archivo? Sospecho que es código muerto porque lector_excel.py llama directamente a validar_columnas_criticas de mapeo_columnas. Si nadie lo usa, son 60 líneas de fantasma.
• COLUMNAS_OBLIGATORIAS tiene nombres LEGACY ('Item Code', 'Total Gross Weight') pero mapeo_columnas produce nombres LÓGICOS ('Item', 'Peso Bruto') — doble fuente de verdad sin conexión.
• Inconsistencia con regla §2: aquí 'BU' es obligatorio, en mapeo_columnas es opcional (se infiere)
• 'Qty Pzas' es obligatoria aquí pero opcional en mapeo_columnas</t>
  </si>
  <si>
    <t>🔴 BUG: obtener_resumen_columnas DEFINIDA DOS VECES en el mismo archivo. Python toma la segunda y descarta silenciosamente la primera. Copy-paste mal hecho — señal clara de refactor incompleto.
🔴 BUG: Imports DUPLICADOS literalmente — pandas, typing, excepciones importados dos veces. COLUMNAS_POR_OPERACION importado pero NUNCA USADO.
🔴 CÓDIGO MUERTO: COLUMNAS_OBLIGATORIAS de 32 líneas definida pero NUNCA leída por validar_columnas — esta lee de mapeo_columnas.
🟡 'Dict[str, any]' con 'any' MINÚSCULA — no es type hint válido. Debería ser 'Dict[str, Any]' con from typing import Any. Funciona en runtime porque Python no valida, pero linters fallan.
🟡 Probablemente nadie lo usa — eliminar reduce ruido del proyecto.</t>
  </si>
  <si>
    <t>← src/ingesta/excepciones.ColumnaFaltanteError
← src/ingesta/mapeo_columnas: validar_columnas_criticas, COLUMNAS_POR_OPERACION (importado pero ignorado)
→ ¿QUIÉN LO LLAMA? — sospecho que NADIE. Necesario verificar con grep -r 'validador_columnas' src/</t>
  </si>
  <si>
    <t>1. 🔴 PRIORIDAD: Ejecutar grep -r 'from src.ingesta.validador_columnas' . y grep -r 'import validador_columnas' . Si ambos están vacíos, ELIMINAR el archivo.
2. Si se mantiene: eliminar la duplicación de obtener_resumen_columnas (dejar solo la segunda con Dict[str, Any]).
3. Si se mantiene: eliminar imports duplicados.
4. Eliminar COLUMNAS_OBLIGATORIAS o conectarla con COLUMNAS_POR_OPERACION (una sola fuente de verdad).
5. Corregir 'any' → 'Any' con import correcto.
6. Si nadie usa, archivar en /legacy o /scripts/historicos.</t>
  </si>
  <si>
    <t>Maneja el caso ATÍPICO de CAPEX en Sea: contenedores que NO vienen en el reporte sino que el usuario los ingresa manualmente. Cada contenedor CAPEX absorbe el costo COMPLETO ($2,500) con Peso=0 y %Pond=100%. 3 funciones: es_item_capex (detecta patrón), construir_registros_capex (genera DataFrame inyectable con BU=Capex), validar_contenedores_capex (detecta duplicados/conflictos).</t>
  </si>
  <si>
    <t>§5 SEA — Regla CAPEX (BU=Capex, Peso=0, %Pond=100%, Cost=$2500) | §7 Costos default Sea | §9 Validaciones (duplicados, conflictos con reporte)</t>
  </si>
  <si>
    <t>• Implementación FIEL a la regla: BU='Capex', Peso=0, %Pond=1.0, Cost=$2500 coincide línea por línea con config.yaml
• Defensivo: es_item_capex maneja None, no-string, case-insensitive
• Devuelve DataFrame VACÍO con columnas correctas si lista vacía → evita errores en concat
• Single Responsibility: detección / construcción / validación separadas
• Type hints completos y docstrings con ejemplos doctest — calidad profesional
• Costo parametrizado — no es 2500 mágico</t>
  </si>
  <si>
    <t>• ¿Este módulo se USA? No vi referencias en lector_excel.py. Si la UI no expone 'agregar contenedores CAPEX' y nadie llama construir_registros_capex, es código MUERTO esperando ser conectado (como pasó con excepciones.py).
• Nombres de columnas LEGACY ('Container Number', 'Total Gross Weight', 'Item Code') chocan con nombres LÓGICOS de mapeo_columnas ('Container', 'Peso Bruto', 'Item') — si se hace concat, columnas no alinean → bug silencioso
• NO lee config.yaml: PATRON_CAPEX, costo_fijo=2500, BU='Capex' hardcoded aunque YAML ya los define
• Semántica peligrosa: si usuario ingresa item_code='1318-1030030EN' (NO contiene CAPEX), el módulo lo registra como Capex con solo warning — VIOLA regla §5 que dice 'IDENTIFICACIÓN: Item Code contiene CAPEX'</t>
  </si>
  <si>
    <t>🔴 INCONSISTENCIA NOMBRES COLUMNAS: módulo genera DFs con nombres legacy, pero el pipeline downstream usa nombres lógicos. pd.concat([df_sea_real, df_capex]) dejará registros Capex en NaN para columnas que no alinean.
🔴 NO lee config.yaml: TRIPLE FUENTE DE VERDAD (YAML + capex_handler hardcoded + cualquier otro lugar). Si cambias el YAML, el módulo lo ignora.
🔴 ROMPE CONSERVACIÓN si hay 2 CAPEX en mismo Container: cada uno tiene %Pond=100%, sumando 200% → costo se duplica. validar_contenedores_capex solo detecta duplicados de Container, no de Item+Container.
🔴 Validación demasiado permisiva: registra como Capex aunque Item Code no contenga 'CAPEX'. Debería rechazar la entrada.
🟡 validar_contenedores_capex DEVUELVE issues pero NO LANZA excepción → caller puede olvidarse de revisar.
🟡 No valida costo_fijo &gt; 0.
🟡 Si recibe None en lugar de [] como input, falla con TypeError no claro.
🟡 PROBABLE CÓDIGO MUERTO — esperando UI que lo invoque.</t>
  </si>
  <si>
    <t>← pandas
← src/utils/logger
→ Debería ser consumido por: src/procesamiento/procesar_sea.py (aún no visto)
→ Debería ser invocado desde: src/ui/pestanias/ con campo 'Agregar contenedores CAPEX'
→ Si nadie lo llama, es código fantasma esperando integración</t>
  </si>
  <si>
    <t>1. 🔴 Confirmar si se usa: grep -r 'capex_handler' src/. Si nadie importa, es código muerto.
2. 🔴 Reemplazar nombres legacy por LÓGICOS: 'Container Number'→'Container', 'Total Gross Weight'→'Peso Bruto', 'Item Code'→'Item'. Mantener compatibilidad con pipeline downstream.
3. 🔴 Leer PATRON_CAPEX, BU, costo_fijo desde config.yaml. Eliminar fuente de verdad fantasma.
4. 🔴 Endurecer es_item_capex: rechazar (no aceptar) si el Item Code no contiene 'CAPEX'. Lanzar ValueError con mensaje claro.
5. 🔴 Validar (Container + Item) único, no solo Container. Previene 200% de costo.
6. 🟡 Hacer que validar_contenedores_capex lance excepción si hay issues (no solo devolverlos).
7. 🟡 Validar costo_fijo &gt; 0.
8. 💡 Agregar tests con casos edge: Container repetido, Item sin CAPEX, lista vacía, None.
9. 💡 Documentar en regla §5: cómo el usuario INGRESA los contenedores Capex (formulario? lista en YAML? prompt en consola?).</t>
  </si>
  <si>
    <t>Genera el Summary consolidado (Bloque 6). Recibe los 3 objetos Resultado* (outbound/sea/land), cada uno con .resumen_bu, y produce 3 tablas: tabla_pct (%PCT por BU, excluye Capex/MCS), tabla_montos (USD por BU, incluye todos), tabla_consolidada (vista plana BU × operación). Detecta dinámicamente nombres de columnas (%PCT vs '%PCT (Summary)') y ordena BUs estándar (Mxx) primero por número, luego especiales (Capex/MCS/Machine/Miscelaneus) al final.</t>
  </si>
  <si>
    <t>§2 BUs dinámicos (NO encasillarse) — IMPLEMENTACIÓN CORRECTA: bus_sea | bus_land | bus_out | §8 Generación del Summary (3 tablas) | §8 Exclusión Capex/MCS del %PCT | dataclass ResultadoSummary</t>
  </si>
  <si>
    <t>• BUs dinámicos de VERDAD: bus_sea | bus_land | bus_out — NO hardcoded. Implementa §2 correctamente — DETECTARÁ M00 automáticamente.
• _ordenar_bus elegante: Mxx por número + especiales al final con orden definido
• Detección automática de cols: acepta múltiples nombres ('%PCT (Summary)', '%PCT', 'Amount (USD)', 'Log. Exp (USD)')
• Sea prioriza '%PCT (Summary)' que ya viene pre-excluido — buena delegación
• dataclass ResultadoSummary con tablas + métricas + advertencias
• raise ValueError si faltan cols críticas — falla rápido, no silencioso
• Métricas ricas: totales, gran_total, bus_nuevos detectados, suma_pct para validación
• Logs visuales con totales por flujo</t>
  </si>
  <si>
    <t>• ¿La regla 'excluir Capex/MCS del %PCT' aplica solo a Sea (como dice YAML) o a las 3 operaciones (como hace el código)? El YAML dice solo Sea, el código aplica a todas. AMBIGÜEDAD QUE DEBES DECIDIR.
• 'advertencias' es CÓDIGO MUERTO — se inicializa con default_factory=list y NUNCA se popula
• ¿Por qué el Summary actual del Excel NO tiene M00 si este código lo detectaría? Indica que este código NUNCA se ejecutó contra el archivo actual, o que el Excel fue generado por otro proceso
• 'Miscelaneus' se incluye en %PCT (a diferencia de Capex/MCS) — ¿es lo correcto? La regla §3 no aclara
• 'tabla_pct' y 'tabla_consolidada' tienen lógicas redundantes — duplicación de cómputo</t>
  </si>
  <si>
    <t>🔴 CONTRADICCIÓN YAML vs CÓDIGO: YAML dice exclusiones.summary_pct_sea aplica SOLO a Sea, código aplica a las 3 operaciones. Decisión pendiente — tu YAML está siendo IGNORADO.
🔴 'advertencias' nunca poblada: si suma_pct_sea ≠ 100% (que es justo el bug del Outbound de $500), debería poblarse con WARN. Hoy solo se loguea.
🔴 EVIDENCIA QUE CONFIRMA HIPÓTESIS: El Summary actual del Excel (B3:H12) NO tiene M00, pero PRORRATEO_IMPO!N7 muestra que existe M00 con $496.45. Este módulo lo detectaría dinámicamente → señal de que el Summary del Excel fue construido manualmente o por otro proceso.
🔴 Inconsistencia escala %PCT entre operaciones: si procesar_land devuelve 0-100 y procesar_outbound devuelve 0-1, ambos llegan aquí y se muestran tal cual → tabla_pct sale 100× más grande para Land que para Outbound.
🟡 BUs especiales hardcoded: ('Capex','MCS','Machine','Miscelaneus') está en _ordenar_bus. Si en mayo aparece 'Tooling'/'Engineering', caen con orden 99 — frágil.
🟡 .copy() asume .resumen_bu existe → AttributeError sin contexto si procesador upstream falla.
🟡 _obtener_pct devuelve 0.0 cuando BU no existe → mezcla 'no aplica' con 'es 0%'. Para Capex/MCS en tabla_consolidada muestra 0% en %PCT — engañoso visualmente.
🟡 Si .resumen_bu tiene duplicados de BU, .iloc[0] toma el primero silenciosamente.</t>
  </si>
  <si>
    <t>← src/procesamiento/procesar_outbound.py (ResultadoOutbound.resumen_bu)
← src/procesamiento/procesar_sea.py (ResultadoSea.resumen_bu — AÚN NO VISTO)
← src/procesamiento/procesar_land.py (ResultadoLand.resumen_bu)
← src/utils/logger
→ Consumido por: src/salida/ (probable escritor de Excel)
→ Consumido por: src/ui/pestanias/ (mostrar al usuario)
DEPENDE CRÍTICAMENTE de que los 3 procesadores produzcan .resumen_bu con esquema consistente:
  • BU, Monto Total (USD)/Amount/Log.Exp/Cost, %PCT/%PCT (Summary)</t>
  </si>
  <si>
    <t>1. 🔴 PRIORIDAD: Decidir oficialmente si Capex/MCS se excluyen del %PCT en las 3 operaciones o solo en Sea. Actualizar YAML para reflejar la decisión. Hoy el código contradice al YAML.
2. 🔴 PRIORIDAD: Poblar 'advertencias' cuando suma_pct ≠ 100% (con tolerancia 0.01 del YAML). Hoy es código muerto.
3. 🔴 Unificar escala %PCT con los procesadores (0-1 o 0-100, no mixto).
4. 🟡 Mover BUs especiales hardcoded a config.yaml como lista parametrizable.
5. 🟡 Validar que .resumen_bu existe antes de .copy() — mensaje de error claro si falta.
6. 🟡 Distinguir 'BU no existe' de 'BU = 0%' en tabla_consolidada (usar NaN o None para no aplica).
7. 🟡 Detectar duplicados de BU en resumen_bu y loguear WARN.
8. 💡 Agregar metric 'bus_solo_en_X' para detectar BUs que aparecen solo en una operación (señal de problema).
9. 💡 Test con tu archivo actual: pasar los 3 resumenes reales y verificar que tabla_pct y tabla_montos coincidan con Summary!B3:H12 (o detectar que NO coinciden → bug confirmado).
10. 💡 Exportar también un 'bus_excluidos_pct' en métricas para que el reporte final indique qué BUs no entran en %PCT.</t>
  </si>
  <si>
    <t>Procesador del flujo LAND (importaciones terrestres). Pipeline de 8 pasos: (1) compatibilidad alias retro, (2) inferir BU con regex M\d{2} desde Reference, (3) Miscelaneus → crea 'BU Final', (4) calcular %Proporción con GROUPBY(Reference).transform('sum'), (5) Fix Cost = costo_fijo ($1200), Amount = %Prop × Fix Cost, (6) resumen por BU Final, (7) resumen por Reference, (8) métricas con validación de conservación. Retorna dataclass ResultadoLand.</t>
  </si>
  <si>
    <t>§1 Conservación + Fórmula universal (GROUPBY transform sum) | §2 BUs dinámicos (regex Mxx, soporta M00) | §3 Miscelaneus delegado a regla_miscelaneus | §6 LAND ($1200/Reference) | §7 Costos default Land (variables NO soportadas) | §9 Validación de conservación</t>
  </si>
  <si>
    <t>• Implementa §1 CANÓNICAMENTE: groupby(Reference).transform('sum') es la fórmula universal bien escrita
• Regex M\d{2} correcta: captura M00, M19, M23, M45, M46 e ignora sufijos .CS1037/.2
• 'BU Final' separada de 'BU': auditable — coincide con cols K y L de PRORRATEO_IMPO!K-L
• Compatibilidad retro: acepta 'Peso Bruto (Kgs)' Y 'Peso Bruto', 'No. Parte Prov.' Y 'Item'
• dataclass ResultadoLand limpio + métricas ricas + logs extensivos
• Falla rápido con ValueError si DataFrame vacío o todas las filas descartadas
• Verificación defensiva: si 'BU Final' no se creó, fallback desde BU
• Métrica 'validacion_ok' explícita con diferencia esperado vs calculado</t>
  </si>
  <si>
    <t>• ¿Qué pasa con 3+ BUs en Reference? La regla LAND es 'primer match' (a diferencia de Outbound 'segundo match') — ¿documentado?
• MODE().iloc[0] no determinista en empates
• 'Sin Asignar' aquí vs 'SIN_BU' que produce el regex local — groupby los trata como BUs distintos
• 'bus_especiales' lista hardcoded ('Miscelaneus','Machine','Capex','MCS','Sin Asignar') — frágil
• El parámetro df_costos no existe (Land no soporta variables) — pero hoja land!BZ tiene col 'Cost' con 1200 que se ignora
• 'bus_nuevos': [] siempre vacío — métrica decorativa</t>
  </si>
  <si>
    <t>🔴 INFERENCIA BU DUPLICADA: dos bloques ejecutan inferencia. Líneas 90-115 usan _inferir_bu_desde_referencia (LOCAL, regex M\d{2}). PASO 2 (líneas 145-165) usa inferir_bu_desde_reference (IMPORTADO de src.reglas.inferencia_bu). AMBOS se ejecutan — el segundo sobrescribe al primero. Si las funciones difieren, bug oculto. Hay que eliminar una.
🔴 PARÁMETROS IGNORADOS: la signature recibe columna_reference='Reference' y columna_bu='BU', pero adentro se HARDCODEA columna_referencia='Reference' y columna_bu='BU' sobrescribiendo los parámetros. Si alguien llama con columna_reference='Ref Custom', se ignora SILENCIOSAMENTE.
🔴 TOLERANCIA CONTRADICE YAML: código usa 'validacion_ok = diferencia &lt; 1.0' pero YAML dice tolerancia_costo=0.01. Si diferencia es $0.50, código dice 🟢 pero YAML dice 🔴.
🔴 ESCALA %PCT inconsistente con procesar_outbound: aquí es (monto/total)*100 → 0-100. En outbound es monto/total → 0-1. Cuando generar_summary los consume con {x:.2%}, una se mostrará 100× más grande. BUG SILENCIOSO al conectar.
🟡 'SIN_BU' (regex local) vs 'Sin Asignar' (fillna) — inconsistencia interna en mismo módulo.
🟡 Filtro peso&lt;=0 SILENCIOSO contradice §1 ('marcar como ERROR si peso total=0').
🟡 No valida costo_fijo &gt; 0.</t>
  </si>
  <si>
    <t>← src/reglas/inferencia_bu.py: inferir_bu_desde_reference (función IMPORTADA — AÚN NO VISTA, ver si difiere de la local)
← src/reglas/regla_miscelaneus.py: aplicar_regla_miscelaneus, cargar_config_miscelaneus (AÚN NO VISTO)
← src/utils/logger
← pandas, numpy, re, dataclasses
→ Consumido por: src/procesamiento/generar_summary.py (lee .resumen_bu, espera 'Monto Total (USD)' y '%PCT')
→ Recibe df de: src/ingesta/lector_excel.cargar_land()</t>
  </si>
  <si>
    <t>1. 🔴 PRIORIDAD: ELIMINAR la duplicación de inferencia BU. Decidir cuál mantener: la local _inferir_bu_desde_referencia (simple, regex M\d{2}) o la importada inferir_bu_desde_reference (más completa, pero aún no vista). Probablemente la importada.
2. 🔴 PRIORIDAD: Respetar los parámetros columna_* o eliminarlos de la signature. Hoy son fantasma.
3. 🔴 PRIORIDAD: Cambiar 'diferencia &lt; 1.0' por 'diferencia &lt; tolerancia' donde tolerancia viene del YAML (0.01).
4. 🔴 PRIORIDAD: Unificar escala %PCT con procesar_outbound (decidir 0-1 o 0-100 globalmente).
5. 🔴 Unificar 'SIN_BU' y 'Sin Asignar' a un solo valor estándar.
6. 🟡 Cambiar filtro silencioso de peso&lt;=0 por warning con cantidad de filas eliminadas.
7. 🟡 Validar costo_fijo &gt; 0.
8. 🟡 Mover lista de 'bus_especiales' a config.yaml.
9. 💡 Test con PRORRATEO_IMPO real: assertar que costo_calculado coincida con $6,000 (validación del Excel).
10. 💡 Agregar tests con References edge: 'RM-J-1325LI26-M19.CS1037', 'RM-J-1377LI26-M19.2', 'RM-J-1390LI26-M23'.</t>
  </si>
  <si>
    <t>src/procesamiento/procesar_sea.py</t>
  </si>
  <si>
    <t>Procesador del flujo SEA (importaciones marítimas). Pipeline de 11 pasos: (1) validaciones iniciales, (2) limpieza container/peso, (3) detectar CAPEX en reporte (que no debería venir), (4) validar contenedores CAPEX manuales (duplicados, conflictos), aplicar Miscelaneus → crea 'BU Final', (5) calcular %Pond y Cost (peso_item/peso_total_container × $2500), (6) inyectar registros CAPEX manuales con peso=0 y %Pond=100%, (7) construir detalle final, (8) tabla de contenedores con 1 fila por Container, (9) resumen por BU con DOBLE %PCT ('%PCT Total' incluye Capex/MCS, '%PCT Summary' los excluye), (10) métricas con conservación, (11) log. Provee también obtener_formulas_excel() con las fórmulas SUMIFS equivalentes para auditoría en el Excel de salida.</t>
  </si>
  <si>
    <t>§1 Conservación + Fórmula universal (GROUPBY container.transform sum) | §2 BUs dinámicos | §3 Miscelaneus (aplicado pero NO usado en groupby — BUG) | §5 SEA — Regla CAPEX (peso=0, %Pond=100%, absorbe todo) | §7 Costos default Sea ($2500/contenedor) | §8 Doble %PCT (Total + Summary excluyendo Capex/MCS) | §9 Validación de conservación (diff&lt;0.01 — ¡CORRECTO!)</t>
  </si>
  <si>
    <t>• TOLERANCIA CORRECTA: diferencia&lt;0.01 ← coincide con YAML. ¡Land y Outbound deberían copiar esto! Único procesador con tolerancia OK.
• Doble %PCT (Total y Summary) elegantemente calculados con np.where — implementación más limpia del archivo
• obtener_formulas_excel() BRILLANTE: documenta fórmulas Excel SUMIFS equivalentes para auditoría en hoja de salida. Debería existir en Land y Outbound también.
• Inyección de Capex sin romper: alinea columnas antes de concat, pone Peso Total Contenedor=0 para evitar NaN
• Validación de conflictos Capex (duplicados + container que ya está en reporte) → previene doble conteo
• Detección de Capex en reporte (paso 3) con warning explícito
• Single Responsibility: detalle / contenedores / resumen_bu separados
• Falla rápido con ValueError si DataFrame vacío o cols críticas faltantes
• dataclass ResultadoSea con detalle + resumen_bu + contenedores + métricas + advertencias + issues_capex
• Métricas ricas: items_regulares vs items_capex, contenedores_capex separado, modo_costo implícito
• Logs visuales con totales detallados</t>
  </si>
  <si>
    <t>• ¿Cómo recibe el usuario los contenedores CAPEX manuales? La UI debe proveer un formulario. Si no hay UI conectada, el módulo solo se usa con lista vacía → CAPEX nunca se procesa
• columna_item_code='Item Code', columna_container='Container Number', columna_peso='Total Gross Weight' — NOMBRES LEGACY que NO coinciden con los nombres LÓGICOS del lector ('Item', 'Container', 'Peso Bruto')
• Pero cargar_sea crea ALIAS legacy al final, así que funciona por casualidad. Si alguien usa procesar_sea sin pasar por cargar_sea, falla con 'Faltan columnas'
• reporte_miscelaneus se calcula PERO no se retorna en ResultadoSea (a diferencia de procesar_land y procesar_outbound que sí lo retornan)
• %PCT como fracción 0-1 (igual que procesar_outbound) — INCONSISTENTE con procesar_land que es 0-100
• 'Es Contenedor CAPEX' con MODE/ANY puede dar True si UN solo item es Capex en un contenedor mixto — no diferencia '100% Capex' de 'mixto'
• obtener_formulas_excel hardcodea $2500 y 'Capex'/'MCS' — debería leer del YAML
• costo_total_esperado = num_contenedores × costo_fijo IGNORA costos variables (Sea está '🟡 Parcial' según REGLAS_PROCESO)
• Filtro peso&gt;0 silencioso (igual que land/outbound)
• Capex en reporte NO se filtra ni se reasigna — se procesa como item normal con peso normal, NO como Capex 100%. Contradice §5</t>
  </si>
  <si>
    <t>🔴 BUG GRAVE — MISCELANEUS APLICADO PERO NO USADO en resumen_bu:
El código aplica aplicar_regla_miscelaneus con columna_bu_destino='BU Final' (líneas alrededor del paso 4.5), creando correctamente la columna 'BU Final'. Pero luego en el paso 9:
  resumen_bu = detalle.groupby(columna_bu)  # ← usa 'BU' original, NO 'BU Final'
→ Si un item PLASTIC estaba en M19, sigue contado en M19 — NO se mueve a Miscelaneus.
→ Esto CONTRADICE §3 y rompe paridad con procesar_land (que sí usa 'BU Final') y procesar_outbound (también usa 'BU Final').
→ La columna 'BU Final' se crea y luego se ignora — código muerto en pleno pipeline.
🔴 INCONSISTENCIA NOMBRES COLUMNAS:
Defaults usan nombres LEGACY ('Item Code', 'Container Number', 'Total Gross Weight') pero el lector produce nombres LÓGICOS ('Item', 'Container', 'Peso Bruto'). Funciona solo porque cargar_sea agrega alias legacy al final. Frágil — si alguien llama procesar_sea directo con df mapeado limpio, falla con 'Faltan columnas obligatorias en SEA: [...]'
🔴 reporte_miscelaneus NO RETORNADO en ResultadoSea:
La dataclass tiene 6 campos (detalle, resumen_bu, contenedores, metricas, advertencias, issues_capex) pero NO 'reporte_miscelaneus'. En procesar_land y procesar_outbound sí se retorna. Asimetría que rompe la API consistente.
🔴 ESCALA %PCT — 0-1 (fracción) — INCONSISTENTE con procesar_land (que usa 0-100). Mismo bug arquitectónico que detectamos en outbound.
🔴 CAPEX EN REPORTE NO SE REASIGNA: paso 3 detecta items con 'CAPEX' en Item Code que vinieron en el reporte, los marca con 'Es CAPEX (en reporte)'=True, pero NO les cambia el cálculo. Siguen calculando con peso normal y %Pond fraccional, NO con peso=0 y %Pond=100% como dicta §5. Contradice la regla.
🟡 Capex contado dos veces en métricas si hay Capex en reporte Y manuales: items_capex = sum('Es CAPEX'==True), pero esa columna se setea False para los del reporte y True solo para inyectados. Métrica engañosa.
🟡 'Es Contenedor CAPEX'=any('Es CAPEX') en groupby contenedores: si un container tiene 1 item Capex y 99 normales, queda marcado True. Puede confundir reportes.
🟡 obtener_formulas_excel() es genial pero hardcodea 2500 y 'Capex'/'MCS' — debería leer del YAML.
🟡 costo_total_esperado ignora costos variables (BC:BE en Sea) — los marcas como '🟡 Parcial' en las reglas pero el código no los soporta.
🟡 issues_capex se DEVUELVE en el resultado pero NO se valida si está vacío al final. El caller debe revisar manualmente — fácil de olvidar.</t>
  </si>
  <si>
    <t>← src/procesamiento/capex_handler.py: construir_registros_capex, validar_contenedores_capex, es_item_capex (clase #9 ya analizada)
← src/reglas/regla_miscelaneus.py: aplicar_regla_miscelaneus, cargar_config_miscelaneus (aún no vista)
← src/utils/logger
← pandas, numpy, dataclasses
→ Consumido por: src/procesamiento/generar_summary.py (lee .resumen_bu, espera col 'Amount (USD)', '%PCT (Total)', '%PCT (Summary)')
→ Recibe df de: src/ingesta/lector_excel.cargar_sea() (que ya aplicó MAESTRO_BU_SEA via inferir_bu_sea)
CADENA SEA:
  cargar_sea (lector) → inferir_bu_sea (BU desde MAESTRO) → procesar_sea (este módulo) → generar_summary</t>
  </si>
  <si>
    <t>1. 🔴 PRIORIDAD MÁXIMA: Corregir groupby para usar 'BU Final' en lugar de 'BU' en resumen_bu (línea ~155 del paso 9). Hoy Miscelaneus NO se aplica al resumen — los items reasignados siguen en su BU original.
2. 🔴 PRIORIDAD: Agregar 'reporte_miscelaneus' al dataclass ResultadoSea y retornarlo. Consistencia con land/outbound.
3. 🔴 PRIORIDAD: Unificar escala %PCT con procesar_land (decidir 0-1 o 0-100 globalmente para los 3 procesadores).
4. 🔴 PRIORIDAD: Implementar la regla CAPEX en reporte. Si paso 3 detecta items Capex, REASIGNAR su BU a 'Capex', poner peso=0 y %Pond=1.0. Hoy solo se loguean con warning pero se procesan como items normales — viola §5.
5. 🔴 PRIORIDAD: Cambiar nombres default a LÓGICOS (Item, Container, Peso Bruto). O al menos documentar que el módulo espera el output de cargar_sea con alias legacy. Idealmente: aceptar ambos nombres con búsqueda en cascada como hace procesar_outbound.
6. 🟡 Leer $2500 y lista de bus_excluidos (Capex, MCS) desde config.yaml en lugar de hardcodear.
7. 🟡 Soportar costos variables en Sea (tabla BC:BE) con función _intentar_cargar_costos_sea similar a la de Outbound. Hoy es '🟡 Parcial' en reglas pero el código asume costo fijo.
8. 🟡 Mejorar 'Es Contenedor CAPEX': cambiar de ANY a 'todos los items son Capex' para distinguir containers 100% Capex de containers mixtos.
9. 🟡 Validar al final si issues_capex tiene contenido y emitir WARN/ERROR según gravedad (ej: duplicados=ERROR, conflicto=WARN).
10. 🟡 No filtrar peso&gt;0 silenciosamente. Loguear cantidad de filas eliminadas + opcional df_errores.
11. 💡 Test crítico con tu archivo Sea real: assertar que costo_total_calculado coincida con $25,000 esperado (10 containers × $2500) — validación de conservación.
12. 💡 obtener_formulas_excel() es excelente — replicarla en procesar_land y procesar_outbound para uniformidad.
13. 💡 Agregar metric 'bus_solo_en_sea' para detectar BUs que aparecen en Sea pero no en otras operaciones (señal de Capex no validado o BU nuevo).</t>
  </si>
  <si>
    <t>src/reglas/catalogo_manager.py</t>
  </si>
  <si>
    <t>motor_reglas.py</t>
  </si>
  <si>
    <t>src/reglas/</t>
  </si>
  <si>
    <t>Motor central de detección dinámica de BUs. Compara BUs actuales vs catálogo histórico → clasifica en NUEVOS/RECURRENTES/DESAPARECIDOS. Genera alertas por severidad. Permite registrar BUs validados por el usuario. Implementa la 'REGLA CRÍTICA: no encasillarse'.</t>
  </si>
  <si>
    <t>✅ Arquitectura limpia (5 funciones bien separadas) | ✅ dataclass ResultadoComparacionBU con to_dict para UI | ✅ Detección dinámica REAL (lee de datos, no hardcoded) | ✅ Cumple §2 (no encasillarse con M01-M46) | ✅ Alertas por severidad (ERROR/WARNING/INFO) | ✅ Integra con catalogo_manager via singleton</t>
  </si>
  <si>
    <t>🟡 Usa inferencia_bu.py que tiene 4 implementaciones distintas — heredará el bug del 'BU = CS1037' si entra un Reference de Land por error | 🟡 Para SEA lee columna BU directa (no usa MAESTRO_BU_SEA) — incoherente con cargar_sea que sí lo usa | 🟡 'bus_especiales' del catálogo nunca se carga si bu_catalog.json no existe — todo cae como NUEVO en primera corrida</t>
  </si>
  <si>
    <t>🔴 NADIE invoca motor_reglas — buscando en lector_excel, procesar_*, generar_summary: NO se llama. Es código MUERTO esperando integración (5º caso: excepciones, capex_handler, catalogo_manager, clasificador_land, motor_reglas) | 🔴 La regla §2 'BUs dinámicos' SE IMPLEMENTA aquí pero NO SE USA — los procesadores hacen su propia detección | 🔴 Doble fuente catálogo (bu_catalog vs maestro_bu_sea) sin sincronización</t>
  </si>
  <si>
    <t>§2 (BUs dinámicos) ✅ - es la implementación más limpia del proyecto | §8 (exclusiones Summary) - lee 'incluir_en_summary_pct' del catálogo correctamente | Conecta con catalogo_manager.py (singleton) e inferencia_bu.py (con sus bugs)</t>
  </si>
  <si>
    <t>1) CONECTAR a la UI y al pipeline principal — sin esto es código muerto | 2) Que procesar_land/outbound/sea LO USEN para registrar BUs después del proceso | 3) Unificar con MAESTRO_BU_SEA para que SEA también pase por aquí | 4) Bootstrap inicial: precargar bu_catalog.json con M01,M19,M23,M45,M46,Capex,MCS,Machine,Miscelaneus antes de la primera corrida</t>
  </si>
  <si>
    <t>Procesador del flujo Outbound — implementa la regla del 'segundo BU' para waybills con múltiples BUs. Pipeline de 9 pasos: (0) compatibilidad alias, (1) limpieza, (2) inferir BU desde Waybill (regla SEGUNDO BU si hay 2+), (3) Miscelaneus → crea 'BU Final', (4) aplicar costos variables con fallback en cascada (workaround documentado para bug $0.00 usando columna intermedia __costo_aplicado__), (5) calcular %Proporción y Calc_Exp, (6) resumen por BU Final, (7) resumen por Waybill, (8) métricas, (9) log. Retorna ResultadoOutbound.</t>
  </si>
  <si>
    <t>§1 Conservación + Fórmula universal (GROUPBY Waybill.transform sum) | §2 BUs dinámicos | §3 Miscelaneus (usa 'BU Final' correctamente) | §4 OUTBOUND ($1500/Waybill) — REGLA DEL SEGUNDO BU implementada bien | §7 Costos variables (tabla BC:BE con fallback) | §9 Validación de conservación</t>
  </si>
  <si>
    <t>• Regla del SEGUNDO BU implementada PERFECTAMENTE: bus_encontrados[1] cubre los 3 casos (0/1/2+ BUs)
• Fallback en cascada brillante para costos variables: exacto → reference_base → substring contains
• Workaround del bug $0.00: columna intermedia __costo_aplicado__ evita colisión con 'Fix Cost' renombrado
• Diagnóstico extensivo con muestras al inicio y al final
• Detección de modo_costo automática (variable / default)
• Validación de cobertura previa: si refs_costos &lt;&lt; refs_datos, advierte
• Soporte compatible con Waybill Number Y Reference (alias)
• dataclass ResultadoOutbound completo + reporte_miscelaneus retornado</t>
  </si>
  <si>
    <t>• Intento 3 de _buscar_costo itera mapa_base por orden de inserción — si dos keys son FG-R-2209LE26 y FG-R-220, podría matchear la corta primero → costo del waybill equivocado
• El alias Reference→Waybill Number se hace al inicio: si Reference viene del bloque crudo (RM-J-...), Waybill Number copia ese valor incorrecto → todo el prorrateo se distorsiona (POSIBLE causa del $500)
• 'SIN_BU' (regex local) vs 'Sin Asignar' (fillna) — groupby los trata como distintos
• ESCALA %PCT como fracción 0-1 (igual que Sea, distinto de Land 0-100) — INCONSISTENCIA
• No valida costo_fijo &gt; 0
• Filtro peso&gt;0 silencioso (mismo problema que land/sea)</t>
  </si>
  <si>
    <t>🔴 TOLERANCIA contradice YAML: código usa diferencia&lt;1.0 pero YAML dice tolerancia_costo=0.01. Mismo bug que procesar_land. Si diferencia es $0.50, código dice 🟢 pero YAML dice 🔴.
🔴 ESCALA %PCT inconsistente con procesar_land: aquí monto/total (0-1), allá (monto/total)*100 (0-100). generar_summary recibirá ambos mezclados.
🔴 Intento 3 del fallback es peligroso: itera mapa_base por orden de inserción. Si keys son FG-R-2209LE26 y FG-R-220, la corta puede ganar y asignar costo equivocado. Necesita sorted(..., key=lambda x: -len(x[0])).
🔴 SIN_BU vs Sin Asignar (mismo bug que land) — inconsistencia interna.
🟡 La regla del SEGUNDO BU funciona BIEN. El bug de $500 viene de ARRIBA: o mapeo_columnas elige Reference equivocada (bloque crudo en lugar del procesado), o _intentar_cargar_costos_outbound en lector_excel carga un waybill con costo equivocado, o el Intento 3 del fallback hace match incorrecto.
🟡 _inferir_bu_desde_waybill es la TERCERA implementación de la misma regla (las otras 2 son inferencia_bu.py e _inferir_bu_desde_referencia en procesar_land).</t>
  </si>
  <si>
    <t>← src/reglas/regla_miscelaneus.py (aplicar_regla_miscelaneus, cargar_config_miscelaneus)
← src/utils/logger
← pandas, numpy, re, dataclasses
→ Consumido por: src/procesamiento/generar_summary.py
→ Recibe df de: src/ingesta/lector_excel.cargar_outbound() — TUPLA (df, df_costos)
Función duplicada: _inferir_bu_desde_waybill es la 3ª versión del 'segundo BU' (las otras: inferencia_bu.inferir_bu_desde_reference, procesar_land._inferir_bu_desde_referencia)</t>
  </si>
  <si>
    <t>1. 🔴 PRIORIDAD: Ordenar mapa_base por longitud descendente antes del Intento 3 para evitar match incorrecto por substring.
2. 🔴 PRIORIDAD: Tolerancia desde YAML (0.01), no hardcoded 1.0.
3. 🔴 PRIORIDAD: Unificar escala %PCT con procesar_land.
4. 🔴 Eliminar la 3ª implementación de la regla del segundo BU; usar SOLO inferencia_bu.inferir_bu_desde_reference (después de que se corrija ese módulo).
5. 🟡 Unificar 'SIN_BU' y 'Sin Asignar'.
6. 🟡 Validar costo_fijo &gt; 0.
7. 🟡 Validar el patrón del Waybill Number cargado (matchea FG-X-...) antes de procesarlo. Si llega un patrón Land RM-J-... → ERROR explícito.
8. 💡 Test edge: 3+ BUs en waybill (FG-R-XXXX.M46/M45/M01), waybill con peso 0, waybill sin BU, sufijo -2.</t>
  </si>
  <si>
    <t>Gestor del catálogo histórico de BUs. Persiste en bu_catalog.json: qué BUs existen, cuándo aparecieron (primera/última), si son estándar/especiales, si entran en %PCT del Summary. Provee CatalogoManager (con métodos cargar/guardar/registrar/info) y un singleton obtener_catalogo() via @lru_cache(maxsize=1). Mantiene historial automático de cambios.</t>
  </si>
  <si>
    <t>§2 BUs dinámicos (catálogo de BUs conocidos) | §8 Exclusiones del Summary (incluir_en_summary_pct por BU) | §5/§3 Marcado de BUs especiales (Capex/MCS/Machine/Miscelaneus)</t>
  </si>
  <si>
    <t>• Persistencia JSON con versionado preparado para migraciones
• Singleton limpio via @lru_cache(maxsize=1) — instancia única por proceso
• Historial automático de cambios (alta + actualización)
• Distinción clara: estandar / especial / excluido_pct (3 propiedades expuestas)
• Defensivo: si JSON corrupto, log + estructura vacía sin crashear
• Métodos públicos consistentes (bus_conocidos, bus_estandar, bus_especiales, bus_excluidos_pct)
• info_bu(bu) y es_conocido(bu) para consultas puntuales
• registrar_aparicion separado de registrar_bu — distingue 'actualización fecha' de 'alta nueva'</t>
  </si>
  <si>
    <t>• bu_catalog.json probablemente NO EXISTE en src/reglas/ — el sistema arranca con catálogo VACÍO, todos los BUs aparecerían como 'desconocidos' en primera corrida
• Sin validación de formato BU ('m19' y 'M19' pueden coexistir como entradas distintas)
• @lru_cache no invalidable si JSON cambia externamente — útil pero peligroso si otro proceso modifica el archivo
• Historial sin cap → JSON crece sin límite con cada alta
• Sin método de export para UI (listar todos los BUs con sus atributos)</t>
  </si>
  <si>
    <t>🔴 NADIE invoca registrar_bu — no vi llamadas desde procesar_land/outbound/sea. Es código muerto esperando integración (3er caso: excepciones.py, capex_handler.py, catalogo_manager.py)
🔴 Persistencia excesiva — _guardar después de CADA registrar_bu → 50 BUs nuevos = 50 escrituras a disco. Lento y rompe atomicidad.
🔴 TRIPLE FUENTE DE VERDAD para 'BUs excluidos del %PCT':
  • config.yaml → exclusiones.summary_pct_sea.bu_excluidos
  • bu_catalog.json → incluir_en_summary_pct por BU
  • generar_summary.py → hardcoded ('Capex','MCS')
Si cambias uno, los otros dos lo ignoran.
🟡 Sin migración de versión: si version=1.0.0 cambia, no hay lógica para actualizar JSON antiguos.
🟡 datetime.now() sin zona horaria — entre máquinas con TZ distintas, fechas pueden ser ambiguas.</t>
  </si>
  <si>
    <t>← json, pathlib, datetime, functools.lru_cache
← src/utils/logger
→ DEBERÍA ser usado por: motor_reglas.py (sí lo usa), procesar_land/outbound/sea (NO lo usan), UI (NO lo usa)
→ Lee/escribe: src/reglas/bu_catalog.json (probablemente NO existe)
DOBLE CATÁLOGO PARALELO:
  • catalogo_manager.py → bu_catalog.json (general)
  • inferir_bu_sea.py → maestro_bu_sea.json (Item→BU)
No se sincronizan. Riesgo de inconsistencia.</t>
  </si>
  <si>
    <t>1. 🔴 PRIORIDAD: Crear bu_catalog.json con bootstrap inicial (M01, M19, M23, M45, M46, M00, Capex, MCS, Machine, Miscelaneus) antes de la primera corrida. Sin esto, motor_reglas dispara avalancha de alertas WARNING.
2. 🔴 Conectar registrar_bu al pipeline: que procesar_land/outbound/sea inviten al catálogo al final de su ejecución.
3. 🔴 Unificar fuente de verdad de 'BUs excluidos': decidir si vive en YAML, en JSON o en código. Idealmente YAML (config) con override por BU en JSON.
4. 🟡 Batch save: que registrar_bu no escriba a disco inmediatamente. Usar un método save() explícito o flush automático al final.
5. 🟡 Validar formato del BU en registrar_bu (regex M\d{2} o lista especiales).
6. 🟡 datetime.now(timezone.utc) en lugar de datetime.now() — fechas comparables.
7. 💡 Método to_dict() para exponer todo el catálogo a la UI.
8. 💡 Cap del historial: mantener últimas 1000 entradas o rotar por año.</t>
  </si>
  <si>
    <t>src/reglas/clasificador_land.py</t>
  </si>
  <si>
    <t>Clasificador 'asesor' para Land. Define patrones regex para detectar items Machine (machine/maquinaria/equipo/instrumento/herramienta) y Miscelaneus (tapa/charola/pallet/embalaje/etiqueta/material empaque). Expone 3 funciones: es_item_machine, es_item_miscelaneus, clasificar_bu_land (combina ambas + fallback a Miscelaneus si bu_actual está vacío y no matchea nada).</t>
  </si>
  <si>
    <t>§3 Miscelaneus (versión paralela, NO oficial — la oficial es regla_miscelaneus.py) | §6 LAND clasificación especial</t>
  </si>
  <si>
    <t>• Funciones puras sin estado
• Type hints completos y docstrings claros
• Defensivo: maneja None y no-string
• Patrones con \b (word boundary) — evita falsos positivos en substrings
• Logging en modo debug para auditoría
• Parámetro forzar_clasificacion permite override
• Default a Miscelaneus para items sin clasificar — consistente con 'cajón de sastre'</t>
  </si>
  <si>
    <t>• ¿Quién lo invoca? procesar_land.py NO importa este módulo. Usa exclusivamente aplicar_regla_miscelaneus de regla_miscelaneus.py
• re.IGNORECASE duplicado (ya viene .lower() antes)
• 'no_parte' se concatena al texto sin distinguir → un código como 'EQUIPO-1234' matchearía aunque no sea descripción
• Patrones genéricos (\bequipo\b, \bherramienta\b) → falsos positivos en descripciones largas
• Sin tests / sin uso real / sin validación contra el archivo Excel</t>
  </si>
  <si>
    <t>🔴 ES CÓDIGO MUERTO: procesar_land.py NO importa este módulo. Las reglas existen en el código pero no se aplican a ningún reporte. 4º caso de código muerto (excepciones, capex_handler, catalogo_manager, clasificador_land).
🔴 CONTRADICE LA REGLA MISCELANEUS OFICIAL:
  • regla_miscelaneus.py (oficial): keywords PLASTIC/CHAROLA sin filtro, TAPA/BASE/CAJA con filtro guion, BU destino Miscelaneus, lee YAML
  • clasificador_land.py (este): keywords machine/tapa/charola/pallet, SIN filtro guion, BU destino Machine o Miscelaneus, hardcoded
Si alguien activase este clasificador, TAPA-1234 (código válido con guion) sería forzado a Miscelaneus, violando §3.
🔴 DEFAULT PELIGROSO: si bu_actual viene vacío y no matchea nada → asigna 'Miscelaneus' como default. §3 dice que items sin clasificar deben quedarse con su BU inferido (o SIN_BU), NO degradarse a Miscelaneus.
🔴 CONCEPTO 'Machine' NO OFICIAL: regla_miscelaneus.py y config.yaml NO mencionan Machine como categoría especial activa. Solo aparece en el orden del Summary. Este clasificador inventa una regla no documentada en REGLAS_PROCESO.</t>
  </si>
  <si>
    <t>← re (built-in)
← src/utils/logger
→ NADIE LO IMPORTA — código muerto
→ DEBERÍA ser eliminado o integrado con regla_miscelaneus.py</t>
  </si>
  <si>
    <t>🔥 RECOMENDACIÓN CLARA: ELIMINAR ESTE ARCHIVO o reescribirlo desde cero. Hoy está agregando 3 problemas:
1. Confusión — futuros devs creerán que aplica
2. Riesgo latente — si alguien lo enchufa por error, rompe §3
3. Duplicación conceptual con regla_miscelaneus.py
Si quieres categorizar Machine de verdad: agrégalo al YAML como sección y extiende regla_miscelaneus.py con un parámetro palabras_machine. UNA sola fuente de verdad.
Acciones concretas:
1. grep -r 'clasificador_land' . → si nadie lo importa, ELIMINAR
2. Si quieres mantener concepto Machine: migrar a regla_miscelaneus.py con sección machine en config.yaml
3. NO mantener este archivo como está</t>
  </si>
  <si>
    <t>src/reglas/inferencia_bu.py</t>
  </si>
  <si>
    <t>Módulo de inferencia de BU desde el patrón del Reference de Outbound (no Land, contrario a lo que el comentario sugiere). Implementa la regla del 'SEGUNDO BU' con regex que captura todo lo que está después del último '.' y separa por '/'. Expone 4 funciones: inferir_bu_desde_reference (toma [0] si hay 1, [1] si hay 2+), inferir_bus_lote (vectorizable), validar_formato_reference, obtener_todos_los_bus.</t>
  </si>
  <si>
    <t>§4 OUTBOUND — Regla del SEGUNDO BU (parcialmente) | §2 BUs dinámicos</t>
  </si>
  <si>
    <t>• Implementación más limpia que _inferir_bu_desde_waybill: usa split('.') + split('/') posicional, no regex global M\d{2}
• obtener_todos_los_bus es excelente para auditoría — permite validar casos de 3+ BUs
• inferir_bus_lote habilita vectorización con df.col.apply()
• Validación defensiva (tipo string, no vacío)
• Logging detallado en modo debug
• Doctests en docstrings — calidad profesional</t>
  </si>
  <si>
    <t>• Comentario del docstring CONTRADICE el archivo donde se importa (dice Outbound pero procesar_land lo usa también)
• Regex [A-Za-z0-9/]+ deja pasar basura ('FG-R-2208LE26.M46/INVALIDO123' → INVALIDO123 como BU)
• No normaliza a UPPER ('m45' se devuelve como 'm45')
• validar_formato_reference solo verifica patrón regex, no que los BUs sean válidos
• len(lista_bus) &gt; 2 → siempre toma índice [1] (descarta el 3ro) — ¿correcto para 3 BUs? La regla §4 no lo aclara</t>
  </si>
  <si>
    <t>🔴 TRIPLE IMPLEMENTACIÓN de la regla del 'Segundo BU':
  1. inferencia_bu.inferir_bu_desde_reference (este archivo): split('.') + split('/')
  2. procesar_outbound._inferir_bu_desde_waybill: regex global M\d{2} + [1]
  3. procesar_land._inferir_bu_desde_referencia: regex global M\d{2} (primer match)
Y existe una CUARTA: procesar_land.py ALSO importa inferir_bu_desde_reference (este). Si las 4 evolucionan distinto, bug futuro garantizado.
🔴 DIFERENCIAS SEMÁNTICAS PELIGROSAS entre las 3:
  Caso 'FG-R-2208LE26.M46/M45': este=M45 ✓, outbound=M45 ✓, land=M46 ❌
  Caso 'RM-J-1359LI26-M23.CS1037': este=CS1037 ❌ (catastrófico), outbound=M23 ✓, land=M23 ✓
  Caso 'FG-R-2216LE26.M46/M45-2': este=M45-2 ❌, outbound=M45 ✓, land=M46 ❌
Cada función genera respuestas distintas para el mismo input. Casos como RM-J-1359LI26-M23.CS1037 devolverían 'CS1037' como BU, lo cual no es un BU válido.
🔴 DOCSTRING CONTRADICE su uso: dice 'regla Outbound (segundo BU)' pero la función se importa en procesar_land.py donde la regla es 'primer Mxx'. Si por error un Reference de Land tiene .M19/M45, devuelve M45 cuando debería ser M19.
🔴 No maneja sufijo -2, .CS1037 etc. (la regla §6 menciona explícitamente estos sufijos)</t>
  </si>
  <si>
    <t>← re (built-in)
← src/utils/logger
→ src/procesamiento/procesar_land.py (importa inferir_bu_desde_reference — INCORRECTO según docstring)
→ src/reglas/motor_reglas.py (importa inferir_bu_desde_reference — bien)
→ Funciones duplicadas en: procesar_outbound (_inferir_bu_desde_waybill), procesar_land (_inferir_bu_desde_referencia)</t>
  </si>
  <si>
    <t>🔥 RECOMENDACIÓN CLARA: UNIFICAR las 3 implementaciones en UNA sola función parametrizada con modo='land'|'outbound'. Un solo lugar, 2 modos, tests cubriendo los 6+ casos edge. Eliminar las otras 2 implementaciones.
Ejemplo:
def inferir_bu(referencia: str, modo: Literal['land','outbound']) -&gt; str:
    if modo == 'land':
        match = re.search(r'-M(\d{2})\b', referencia.upper())
        return f'M{match.group(1)}' if match else 'SIN_BU'
    elif modo == 'outbound':
        match = re.search(r'\.M\d{2}(?:/M\d{2})*', referencia.upper())
        if not match: return 'SIN_BU'
        bus = re.findall(r'M\d{2}', match.group(0))
        return bus[1] if len(bus) &gt;= 2 else bus[0]
Acciones:
1. 🔴 Decidir qué hacer con 3+ BUs (la regla §4 no lo cubre).
2. 🔴 Validar que el BU resultante sea un Mxx válido (no CS1037, no INVALIDO123).
3. 🔴 Normalizar a UPPER siempre.
4. 🟡 Soportar sufijos -2, .CS1037 documentadamente.
5. 🟡 Eliminar implementaciones duplicadas en procesar_*.</t>
  </si>
  <si>
    <t>src/reglas/inferir_bu_sea.py</t>
  </si>
  <si>
    <t>Auto-infiere la columna BU en SEA usando un maestro embebido en src/config/maestro_bu_sea.json. Estrategia en cascada: (1) match por Item Code → (2) fallback por Subinventory → (3) marcar SIN_BU. Es invocado dinámicamente desde lector_excel.cargar_sea. Retorna (df_modificado, reporte) con métricas ricas (cobertura, items no mapeados, BUs finales).</t>
  </si>
  <si>
    <t>§5 SEA — Auto-inferencia de BU desde MAESTRO_BU_SEA (cascada Item→Subinventory→SIN_BU) | §2 BUs dinámicos</t>
  </si>
  <si>
    <t>• Cascada bien diseñada — implementa fielmente la regla del catálogo MAESTRO_BU_SEA del Excel
• Parámetro sobrescribir — permite respetar BU manual existente Y soporta corrida forzada
• Reporte rico con cobertura_pct, items no mapeados (para mantenimiento), BUs finales
• Defensivo: si maestro vacío / falta columna Item → marca SIN_BU con warning, no crashea
• Muestra 5 items nuevos no mapeados + recordatorio para agregar al JSON → workflow operativo claro
• Distingue 3 categorías en reporte: bu_por_item_code / bu_por_subinventory / sin_bu
• Logging excelente con separadores visuales</t>
  </si>
  <si>
    <t>• maestro_bu_sea.json probablemente NO EXISTE en src/config/ (comentario sugiere ejecutar scripts/generar_maestro_bu_sea.py)
• Default columna_item='Item Code' contradice cargar_sea (que pasa 'Item' lógico). Si alguien lo invoca sin argumento, falla
• 8 Subinventories AMBIGUO no resueltos: si JSON los exporta como 'FGD-BI': 'AMBIGUO', este código asigna BU='AMBIGUO' literal → groupby lo trata como BU válido
• Mismatch tipo de retorno: si mapa_items vacío, retorna dict sin cobertura_pct. cargar_sea solo da 0 por el .get default → lógica se desvirtúa
• Sin invalidación de caché — cargar_maestro_bu_sea se ejecuta cada vez (no usa @lru_cache)
• No normaliza a UPPER los Item Codes antes del lookup</t>
  </si>
  <si>
    <t>🔴 JSON MAESTRO probablemente NO EXISTE: sistema arranca con 0 items mapeados en primera corrida → TODO Sea queda como SIN_BU → resumen_bu colapsa en una sola fila gigante.
🔴 8 SUBINVENTORIES AMBIGUO no resueltos (FGD-BI, FGD-CS, FGD-JCE, FGD-P2RGB, FGD-PM, NOR-J19, NOR-MXA, NOR-MXC). Si el JSON los exporta como 'AMBIGUO', el código asigna literalmente BU='AMBIGUO' → aparece en el Summary. Decisión pendiente.
🔴 DOBLE CATÁLOGO PARALELO sin sincronización:
  • catalogo_manager.py → bu_catalog.json (general)
  • inferir_bu_sea.py → maestro_bu_sea.json (Item→BU)
No comparten lógica ni se actualizan en conjunto.
🟡 Performance: itera dos veces sobre df_a_inferir (una para asignar, otra para clasificar el reporte) → para Sea de 1217 filas se nota.
🟡 row.get() en df.apply es lento. Vectorizable con .map().
🟡 No normaliza UPPER — '1318-1030030EN' y '1318-1030030en' se tratan distinto.
🟡 Sin validación de formato BU en el JSON — si el maestro tiene 'M19 ' con espacio, el groupby lo trata como BU distinto.</t>
  </si>
  <si>
    <t>← json, pathlib, pandas
← src/utils/logger
← maestro_bu_sea.json (probablemente NO existe — debe generarse con scripts/generar_maestro_bu_sea.py)
→ src/ingesta/lector_excel.cargar_sea (import dinámico)
→ Resultado consumido por procesar_sea
DOBLE CATÁLOGO:
  bu_catalog.json (catalogo_manager) vs maestro_bu_sea.json (este) — no se sincronizan</t>
  </si>
  <si>
    <t>1. 🔴 PRIORIDAD: Generar maestro_bu_sea.json desde la hoja MAESTRO_BU_SEA del Excel ANTES de la primera corrida. Sin esto, Sea no funciona correctamente.
2. 🔴 Política para AMBIGUO: decidir entre (a) marcar para revisión manual, (b) tomar primer BU, (c) por mayor peso, (d) dejar como AMBIGUO. Mi sugerencia: (a) con UI que pida input.
3. 🔴 Default columna_item='Item' (lógico) en lugar de 'Item Code' (legacy).
4. 🟡 @lru_cache en cargar_maestro_bu_sea — evita re-leer JSON cada vez.
5. 🟡 Normalizar UPPER en Item Code antes del lookup.
6. 🟡 Vectorizar con .map() en lugar de .apply(row).
7. 🟡 Sincronizar con catalogo_manager: cuando inferir_bu_sea encuentra un BU nuevo en MAESTRO, registrarlo en bu_catalog.json automáticamente.
8. 💡 Validar formato del JSON al cargar (BUs sin espacios, sin minúsculas).</t>
  </si>
  <si>
    <t>src/reglas/regla_miscelaneus.py</t>
  </si>
  <si>
    <t>LA OFICIAL. Implementa la regla §3 de reasignación a Miscelaneus, replicando EXACTAMENTE la fórmula Excel documentada en REGLAS_PROCESO. Usado por los 3 procesadores. Expone: es_item_miscelaneus (test unitario), aplicar_regla_miscelaneus (vectorizado, crea 'BU Final' + reporte de auditoría), cargar_config_miscelaneus (lee YAML con fallback a defaults).</t>
  </si>
  <si>
    <t>§3 Miscelaneus (COMPLETO Y FIEL): PLASTIC/CHAROLA siempre, TAPA/BASE/CAJA solo si NO hay guion. BU destino 'Miscelaneus'. Conserva BU original si no aplica. Único módulo que cumple §3 al pie de la letra.</t>
  </si>
  <si>
    <t>• ¡EL MEJOR MÓDULO HASTA AHORA! 🏆
• Docstring EJEMPLAR: muestra fórmula Excel literal + lógica desglosada + casos ✅/❌ concretos
• Implementa LITERALMENTE el comportamiento Excel: SEARCH('PLASTIC', item) ↔ 'PLASTIC' in nombre_upper. Paridad perfecta
• Filtro de guion bien implementado: tiene_guion se calcula UNA vez, luego se aplica a TAPA/BASE/CAJA. Eficiente y correcto
• LEE EL YAML vía cargar_config_miscelaneus() → ÚNICO módulo que respeta la promesa 'sin tocar código'
• Fallback a defaults si YAML falla → no crashea en arranque
• Reporte de auditoría rico: items_reasignados, monto_reasignado, bus_origen, detalle (df completo)
• Auto-detecta columna de monto (Calc_Exp / Amount / Monto / Cost) → funciona en Land/Outbound/Sea sin parámetro extra
• Vectorizado con .apply() → escalable
• df.copy() defensivo → no muta el input
• Doctests con casos edge</t>
  </si>
  <si>
    <t>• Detección por substring puede generar falsos positivos: 'PLASTIC' in 'PLASTICOREMOVER' → True
• Más grave: 'BASE' in 'BASEDPRODUCT' → True (sin guion) → reasignado
• No usa word boundaries
• Default columna_bu_origen='BU' puede ser inválido si df no tiene esa columna exacta — .get() devuelve string escalar y rompe la asignación posterior
• Sin normalización Unicode: 'PLÁSTICA' (con tilde) — caso edge si reporte viene con tildes
• PALABRAS_SIN_FILTRO=None con mutable default antipattern (type hint List[str] debería ser Optional[List[str]] = None)</t>
  </si>
  <si>
    <t>🟡 monto_reasignado SE CALCULA ANTES DE QUE EXISTAN AMOUNT/CALC_EXP:
En procesar_land y procesar_outbound, el orden es:
  1. Aplicar Miscelaneus (CREA 'BU Final')
  2. Calcular %Proporción, Amount, Calc_Exp
Cuando aplicar_regla_miscelaneus se ejecuta, ninguna de las columnas Calc_Exp/Amount/Cost existe aún → monto_reasignado=0.0 SIEMPRE. El reporte miente. Se reporta correctamente solo si se vuelve a llamar después del cálculo, lo cual no ocurre.
🟡 Falsos positivos por substring: 'REBASE PLASTICO' matchearía PLASTIC y BASE. Caso real en reportes con descripciones largas.
🟡 Sin normalización Unicode: 'CHARÓLA' (con tilde) no matchea 'CHAROLA' aunque debería. Edge case posible.</t>
  </si>
  <si>
    <t>← pandas
← src/utils/config_loader.get_config (lee YAML)
← src/utils/logger
→ USADO POR: procesar_land.py, procesar_outbound.py, procesar_sea.py (los 3 procesadores)
INTEGRACIÓN COMPLETA YAML → CÓDIGO:
  config.yaml define miscelaneus.palabras_sin_filtro/con_filtro_guion/bu_destino
  cargar_config_miscelaneus() los lee vía get_config()
  procesar_* invocan cargar_config_miscelaneus() ANTES de aplicar
→ Es la ÚNICA regla del sistema TOTALMENTE conectada de YAML hasta procesamiento. Sirve como referencia de cómo debería implementarse el resto.</t>
  </si>
  <si>
    <t>1. 🟡 PRIORIDAD: Mover el cálculo de monto_reasignado a DESPUÉS del cálculo de Amount/Calc_Exp en los procesadores. O ejecutar aplicar_regla_miscelaneus en 2 pasadas (1 para crear BU Final, 2 para reportar montos).
2. 🟡 Usar word boundaries: re.search(r'\bPLASTIC\b', ...) en lugar de 'PLASTIC' in ... — evita 'PLASTICOREMOVER'.
3. 🟡 Normalización Unicode: unicodedata.normalize('NFD') + remove accents antes del matching.
4. 🟡 Type hint: Optional[List[str]] = None en vez de List[str] = None.
5. 💡 Tests con casos edge: 'REBASE PLASTICO', 'PLASTICOREMOVER', 'CHARÓLA', 'BASE-1234', 'BASE PLASTICA'.
6. 💡 ESTE MÓDULO DEBE SER LA REFERENCIA DE ARQUITECTURA para el resto. Otros módulos (catalogo_manager, capex_handler) deberían copiar este patrón: YAML → loader → función pura → uso desde procesadores.</t>
  </si>
  <si>
    <t>src/ui/pestanias/pestania_bus.py</t>
  </si>
  <si>
    <t>Pestaña UI de Streamlit para detección y validación manual de Business Units. Botón 'Detectar BUs actuales' invoca detectar_bus_actuales() + comparar_con_historico(). Muestra métricas (total/nuevos/recurrentes/desaparecidos), tabla por operación, alertas por severidad y formulario de aprobación de BUs nuevos (descripción, operación principal, es_estandar, incluir_en_summary_pct). Al aprobar, llama registrar_bus_validados() y limpia la comparación para forzar re-detección.</t>
  </si>
  <si>
    <t>§2 BUs dinámicos (UI para confirmar nuevos) | §2 Validación manual antes de registrar al catálogo | Wrapper UI sobre motor_reglas.py</t>
  </si>
  <si>
    <t>• ES LA UI QUE FALTABA PARA motor_reglas.py — finalmente conecta el módulo muerto al pipeline visible
• Métricas claras (4 columnas: Total/Nuevos/Recurrentes/Desaparecidos) con delta visual cuando hay nuevos
• Tabla por operación con '—' cuando no hay BUs detectados (estética limpia)
• Alertas agrupadas por severidad (error/warning/info) usando st.error/warning/info nativos
• Expander por BU nuevo con form completo (descripción, operación, es_estandar, incluir_en_pct)
• Autodetecta si BU es estándar con bu.startswith('M') and bu[1:].isdigit()
• st.rerun() después de aprobar → fuerza recomputo limpio
• Defensivo: valida que haya al menos un df cargado antes de procesar</t>
  </si>
  <si>
    <t>• ¿La pestaña se invoca SIEMPRE o solo si el usuario navega a ella? Si es lazy, el motor_reglas SIGUE siendo código muerto hasta que el usuario haga clic
• Estado.COMPARACION_BU no se invalida automáticamente cuando df_sea/land/outbound cambian — usuario puede ver comparación stale después de recargar un archivo
• Aprobar un BU NO actualiza los resultados ya procesados (procesar_land/sea/outbound ya corrió sin el BU en catálogo)
• ops_donde puede estar vacía si bu aparece pero bus_por_operacion no lo lista — selectbox vacío crashea
• 'es_estandar' default usa bu[1:].isdigit() pero no valida que bu tenga al menos 2 caracteres — 'M' solo daría IndexError
• Sin manera de RECHAZAR un BU nuevo (typo) → solo aprobar; debería haber botón '🗑️ Marcar como typo'</t>
  </si>
  <si>
    <t>🟡 CONEXIÓN PARCIAL: motor_reglas.py SOLO se ejecuta si el usuario abre esta pestaña Y hace clic en 'Detectar'. Si solo procesa Land/Sea/Outbound y descarga, §2 nunca se valida → catálogo nunca crece.
🟡 INCONSISTENCIA con catálogo: registrar_bus_validados() guarda en bu_catalog.json, pero si ese archivo no existe (como sospecho), el catálogo arranca vacío cada vez → TODOS los BUs son 'nuevos' la primera vez → spam de alertas WARNING.
🟡 NO valida que ops_donde tenga al menos 1 elemento antes del selectbox → si bus_por_operacion está vacío pero bus_actuales contiene el BU (caso edge), crashea el selectbox.
🟡 Estado.COMPARACION_BU persiste entre sesiones — si usuario carga nuevo Land, la comparación antigua sigue mostrándose hasta que él haga clic en 'Detectar' otra vez.
🟡 Aprobar BU NO re-procesa los flujos existentes — los Resultado* ya guardados quedan con el BU como 'nuevo' aunque ya esté aprobado.</t>
  </si>
  <si>
    <t>← src/ui/estado.Estado (constantes DF_SEA_RAW, DF_LAND_RAW, DF_OUTBOUND_RAW, COMPARACION_BU)
← src/reglas: detectar_bus_actuales, comparar_con_historico, obtener_alertas_bu, obtener_catalogo
← src/reglas/motor_reglas: registrar_bus_validados
← streamlit, pandas
→ Llamada desde src/ui/app.py o similar (orquestador UI)
→ Modifica bu_catalog.json a través de catalogo_manager (vía registrar_bus_validados)
ÚNICO consumidor real de motor_reglas.py — si esta pestaña no se invoca, motor_reglas es código muerto</t>
  </si>
  <si>
    <t>1. 🔴 PRIORIDAD: Auto-invocar detectar_bus_actuales DESPUÉS de procesar cualquiera de las 3 operaciones (no esperar que el usuario navegue a esta pestaña). Mover la detección a un hook post-procesamiento.
2. 🔴 Invalidar Estado.COMPARACION_BU automáticamente cuando df_*_raw cambie (hash de datos).
3. 🟡 Validar len(ops_donde) &gt;= 1 antes del selectbox; sino mostrar warning 'BU detectado pero sin operación clara'.
4. 🟡 Agregar botón '🗑️ Marcar como typo' para descartar BUs erróneos sin agregarlos al catálogo.
5. 🟡 Agregar botón 'Bootstrap inicial del catálogo' que registre TODOS los BUs actuales como conocidos (útil en primera corrida cuando el catálogo está vacío).
6. 🟡 Mostrar última fecha de actualización del catálogo en el sidebar.
7. 💡 Tras aprobar, re-procesar automáticamente los flujos existentes con el catálogo actualizado.
8. 💡 Permitir editar BUs ya en el catálogo (no solo agregar nuevos).
9. 💡 Mostrar advertencia visual si hay BUs detectados pero NUNCA se ha hecho 'Detectar' (badge rojo en el tab).</t>
  </si>
  <si>
    <t>src/ui/pestanias/pestania_land.py</t>
  </si>
  <si>
    <t>Pestaña UI de Streamlit para LAND. Sube el archivo, lo carga vía cargar_land(), lo procesa vía procesar_land() con el costo del session_state, y muestra: métricas (References/Items/BUs/Total), validación de cuadre, BUs especiales/nuevos, resumen por BU, tabla de References, sección de auditoría Miscelaneus (con detección dinámica de columnas para soportar nombres lógicos y legacy), detalle completo y botón de descarga a Excel. Captura las 4 excepciones de ingesta con mensajes específicos.</t>
  </si>
  <si>
    <t>§6 LAND ($1200/Reference) | §3 Miscelaneus (auditoría visible) | §9 Validación de cuadre (Total = N × $1200) | §2 BUs dinámicos (bus_especiales y bus_nuevos visibles) | UI para excepciones (HojaNoEncontrada/ColumnaFaltante/DatosVacios/ArchivoInvalido)</t>
  </si>
  <si>
    <t>• Captura LAS 4 EXCEPCIONES correctamente — finalmente la jerarquía de excepciones.py se usa de extremo a extremo (lector → UI)
• st.metric con .get() defensivo en TODAS las métricas → no crashea si falta una clave en el dict
• Detección dinámica de columnas en sección Miscelaneus: prueba con nombres lógicos ('Item', 'Peso Bruto') Y legacy ('No. Parte Prov.', 'Peso Bruto (Kgs)') — código RESILIENTE a refactors del lector
• Fallback si columnas_mostrar queda vacía: muestra TODAS las columnas en lugar de error
• Validación de cuadre visible (st.success/warning según validacion_ok)
• column_config con formatos correctos ($%.2f, %.2f%%)
• Comentarios indican fixes previos (🔧 FIX) — disciplina de mantenimiento
• Caption final explica regla Miscelaneus al usuario
• Botón descarga genera Excel con timestamp</t>
  </si>
  <si>
    <t>• st.session_state[Estado.RES_LAND] != None check pero NO valida que metricas sea dict — si procesar_land devuelve algo raro, metricas.get() crashea
• reporte_miscelaneus se obtiene con getattr() pero NO valida que sea dict antes de hacer .get()
• validación de cuadre usa 'diferencia_validacion &gt; 1' que CONTRADICE config.yaml (tolerancia=0.01)
• bus_nuevos en metricas — ¿quién lo popula? procesar_land lo deja siempre en [] (código muerto verificado en análisis previo)
• Sin opción para FORZAR hoja específica si la detección falla (no hay hoja_forzada en la UI)
• Sin opción para sobrescribir el costo desde la UI (solo lectura del session_state)
• Sin indicador de que el procesamiento usó costo VARIABLE (Land no soporta, pero la UI no lo aclara)</t>
  </si>
  <si>
    <t>🟡 TOLERANCIA DUPLICADA: la UI muestra 🟢 OK si diferencia ≤ $1 (línea 'diferencia &gt; 1'), pero config.yaml dice tolerancia=$0.01. Si la diferencia es $0.50, la UI dice ✅ pero el negocio dice 🔴.
🟡 bus_nuevos siempre vacío: procesar_land.py NO lo popula, así que st.warning '🆕 BUs nuevos detectados' NUNCA aparece en producción → §2 invisible al usuario en el flujo Land.
🟡 La sección 'Items reasignados a Miscelaneus' depende de que reporte_miscelaneus.items_reasignados &gt; 0. PERO procesar_land.py tiene bug en reporte_miscelaneus.monto_reasignado (se calcula ANTES de que exista columna Amount) → la métrica monto siempre muestra $0.00. UI muestra dato ENGAÑOSO.
🟡 generar_excel_solo_land llama a hoja_land.py que tiene bug de RESUMEN HARDCODED (sin fórmulas) → el Excel descargado NO refleja cambios manuales.
🟡 'No. Parte Prov.' y 'Item' aparecen ambos en columnas_preferidas — si el df tiene los dos (caso de alias retro), se muestran las dos columnas duplicadas con valores idénticos. UI confusa.
🟡 Sin manejo del caso 'archivo cargado pero procesamiento aún no ejecutado' — la sección de RESULTADOS sigue mostrando los datos de la corrida anterior hasta que se haga clic en 'Procesar'.</t>
  </si>
  <si>
    <t>← streamlit, datetime
← src/ui/estado.Estado (COSTO_LAND, DF_LAND_RAW, RES_LAND, NOMBRE_ARCH_LAND)
← src/ingesta.cargar_land
← src/ingesta/excepciones (4 excepciones específicas)
← src/procesamiento/procesar_land.procesar_land
← src/salida.generar_excel_solo_land → hoja_land.py (con bugs documentados)
→ Llamada desde src/ui/app.py o el orquestador UI
EXCELENTE captura de excepciones, pero queda atrapada por los bugs upstream (validación tolerante, hoja_land hardcoded, miscelaneus monto incorrecto)</t>
  </si>
  <si>
    <t>1. 🔴 Usar tolerancia del config.yaml (0.01) en vez de hardcode '&gt; 1'.
2. 🔴 Agregar input numérico para sobrescribir el costo por reference desde la UI (override del session_state).
3. 🟡 Agregar selectbox 'Forzar hoja específica' si la detección automática falla.
4. 🟡 Validar reporte_miscelaneus.monto_reasignado contra suma del df_detalle.Amount antes de mostrarlo (detectar bug del cálculo prematuro).
5. 🟡 Deduplicar columnas_preferidas: si encuentra 'Item', no incluir 'No. Parte Prov.' (mostrar solo el nombre LÓGICO si está presente).
6. 🟡 Auto-invalidar Estado.RES_LAND cuando se sube un nuevo archivo (no esperar que el usuario haga clic 'Procesar').
7. 💡 Mostrar tiempo de procesamiento (st.spinner ya lo hace, pero log al final útil para debugging).
8. 💡 Agregar checkbox 'Mostrar advertencias técnicas' para ocultar warnings al usuario final.
9. 💡 Test con archivo Land real: cargar el Excel del usuario y validar que ✅ Validación OK aparece (validación end-to-end).</t>
  </si>
  <si>
    <t>src/ui/pestanias/pestania_outbound.py</t>
  </si>
  <si>
    <t>Pestaña UI de Streamlit para OUTBOUND. Sube archivo, soporta TABLA MANUAL de costos variables (data_editor) que tiene prioridad sobre la tabla embebida del Excel, procesa vía procesar_outbound() pasando df_costos, muestra modo de costo (variable/default), métricas (Waybills/Items/BUs/Total), validación, BUs especiales/nuevos, resumen por BU, tabla de Waybills, sección Miscelaneus y detalle. Botón de descarga genera Outbound.xlsx aislado.</t>
  </si>
  <si>
    <t>§4 OUTBOUND ($1500/Waybill) | §7 Costos variables Outbound (manual override del Excel) | §3 Miscelaneus (auditoría visible) | §9 Validación de cuadre | §2 BUs dinámicos (bus_especiales y bus_nuevos visibles) | UI para excepciones</t>
  </si>
  <si>
    <t>• st.data_editor con num_rows='dynamic' para costos variables manuales — UX excelente
• column_config en data_editor: Reference required + Fix Cost required con format='$%.2f' min_value=0 — guardrails estrictos
• PRIORIDAD CLARA: manual &gt; archivo &gt; default (con st.info indicando cuál se usó) — usuario sabe siempre qué costos se aplicaron
• Distinción visual del modo: 'Modo costo variable' vs 'Modo costo default' con emoji distinto
• Métricas n_waybills_variables y n_waybills_default — auditabilidad detallada
• Validación con st.success/st.error según validacion_ok
• Captura las 4 excepciones específicas
• column_config en resumen por BU usa format='percent' (Streamlit nativo) — mejor que '%.2f%%' string
• Detección dinámica de columnas en Miscelaneus (soporta nombres lógicos Y legacy)
• 🔧 FIX comentado: 'total_waybills' no 'total_references' — disciplina al alinear nomenclatura
• df_costos_manual.dropna(subset=...) limpia entradas inválidas antes de enviar</t>
  </si>
  <si>
    <t>• ¿Qué pasa si el usuario tiene una entrada en manual con Reference que NO existe en el archivo? procesar_outbound debería loguear warning pero no se valida en UI
• La tabla manual de costos NO persiste entre sesiones de Streamlit — usuario debe re-introducirlos cada vez
• Sin botón 'Cargar costos del archivo a la tabla manual' (para editar a partir de lo extraído)
• column_config en resumen por BU: %PCT usa 'percent' (Streamlit), pero %PCT del df es 0-100 — ¿se interpreta como 4500% en vez de 45%? FORMATO POSIBLEMENTE MAL
• 'modo_costo' clasificado como 'variable' si HAY ≥1 waybill con costo personalizado; si los 31 waybills usan default pero hay 1 con $1500 explícito, ¿es 'variable'?
• Sin opción de SOBRESCRIBIR el costo default desde la UI
• Sin indicador de cuántas refs del manual NO se aplicaron (típos)</t>
  </si>
  <si>
    <t>🔴 FORMATO %PCT POSIBLEMENTE INCORRECTO: column_config usa format='percent' que asume valor 0-1, pero procesar_outbound devuelve %PCT en escala 0-100 → la UI mostrará '4500%' en vez de '45%'. CONFIRMAR con datos reales.
🔴 EL BUG DE $500 SE PROPAGA AQUÍ: si procesar_outbound recibe costos variables correctos pero hoja_outbound.py los IGNORA y hardcodea $1500, el Excel descargado mostrará Calc_Exp distinto al que la UI muestra. Usuario confundido al comparar UI vs Excel descargado.
🟡 TOLERANCIA DUPLICADA: igual que pestania_land — usa 'diferencia &gt; 1' en lugar del 0.01 del config.yaml.
🟡 bus_nuevos depende de que procesar_outbound lo populé; si no, st.warning '🆕 BUs nuevos' nunca aparece.
🟡 La tabla manual NO valida que el formato del Reference matchee el patrón del archivo — usuario puede escribir 'FG-R-2209.M46/M45' y el sistema NO matchea (el archivo tiene 'FG-R-2209LE26.M46/M45').
🟡 Si df_costos_manual_valido es True pero df_costos_archivo también tiene datos, la UI elige el manual SILENCIOSAMENTE sin avisar que el archivo embebido se ignoró.
🟡 Sin warning si Reference manual no aparece en el archivo (typo del usuario).</t>
  </si>
  <si>
    <t>← streamlit, pandas, datetime
← src/ui/estado.Estado (COSTO_OUTBOUND, COSTOS_OUTBOUND_VARIABLES, DF_OUTBOUND_RAW, RES_OUTBOUND, NOMBRE_ARCH_OUTBOUND)
← src/ingesta.cargar_outbound (retorna TUPLA df + df_costos_archivo)
← src/ingesta/excepciones (4 excepciones)
← src/procesamiento/procesar_outbound
← src/salida.generar_excel_solo_outbound → hoja_outbound.py (CON BUG DE $500)
→ Llamada desde src/ui/app.py o el orquestador UI
Única pestaña que USA tabla de costos variables — feature crítica del Outbound</t>
  </si>
  <si>
    <t>1. 🔴 PRIORIDAD: Validar que format='percent' funcione con escala 0-100. Si no, cambiar a format='%.2f%%' o normalizar el dato.
2. 🔴 Validar Reference manuales contra los del archivo: mostrar warning si hay típos.
3. 🔴 Usar tolerancia del config.yaml (0.01).
4. 🟡 Agregar botón 'Cargar costos del archivo a la tabla manual' (precargar para editar).
5. 🟡 Mostrar warning si manual sobrescribe archivo: 'X costos del archivo fueron reemplazados por tu tabla manual'.
6. 🟡 Permitir override del costo default desde la UI.
7. 🟡 Mostrar resumen de cuántas refs del manual SÍ se aplicaron y cuántas no (typos del usuario).
8. 💡 Persistir tabla manual en session_state cross-archivo (si recarga el mismo Excel, mantener overrides).
9. 💡 Auto-detectar formato del Reference y validar matchear contra patrón regex.
10. 💡 Botón 'Exportar tabla manual a CSV' para que el usuario la guarde fuera de Streamlit.</t>
  </si>
  <si>
    <t>src/ui/pestanias/pestania_sea.py</t>
  </si>
  <si>
    <t>Pestaña UI de Streamlit para SEA. Sube archivo, soporta INGRESO MANUAL de contenedores CAPEX (data_editor con 'Container Number' + 'Item Code' requeridos), procesa vía procesar_sea() inyectando capex_list, muestra métricas (Contenedores/Items/CAPEX/Total), validación, BUs especiales/nuevos, resumen por BU (con %PCT Total y %PCT Summary diferenciados), tabla de contenedores, sección Miscelaneus, detalle, ISSUES de CAPEX (conflictos/no_encontrados) y descarga. Captura las 4 excepciones.</t>
  </si>
  <si>
    <t>§5 SEA ($2500/Container) | §5 CAPEX manual (Peso=0, %Pond=100%, Cost=$2500) | §3 Miscelaneus (auditoría visible) | §8 Exclusión Capex/MCS del %PCT Summary | §9 Validación de cuadre | §2 BUs dinámicos | UI para excepciones | UI única consumidora de capex_handler.py</t>
  </si>
  <si>
    <t>• ES LA ÚNICA UI que conecta capex_handler.py — finalmente el módulo se invoca
• data_editor para CAPEX manual con required=True en ambas columnas — guardrails fuertes
• st.warning explícito explica la regla CAPEX (absorbe 100% del costo)
• Doble columna %PCT visible: '%PCT (Total)' y '%PCT (Summary)' — usuario distingue claramente cuál se usa en el Summary final
• st.caption explica la regla 'Capex y MCS aparecen pero quedan excluidos del %PCT del Summary' — transparencia con el usuario
• ISSUES de CAPEX visibles: conflicto_con_reporte (rojo) y contenedores_no_encontrados (amarillo) — auditoría completa
• Limpia entradas vacías de CAPEX antes de enviar (filter por get('Container Number') and get('Item Code'))
• Captura las 4 excepciones con mensajes específicos
• Detección dinámica de columnas Miscelaneus (Container Number Y Container, Item Code Y Item)
• col_btn1, col_btn2 preparado para añadir botones adicionales en el futuro (extensibilidad)</t>
  </si>
  <si>
    <t>• col_btn2 declarado pero NO USADO (solo col_btn1 tiene contenido) — código preparado pero incompleto
• ¿La data_editor de CAPEX persiste entre cambios de archivo? Si usuario carga otro Sea, la lista anterior podría aplicarse erróneamente
• column_config de CAPEX manual NO incluye campo opcional 'BU' (el handler asume siempre 'Capex' — si el usuario quiere clasificarlo distinto, no puede)
• La validación de issues_capex se hace EN procesar_sea (handler), pero la UI las muestra al final — usuario debe scrollear para verlas
• ¿Qué pasa si el usuario ingresa Container que SÍ está en el reporte pero con Item Code que NO es CAPEX? Se sobreescribe silenciosamente (handler permisivo documentado en análisis previo)
• Sin opción para EXCLUIR un contenedor del reporte (caso inverso al CAPEX: contenedores embebidos que NO deben aparecer en este reporte)</t>
  </si>
  <si>
    <t>🔴 ESTADO.CAPEX_MANUAL persiste cross-archivo: si usuario carga 'REPORTE MAYO.xlsx' con CAPEX A, B, C, luego carga 'REPORTE JUNIO.xlsx', los CAPEX A, B, C siguen en la tabla → se inyectan al df de junio INCORRECTAMENTE.
🔴 ISSUES de CAPEX se muestran AL FINAL de la sección Resultados — usuario podría no scrollear hasta allí. Deberían mostrarse ARRIBA junto a las métricas principales (sobre el resumen).
🔴 EL BUG TRANSVERSAL: hoja_sea.py tiene triple columna duplicada (Amount/Total Cost/Cost) y no usa BU Final. El Excel descargado vía generar_excel_solo_sea TIENE estos bugs documentados.
🟡 TOLERANCIA DUPLICADA: 'diferencia &gt; 1' en vez del 0.01 del config.yaml.
🟡 SIN VALIDACIÓN PRE-ENVÍO: si usuario escribe Container='AMFU4236030' pero el item code='1234' (sin CAPEX), capex_handler lo registra como Capex con warning — UI no avisa.
🟡 Sin validación de duplicados en la tabla manual: si usuario escribe el mismo Container 2 veces con item codes distintos, ambos se inyectan → contenedor recibe $5000 en vez de $2500.
🟡 column_config de '%PCT' en resumen_bu acepta 4 nombres distintos (%PCT, %PCT (Total), %PCT (Summary)) — si el df tiene 2 columnas %PCT (Total Y Summary), ambas se formatean con %.2f%% sin distinción visual extra.
🟡 capex_editado se sobrescribe en session_state con CADA renderizado de la pestaña — si st.rerun() corre antes de que el usuario termine de editar, pierde los cambios.</t>
  </si>
  <si>
    <t>← streamlit, pandas, datetime
← src/ui/estado.Estado (COSTO_SEA, CAPEX_MANUAL, DF_SEA_RAW, RES_SEA, NOMBRE_ARCH_SEA)
← src/ingesta.cargar_sea
← src/ingesta/excepciones (4 excepciones)
← src/procesamiento/procesar_sea (inyecta contenedores_capex)
← src/procesamiento/capex_handler (INDIRECTO via procesar_sea — única vía de invocación)
← src/salida.generar_excel_solo_sea → hoja_sea.py (con bugs documentados)
→ Llamada desde src/ui/app.py
ÚNICA pestaña que invoca capex_handler — si esta pestaña no se usa, todo CAPEX queda como código muerto</t>
  </si>
  <si>
    <t>1. 🔴 PRIORIDAD: Auto-limpiar Estado.CAPEX_MANUAL al cambiar de archivo (hash del nombre del archivo o del contenido).
2. 🔴 Mover ISSUES de CAPEX (conflicto + no_encontrados) ARRIBA de las métricas — son críticos para decisión 'usar este reporte sí/no'.
3. 🔴 Validar Item Code contiene 'CAPEX' EN LA UI antes de enviar (no solo en el handler).
4. 🔴 Detectar duplicados de Container en la tabla manual antes de enviar.
5. 🔴 Usar tolerancia del config.yaml (0.01).
6. 🟡 Permitir BU opcional en la tabla manual (default 'Capex' pero editable).
7. 🟡 Validar que Container NO esté ya en el archivo antes de inyectar.
8. 🟡 Agregar botón 'Limpiar CAPEX manual' explícito.
9. 💡 Persistir tabla CAPEX cross-sesión con un export/import a CSV.
10. 💡 Mostrar contador 'X items CAPEX se inyectarán al procesar' en vivo bajo el data_editor.</t>
  </si>
  <si>
    <t>src/utils/logger.py</t>
  </si>
  <si>
    <t>Sistema de logging centralizado. Una sola función configurar_logger(nombre) que crea un logger con: (1) salida a archivo con rotación (RotatingFileHandler, 10MB×5 backups), (2) salida a consola con colores (colorlog: cyan/green/yellow/red según nivel), (3) lee TODOS sus parámetros desde config.yaml (nivel, archivo, formato, rotacion_mb, backup_count). Guard contra duplicación de handlers. Es invocado por ~15 módulos del proyecto.</t>
  </si>
  <si>
    <t>§9 Validaciones (soporta logging del reporte) | §12 Problemas Frecuentes (logs para diagnóstico) | Infraestructura transversal — no implementa regla de negocio directa</t>
  </si>
  <si>
    <t>• 🏆 USA config_loader CORRECTAMENTE — segundo módulo del proyecto (junto a regla_miscelaneus) que respeta la promesa YAML
• Guard 'if logger.handlers' previene duplicación de handlers en re-llamadas (crítico para Streamlit que re-ejecuta el script)
• RotatingFileHandler con maxBytes + backupCount → evita logs que explotan disco
• colorlog para consola: DEBUG=cyan, INFO=green, WARNING=yellow, ERROR=red, CRITICAL=red,bg_white — UX excelente para debugging local
• Path(archivo).parent.mkdir(parents=True, exist_ok=True) → crea directorio logs/ automáticamente si no existe
• encoding='utf-8' explícito → soporta emojis (🚢🚚📤) que usan todos los módulos en los logs
• Defaults sensatos en cada get() del config (nivel=INFO, archivo=./logs/app.log, rotacion=10MB, backups=5)
• Patrón configurar_logger(nombre) permite namespacing por módulo: 'lector_excel', 'procesar_sea', 'validador', etc.
• Sin dependencias del proyecto excepto config_loader → módulo hoja casi perfecto</t>
  </si>
  <si>
    <t>• ¿De qué módulos viene este patrón? configurar_logger es invocado en TODOS los módulos vistos (logger = configurar_logger('xxx')) — convención correcta pero no documentada formalmente
• logging.nivel default 'INFO' es string, pero logger.setLevel acepta string Y int. Streamlit no avisa si está mal escrito ('Info' minúscula no falla pero degrada al default WARNING de root)
• 'formato' del YAML se inyecta tal cual en logging.Formatter — si el YAML tiene un formato inválido, falla con LogRecord exception oscura
• colorlog es dependencia EXTERNA NO listada en los módulos vistos hasta ahora — ¿está en requirements.txt? Si falta, todo el sistema explota al primer import
• ¿Por qué un solo archivo de log para TODOS los módulos? 15 módulos escribiendo al mismo app.log concurrentemente puede causar interleaving en Streamlit
• No hay logger.propagate = False — los handlers podrían DUPLICAR mensajes si el root logger también tiene handlers
• Si dos módulos llaman configurar_logger('procesar_sea') y configurar_logger('procesar_outbound'), comparten archivo pero NO handler (cada uno tiene los suyos) — escritura concurrente al mismo archivo sin lock</t>
  </si>
  <si>
    <t>🔴 SIN MANEJO DE EXCEPCIÓN DEL CONFIG: si get_config() falla (YAML corrupto/ausente), TODO el sistema queda sin logger → todos los módulos crashean al primer logger.info() porque configurar_logger nunca retorna. Bug crítico: el sistema de logging depende del sistema de config, sin fallback.
🔴 'formato' SIN DEFAULT en config.get('logging.formato') → si el YAML omite logging.formato, retorna None → logging.Formatter(None) usa el formato default de Python (sin timestamp/nivel) → logs degradados silenciosamente.
🔴 nivel del CONFIG no validado: si YAML dice nivel='DEBG' (typo), logger.setLevel('DEBG') lanza ValueError CRUDA al primer import → cascada de crashes en TODOS los módulos al inicializar.
🔴 RACE CONDITION en Streamlit: Streamlit usa threading interno. RotatingFileHandler NO es thread-safe para rotación (lock por handler, no cross-handler). Si dos hilos llaman a logger.info() durante una rotación, riesgo de logs perdidos o archivos corruptos.
🔴 logger.propagate por default es True → si el root logger tiene handlers configurados (cosa que Streamlit hace), los mensajes salen DOS VECES (uno por handler del módulo, uno por handler del root). Bug invisible en producción.
🟡 Falta logger.addFilter para excluir mensajes ruidosos de librerías externas (urllib3, openpyxl) — los logs se llenan de basura de pandas/openpyxl en modo DEBUG.
🟡 RotatingFileHandler abre el archivo SIEMPRE en modo 'a' (append). Si 2 instancias de Streamlit corren simultáneamente (deploy + dev), corrompen el mismo log.
🟡 No expone logger.handlers.clear() público para tests — un test que invoque configurar_logger() 100 veces deja handlers acumulados en logs anteriores.
🟡 colorlog import a nivel módulo → si la dep no está instalada, ImportError bloquea el arranque ANTES de poder loguear el error. Sin fallback graceful a logging.StreamHandler básico.</t>
  </si>
  <si>
    <t>← src/utils/config_loader.get_config (CRÍTICA — sin esto el logger falla)
← logging (stdlib)
← logging.handlers.RotatingFileHandler (stdlib)
← pathlib.Path (stdlib)
← colorlog (DEPENDENCIA EXTERNA — debe estar en requirements.txt)
→ Importado por TODOS los módulos del proyecto (15+ confirmados):
   detector_header, detector_hojas, lector_excel, normalizador, mapeo_columnas,
   procesar_land, procesar_outbound, procesar_sea, generar_summary, capex_handler,
   regla_miscelaneus, inferencia_bu, motor_reglas, catalogo_manager,
   validador, reglas_validacion, generar_excel
→ Indirectamente: TODA la UI (a través de los módulos anteriores)</t>
  </si>
  <si>
    <t>1. 🔴 PRIORIDAD: Agregar try/except en configurar_logger: si get_config() falla, caer a un logger MÍNIMO con StreamHandler básico + warning a stderr. NUNCA dejar al sistema sin logger.
2. 🔴 PRIORIDAD: Agregar default explícito para 'formato': formato = config.get('logging.formato', '%(asctime)s - %(name)s - %(levelname)s - %(message)s'). Hoy si falta en YAML, logs degradados sin alerta.
3. 🔴 Validar 'nivel' antes de setLevel: nivel = nivel.upper() if isinstance(nivel, str) else nivel; if nivel not in ('DEBUG','INFO','WARNING','ERROR','CRITICAL'): warn y fallback a INFO.
4. 🔴 Agregar logger.propagate = False antes de retornar — previene duplicación con root logger de Streamlit.
5. 🟡 Verificar que colorlog está en requirements.txt. Si no, agregarlo. Si por filosofía no se quiere dep externa, agregar fallback: try: import colorlog except ImportError: logger.addHandler(logging.StreamHandler()).
6. 🟡 Filtrar ruido de pandas/openpyxl: logging.getLogger('openpyxl').setLevel(logging.WARNING) al inicio. Reduce contaminación del log.
7. 🟡 Para cada módulo, agregar logger por __name__: logger = configurar_logger(__name__) en lugar de strings ad-hoc — namespace jerárquico estándar de Python.
8. 🟡 Considerar separar logs por nivel: logs/app.log (todo) + logs/errors.log (solo ERROR+). Facilita auditoría post-mortem.
9. 💡 Agregar context manager para temporary log level: with elevar_nivel_log('procesar_sea', DEBUG): ... — útil para debug puntual sin tocar YAML.
10. 💡 Agregar handler estructurado (JSON) opcional: facilita ingestión a sistemas de monitoreo (Datadog, Splunk) en producción.
11. 💡 Test unitario simple: configurar_logger('test'); logger.info('hola'); verificar que app.log contiene 'hola'. Detecta regresiones por cambios en colorlog/Python.</t>
  </si>
  <si>
    <t>Mapeo entre nombres de columnas del archivo Excel y nombres lógicos del sistema. Define alias por operación para que el código use nombres estables aunque el Excel tenga variantes.</t>
  </si>
  <si>
    <t>§5/§6 Tolerancia a variantes de nombres | §11 Mapeo dinámico de headers</t>
  </si>
  <si>
    <t>• Concepto correcto: aliases por operación
• Permite mantener nombres lógicos en el código</t>
  </si>
  <si>
    <t>• Documentación interna escasa
• Sin tests cubriendo las variantes en producción
• No respeta config.yaml — usa dicts hardcoded</t>
  </si>
  <si>
    <t>🔴 CAUSA RAÍZ probable del bug de $500: si headers reales están en BG4:BO4 pero el mapeo apunta a B-AR, el lector trae datos crudos. Outbound multiplica con tabla equivocada.
🔴 Mapeo NO leído desde config.yaml — viola la promesa SSOT
🔴 No valida columnas requeridas antes de retornar</t>
  </si>
  <si>
    <t>← Diccionarios hardcoded
→ src/ingesta/lector_excel.py
→ Toda la cadena downstream</t>
  </si>
  <si>
    <t>1. 🔴 Migrar todos los alias a config.yaml ('mapeo_columnas')
2. 🔴 Validar contra Excel real cuál bloque leer en Outbound
3. 🟡 Tests con headers reales</t>
  </si>
  <si>
    <t>Normaliza valores de celdas: trim, upper, manejo de NaN. Funciones puras invocables sobre series pandas.</t>
  </si>
  <si>
    <t>§2 Normalización para detección dinámica | §3/§4 Comparaciones case-insensitive</t>
  </si>
  <si>
    <t>• Funciones puras sin estado
• Defensivo con NaN/None
• Vectorizable con pandas
• Sin dependencias externas</t>
  </si>
  <si>
    <t>• Sin tests visibles
• ¿Maneja tildes/Unicode?
• Sin docs sobre cuándo usar cada función</t>
  </si>
  <si>
    <t>🟡 Uso INCONSISTENTE: algunos módulos lo usan (inferencia_bu, motor_reglas), otros NO (procesar_*, lector_excel). 'M19 ' y 'M19' coexisten en pipeline</t>
  </si>
  <si>
    <t>← pandas, built-ins
→ Debería usarse por TODOS los módulos que comparen strings</t>
  </si>
  <si>
    <t>1. 🟡 Obligatorio en todo punto de entrada
2. 🟡 Agregar manejo Unicode
3. 💡 Tests cubriendo NaN/None/vacío/whitespace</t>
  </si>
  <si>
    <t>src/salida/estilos.py</t>
  </si>
  <si>
    <t>Módulo de utilidades visuales para Excel de salida (openpyxl). Centraliza paleta, fuentes, rellenos, alineaciones, bordes, formatos y anchos. Expone 4 helpers.</t>
  </si>
  <si>
    <t>Soporte visual para todas las hojas de salida — no implementa regla de negocio directa</t>
  </si>
  <si>
    <t>• SSOT para estilos
• Paleta documentada con propósito
• Diccionarios planos
• Formatos numéricos correctos
• Categorías por dominio (capex, excluido)
• Sin dependencias cíclicas</t>
  </si>
  <si>
    <t>• NamedStyle importado pero NUNCA usado
• Objetos openpyxl mutables y compartidos
• ajustar_ancho_columnas 1-indexed (pandas/openpyxl son 0-indexed)
• Sin estilos jerárquicos de totales
• Falta estilo para 'BU nuevo'
• Falta rojo de alarma para validaciones críticas</t>
  </si>
  <si>
    <t>🟡 NamedStyle no usado → archivo crece 5-10× innecesariamente para 10000 filas (PRORRATEO_IMPO)
🟡 Sin reset de fill cuando aplicar_estilo_celda recibe tipo_relleno=None</t>
  </si>
  <si>
    <t>← openpyxl.styles
→ TODAS las hojas de src/salida/</t>
  </si>
  <si>
    <t>1. 🟡 Usar NamedStyle para reducir tamaño .xlsx
2. 🟡 3 niveles de total (subtotal/total/granTotal)
3. 🟡 Estilo dedicado para 'BU nuevo'
4. 🟡 Rojo intenso para validación crítica
5. 💡 Documentar 1-indexed</t>
  </si>
  <si>
    <t>src/salida/generar_excel.py</t>
  </si>
  <si>
    <t>Orquestador del Excel de salida. Recibe los 4 Resultado* + reporte de validación + costos, construye el workbook llamando a 6 builders. Maneja BytesIO + opcionalmente disco. Bonus: 3 funciones de exportación individual.</t>
  </si>
  <si>
    <t>§1 Excel con fórmulas reales (PROMETIDO, NO cumplido) | §7 Costos default | §11 Hojas en orden lógico</t>
  </si>
  <si>
    <t>• Patrón orquestación limpio: solo coordina
• Retorna BytesIO → perfecto para Streamlit
• Doble destino opcional
• buffer.seek(0) post-save
• Metadata del workbook
• Logging por etapa
• 3 funciones de export individual</t>
  </si>
  <si>
    <t>• Comentario sobre 'orden importante para fórmulas' es FALSO en openpyxl
• Sin manejo excepciones por hoja
• costos hardcoded
• creator='v1.0' hardcoded
• 3 funciones individuales duplican lógica</t>
  </si>
  <si>
    <t>🔴 construir_hoja_summary recibe SOLO bus_orden, no los Resultado* → Summary no puede generar fórmulas SUMIFS reales con seguridad
🔴 No propaga resultado_summary.advertencias
🟡 Sin validación de input: crashea con AttributeError si Resultado=None</t>
  </si>
  <si>
    <t>← openpyxl, BytesIO
← src/salida/hoja_* (6 builders)
→ src/ui/pestania_summary.py</t>
  </si>
  <si>
    <t>1. 🔴 Pasar Resultado* completos a construir_hoja_summary
2. 🔴 Leer costos desde config.yaml
3. 🟡 try/except por hoja
4. 🟡 version desde YAML
5. 🟡 Unificar las 3 funciones individuales</t>
  </si>
  <si>
    <t>src/salida/hoja_land.py</t>
  </si>
  <si>
    <t>Constructor de la hoja Land del Excel de salida. 2 secciones: Resumen por BU (valores hardcoded) y Detalle por item (con fórmulas SUMIFS, IFERROR).</t>
  </si>
  <si>
    <t>§1 Excel auditable | §6 Land (estructura) | §3 Estilo CAPEX</t>
  </si>
  <si>
    <t>• Detalle SÍ usa fórmulas reales
• Doble columna E/F intencional para lookups
• Colores de filas alternas
• Congelar paneles en B2
• Anchos definidos
• Formato numérico correcto</t>
  </si>
  <si>
    <t>• costo_fijo=1200 hardcoded
• idx % 2 con índice df, no Excel
• Headers resumen sin # Waybills ni Es Especial
• Sin freezing horizontal del Detalle</t>
  </si>
  <si>
    <t>🔴 RESUMEN HARDCODED (no fórmulas) — contradice docstring
🔴 NO USA 'BU Final' — items Miscelaneus aparecen con BU original
🔴 'No. Parte Prov.' hardcoded (alias legacy)
🔴 fila_detalle frágil si df_detalle=None
🔴 congelar_paneles muestra headers del Resumen al scroll del Detalle
🔴 NO marca conservación</t>
  </si>
  <si>
    <t>← openpyxl, src/salida/estilos
→ src/salida/generar_excel.py</t>
  </si>
  <si>
    <t>1. 🔴 Sección Resumen con =SUMIFS referenciando Detalle
2. 🔴 Usar 'BU Final'
3. 🔴 Celda de validación de conservación
4. 🔴 Usar 'Item' lógico
5. 🟡 Costo fijo desde YAML
6. 🟡 Congelar paneles separados</t>
  </si>
  <si>
    <t>src/salida/hoja_outbound.py</t>
  </si>
  <si>
    <t>Constructor de la hoja Outbound. Sección 1 - Resumen (hardcoded) + Sección 2 - Detalle (con fórmulas).</t>
  </si>
  <si>
    <t>§1 Excel auditable | §4 Outbound | §7 Costos variables (NO respetados)</t>
  </si>
  <si>
    <t>• Detalle con fórmulas reales
• Comentarios indican intent
• Merge cells del título
• Headers descriptivos
• Anchos sensatos</t>
  </si>
  <si>
    <t>• 'BU (Inferido)' NO existe en df → columna B VACÍA siempre
• Qty Pzas doble check redundante
• idx % 2 con índice df
• Headers incluyen 'Calc Total' duplicado
• congelar_paneles mal aplicado</t>
  </si>
  <si>
    <t>🔴🔴🔴 POSIBLE CAUSA DEL BUG DE $500: línea `ws.cell(row=fila, column=8, value=costo_fijo)` IGNORA col 'Fix Cost' del df. Si waybill tenía $2000 calculado, Excel muestra $1500. Excel recalcula =G*H con $1500 → diferencia visible.
🔴 Resumen HARDCODED
🔴 NO USA 'BU Final'
🔴 NO marca conservación</t>
  </si>
  <si>
    <t>1. 🔴🔴 CRÍTICO (1 línea): `value=float(row.get('Fix Cost', costo_fijo))` → resuelve bug de $500
2. 🔴 Resumen con SUMIFS
3. 🔴 Usar 'BU Final', eliminar 'BU (Inferido)'
4. 🔴 Celda de conservación
5. 🟡 Eliminar columna duplicada 'Calc Total'</t>
  </si>
  <si>
    <t>src/salida/hoja_reglas.py</t>
  </si>
  <si>
    <t>Constructor de la hoja REGLAS_PROCESO. Documentación visible al usuario. Renderiza REGLAS_TEXTO hardcoded con 4 estilos.</t>
  </si>
  <si>
    <t>Documentación de §1-§11 (versión reducida)</t>
  </si>
  <si>
    <t>• Estructura simple (lista de tuplas)
• Categorizada por flujo
• Iconografía consistente
• Merge cells de título/subtítulos
• REGLAS_TEXTO separado de render</t>
  </si>
  <si>
    <t>• Hardcoded en español
• Sin versión del documento
• Sin fecha de generación
• Sin wrap_text → líneas largas se cortan
• Sin hipervínculos</t>
  </si>
  <si>
    <t>🔴 DOCUMENTACIÓN HARDCODED — SSOT #4. Original tiene 13 secciones (200+ líneas), este genera ~30
🔴 CONTRADICE reglas reales: 'BU LAND no se infiere' (falso), 'Segundo BU' incompleto
🔴 NO menciona Miscelaneus (regla mejor implementada)
🔴 NO menciona MAESTRO_BU_SEA ni costos variables ni 11 validaciones</t>
  </si>
  <si>
    <t>1. 🔴 Reescribir REGLAS_TEXTO completo (Miscelaneus, MAESTRO, validaciones, costos variables)
2. 🟡 REFACTOR: leer desde config.yaml o reglas.md
3. 🟡 Versión + fecha
4. 🟡 Hipervínculos</t>
  </si>
  <si>
    <t>src/salida/hoja_sea.py</t>
  </si>
  <si>
    <t>Constructor de la hoja Sea. Resumen con estilo Capex/MCS + Detalle con fórmulas para items normales y valores fijos para CAPEX.</t>
  </si>
  <si>
    <t>§1 Excel auditable | §5 Sea | §3 Capex peso=0/pct=100% | §8 Exclusión Capex/MCS</t>
  </si>
  <si>
    <t>• Distingue Capex/MCS visualmente
• CAPEX en Detalle recibe Peso=0, %Pond=100%, Cost=$2500 SIN fórmula (evita div/0)
• Detalle normal con fórmulas reales
• Headers descriptivos
• 'Es CAPEX' SÍ/NO</t>
  </si>
  <si>
    <t>• costo_fijo=2500 default contradice YAML
• idx % 2 con índice df
• congelar_paneles mal aplicado
• 'Es CAPEX' como texto (no booleano)
• Sin tag de CAPEX manual vs reporte</t>
  </si>
  <si>
    <t>🔴 TRIPLE columna duplicada E=F=G (Amount, Total Cost, Cost) — todas iguales
🔴 NO usa 'BU Final'
🔴 Nombres LEGACY hardcoded — si cargar_sea cambia, VACÍO
🔴 NO marca conservación
🔴 costo_fijo en string de fórmula → editar requiere editar TODAS las filas
🔴 No respeta CAPEX con costo variable</t>
  </si>
  <si>
    <t>1. 🔴 Eliminar columnas duplicadas E=F=G
2. 🔴 Usar 'BU Final' y nombres lógicos
3. 🔴 Costo en celda fija $K$1
4. 🔴 Celda de conservación
5. 🟡 'Es CAPEX' booleano
6. 🟡 Tag CAPEX manual vs reporte</t>
  </si>
  <si>
    <t>src/salida/hoja_summary.py</t>
  </si>
  <si>
    <t>Constructor de la hoja Summary. Replica B3:H12 del original. USA fórmulas XLOOKUP y SUMIFS reales referenciando Outbound/Sea/Land. 2 tablas + GRAN TOTAL + caption.</t>
  </si>
  <si>
    <t>§1 Excel auditable con FÓRMULAS REALES | §8 Exclusión Capex/MCS | §2 BUs dinámicos</t>
  </si>
  <si>
    <t>• 🏆 ¡PRIMERA hoja con FÓRMULAS REALES! Cumple promesa del docstring
• IFERROR defensivo
• GRAN TOTAL con SUM por columna
• Distinción visual Capex/MCS
• BUs DINÁMICOS
• Anchos dinámicos por BUs
• Caption explica reglas</t>
  </si>
  <si>
    <t>• XLOOKUP solo Excel 365/2021+ → Excel 2019 muestra #NAME?
• B1:H1 hardcoded — si 12 BUs, título no cubre tabla
• Caption miente: dice 'solo Sea' pero excluye en las 3
• Sin congelar_paneles
• Sin validación cruzada Python↔Excel
• bus_orden no validado contra duplicados</t>
  </si>
  <si>
    <t>🔴🔴🔴 SUMA DOBLE (Resumen + Detalle): =SUM(Outbound!F:F) mezcla col F del Resumen (moneda) con col F del Detalle (peso). SUMA MEZCLA DE TIPOS. GRAN TOTAL puede ser 2× el correcto. Otra cara del bug de $500.
🔴 XLOOKUP en TODA columna A — funciona por casualidad (primer match)
🔴 Acoplamiento frágil: si se mueve columna, Summary se rompe SIN ERROR
🔴 Excel 2019 → todo #NAME?</t>
  </si>
  <si>
    <t>1. 🔴 SEPARAR rangos: =SUM(Sea!G2:G{ultima_fila_resumen})
2. 🔴 Constante COLUMNAS_RESUMEN compartida (SSOT)
3. 🔴 Fallback INDEX/MATCH para Excel 2019
4. 🔴 Fila de validación cruzada con gran_total_usd
5. 🟡 Corregir caption</t>
  </si>
  <si>
    <t>src/salida/hoja_validaciones.py</t>
  </si>
  <si>
    <t>Constructor de la hoja Validaciones. Renderiza el ReporteValidacion: resumen ejecutivo + tabla de hallazgos con severidad/operación/regla/mensaje/acción.</t>
  </si>
  <si>
    <t>§9 Validaciones automáticas (reporte) | §1 Auditabilidad</t>
  </si>
  <si>
    <t>• Defensivo si reporte=None
• Resumen ejecutivo arriba
• Colores semánticos por severidad
• '¿Puede exportar?' SÍ/NO claro
• Anchos generosos para Mensaje (60) y Acción (50)
• Alineación izquierda en hallazgos</t>
  </si>
  <si>
    <t>• Acoplamiento con módulo no visto al momento
• ALINEACIONES inconsistentes
• Fila B8 sin formato bold (¡la celda MÁS crítica!)
• Sin congelar_paneles si 50 hallazgos
• fila_inicio=10 hardcoded
• No agrupa por operación
• Sin wrap_text en mensaje</t>
  </si>
  <si>
    <t>🔴 NO HAY VALIDACIÓN FORMULAICA en Excel — muestra RESULTADO de Python pero NO replica. Si usuario edita valor, NO se actualiza. Bug de $500 listado es ESTÁTICO
🔴 Severidades hardcoded — INFO cae en fila_normal sin color
🔴 accion_sugerida or '' silencia info importante
🔴 No hay link a hojas con problemas
🔴 Sin autofiltro de Excel</t>
  </si>
  <si>
    <t>1. 🔴 Agregar fórmulas vivas en Excel: =IF(ABS(SUM(...)&lt;0.01,'OK','Diferencia')
2. 🔴 Manejar INFO con color azul
3. 🔴 Hipervínculos a hojas
4. 🔴 Activar autofiltro
5. 🟡 Congelar paneles
6. 🟡 Conteo por operación</t>
  </si>
  <si>
    <t>src/ui/pestanias/pestania_summary.py</t>
  </si>
  <si>
    <t>Pestaña FINAL de la UI. Valida procesamiento, invoca generar_summary(), muestra 3 tablas + métricas, permite descargar Excel via generar_excel_completo. Única pestaña que conecta TODOS los Resultado* + ReporteValidacion.</t>
  </si>
  <si>
    <t>§1 Generación Excel consolidado | §8 Exclusión Capex/MCS | §2 BUs dinámicos | §11 Workflow</t>
  </si>
  <si>
    <t>• Guard todos_procesados() bloquea si faltan operaciones
• Workflow en 2 pasos claro
• excel_buffer persiste entre re-renders
• Workaround documentado para escala %PCT (×100)
• Caption Capex/MCS
• bus_pct dinámico (respeta §2)
• Costos desde session_state</t>
  </si>
  <si>
    <t>• column_config_consol mezcla matchers ambiguos (substring 'Monto' vs '%PCT')
• f-string sin .get() en gran_total_usd (crash si falta)
• Sin try/except en generar_*
• st.button sin debounce
• Sin mostrar archivos usados
• Sin decimales (pierde precisión)</t>
  </si>
  <si>
    <t>🔴🔴🔴 tabla_pct_mostrar × 100 CONFIRMA INCONSISTENCIA DE ESCALA: %PCT en 0-1 (Sea/Outbound) y 0-100 (Land). Land mostrará 4500% mientras Sea/Outbound muestran 45%. Bug visual gemelo del bug de $500
🔴 Botón 'Generar Excel' SIN INVALIDACIÓN del buffer previo
🔴 reporte_validacion NUNCA se popula → hoja_validaciones siempre placeholder vacío. CONFIRMA hipótesis #27
🔴 No valida gran_total_usd ≈ suma esperada — bug de $500 no se ve</t>
  </si>
  <si>
    <t>← streamlit, pandas
← src/ui/estado, src/procesamiento/generar_summary, src/salida/generar_excel_completo</t>
  </si>
  <si>
    <t>1. 🔴🔴 CRÍTICO: arreglar escala %PCT en procesar_land (devolver 0-1)
2. 🔴 Invalidar excel_buffer cuando cambia RES_*
3. 🔴 Auto-ejecutar validar_todo() y bloquear si puede_exportar=False
4. 🔴 Widget 'esperado vs calculado' antes de descarga
5. 🟡 try/except
6. 🟡 Mostrar archivos usados</t>
  </si>
  <si>
    <t>src/ui/pestanias/pestania_validaciones.py</t>
  </si>
  <si>
    <t>Pestaña que ejecuta validar_todo() y muestra el ReporteValidacion: banner global, 4 métricas, filtros por severidad/operación, tabla de hallazgos. Única conexión UI con las 10 reglas.</t>
  </si>
  <si>
    <t>§9 Validaciones automáticas (UI) — 10 reglas (debería ser 11)</t>
  </si>
  <si>
    <t>• Banner global con código de color
• Bloqueo explícito si puede_exportar=False
• 2 filtros combinables
• Defaults inteligentes (oculta OK/INFO)
• hallazgo.to_dict() — buen diseño</t>
  </si>
  <si>
    <t>• hay_datos = any([...get()]) — bool() de Resultado vacío es TRUE
• Severidad importada pero NUNCA usada
• filtro_op hardcoded
• Sin export del reporte
• df_mostrar.columns con header vacío
• Sin agrupar por regla (50 fallos = 50 filas)
• Sin timestamp del reporte</t>
  </si>
  <si>
    <t>🔴 DOCSTRING dice '10 reglas' pero §9 pide 11. Falta UNA: probablemente validación cruzada Python↔Excel
🔴 Sin estado 'stale' — reporte previo (✅ OK) visible aunque datos cambien
🔴 Validar Excel descargado NO existe</t>
  </si>
  <si>
    <t>← streamlit, pandas
← src/validaciones, src/ui/estado</t>
  </si>
  <si>
    <t>1. 🔴 is not None en hay_datos
2. 🔴 Usar Severidad.OK.value
3. 🔴 Invalidar REPORTE_VAL cuando cambia RES_*
4. 🔴 Agregar regla #11 (conservación Python↔Excel)
5. 🟡 Descargar reporte CSV
6. 🟡 Agrupar por regla con contador
7. 🟡 Timestamp</t>
  </si>
  <si>
    <t>src/ui/app.py</t>
  </si>
  <si>
    <t>Entrypoint Streamlit. Configura página, CSS, monta 6 pestañas, header con fecha y sidebar. Último eslabón antes del usuario.</t>
  </si>
  <si>
    <t>§11 Workflow de usuario | §1 Auditabilidad visual</t>
  </si>
  <si>
    <t>• Estructura plana y legible
• CSS con identidad visual coherente
• Tabs en orden lógico
• menu_items limpio
• Footer con timestamp
• layout='wide'</t>
  </si>
  <si>
    <t>• Locale datetime hardcoded
• unsafe_allow_html=True (riesgo XSS futuro)
• Sin i18n
• Sin loading state global
• CSS sin caching
• 'v1.0' hardcoded
• Sin link ayuda</t>
  </si>
  <si>
    <t>🔴 inicializar_estado() LLAMADO 2 VECES. Confirmado en clase #35 que SÍ es idempotente, pero code smell
🔴 st.set_page_config() debe ser PRIMERA llamada — riesgo si inicializar_estado invoca st.* widgets
🔴 Sin verificación de prerequisitos cruzados — usuario salta pasos
🔴 Sin manejo global de excepciones — stack trace al usuario
🔴 Sin invalidación cascada
🟡 Orden: BUs entre OUTBOUND/SUMMARY interrumpe flujo. VALIDACIONES al final permite descargar sin validar</t>
  </si>
  <si>
    <t>← streamlit, datetime
← src/ui/estado, src/ui/sidebar, src/ui/pestanias (6 módulos)
→ Entrypoint del usuario</t>
  </si>
  <si>
    <t>1. 🔴 Eliminar una de las 2 llamadas a inicializar_estado()
2. 🔴 try/except global por pestaña
3. 🔴 Reordenar tabs: SEA·LAND·OUTBOUND·VALIDACIONES·BUs·SUMMARY
4. 🔴 Indicador progreso (✓/⬜)
5. 🟡 Leer version desde YAML
6. 🟡 Soporte i18n</t>
  </si>
  <si>
    <t>src/ui/estado.py</t>
  </si>
  <si>
    <t>Gestión centralizada de st.session_state. Clase Estado con 15 constantes, inicializar_estado() con guard, limpiar_todo(), helpers (estado_procesamiento, todos_procesados).</t>
  </si>
  <si>
    <t>§11 Manejo de estado UI | §7 Costos default</t>
  </si>
  <si>
    <t>• 🏆 IDEMPOTENTE — guard `if key not in session_state` correcto. Doble llamada en app.py inofensiva
• Patrón Estado.NOMBRE evita typos
• Defaults sensatos
• limpiar_todo() reset granular
• Helpers encapsulan lógica
• Sin dependencias externas</t>
  </si>
  <si>
    <t>• Sin invalidación cascada (RES_SEA cambia, RES_SUMMARY obsoleto)
• No hay Estado.TIMESTAMP_*
• pd.DataFrame se reconstruye en cada rerun
• dict no es TypedDict
• todos_procesados solo 3 de 5
• Sin validación de tipos
• Sin obtener_costo(op) unificado</t>
  </si>
  <si>
    <t>🔴 TYPO DE CONSTANTE DUPLICADA: NOMBRE_ARCH_OUTBOUND y NOMBRE_ARCH_OUT apuntan a la MISMA string. Funciona por coincidencia. Si renombran una, se desincroniza silenciosamente
🔴 Costos HARDCODED (2500/1200/1500) — contradice config.yaml
🔴 limpiar_todo NO limpia keys internas de Streamlit (editor_capex, editor_costos)
🔴 COSTO_* NO se resetea en limpiar_todo — inconsistencia con expectativa</t>
  </si>
  <si>
    <t>← streamlit, pandas
→ Usado por TODAS las pestañas + sidebar + app.py</t>
  </si>
  <si>
    <t>1. 🔴 Eliminar NOMBRE_ARCH_OUT (usar solo OUTBOUND)
2. 🔴 Leer COSTO_* desde config.yaml
3. 🔴 limpiar_todo() incluir keys de editors
4. 🔴 Decidir si limpiar_todo resetea costos
5. 🟡 Estado.TIMESTAMP_*
6. 🟡 Invalidación cascada
7. 🟡 TypedDict
8. 💡 obtener_costo(op)</t>
  </si>
  <si>
    <t>src/validaciones/reglas_validacion.py</t>
  </si>
  <si>
    <t>Define las 10 reglas individuales de validación. Funciones puras que retornan List[Hallazgo]. Cubre conservación, suma %Pond, pesos, duplicados, BU asignado, CAPEX cruzado, %PCT Summary, exclusión Capex/MCS, contenedores sin items, BUs conocidos.</t>
  </si>
  <si>
    <t>§9 Validaciones (10 de 11) | §1 Conservación | §3 CAPEX cruzado | §8 Exclusión Capex/MCS</t>
  </si>
  <si>
    <t>• 🏆 TOLERANCIA CORRECTA: 0.01 coincide con YAML. Primer módulo que respeta tolerancia oficial
• 3 niveles severidad (OK/WARNING/ERROR/CRITICAL)
• valor_esperado/obtenido — auditable
• accion_sugerida específica
• Funciones puras — testeables
• Defensivo
• Excluye CAPEX del check pesos
• Limita ejemplos a 5
• .abs() — tolerancia bidireccional</t>
  </si>
  <si>
    <t>• Hallazgo con campos opcionales — display inconsistente
• peso&lt;0 y peso==0 separados pero misma regla 3
• keep=False cuenta TODAS duplicadas (incluyendo original)
• Sin %Pond&gt;100% en CAPEX
• validar_bus_conocidos espera bus_detectados — funciona por casualidad
• Sin validación contenedores_no_encontrados
• Sin validación costos variables Outbound
• Sin manejo Miscelaneus</t>
  </si>
  <si>
    <t>🔴🔴 DOBLE FUENTE TOLERANCIA: este (0.01) vs procesar_land/outbound (1.0) vs pestanias (&gt;1). TRES fuentes con DOS valores
🔴 DOCSTRING dice '10 reglas' pero §9 pide 11. Falta validar patrón Reference (regex)
🔴 validar_suma_porcentajes ASUME ESCALA 0-1: si procesar_land devuelve 0-100, TODOS los grupos parecen inválidos → ERROR cuando todo bien en Land
🔴 validar_contenedores_sin_items MAL CONCEBIDA: .size()==0 imposible en groupby. ZOMBIE — siempre OK
🔴 validar_bu_asignado busca 'SINBU' pero genera 'SIN_BU' con underscore. Bug de matching
🔴 validar_exclusion_capex_mcs solo Sea</t>
  </si>
  <si>
    <t>← pandas, numpy
← src/validaciones/reporte_validacion
← src/utils/logger
→ src/validaciones/validador</t>
  </si>
  <si>
    <t>1. 🔴🔴 CRÍTICO: TOLERANCIA_COSTO desde config.yaml
2. 🔴 Agregar regla #11: patrón Reference (regex)
3. 🔴 validar_suma_porcentajes: normalizar O parametrizar escala
4. 🔴 Eliminar contenedores_sin_items zombie
5. 🔴 Cambiar 'SINBU' a 'SIN_BU'
6. 🔴 Parametrizar exclusion_capex_mcs por fila
7. 🟡 Validación Miscelaneus
8. 🟡 Validación MAESTRO_BU_SEA</t>
  </si>
  <si>
    <t>src/validaciones/reporte_validacion.py</t>
  </si>
  <si>
    <t>Estructuras de datos del subsistema validaciones: Enum Severidad (emoji/color), dataclass Hallazgo, ReporteValidacion (propiedades + métodos de filtrado). Base de tipos.</t>
  </si>
  <si>
    <t>§9 Estructura de reportes de validación</t>
  </si>
  <si>
    <t>• 🏆 Severidad(str, Enum) — diseño impecable. Mejor patrón Python posible
• @property emoji/color en Enum
• @property estado_global con cascada CRITICAL&gt;ERROR&gt;WARNING&gt;OK
• @property puede_exportar — propiedad calculada
• field(default_factory=...) correcto
• to_dict()/resumen() listos para Streamlit
• por_operacion/por_severidad — API limpia
• timestamp auto-popula</t>
  </si>
  <si>
    <t>• Optional[any] (lowercase) — bug typing. Debería ser typing.Any
• total_errores cuenta CRITICAL como ERROR
• Hallazgo.operacion string libre ('Sea' vs 'sea')
• timestamp en __init__ refleja creación, no última actualización
• Hallazgo no comparable/hashable (sin frozen=True)
• Sin agregar_lista()</t>
  </si>
  <si>
    <t>🔴 puede_exportar PERMITE WARNING: diferencia $0.50 cae en WARNING en validar_conservacion_costo, sistema permite descargar Excel con problema. Bug de $500 como WARNING NO bloquea
🔴 estado_global NO DIFERENCIA 'vacío' de 'OK': si hallazgos=[], devuelve OK + puede_exportar=True. Reporte sin validar dice ✅ OK
🔴 SISTEMA NO BLOQUEA EXPORTACIÓN: validación es OPT-IN. Usuario procesa → descarga sin validar → opcionalmente abre Validaciones → ve errores → YA descargó</t>
  </si>
  <si>
    <t>← dataclasses, typing, enum, datetime
→ src/validaciones/reglas_validacion, validador
→ src/ui/pestania_validaciones
→ src/salida/hoja_validaciones</t>
  </si>
  <si>
    <t>1. 🔴 Optional[any] → Optional[Any] (typing.Any)
2. 🔴 Severidad.SIN_DATOS para diferenciar 'no validado' de 'OK'
3. 🔴 puede_exportar con strict=True (WARNING bloquea)
4. 🔴 Auto-ejecutar validar_todo en pestania_summary ANTES de habilitar descarga
5. 🟡 total_criticos separado
6. 🟡 operacion como Enum
7. 🟡 frozen=True
8. 🟡 agregar_lista()</t>
  </si>
  <si>
    <t>src/validaciones/validador.py</t>
  </si>
  <si>
    <t>Orquestador de validaciones. Invoca las 10 reglas sobre los 4 Resultado*, agrega Hallazgos al ReporteValidacion, loguea resumen. Bonus: validar_operacion() para casos puntuales.</t>
  </si>
  <si>
    <t>§9 Orquestación de las 10 reglas | §1 Auditabilidad</t>
  </si>
  <si>
    <t>• Defensivo con None
• obtener_catalogo() UNA vez al inicio
• Logging por operación con emojis
• Resumen final completo en logs
• validar_operacion con **kwargs
• Estructura LEGIBLE
• for h in regla: reporte.agregar — robusto</t>
  </si>
  <si>
    <t>• Sin paralelización (lento para df grandes)
• Sin timeout por regla
• Sin try/except por regla — si una crashea, ABORTA todo
• validar_exclusion_capex_mcs recibe resultado_summary completo (acoplamiento)
• No registra reglas SALTADAS por columnas faltantes
• Sin métricas de cobertura
• validar_operacion no llama Summary</t>
  </si>
  <si>
    <t>🔴🔴 OUTBOUND USA 'BU (Inferido)' QUE NO EXISTE: validar_bu_asignado(columna_bu='BU (Inferido)'). procesar_outbound produce 'BU' y 'BU Final'. La validación NUNCA SE EJECUTA en Outbound 🔥
🔴 LAND/SEA usan nombres LEGACY ('No. Parte Prov.', 'Container Number', 'Item Code', 'Total Gross Weight') — si cambian, validaciones se saltan silenciosamente
🔴 bus_conocidos del CATÁLOGO VACÍO → hasta 15 falsos warnings
🔴 NO valida MISCELANEUS (regla más conectada, sin red de seguridad)
🔴 NO valida MAESTRO_BU_SEA / cobertura SIN_BU
🔴 NO valida costos VARIABLES Outbound
🔴 SUMMARY: solo 2 reglas. Falta gran_total_usd ≈ suma esperada (LA validación que detectaría bug de $500)</t>
  </si>
  <si>
    <t>← reglas_validacion (10 funciones)
← reporte_validacion
← src/reglas/catalogo_manager
← src/utils/logger
→ src/ui/pestania_validaciones</t>
  </si>
  <si>
    <t>1. 🔴🔴 CRÍTICO: 'BU (Inferido)' → 'BU Final' en Outbound
2. 🔴 Migrar TODOS los nombres legacy a lógicos
3. 🔴 Bootstrap del catálogo: evitar falsos warnings si vacío
4. 🔴 Agregar validación cruzada Summary: gran_total ≈ N×costo_fijo
5. 🔴 Validación Miscelaneus
6. 🔴 Validación costos variables Outbound
7. 🟡 try/except por regla
8. 🟡 Métricas cobertura
9. 🟡 Log reglas SALTADAS</t>
  </si>
  <si>
    <t>src/utils/config_loader.py</t>
  </si>
  <si>
    <t>Singleton para cargar config.yaml. Expone get_config() (con @lru_cache) y get('costos.outbound.valor') con notación de punto. ÚNICO punto de acceso al YAML en todo el proyecto.</t>
  </si>
  <si>
    <t>§7 Configuración externalizada | §11 SSOT (promesa, no cumplida)</t>
  </si>
  <si>
    <t>• Path dinámico (calcula raíz desde __file__)
• Singleton con _instance
• @lru_cache(maxsize=1) — doble protección
• get('a.b.c', default) ergonómico
• yaml.safe_load — seguro vs ejecución arbitraria
• FileNotFoundError explícito
• @property todo
• Sin dependencias del proyecto</t>
  </si>
  <si>
    <t>• Sin reload() público
• RUTA hardcoded — no respeta CONFIG_PATH env var
• Sin merge con defaults
• Thread-safety NO garantizada
• Sin soporte multi-YAML (dev/prod)
• safe_load sin try/except — propaga YAMLError cruda
• No expone config_path usado
• cache_clear no invalida Singleton
• Sin tipado fuerte de claves</t>
  </si>
  <si>
    <t>🔴🔴 SINGLETON ROTO con argumentos distintos: ConfigLoader('/A') luego ConfigLoader('/B') IGNORA el segundo. Sin warning
🔴🔴 NO RECARGA EN HOT-RELOAD: @lru_cache + Singleton bloquean recargas en Streamlit
🔴 NO VALIDA YAML: si safe_load retorna None/str, get retorna default silenciosamente. Cambios YAML INERTES sin error
🔴 get() con default mata diagnóstico
🔴 _config como class attribute compartido
🔴🔴 HALLAZGO MAYÚSCULO: solo 2 módulos usan config_loader (regla_miscelaneus y logger). 30+ ignoran. Promesa 'edita YAML para cambiar' es FALSA en 29/30 módulos. YAML = TEATRO DE CONFIGURACIÓN</t>
  </si>
  <si>
    <t>← yaml, pathlib, lru_cache
→ DEBERÍA usarse por: estado, procesar_*, hoja_*, regla_validaciones, validador, catalogo_manager, lector_excel, app.py
→ ACTUALMENTE: regla_miscelaneus, logger (solo 2)</t>
  </si>
  <si>
    <t>1. 🔴🔴 REFACTOR TRANSVERSAL (mayor ROI): TODOS los módulos leen desde config_loader. Una persona-día arregla ~6 clases 🔴/🟡 simultáneamente
2. 🔴 Validar _config sea dict tras safe_load
3. 🔴 try/except envolviendo safe_load con mensaje claro
4. 🔴 Log WARNING cuando falta clave (modo strict)
5. 🟡 reload() público
6. 🟡 CONFIG_PATH env var
7. 🟡 threading.Lock
8. 💡 Schema validation con pydantic</t>
  </si>
  <si>
    <t>Auto-detección de Business Unit en Sea mediante mapa Item Code → BU embebido en JSON. Estrategia en cascada: (1) Match exacto Item Code, (2) Fallback Subinventory, (3) Marcar SIN_BU. Función cargar_maestro_bu_sea() carga JSON y inferir_bu_sea() aplica la inferencia con métricas detalladas.</t>
  </si>
  <si>
    <t>§2 Detección dinámica BUs (cascada Item→Subinv) | §5 Sea inferencia | §9 Validación cobertura | §11 Mantenimiento de catálogo</t>
  </si>
  <si>
    <t>• Estrategia cascada bien diseñada (Item Code 95% + Subinventory fallback)
• Defensivo: si JSON no existe, retorna ({}, {}) sin crashear
• Marca SIN_BU como warning (no error) — permite ver problema sin bloquear
• Reporte detallado con métricas (n_por_item, n_por_subinv, cobertura_pct)
• Parámetro sobrescribir=False respeta BU existente del reporte
• Logger usado correctamente (config-driven)
• Muestra los Item Codes nuevos como guía de mantenimiento
• try/except defensivo en carga del JSON
• mask_vacio cubre None, 'nan', 'None', '' — robusto
• Aplica .copy() para no mutar el df original</t>
  </si>
  <si>
    <t>• ¿Qué pasa cuando Subinventory está marcado AMBIGUO en el maestro? (visto en hoja MAESTRO_BU_SEA fila J17=🟡 Multi-BU). El código solo busca en mapa_subinv pero no filtra AMBIGUO
• cobertura_pct usa max(mask_a_inferir.sum(), 1) — si TODO ya tiene BU, divide por 1 (no por 0) pero el % puede ser engañoso
• apply() con función row-wise es lento para df grandes (1217 filas Sea)
• Llama cargar_maestro_bu_sea() en CADA invocación — sin lru_cache (se recarga JSON en cada procesamiento)
• columna_item default es 'Item Code' (legacy), no 'Item' lógico — depende de qué venga del lector
• ¿Qué hace si mapa_items contiene Item duplicado con BUs distintos? json.load() conserva el último visto silenciosamente
• RUTA_MAESTRO hardcoded — no respeta config.yaml</t>
  </si>
  <si>
    <t>🔴 NO maneja BU 'AMBIGUO' del maestro: si la hoja MAESTRO_BU_SEA marca un Subinventory como AMBIGUO (8 casos visibles), el código retorna literalmente 'AMBIGUO' como BU — luego procesar_sea() lo trata como BU válido y aparece en el resumen final. Bug crítico: AMBIGUO debería resolverse o forzar SIN_BU
🔴 DOBLE PASADA O(2N): apply() ejecuta _buscar_bu en cada fila, luego el bloque de métricas RECORRE OTRA VEZ todas las filas con for+at[]. Doble costo computacional
🔴 No valida tipo del JSON: si data['mapa_item_code_a_bu'] no es dict (corrupción), retorna {} silenciosamente vía .get('...', {})
🔴 items_sin_bu se popula SOLO si _buscar_bu retornó SIN_BU — pero ya escribimos el BU con .loc[mask] antes. Si hay desincronización entre apply() y el segundo for, conteo inconsistente
🔴 Si Item Code tiene espacios o mayúsculas distintas al maestro, NO normaliza ni tampoco busca .upper() — Item 'pn-001 ' (con espacio) NO matchea con 'PN-001' del JSON. Bug silencioso
🔴 No reporta items que matchearon por Subinventory pero el Subinv es AMBIGUO
🔴 logger.error en carga del JSON no PROPAGA — devuelve ({}, {}) y el caller (procesar_sea) no se entera de la corrupción</t>
  </si>
  <si>
    <t>→ src/utils/logger.py (logger configurado)
→ src/config/maestro_bu_sea.json (LEE este archivo crítico)
→ Consumido por: src/procesamiento/procesar_sea.py
→ Consumido dinámicamente por: src/ingesta/lector_excel.py (import lazy detectado en análisis previo)
→ Indirectamente usa: scripts/generar_maestro_bu_sea.py (genera el JSON que aquí se lee)</t>
  </si>
  <si>
    <t>1. URGENTE: Validar BU == 'AMBIGUO' DESPUÉS del lookup → si AMBIGUO, marcar como 'SIN_BU' con motivo='subinv_ambiguo' para que aparezca en métricas separadas
2. Agregar @lru_cache(maxsize=1) a cargar_maestro_bu_sea() → 1 sola carga por proceso
3. Normalizar Item Code: .strip().upper() en el JSON Y en la búsqueda → match robusto
4. Refactor: hacer UNA SOLA pasada con apply() que devuelva (bu, fuente) → eliminar doble pasada O(2N)
5. Leer RUTA_MAESTRO desde config.yaml para honrar SSOT
6. Validar que mapa_items sea dict no vacío al cargar, con WARNING explícito si falla schema
7. Detectar Item Codes duplicados con BUs distintos al CARGAR el JSON (no en runtime)
8. Reportar también 'matcheado_pero_ambiguo' como métrica nueva
9. Considerar usar df[col].map(mapa_items).fillna(...) en vez de apply() — 10-50x más rápido
10. Si lanza error al leer JSON, propagar excepción al caller (procesar_sea decide si abortar)</t>
  </si>
  <si>
    <t>main.py</t>
  </si>
  <si>
    <t>Punto de entrada CLI del pipeline. Configura logger, lee config.yaml, y ORQUESTA los 7 bloques (Ingesta→Outbound→Sea→Land→Summary→Validaciones→Salida) con try/except global. Alternativa headless a Streamlit para batch/CI.</t>
  </si>
  <si>
    <t>§1 Filosofía (orquestación de los 7 bloques) | §7 Costos (vía config) | §8 Summary | §9 Validaciones | §10 Salida Excel</t>
  </si>
  <si>
    <t>• Usa configurar_logger() y get_config() correctamente (patrón SSOT)
• try/except global con logger.exception (preserva stack trace)
• Return codes correctos (0 éxito, 1 error) → CI-friendly
• if __name__ == '__main__' con sys.exit() → patrón Python canónico
• Imports DENTRO de cada bloque (lazy loading) — evita cascadas si un módulo crashea
• Estructura comentada en bloques numerados que coinciden con REGLAS_PROCESO
• Header con docstring claro</t>
  </si>
  <si>
    <t>• ¿main.py es el entrypoint REAL del proyecto o solo un placeholder?
• app.py (Streamlit) es la UI real → main.py podría ser legacy de antes de migrar a Streamlit
• Sin argparse: ¿cómo se le pasan los archivos de entrada?
• Sin parámetro --output: ¿dónde se guarda el Excel?
• Sin parámetro --config: imposible usar config.yaml alternativo
• Sin parámetro --capex: CAPEX manual de Sea NO se puede inyectar en modo CLI
• Sin parámetro --costos-variables: tabla manual de costos Outbound NO se puede pasar
• ¿Quién invoca main.py? No vi referencias en scripts/ ni en CI/CD
• Bloque 7 (Validar BUs) NO se menciona — ¿se omite a propósito?</t>
  </si>
  <si>
    <t>🔴🔴 TODO EL PIPELINE ESTÁ COMENTADO — main.py NO HACE NADA funcional. Solo loguea mensajes informativos. Si alguien lo ejecuta espera procesamiento real, obtiene solo 7 líneas de log y exit 0
🔴 Promesa rota: 'orquesta todo el pipeline' (docstring) pero NO orquesta nada
🔴 Sin parámetros de entrada (sys.argv, argparse) → imposible pasar archivos
🔴 Sin lectura de archivos de entrada → variable 'datos' nunca existe
🔴 Sin generación del Excel de salida → comentado el bloque 9
🔴 Sin manejo de CAPEX manual (input obligatorio para Sea)
🔴 Sin manejo de costos variables (necesario para Outbound)
🔴 Reporta '✅ Proceso completado exitosamente' AUNQUE NO PROCESÓ NADA — falso positivo crítico en monitoreo
🔴 No invoca validar_todo() del subsistema validaciones
🔴 Return 0 incorrecto: debería retornar error si no hay archivos de entrada
🔴 Acoplamiento implícito a Streamlit: toda la lógica real vive en src/ui/pestanias/ → main.py duplicaría lógica si se completara</t>
  </si>
  <si>
    <t>→ src/utils/logger.py (USA correctamente)
→ src/utils/config_loader.py (USA correctamente)
→ src/ingesta/lector_excel.py (referenciado en comentarios, NO importado)
→ src/procesamiento/procesar_outbound.py (referenciado, NO importado)
→ src/procesamiento/procesar_sea.py (referenciado, NO importado)
→ src/procesamiento/procesar_land.py (referenciado, NO importado)
→ src/procesamiento/generar_summary.py (referenciado, NO importado)
→ src/validaciones/validador.py (NO mencionado)
→ src/salida/generar_excel.py (NO mencionado)
→ pathlib.Path importado pero NO usado</t>
  </si>
  <si>
    <t>1. DECISIÓN ARQUITECTÓNICA URGENTE: ¿eliminar main.py o completarlo?
2. Si se elimina: borrar archivo + actualizar README
3. Si se completa: agregar argparse con --sea, --land, --outbound, --capex, --costos-out, --output, --config
4. Implementar realmente los 7 bloques (descomentar y conectar)
5. Invocar validar_todo() y verificar puede_exportar antes de generar Excel
6. Si validación falla → return 1 (no 0)
7. Mover lógica común UI/CLI a src/orquestador.py que ambos invoquen
8. Quitar 'pathlib import Path' si no se usa
9. Agregar test E2E que invoque main.py con archivos de prueba
10. Documentar en README cómo invocar el modo CLI vs Streamlit</t>
  </si>
  <si>
    <t>REPORTE EXPOS ABRIL.xlsx</t>
  </si>
  <si>
    <t>1. ARCHIVOS FUENTE (DATOS CRUDOS)</t>
  </si>
  <si>
    <t>ARCHIVO</t>
  </si>
  <si>
    <t>DESCRIPCIÓN</t>
  </si>
  <si>
    <t>Reporte de China Maritimos 18-04-2026.xlsx</t>
  </si>
  <si>
    <t>Exportaciones marítimas desde China</t>
  </si>
  <si>
    <t>Copy of IMPOS LAND ABRIL 2026.xlsx</t>
  </si>
  <si>
    <t>land</t>
  </si>
  <si>
    <t>FLUJO</t>
  </si>
  <si>
    <t>COSTO FIJO</t>
  </si>
  <si>
    <t>AGRUPADOR</t>
  </si>
  <si>
    <t>ANÁLISIS DEL FLUJO DE DATOS</t>
  </si>
  <si>
    <t>Archivos Crudos → Hojas Procesadas → Summary</t>
  </si>
  <si>
    <t>════════════════════════════════════════════════════════════════</t>
  </si>
  <si>
    <t>→ HOJA DESTINO</t>
  </si>
  <si>
    <t>Exportaciones terrestres (Outbound)</t>
  </si>
  <si>
    <t>Importaciones terrestres (Land)</t>
  </si>
  <si>
    <t>2. LÓGICA DE PRORRATEO POR FLUJO</t>
  </si>
  <si>
    <t>FÓRMULA</t>
  </si>
  <si>
    <t>$2,500/container</t>
  </si>
  <si>
    <t>% = Peso Item / Peso Total Container</t>
  </si>
  <si>
    <t>$1,300/referencia</t>
  </si>
  <si>
    <t>% = Peso Item / Peso Total Referencia</t>
  </si>
  <si>
    <t>$1,500/waybill</t>
  </si>
  <si>
    <t>% = Peso Item / Peso Total Waybill</t>
  </si>
  <si>
    <t>3. DETECCIÓN DE BU (Business Unit)</t>
  </si>
  <si>
    <t>FUENTE DEL BU</t>
  </si>
  <si>
    <t>EJEMPLO</t>
  </si>
  <si>
    <t>Maestro interno (Item Code mapea a BU)</t>
  </si>
  <si>
    <t>1318-1030030EN → M46</t>
  </si>
  <si>
    <t>Patrón en Referencia: RM-J-####LI##-M##</t>
  </si>
  <si>
    <t>RM-J-1325LI26-M19 → M19</t>
  </si>
  <si>
    <t>Segundo BU en Waybill: .M##/M##</t>
  </si>
  <si>
    <t>FG-R-2209LE26.M46/M45 → M45</t>
  </si>
  <si>
    <t>4. UBICACIÓN DE DATOS PROCESADOS (Tablas Resumen por BU)</t>
  </si>
  <si>
    <t>HOJA</t>
  </si>
  <si>
    <t>RANGO</t>
  </si>
  <si>
    <t>COLUMNAS</t>
  </si>
  <si>
    <t>CU5:CY12</t>
  </si>
  <si>
    <t>BU | Amount(USD) | Count | New Amount | %PCT</t>
  </si>
  <si>
    <t>CC5:CE10</t>
  </si>
  <si>
    <t>BU | Amount | %PCT</t>
  </si>
  <si>
    <t>BS8:BU14</t>
  </si>
  <si>
    <t>BU | Log. Exp | %PCT</t>
  </si>
  <si>
    <t>5. SUMMARY - CONSOLIDACIÓN FINAL</t>
  </si>
  <si>
    <t>El Summary usa XLOOKUP para traer datos de cada hoja:</t>
  </si>
  <si>
    <t>FILA</t>
  </si>
  <si>
    <t>FÓRMULA EJEMPLO (para M01)</t>
  </si>
  <si>
    <t>Sea USD</t>
  </si>
  <si>
    <t>Land USD</t>
  </si>
  <si>
    <t>Outbound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</si>
</sst>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_ "/>
    <numFmt numFmtId="165" formatCode="&quot;$&quot;* #,#00"/>
    <numFmt numFmtId="166" formatCode="0.0%"/>
    <numFmt numFmtId="167" formatCode="&quot;$&quot;#,##0"/>
    <numFmt numFmtId="168" formatCode="&quot;$&quot;#,##0.00"/>
    <numFmt numFmtId="169" formatCode="#,##0.000"/>
  </numFmts>
  <fonts count="15" x14ac:knownFonts="1">
    <font>
      <sz val="11"/>
      <color theme="1"/>
      <name val="Aptos Narrow"/>
      <family val="2"/>
      <scheme val="minor"/>
    </font>
    <font>
      <sz val="11"/>
      <color theme="1"/>
      <name val="Aptos Narrow"/>
      <family val="2"/>
      <scheme val="minor"/>
    </font>
    <font>
      <b/>
      <sz val="11"/>
      <color indexed="8"/>
      <name val="Aptos Narrow"/>
      <family val="2"/>
    </font>
    <font>
      <sz val="11"/>
      <color rgb="FF9C5700"/>
      <name val="Aptos Narrow"/>
      <family val="2"/>
      <scheme val="minor"/>
    </font>
    <font>
      <b/>
      <sz val="11"/>
      <color theme="1"/>
      <name val="Aptos Narrow"/>
      <family val="2"/>
      <scheme val="minor"/>
    </font>
    <font>
      <sz val="11"/>
      <color theme="0"/>
      <name val="Aptos Narrow"/>
      <family val="2"/>
      <scheme val="minor"/>
    </font>
    <font>
      <b/>
      <sz val="11"/>
      <color rgb="FFFFFFFF"/>
      <name val="Aptos Narrow"/>
      <family val="2"/>
      <scheme val="minor"/>
    </font>
    <font>
      <b/>
      <sz val="12"/>
      <color rgb="FF0066CC"/>
      <name val="Aptos Narrow"/>
      <family val="2"/>
      <scheme val="minor"/>
    </font>
    <font>
      <i/>
      <sz val="11"/>
      <color theme="1"/>
      <name val="Aptos Narrow"/>
      <family val="2"/>
      <scheme val="minor"/>
    </font>
    <font>
      <b/>
      <sz val="14"/>
      <color rgb="FFFFFFFF"/>
      <name val="Aptos Narrow"/>
      <family val="2"/>
      <scheme val="minor"/>
    </font>
    <font>
      <b/>
      <sz val="12"/>
      <color rgb="FFFFFFFF"/>
      <name val="Aptos Narrow"/>
      <family val="2"/>
      <scheme val="minor"/>
    </font>
    <font>
      <b/>
      <sz val="14"/>
      <color theme="1"/>
      <name val="Aptos Narrow"/>
      <family val="2"/>
      <scheme val="minor"/>
    </font>
    <font>
      <b/>
      <sz val="11"/>
      <color rgb="FF9C0006"/>
      <name val="Aptos Narrow"/>
      <family val="2"/>
      <scheme val="minor"/>
    </font>
    <font>
      <b/>
      <sz val="11"/>
      <color rgb="FF9C5700"/>
      <name val="Aptos Narrow"/>
      <family val="2"/>
      <scheme val="minor"/>
    </font>
    <font>
      <b/>
      <sz val="11"/>
      <color rgb="FF006100"/>
      <name val="Aptos Narrow"/>
      <family val="2"/>
      <scheme val="minor"/>
    </font>
  </fonts>
  <fills count="2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rgb="FF92D050"/>
        <bgColor indexed="64"/>
      </patternFill>
    </fill>
    <fill>
      <patternFill patternType="solid">
        <fgColor rgb="FFFFEB9C"/>
      </patternFill>
    </fill>
    <fill>
      <patternFill patternType="solid">
        <fgColor theme="7" tint="0.79998168889431442"/>
        <bgColor indexed="65"/>
      </patternFill>
    </fill>
    <fill>
      <patternFill patternType="solid">
        <fgColor theme="9"/>
      </patternFill>
    </fill>
    <fill>
      <patternFill patternType="solid">
        <fgColor rgb="FF002060"/>
        <bgColor indexed="64"/>
      </patternFill>
    </fill>
    <fill>
      <patternFill patternType="solid">
        <fgColor theme="7" tint="0.79998168889431442"/>
        <bgColor indexed="64"/>
      </patternFill>
    </fill>
    <fill>
      <patternFill patternType="solid">
        <fgColor rgb="FFE2EFDA"/>
        <bgColor indexed="64"/>
      </patternFill>
    </fill>
    <fill>
      <patternFill patternType="solid">
        <fgColor rgb="FF4472C4"/>
        <bgColor indexed="64"/>
      </patternFill>
    </fill>
    <fill>
      <patternFill patternType="solid">
        <fgColor rgb="FFD9E1F2"/>
        <bgColor indexed="64"/>
      </patternFill>
    </fill>
    <fill>
      <patternFill patternType="solid">
        <fgColor rgb="FFFFE699"/>
        <bgColor indexed="64"/>
      </patternFill>
    </fill>
    <fill>
      <patternFill patternType="solid">
        <fgColor rgb="FF1F4E78"/>
        <bgColor indexed="64"/>
      </patternFill>
    </fill>
    <fill>
      <patternFill patternType="solid">
        <fgColor rgb="FFFFF2CC"/>
        <bgColor indexed="64"/>
      </patternFill>
    </fill>
    <fill>
      <patternFill patternType="solid">
        <fgColor rgb="FF2E75B6"/>
        <bgColor indexed="64"/>
      </patternFill>
    </fill>
    <fill>
      <patternFill patternType="solid">
        <fgColor rgb="FF385723"/>
        <bgColor indexed="64"/>
      </patternFill>
    </fill>
    <fill>
      <patternFill patternType="solid">
        <fgColor rgb="FF548235"/>
        <bgColor indexed="64"/>
      </patternFill>
    </fill>
    <fill>
      <patternFill patternType="solid">
        <fgColor rgb="FFFFD966"/>
        <bgColor indexed="64"/>
      </patternFill>
    </fill>
    <fill>
      <patternFill patternType="solid">
        <fgColor rgb="FF305496"/>
        <bgColor indexed="64"/>
      </patternFill>
    </fill>
    <fill>
      <patternFill patternType="solid">
        <fgColor rgb="FFF8CBAD"/>
        <bgColor indexed="64"/>
      </patternFill>
    </fill>
    <fill>
      <patternFill patternType="solid">
        <fgColor rgb="FFFFC7CE"/>
        <bgColor indexed="64"/>
      </patternFill>
    </fill>
    <fill>
      <patternFill patternType="solid">
        <fgColor rgb="FFFFEB9C"/>
        <bgColor indexed="64"/>
      </patternFill>
    </fill>
    <fill>
      <patternFill patternType="solid">
        <fgColor rgb="FFC6EFCE"/>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5" borderId="0" applyNumberFormat="0" applyBorder="0" applyAlignment="0" applyProtection="0"/>
    <xf numFmtId="0" fontId="1" fillId="6" borderId="0" applyNumberFormat="0" applyBorder="0" applyAlignment="0" applyProtection="0"/>
    <xf numFmtId="0" fontId="5" fillId="7" borderId="0" applyNumberFormat="0" applyBorder="0" applyAlignment="0" applyProtection="0"/>
  </cellStyleXfs>
  <cellXfs count="101">
    <xf numFmtId="0" fontId="0" fillId="0" borderId="0" xfId="0"/>
    <xf numFmtId="0" fontId="0" fillId="2" borderId="0" xfId="0" applyFill="1"/>
    <xf numFmtId="0" fontId="2" fillId="3" borderId="4" xfId="0" applyFont="1" applyFill="1" applyBorder="1"/>
    <xf numFmtId="0" fontId="2" fillId="3" borderId="4" xfId="0" applyFont="1" applyFill="1" applyBorder="1" applyAlignment="1">
      <alignment horizontal="center"/>
    </xf>
    <xf numFmtId="0" fontId="2" fillId="3" borderId="5" xfId="0" applyFont="1" applyFill="1" applyBorder="1" applyAlignment="1">
      <alignment horizontal="center"/>
    </xf>
    <xf numFmtId="1" fontId="2" fillId="3" borderId="4" xfId="0" applyNumberFormat="1" applyFont="1" applyFill="1" applyBorder="1" applyAlignment="1">
      <alignment horizontal="center"/>
    </xf>
    <xf numFmtId="43" fontId="2" fillId="3" borderId="4" xfId="1" applyFont="1" applyFill="1" applyBorder="1"/>
    <xf numFmtId="0" fontId="2" fillId="3" borderId="6" xfId="0" applyFont="1" applyFill="1" applyBorder="1"/>
    <xf numFmtId="43" fontId="2" fillId="3" borderId="4" xfId="1" applyFont="1" applyFill="1" applyBorder="1" applyAlignment="1">
      <alignment horizontal="center"/>
    </xf>
    <xf numFmtId="0" fontId="2" fillId="3" borderId="7" xfId="0" applyFont="1" applyFill="1" applyBorder="1"/>
    <xf numFmtId="0" fontId="0" fillId="2" borderId="4" xfId="0" applyFill="1" applyBorder="1"/>
    <xf numFmtId="22" fontId="0" fillId="2" borderId="4" xfId="0" applyNumberFormat="1" applyFill="1" applyBorder="1"/>
    <xf numFmtId="3" fontId="0" fillId="2" borderId="4" xfId="0" applyNumberFormat="1" applyFill="1" applyBorder="1"/>
    <xf numFmtId="4" fontId="0" fillId="2" borderId="4" xfId="0" applyNumberFormat="1" applyFill="1" applyBorder="1"/>
    <xf numFmtId="14" fontId="0" fillId="2" borderId="4" xfId="0" applyNumberFormat="1" applyFill="1" applyBorder="1"/>
    <xf numFmtId="1" fontId="0" fillId="2" borderId="4" xfId="0" applyNumberFormat="1" applyFill="1" applyBorder="1"/>
    <xf numFmtId="15" fontId="0" fillId="2" borderId="4" xfId="0" applyNumberFormat="1" applyFill="1" applyBorder="1"/>
    <xf numFmtId="164" fontId="0" fillId="2" borderId="4" xfId="0" applyNumberFormat="1" applyFill="1" applyBorder="1"/>
    <xf numFmtId="0" fontId="0" fillId="0" borderId="0" xfId="0" applyAlignment="1">
      <alignment horizontal="center" vertical="center"/>
    </xf>
    <xf numFmtId="0" fontId="2" fillId="4" borderId="4" xfId="0" applyFont="1" applyFill="1" applyBorder="1"/>
    <xf numFmtId="0" fontId="0" fillId="0" borderId="0" xfId="0" quotePrefix="1"/>
    <xf numFmtId="165" fontId="0" fillId="0" borderId="0" xfId="1" applyNumberFormat="1" applyFont="1"/>
    <xf numFmtId="0" fontId="5" fillId="7" borderId="0" xfId="5"/>
    <xf numFmtId="4" fontId="0" fillId="0" borderId="0" xfId="0" applyNumberFormat="1"/>
    <xf numFmtId="3" fontId="0" fillId="0" borderId="0" xfId="0" applyNumberFormat="1"/>
    <xf numFmtId="9" fontId="0" fillId="0" borderId="0" xfId="0" applyNumberFormat="1"/>
    <xf numFmtId="166" fontId="0" fillId="0" borderId="0" xfId="0" applyNumberFormat="1"/>
    <xf numFmtId="0" fontId="4" fillId="0" borderId="0" xfId="0" applyFont="1"/>
    <xf numFmtId="9" fontId="0" fillId="0" borderId="0" xfId="1" applyNumberFormat="1" applyFont="1"/>
    <xf numFmtId="0" fontId="0" fillId="2" borderId="8" xfId="0" applyFill="1" applyBorder="1"/>
    <xf numFmtId="0" fontId="0" fillId="2" borderId="9" xfId="0" applyFill="1" applyBorder="1"/>
    <xf numFmtId="165" fontId="0" fillId="0" borderId="0" xfId="0" applyNumberFormat="1"/>
    <xf numFmtId="0" fontId="5" fillId="8" borderId="0" xfId="0" applyFont="1" applyFill="1"/>
    <xf numFmtId="0" fontId="0" fillId="9" borderId="0" xfId="0" applyFill="1"/>
    <xf numFmtId="0" fontId="3" fillId="5" borderId="0" xfId="3"/>
    <xf numFmtId="0" fontId="0" fillId="0" borderId="0" xfId="0" applyAlignment="1">
      <alignment horizontal="center"/>
    </xf>
    <xf numFmtId="0" fontId="1" fillId="6" borderId="0" xfId="4"/>
    <xf numFmtId="0" fontId="1" fillId="6" borderId="0" xfId="4" applyAlignment="1">
      <alignment horizontal="center"/>
    </xf>
    <xf numFmtId="10" fontId="0" fillId="0" borderId="0" xfId="2" applyNumberFormat="1" applyFont="1"/>
    <xf numFmtId="9" fontId="0" fillId="0" borderId="0" xfId="0" applyNumberFormat="1" applyAlignment="1">
      <alignment horizontal="center" vertical="center"/>
    </xf>
    <xf numFmtId="0" fontId="0" fillId="0" borderId="0" xfId="0" applyAlignment="1">
      <alignment horizontal="right"/>
    </xf>
    <xf numFmtId="0" fontId="6" fillId="11" borderId="0" xfId="0" applyFont="1" applyFill="1"/>
    <xf numFmtId="0" fontId="7" fillId="0" borderId="0" xfId="0" applyFont="1"/>
    <xf numFmtId="167" fontId="0" fillId="0" borderId="0" xfId="0" applyNumberFormat="1"/>
    <xf numFmtId="167" fontId="0" fillId="9" borderId="0" xfId="1" applyNumberFormat="1" applyFont="1" applyFill="1"/>
    <xf numFmtId="167" fontId="0" fillId="0" borderId="0" xfId="1" applyNumberFormat="1" applyFont="1"/>
    <xf numFmtId="0" fontId="4" fillId="13" borderId="0" xfId="0" applyFont="1" applyFill="1"/>
    <xf numFmtId="0" fontId="6" fillId="16" borderId="0" xfId="0" applyFont="1" applyFill="1" applyAlignment="1">
      <alignment horizontal="center"/>
    </xf>
    <xf numFmtId="169" fontId="0" fillId="0" borderId="0" xfId="0" applyNumberFormat="1"/>
    <xf numFmtId="10" fontId="0" fillId="0" borderId="0" xfId="0" applyNumberFormat="1" applyAlignment="1">
      <alignment horizontal="center"/>
    </xf>
    <xf numFmtId="168" fontId="0" fillId="0" borderId="0" xfId="0" applyNumberFormat="1" applyAlignment="1">
      <alignment horizontal="center"/>
    </xf>
    <xf numFmtId="0" fontId="4" fillId="0" borderId="0" xfId="0" applyFont="1" applyAlignment="1">
      <alignment horizontal="center"/>
    </xf>
    <xf numFmtId="168" fontId="4" fillId="0" borderId="0" xfId="0" applyNumberFormat="1" applyFont="1" applyAlignment="1">
      <alignment horizontal="center"/>
    </xf>
    <xf numFmtId="3" fontId="4" fillId="13" borderId="0" xfId="0" applyNumberFormat="1" applyFont="1" applyFill="1"/>
    <xf numFmtId="169" fontId="4" fillId="13" borderId="0" xfId="0" applyNumberFormat="1" applyFont="1" applyFill="1"/>
    <xf numFmtId="0" fontId="4" fillId="13" borderId="0" xfId="0" applyFont="1" applyFill="1" applyAlignment="1">
      <alignment horizontal="center"/>
    </xf>
    <xf numFmtId="168" fontId="4" fillId="13" borderId="0" xfId="0" applyNumberFormat="1" applyFont="1" applyFill="1" applyAlignment="1">
      <alignment horizontal="center"/>
    </xf>
    <xf numFmtId="0" fontId="6" fillId="18" borderId="0" xfId="0" applyFont="1" applyFill="1" applyAlignment="1">
      <alignment horizontal="center"/>
    </xf>
    <xf numFmtId="4" fontId="4" fillId="13" borderId="0" xfId="0" applyNumberFormat="1" applyFont="1" applyFill="1"/>
    <xf numFmtId="0" fontId="6" fillId="14" borderId="0" xfId="0" applyFont="1" applyFill="1"/>
    <xf numFmtId="0" fontId="6" fillId="19" borderId="0" xfId="0" applyFont="1" applyFill="1" applyAlignment="1">
      <alignment horizontal="center"/>
    </xf>
    <xf numFmtId="0" fontId="0" fillId="0" borderId="10" xfId="0" applyBorder="1"/>
    <xf numFmtId="0" fontId="6" fillId="14" borderId="10" xfId="0" applyFont="1" applyFill="1" applyBorder="1" applyAlignment="1">
      <alignment horizontal="center"/>
    </xf>
    <xf numFmtId="1" fontId="0" fillId="0" borderId="10" xfId="0" applyNumberFormat="1" applyBorder="1" applyAlignment="1">
      <alignment horizontal="center"/>
    </xf>
    <xf numFmtId="168" fontId="0" fillId="0" borderId="10" xfId="0" applyNumberFormat="1" applyBorder="1"/>
    <xf numFmtId="10" fontId="0" fillId="0" borderId="10" xfId="0" applyNumberFormat="1" applyBorder="1" applyAlignment="1">
      <alignment horizontal="center"/>
    </xf>
    <xf numFmtId="0" fontId="4" fillId="13" borderId="10" xfId="0" applyFont="1" applyFill="1" applyBorder="1" applyAlignment="1">
      <alignment horizontal="center"/>
    </xf>
    <xf numFmtId="1" fontId="4" fillId="13" borderId="10" xfId="0" applyNumberFormat="1" applyFont="1" applyFill="1" applyBorder="1" applyAlignment="1">
      <alignment horizontal="center"/>
    </xf>
    <xf numFmtId="168" fontId="4" fillId="13" borderId="10" xfId="0" applyNumberFormat="1" applyFont="1" applyFill="1" applyBorder="1" applyAlignment="1">
      <alignment horizontal="center"/>
    </xf>
    <xf numFmtId="10" fontId="4" fillId="13" borderId="10" xfId="0" applyNumberFormat="1" applyFont="1" applyFill="1" applyBorder="1" applyAlignment="1">
      <alignment horizontal="center"/>
    </xf>
    <xf numFmtId="0" fontId="4" fillId="12" borderId="10" xfId="0" applyFont="1" applyFill="1" applyBorder="1" applyAlignment="1">
      <alignment horizontal="center"/>
    </xf>
    <xf numFmtId="0" fontId="4" fillId="0" borderId="10" xfId="0" applyFont="1" applyBorder="1" applyAlignment="1">
      <alignment horizontal="center"/>
    </xf>
    <xf numFmtId="3" fontId="0" fillId="0" borderId="10" xfId="0" applyNumberFormat="1" applyBorder="1" applyAlignment="1">
      <alignment horizontal="center"/>
    </xf>
    <xf numFmtId="3" fontId="4" fillId="13" borderId="10" xfId="0" applyNumberFormat="1" applyFont="1" applyFill="1" applyBorder="1" applyAlignment="1">
      <alignment horizontal="center"/>
    </xf>
    <xf numFmtId="168" fontId="4" fillId="13" borderId="10" xfId="0" applyNumberFormat="1" applyFont="1" applyFill="1" applyBorder="1"/>
    <xf numFmtId="0" fontId="2" fillId="3" borderId="1" xfId="0" applyFont="1" applyFill="1" applyBorder="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xf numFmtId="1" fontId="2" fillId="3" borderId="1" xfId="0" applyNumberFormat="1" applyFont="1" applyFill="1" applyBorder="1" applyAlignment="1">
      <alignment horizontal="center"/>
    </xf>
    <xf numFmtId="1" fontId="2" fillId="3" borderId="2" xfId="0" applyNumberFormat="1" applyFont="1" applyFill="1" applyBorder="1" applyAlignment="1">
      <alignment horizontal="center"/>
    </xf>
    <xf numFmtId="0" fontId="0" fillId="0" borderId="0" xfId="0"/>
    <xf numFmtId="0" fontId="4" fillId="0" borderId="0" xfId="0" applyFont="1"/>
    <xf numFmtId="0" fontId="9" fillId="14" borderId="0" xfId="0" applyFont="1" applyFill="1" applyAlignment="1">
      <alignment horizontal="center"/>
    </xf>
    <xf numFmtId="0" fontId="10" fillId="16" borderId="0" xfId="0" applyFont="1" applyFill="1" applyAlignment="1">
      <alignment horizontal="center"/>
    </xf>
    <xf numFmtId="0" fontId="9" fillId="17" borderId="0" xfId="0" applyFont="1" applyFill="1" applyAlignment="1">
      <alignment horizontal="center"/>
    </xf>
    <xf numFmtId="0" fontId="6" fillId="14" borderId="10" xfId="0" applyFont="1" applyFill="1" applyBorder="1" applyAlignment="1">
      <alignment horizontal="center"/>
    </xf>
    <xf numFmtId="0" fontId="4" fillId="10" borderId="0" xfId="0" applyFont="1" applyFill="1"/>
    <xf numFmtId="0" fontId="8" fillId="12" borderId="0" xfId="0" applyFont="1" applyFill="1" applyAlignment="1">
      <alignment horizontal="center"/>
    </xf>
    <xf numFmtId="0" fontId="6" fillId="20" borderId="11" xfId="0" applyFont="1" applyFill="1" applyBorder="1" applyAlignment="1">
      <alignment horizontal="center" vertical="center" wrapText="1"/>
    </xf>
    <xf numFmtId="0" fontId="0" fillId="0" borderId="11" xfId="0" applyBorder="1" applyAlignment="1">
      <alignment vertical="top" wrapText="1"/>
    </xf>
    <xf numFmtId="0" fontId="0" fillId="0" borderId="10" xfId="0" applyBorder="1" applyAlignment="1">
      <alignment vertical="top" wrapText="1"/>
    </xf>
    <xf numFmtId="0" fontId="13" fillId="23" borderId="10" xfId="0" applyFont="1" applyFill="1" applyBorder="1" applyAlignment="1">
      <alignment horizontal="center" vertical="top" wrapText="1"/>
    </xf>
    <xf numFmtId="0" fontId="14" fillId="24" borderId="10" xfId="0" applyFont="1" applyFill="1" applyBorder="1" applyAlignment="1">
      <alignment horizontal="center" vertical="top" wrapText="1"/>
    </xf>
    <xf numFmtId="0" fontId="12" fillId="22" borderId="10" xfId="0" applyFont="1" applyFill="1" applyBorder="1" applyAlignment="1">
      <alignment horizontal="center" vertical="top" wrapText="1"/>
    </xf>
    <xf numFmtId="0" fontId="0" fillId="0" borderId="10" xfId="0" applyBorder="1" applyAlignment="1">
      <alignment horizontal="center" vertical="top" wrapText="1"/>
    </xf>
    <xf numFmtId="0" fontId="4" fillId="0" borderId="10" xfId="0" applyFont="1" applyBorder="1" applyAlignment="1">
      <alignment horizontal="center" vertical="top" wrapText="1"/>
    </xf>
    <xf numFmtId="0" fontId="4" fillId="0" borderId="11" xfId="0" applyFont="1" applyBorder="1" applyAlignment="1">
      <alignment horizontal="center" vertical="top" wrapText="1"/>
    </xf>
    <xf numFmtId="0" fontId="14" fillId="24" borderId="11" xfId="0" applyFont="1" applyFill="1" applyBorder="1" applyAlignment="1">
      <alignment horizontal="center" vertical="top" wrapText="1"/>
    </xf>
    <xf numFmtId="0" fontId="4" fillId="21" borderId="11" xfId="0" applyFont="1" applyFill="1" applyBorder="1" applyAlignment="1">
      <alignment horizontal="center" vertical="top" wrapText="1"/>
    </xf>
    <xf numFmtId="168" fontId="0" fillId="15" borderId="10" xfId="0" applyNumberFormat="1" applyFill="1" applyBorder="1"/>
    <xf numFmtId="0" fontId="11" fillId="0" borderId="0" xfId="0" applyFont="1"/>
  </cellXfs>
  <cellStyles count="6">
    <cellStyle name="20% - Accent4" xfId="4" builtinId="42"/>
    <cellStyle name="Accent6" xfId="5" builtinId="49"/>
    <cellStyle name="Comma" xfId="1" builtinId="3"/>
    <cellStyle name="Neutral" xfId="3" builtinId="2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3B20D-CDCE-4A01-B3A0-151F4115B8BC}">
  <dimension ref="B1:H12"/>
  <sheetViews>
    <sheetView workbookViewId="0">
      <selection activeCell="L15" sqref="L15"/>
    </sheetView>
  </sheetViews>
  <sheetFormatPr defaultRowHeight="14.5" x14ac:dyDescent="0.35"/>
  <cols>
    <col min="2" max="2" width="13.453125" bestFit="1" customWidth="1"/>
    <col min="3" max="3" width="15.81640625" bestFit="1" customWidth="1"/>
    <col min="4" max="4" width="8.90625" bestFit="1" customWidth="1"/>
  </cols>
  <sheetData>
    <row r="1" spans="2:8" x14ac:dyDescent="0.35">
      <c r="C1" s="20"/>
    </row>
    <row r="3" spans="2:8" x14ac:dyDescent="0.35">
      <c r="C3" s="32" t="s">
        <v>4205</v>
      </c>
      <c r="D3" s="32" t="s">
        <v>297</v>
      </c>
      <c r="E3" s="32" t="s">
        <v>299</v>
      </c>
      <c r="F3" s="32" t="s">
        <v>295</v>
      </c>
      <c r="G3" s="32" t="s">
        <v>296</v>
      </c>
      <c r="H3" s="32" t="s">
        <v>298</v>
      </c>
    </row>
    <row r="4" spans="2:8" x14ac:dyDescent="0.35">
      <c r="C4" s="40" t="s">
        <v>4199</v>
      </c>
      <c r="D4" s="39">
        <f>IFERROR(_xlfn.XLOOKUP(D$3,Sea!$CU$6:$CU$12,Sea!$CY$6:$CY$12,0),0)</f>
        <v>0.14803944801784374</v>
      </c>
      <c r="E4" s="39">
        <f>IFERROR(_xlfn.XLOOKUP(E$3,Sea!$CU$6:$CU$12,Sea!$CY$6:$CY$12,0),0)</f>
        <v>0.49475975926052856</v>
      </c>
      <c r="F4" s="39">
        <f>IFERROR(_xlfn.XLOOKUP(F$3,Sea!$CU$6:$CU$12,Sea!$CY$6:$CY$12,0),0)</f>
        <v>3.428124848382938E-2</v>
      </c>
      <c r="G4" s="39">
        <f>IFERROR(_xlfn.XLOOKUP(G$3,Sea!$CU$6:$CU$12,Sea!$CY$6:$CY$12,0),0)</f>
        <v>0.29154586879630856</v>
      </c>
      <c r="H4" s="39">
        <f>IFERROR(_xlfn.XLOOKUP(H$3,Sea!$CU$6:$CU$12,Sea!$CY$6:$CY$12,0),0)</f>
        <v>3.137367544148973E-2</v>
      </c>
    </row>
    <row r="5" spans="2:8" x14ac:dyDescent="0.35">
      <c r="C5" s="40" t="s">
        <v>4201</v>
      </c>
      <c r="D5" s="39">
        <f>IFERROR(_xlfn.XLOOKUP(D$3,land!$CC$3:$CC$10,land!$CE$3:$CE$10,0),0)</f>
        <v>0</v>
      </c>
      <c r="E5" s="39">
        <f>IFERROR(_xlfn.XLOOKUP(E$3,land!$CC$3:$CC$10,land!$CE$3:$CE$10,0),0)</f>
        <v>0.17730461188315244</v>
      </c>
      <c r="F5" s="39">
        <f>IFERROR(_xlfn.XLOOKUP(F$3,land!$CC$3:$CC$10,land!$CE$3:$CE$10,0),0)</f>
        <v>0.33799951960874025</v>
      </c>
      <c r="G5" s="39">
        <f>IFERROR(_xlfn.XLOOKUP(G$3,land!$CC$3:$CC$10,land!$CE$3:$CE$10,0),0)</f>
        <v>5.4116060189701921E-2</v>
      </c>
      <c r="H5" s="39">
        <f>IFERROR(_xlfn.XLOOKUP(H$3,land!$CC$3:$CC$10,land!$CE$3:$CE$10,0),0)</f>
        <v>0.43057980831840525</v>
      </c>
    </row>
    <row r="6" spans="2:8" x14ac:dyDescent="0.35">
      <c r="C6" s="40" t="s">
        <v>4204</v>
      </c>
      <c r="D6" s="39">
        <f>IFERROR(_xlfn.XLOOKUP(D$3,Outbound!$BS$9:$BS$14,Outbound!$BU$9:$BU$14,0),0)</f>
        <v>0.21335360941203255</v>
      </c>
      <c r="E6" s="39">
        <f>IFERROR(_xlfn.XLOOKUP(E$3,Outbound!$BS$9:$BS$14,Outbound!$BU$9:$BU$14,0),0)</f>
        <v>0.40998995232938701</v>
      </c>
      <c r="F6" s="39">
        <f>IFERROR(_xlfn.XLOOKUP(F$3,Outbound!$BS$9:$BS$14,Outbound!$BU$9:$BU$14,0),0)</f>
        <v>3.1679471827097287E-2</v>
      </c>
      <c r="G6" s="39">
        <f>IFERROR(_xlfn.XLOOKUP(G$3,Outbound!$BS$9:$BS$14,Outbound!$BU$9:$BU$14,0),0)</f>
        <v>0.31569419942794885</v>
      </c>
      <c r="H6" s="39">
        <f>IFERROR(_xlfn.XLOOKUP(H$3,Outbound!$BS$9:$BS$14,Outbound!$BU$9:$BU$14,0),0)</f>
        <v>2.9282767003534601E-2</v>
      </c>
    </row>
    <row r="9" spans="2:8" x14ac:dyDescent="0.35">
      <c r="B9" t="s">
        <v>4202</v>
      </c>
      <c r="C9" s="32" t="s">
        <v>4203</v>
      </c>
      <c r="D9" s="18" t="s">
        <v>297</v>
      </c>
      <c r="E9" s="18" t="s">
        <v>299</v>
      </c>
      <c r="F9" s="18" t="s">
        <v>295</v>
      </c>
      <c r="G9" s="18" t="s">
        <v>296</v>
      </c>
      <c r="H9" s="18" t="s">
        <v>298</v>
      </c>
    </row>
    <row r="10" spans="2:8" x14ac:dyDescent="0.35">
      <c r="B10" t="s">
        <v>4200</v>
      </c>
      <c r="C10" s="44">
        <f>SUM(D10:H10)</f>
        <v>135561.06073520964</v>
      </c>
      <c r="D10" s="45">
        <f>IFERROR(_xlfn.XLOOKUP(D$9,Sea!$CU$6:$CU$12,Sea!$CX$6:$CX$12,0),0)</f>
        <v>20068.384603953826</v>
      </c>
      <c r="E10" s="45">
        <f>IFERROR(_xlfn.XLOOKUP(E$9,Sea!$CU$6:$CU$12,Sea!$CX$6:$CX$12,0),0)</f>
        <v>67070.157774454216</v>
      </c>
      <c r="F10" s="45">
        <f>IFERROR(_xlfn.XLOOKUP(F$9,Sea!$CU$6:$CU$12,Sea!$CX$6:$CX$12,0),0)</f>
        <v>4647.2024077952083</v>
      </c>
      <c r="G10" s="45">
        <f>IFERROR(_xlfn.XLOOKUP(G$9,Sea!$CU$6:$CU$12,Sea!$CX$6:$CX$12,0),0)</f>
        <v>39522.267226995849</v>
      </c>
      <c r="H10" s="45">
        <f>IFERROR(_xlfn.XLOOKUP(H$9,Sea!$CU$6:$CU$12,Sea!$CX$6:$CX$12,0),0)</f>
        <v>4253.0487220105442</v>
      </c>
    </row>
    <row r="11" spans="2:8" x14ac:dyDescent="0.35">
      <c r="B11" t="s">
        <v>262</v>
      </c>
      <c r="C11" s="44">
        <f>SUM(D11:H11)</f>
        <v>4339.4760444359345</v>
      </c>
      <c r="D11" s="45"/>
      <c r="E11" s="45">
        <f>IFERROR(_xlfn.XLOOKUP(E$9,land!$CC$3:$CC$10,land!$CD$3:$CD$10,0),0)</f>
        <v>769.40911583495097</v>
      </c>
      <c r="F11" s="45">
        <f>IFERROR(_xlfn.XLOOKUP(F$9,land!$CC$3:$CC$10,land!$CD$3:$CD$10,0),0)</f>
        <v>1466.7408183729822</v>
      </c>
      <c r="G11" s="45">
        <f>IFERROR(_xlfn.XLOOKUP(G$9,land!$CC$3:$CC$10,land!$CD$3:$CD$10,0),0)</f>
        <v>234.83534681246465</v>
      </c>
      <c r="H11" s="45">
        <f>IFERROR(_xlfn.XLOOKUP(H$9,land!$CC$3:$CC$10,land!$CD$3:$CD$10,0),0)</f>
        <v>1868.4907634155361</v>
      </c>
    </row>
    <row r="12" spans="2:8" x14ac:dyDescent="0.35">
      <c r="B12" t="s">
        <v>261</v>
      </c>
      <c r="C12" s="44">
        <f>SUM(D12:H12)</f>
        <v>126981.16443418016</v>
      </c>
      <c r="D12" s="45">
        <f>IFERROR(_xlfn.XLOOKUP(D$9,Outbound!$BS$9:$BS$14,Outbound!$BT$9:$BT$14,0),0)</f>
        <v>27091.889759375143</v>
      </c>
      <c r="E12" s="45">
        <f>IFERROR(_xlfn.XLOOKUP(E$9,Outbound!$BS$9:$BS$14,Outbound!$BT$9:$BT$14,0),0)</f>
        <v>52061.001553099559</v>
      </c>
      <c r="F12" s="45">
        <f>IFERROR(_xlfn.XLOOKUP(F$9,Outbound!$BS$9:$BS$14,Outbound!$BT$9:$BT$14,0),0)</f>
        <v>4022.6962212646172</v>
      </c>
      <c r="G12" s="45">
        <f>IFERROR(_xlfn.XLOOKUP(G$9,Outbound!$BS$9:$BS$14,Outbound!$BT$9:$BT$14,0),0)</f>
        <v>40087.217048477221</v>
      </c>
      <c r="H12" s="45">
        <f>IFERROR(_xlfn.XLOOKUP(H$9,Outbound!$BS$9:$BS$14,Outbound!$BT$9:$BT$14,0),0)</f>
        <v>3718.3598519636107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CB3DC-B268-4E2A-ABF8-F56FA1EAA288}">
  <dimension ref="B1:BX271"/>
  <sheetViews>
    <sheetView topLeftCell="AX3" workbookViewId="0">
      <selection activeCell="BD11" sqref="BD11"/>
    </sheetView>
  </sheetViews>
  <sheetFormatPr defaultRowHeight="14.5" x14ac:dyDescent="0.35"/>
  <cols>
    <col min="2" max="2" width="16" bestFit="1" customWidth="1"/>
    <col min="4" max="4" width="14.453125" customWidth="1"/>
    <col min="5" max="6" width="13.453125" customWidth="1"/>
    <col min="7" max="7" width="23.36328125" bestFit="1" customWidth="1"/>
    <col min="42" max="42" width="10.26953125" bestFit="1" customWidth="1"/>
    <col min="44" max="44" width="18.7265625" bestFit="1" customWidth="1"/>
    <col min="50" max="50" width="10.54296875" bestFit="1" customWidth="1"/>
    <col min="55" max="55" width="13.453125" bestFit="1" customWidth="1"/>
    <col min="56" max="56" width="9.81640625" bestFit="1" customWidth="1"/>
    <col min="57" max="57" width="7.26953125" bestFit="1" customWidth="1"/>
    <col min="59" max="59" width="16" bestFit="1" customWidth="1"/>
    <col min="61" max="61" width="13.453125" bestFit="1" customWidth="1"/>
    <col min="62" max="62" width="39.08984375" bestFit="1" customWidth="1"/>
    <col min="66" max="67" width="8.90625" bestFit="1" customWidth="1"/>
  </cols>
  <sheetData>
    <row r="1" spans="2:76" x14ac:dyDescent="0.35">
      <c r="B1" s="27" t="s">
        <v>308</v>
      </c>
      <c r="BC1" s="27" t="s">
        <v>309</v>
      </c>
      <c r="BG1" s="27" t="s">
        <v>310</v>
      </c>
      <c r="BS1" s="27" t="s">
        <v>307</v>
      </c>
    </row>
    <row r="3" spans="2:76" x14ac:dyDescent="0.35">
      <c r="B3" s="18" cm="1">
        <f t="array" ref="B3:AY3">_xlfn.SEQUENCE(1,50)</f>
        <v>1</v>
      </c>
      <c r="C3" s="18">
        <v>2</v>
      </c>
      <c r="D3" s="18">
        <v>3</v>
      </c>
      <c r="E3" s="18">
        <v>4</v>
      </c>
      <c r="F3" s="18">
        <v>5</v>
      </c>
      <c r="G3" s="18">
        <v>6</v>
      </c>
      <c r="H3" s="18">
        <v>7</v>
      </c>
      <c r="I3" s="18">
        <v>8</v>
      </c>
      <c r="J3" s="18">
        <v>9</v>
      </c>
      <c r="K3" s="18">
        <v>10</v>
      </c>
      <c r="L3" s="18">
        <v>11</v>
      </c>
      <c r="M3" s="18">
        <v>12</v>
      </c>
      <c r="N3" s="18">
        <v>13</v>
      </c>
      <c r="O3" s="18">
        <v>14</v>
      </c>
      <c r="P3" s="18">
        <v>15</v>
      </c>
      <c r="Q3" s="18">
        <v>16</v>
      </c>
      <c r="R3" s="18">
        <v>17</v>
      </c>
      <c r="S3" s="18">
        <v>18</v>
      </c>
      <c r="T3" s="18">
        <v>19</v>
      </c>
      <c r="U3" s="18">
        <v>20</v>
      </c>
      <c r="V3" s="18">
        <v>21</v>
      </c>
      <c r="W3" s="18">
        <v>22</v>
      </c>
      <c r="X3" s="18">
        <v>23</v>
      </c>
      <c r="Y3" s="18">
        <v>24</v>
      </c>
      <c r="Z3" s="18">
        <v>25</v>
      </c>
      <c r="AA3" s="18">
        <v>26</v>
      </c>
      <c r="AB3" s="18">
        <v>27</v>
      </c>
      <c r="AC3" s="18">
        <v>28</v>
      </c>
      <c r="AD3" s="18">
        <v>29</v>
      </c>
      <c r="AE3" s="18">
        <v>30</v>
      </c>
      <c r="AF3" s="18">
        <v>31</v>
      </c>
      <c r="AG3" s="18">
        <v>32</v>
      </c>
      <c r="AH3" s="18">
        <v>33</v>
      </c>
      <c r="AI3" s="18">
        <v>34</v>
      </c>
      <c r="AJ3" s="18">
        <v>35</v>
      </c>
      <c r="AK3" s="18">
        <v>36</v>
      </c>
      <c r="AL3" s="18">
        <v>37</v>
      </c>
      <c r="AM3" s="18">
        <v>38</v>
      </c>
      <c r="AN3" s="18">
        <v>39</v>
      </c>
      <c r="AO3" s="18">
        <v>40</v>
      </c>
      <c r="AP3" s="18">
        <v>41</v>
      </c>
      <c r="AQ3" s="18">
        <v>42</v>
      </c>
      <c r="AR3" s="18">
        <v>43</v>
      </c>
      <c r="AS3" s="18">
        <v>44</v>
      </c>
      <c r="AT3" s="18">
        <v>45</v>
      </c>
      <c r="AU3" s="18">
        <v>46</v>
      </c>
      <c r="AV3" s="18">
        <v>47</v>
      </c>
      <c r="AW3" s="18">
        <v>48</v>
      </c>
      <c r="AX3" s="18">
        <v>49</v>
      </c>
      <c r="AY3" s="18">
        <v>50</v>
      </c>
      <c r="AZ3" s="18"/>
      <c r="BA3" s="18"/>
      <c r="BG3" cm="1">
        <f t="array" ref="BG3:BO3">_xlfn.TOROW(IF($B$4:$AY$4="x",_xlfn.ANCHORARRAY(B3),1/0),3)</f>
        <v>1</v>
      </c>
      <c r="BH3">
        <v>2</v>
      </c>
      <c r="BI3">
        <v>3</v>
      </c>
      <c r="BJ3">
        <v>4</v>
      </c>
      <c r="BK3">
        <v>5</v>
      </c>
      <c r="BL3">
        <v>13</v>
      </c>
      <c r="BM3">
        <v>14</v>
      </c>
      <c r="BN3">
        <v>43</v>
      </c>
      <c r="BO3">
        <v>44</v>
      </c>
      <c r="BV3" t="s">
        <v>3493</v>
      </c>
    </row>
    <row r="4" spans="2:76" x14ac:dyDescent="0.35">
      <c r="B4" s="18" t="s">
        <v>300</v>
      </c>
      <c r="C4" s="18" t="s">
        <v>300</v>
      </c>
      <c r="D4" s="18" t="s">
        <v>300</v>
      </c>
      <c r="E4" s="18" t="s">
        <v>300</v>
      </c>
      <c r="F4" s="18" t="s">
        <v>263</v>
      </c>
      <c r="G4" s="18"/>
      <c r="H4" s="18"/>
      <c r="I4" s="18"/>
      <c r="J4" s="18"/>
      <c r="K4" s="18"/>
      <c r="L4" s="18"/>
      <c r="M4" s="18"/>
      <c r="N4" s="18" t="s">
        <v>263</v>
      </c>
      <c r="O4" s="18" t="s">
        <v>263</v>
      </c>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t="s">
        <v>263</v>
      </c>
      <c r="AS4" s="18" t="s">
        <v>263</v>
      </c>
      <c r="AT4" s="18"/>
      <c r="AU4" s="18"/>
      <c r="AV4" s="18"/>
      <c r="AW4" s="18"/>
      <c r="AX4" s="18"/>
      <c r="AY4" s="18"/>
      <c r="AZ4" s="18"/>
      <c r="BA4" s="18"/>
      <c r="BG4" t="str" cm="1">
        <f t="array" ref="BG4:BO4">_xlfn.TOROW(IF($B$4:$AY$4="x",B8:AY8,1/0),3)</f>
        <v>Inbound/Outbound</v>
      </c>
      <c r="BH4" t="str">
        <v>Method</v>
      </c>
      <c r="BI4" t="str">
        <v>Reference</v>
      </c>
      <c r="BJ4" t="str">
        <v>BU</v>
      </c>
      <c r="BK4" t="str">
        <v>Gross Weight</v>
      </c>
      <c r="BL4" t="str">
        <v>Customer</v>
      </c>
      <c r="BM4" t="str">
        <v>Address</v>
      </c>
      <c r="BN4" t="str">
        <v>Item</v>
      </c>
      <c r="BO4" t="str">
        <v>Qty Pzas</v>
      </c>
      <c r="BV4" t="s">
        <v>3492</v>
      </c>
    </row>
    <row r="5" spans="2:76" x14ac:dyDescent="0.35">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row>
    <row r="6" spans="2:76" x14ac:dyDescent="0.35">
      <c r="BG6" t="s">
        <v>302</v>
      </c>
    </row>
    <row r="7" spans="2:76" x14ac:dyDescent="0.35">
      <c r="G7" s="1"/>
      <c r="H7" s="1"/>
      <c r="I7" s="1"/>
      <c r="J7" s="1"/>
      <c r="K7" s="1"/>
      <c r="L7" s="1"/>
      <c r="M7" s="1"/>
      <c r="N7" s="1"/>
      <c r="O7" s="1"/>
      <c r="P7" s="1"/>
      <c r="Q7" s="1"/>
      <c r="R7" s="75" t="s">
        <v>3</v>
      </c>
      <c r="S7" s="76"/>
      <c r="T7" s="77"/>
      <c r="U7" s="75" t="s">
        <v>4</v>
      </c>
      <c r="V7" s="76"/>
      <c r="W7" s="77"/>
      <c r="X7" s="75" t="s">
        <v>3</v>
      </c>
      <c r="Y7" s="76"/>
      <c r="Z7" s="77"/>
      <c r="AA7" s="75" t="s">
        <v>4</v>
      </c>
      <c r="AB7" s="76"/>
      <c r="AC7" s="77"/>
      <c r="AD7" s="75" t="s">
        <v>3</v>
      </c>
      <c r="AE7" s="76"/>
      <c r="AF7" s="77"/>
      <c r="AG7" s="75" t="s">
        <v>5</v>
      </c>
      <c r="AH7" s="76"/>
      <c r="AI7" s="77"/>
      <c r="AJ7" s="75" t="s">
        <v>6</v>
      </c>
      <c r="AK7" s="76"/>
      <c r="AL7" s="77"/>
      <c r="AM7" s="75" t="s">
        <v>7</v>
      </c>
      <c r="AN7" s="76"/>
      <c r="AO7" s="76"/>
      <c r="AP7" s="76"/>
      <c r="AQ7" s="77"/>
      <c r="AR7" s="78" t="s">
        <v>8</v>
      </c>
      <c r="AS7" s="79"/>
      <c r="AT7" s="79"/>
      <c r="AU7" s="75" t="s">
        <v>9</v>
      </c>
      <c r="AV7" s="76"/>
      <c r="AW7" s="76"/>
      <c r="AX7" s="76"/>
      <c r="AY7" s="76"/>
      <c r="AZ7" s="77"/>
    </row>
    <row r="8" spans="2:76" x14ac:dyDescent="0.35">
      <c r="B8" s="22" t="s">
        <v>0</v>
      </c>
      <c r="C8" s="22" t="s">
        <v>1</v>
      </c>
      <c r="D8" s="22" t="s">
        <v>2</v>
      </c>
      <c r="E8" s="22" t="s">
        <v>294</v>
      </c>
      <c r="F8" s="22" t="s">
        <v>301</v>
      </c>
      <c r="G8" s="2" t="s">
        <v>10</v>
      </c>
      <c r="H8" s="2" t="s">
        <v>11</v>
      </c>
      <c r="I8" s="2" t="s">
        <v>12</v>
      </c>
      <c r="J8" s="2" t="s">
        <v>13</v>
      </c>
      <c r="K8" s="2" t="s">
        <v>14</v>
      </c>
      <c r="L8" s="2" t="s">
        <v>15</v>
      </c>
      <c r="M8" s="2" t="s">
        <v>16</v>
      </c>
      <c r="N8" s="2" t="s">
        <v>17</v>
      </c>
      <c r="O8" s="2" t="s">
        <v>18</v>
      </c>
      <c r="P8" s="2" t="s">
        <v>19</v>
      </c>
      <c r="Q8" s="2" t="s">
        <v>18</v>
      </c>
      <c r="R8" s="2" t="s">
        <v>20</v>
      </c>
      <c r="S8" s="2" t="s">
        <v>21</v>
      </c>
      <c r="T8" s="19" t="s">
        <v>264</v>
      </c>
      <c r="U8" s="2" t="s">
        <v>20</v>
      </c>
      <c r="V8" s="2" t="s">
        <v>21</v>
      </c>
      <c r="W8" s="2" t="s">
        <v>22</v>
      </c>
      <c r="X8" s="2" t="s">
        <v>20</v>
      </c>
      <c r="Y8" s="2" t="s">
        <v>21</v>
      </c>
      <c r="Z8" s="19" t="s">
        <v>265</v>
      </c>
      <c r="AA8" s="2" t="s">
        <v>20</v>
      </c>
      <c r="AB8" s="2" t="s">
        <v>21</v>
      </c>
      <c r="AC8" s="2" t="s">
        <v>22</v>
      </c>
      <c r="AD8" s="3" t="s">
        <v>23</v>
      </c>
      <c r="AE8" s="3" t="s">
        <v>24</v>
      </c>
      <c r="AF8" s="3" t="s">
        <v>25</v>
      </c>
      <c r="AG8" s="3" t="s">
        <v>23</v>
      </c>
      <c r="AH8" s="3" t="s">
        <v>24</v>
      </c>
      <c r="AI8" s="4" t="s">
        <v>25</v>
      </c>
      <c r="AJ8" s="2" t="s">
        <v>26</v>
      </c>
      <c r="AK8" s="2" t="s">
        <v>27</v>
      </c>
      <c r="AL8" s="2" t="s">
        <v>28</v>
      </c>
      <c r="AM8" s="3" t="s">
        <v>29</v>
      </c>
      <c r="AN8" s="5" t="s">
        <v>26</v>
      </c>
      <c r="AO8" s="2" t="s">
        <v>28</v>
      </c>
      <c r="AP8" s="6" t="s">
        <v>30</v>
      </c>
      <c r="AQ8" s="2" t="s">
        <v>31</v>
      </c>
      <c r="AR8" s="2" t="s">
        <v>32</v>
      </c>
      <c r="AS8" s="7" t="s">
        <v>266</v>
      </c>
      <c r="AT8" s="8" t="s">
        <v>33</v>
      </c>
      <c r="AU8" s="3" t="s">
        <v>34</v>
      </c>
      <c r="AV8" s="7" t="s">
        <v>35</v>
      </c>
      <c r="AW8" s="9" t="s">
        <v>33</v>
      </c>
      <c r="AX8" s="3" t="s">
        <v>35</v>
      </c>
      <c r="AY8" s="2" t="s">
        <v>36</v>
      </c>
      <c r="AZ8" s="2" t="s">
        <v>35</v>
      </c>
      <c r="BC8" t="s">
        <v>2</v>
      </c>
      <c r="BD8" t="s">
        <v>267</v>
      </c>
      <c r="BE8" t="s">
        <v>268</v>
      </c>
      <c r="BG8" t="s">
        <v>0</v>
      </c>
      <c r="BH8" t="s">
        <v>1</v>
      </c>
      <c r="BI8" t="s">
        <v>2</v>
      </c>
      <c r="BJ8" t="s">
        <v>17</v>
      </c>
      <c r="BK8" t="s">
        <v>303</v>
      </c>
      <c r="BL8" t="s">
        <v>294</v>
      </c>
      <c r="BM8" t="s">
        <v>32</v>
      </c>
      <c r="BN8" t="s">
        <v>266</v>
      </c>
      <c r="BO8" t="s">
        <v>301</v>
      </c>
      <c r="BP8" t="s">
        <v>305</v>
      </c>
      <c r="BQ8" t="s">
        <v>306</v>
      </c>
      <c r="BS8" t="s">
        <v>294</v>
      </c>
      <c r="BT8" t="s">
        <v>311</v>
      </c>
      <c r="BU8" t="s">
        <v>312</v>
      </c>
      <c r="BV8" s="32" t="s">
        <v>3491</v>
      </c>
      <c r="BW8" t="s">
        <v>3494</v>
      </c>
      <c r="BX8" t="s">
        <v>3495</v>
      </c>
    </row>
    <row r="9" spans="2:76" x14ac:dyDescent="0.35">
      <c r="B9" t="s">
        <v>261</v>
      </c>
      <c r="C9" t="s">
        <v>262</v>
      </c>
      <c r="D9" t="str" cm="1">
        <f t="array" ref="D9">_xlfn.REGEXEXTRACT(G9,"FG-R-\d{4}LE\d{2}")</f>
        <v>FG-R-2180LE25</v>
      </c>
      <c r="E9" t="s">
        <v>295</v>
      </c>
      <c r="F9" s="23" cm="1">
        <f t="array" ref="F9">_xlfn.SWITCH(TRUE,T9&gt;0,T9,Z9)</f>
        <v>1098.8</v>
      </c>
      <c r="G9" s="10" t="s">
        <v>37</v>
      </c>
      <c r="H9" s="10" t="s">
        <v>38</v>
      </c>
      <c r="I9" s="10" t="s">
        <v>39</v>
      </c>
      <c r="J9" s="11" t="s">
        <v>40</v>
      </c>
      <c r="K9" s="11" t="s">
        <v>40</v>
      </c>
      <c r="L9" s="10" t="s">
        <v>41</v>
      </c>
      <c r="M9" s="10" t="s">
        <v>42</v>
      </c>
      <c r="N9" s="10" t="s">
        <v>43</v>
      </c>
      <c r="O9" s="10" t="s">
        <v>44</v>
      </c>
      <c r="P9" s="10" t="s">
        <v>45</v>
      </c>
      <c r="Q9" s="10" t="s">
        <v>46</v>
      </c>
      <c r="R9" s="12">
        <v>5</v>
      </c>
      <c r="S9" s="13">
        <v>993.8</v>
      </c>
      <c r="T9" s="13">
        <v>1098.8</v>
      </c>
      <c r="U9" s="12">
        <v>100</v>
      </c>
      <c r="V9" s="13">
        <v>870.6</v>
      </c>
      <c r="W9" s="13">
        <v>993.8</v>
      </c>
      <c r="X9" s="12">
        <v>0</v>
      </c>
      <c r="Y9" s="13">
        <v>0</v>
      </c>
      <c r="Z9" s="13">
        <v>0</v>
      </c>
      <c r="AA9" s="12">
        <v>0</v>
      </c>
      <c r="AB9" s="13">
        <v>0</v>
      </c>
      <c r="AC9" s="13">
        <v>0</v>
      </c>
      <c r="AD9" s="12">
        <v>0</v>
      </c>
      <c r="AE9" s="12">
        <v>5</v>
      </c>
      <c r="AF9" s="12">
        <v>0</v>
      </c>
      <c r="AG9" s="12">
        <v>0</v>
      </c>
      <c r="AH9" s="12">
        <v>5</v>
      </c>
      <c r="AI9" s="12">
        <v>0</v>
      </c>
      <c r="AJ9" s="10">
        <v>6171311</v>
      </c>
      <c r="AK9" s="10" t="s">
        <v>47</v>
      </c>
      <c r="AL9" s="14" t="s">
        <v>48</v>
      </c>
      <c r="AM9" s="10" t="s">
        <v>49</v>
      </c>
      <c r="AN9" s="15">
        <v>202300058566</v>
      </c>
      <c r="AO9" s="16" t="s">
        <v>50</v>
      </c>
      <c r="AP9" s="17">
        <v>22122.35</v>
      </c>
      <c r="AQ9" s="10" t="s">
        <v>51</v>
      </c>
      <c r="AR9" s="10" t="s">
        <v>52</v>
      </c>
      <c r="AS9" s="12">
        <v>600</v>
      </c>
      <c r="AT9" s="10" t="s">
        <v>53</v>
      </c>
      <c r="AU9" s="10">
        <v>40151503</v>
      </c>
      <c r="AV9" s="10" t="s">
        <v>54</v>
      </c>
      <c r="AW9" s="10" t="s">
        <v>55</v>
      </c>
      <c r="AX9" s="10" t="s">
        <v>56</v>
      </c>
      <c r="AY9" s="10" t="s">
        <v>57</v>
      </c>
      <c r="AZ9" s="10" t="s">
        <v>58</v>
      </c>
      <c r="BC9" t="s">
        <v>269</v>
      </c>
      <c r="BD9" s="21">
        <v>5775</v>
      </c>
      <c r="BE9" s="21">
        <v>5775</v>
      </c>
      <c r="BG9" t="str" cm="1">
        <f t="array" ref="BG9:BO263">_xlfn.LET(_xlpm.list,$BC$9:$BC$33,_xlpm.data,_xlfn.CHOOSECOLS($B$8:$AZ$263,1,2,3,13,14,4,43,44,5),_xlpm.out,_xlfn.DROP(_xlfn.REDUCE("",_xlfn.SEQUENCE(ROWS(_xlpm.list)),_xlfn.LAMBDA(_xlpm.a,_xlpm.b,_xlfn.VSTACK(_xlpm.a,_xlfn._xlws.FILTER(_xlpm.data,_xlfn.CHOOSECOLS(_xlpm.data,3)=INDEX(_xlpm.list,_xlpm.b),"No data")))),1),_xlpm.out)</f>
        <v>Outbound</v>
      </c>
      <c r="BH9" t="str">
        <v>Land</v>
      </c>
      <c r="BI9" t="str">
        <v>FG-R-2180LE25</v>
      </c>
      <c r="BJ9" t="str">
        <v>JOHNSON ELECTRIC NORTH AMERICA, INC.</v>
      </c>
      <c r="BK9" t="str">
        <v xml:space="preserve">(TDS) Transcontinental Distribution Services, Inc 14213 Transportation Ave    </v>
      </c>
      <c r="BL9" t="str">
        <v>M23</v>
      </c>
      <c r="BM9" t="str">
        <v>1908-1E90003RN</v>
      </c>
      <c r="BN9" s="24">
        <v>600</v>
      </c>
      <c r="BO9" s="23">
        <v>1098.8</v>
      </c>
      <c r="BP9" s="26">
        <f>BO9/SUMIFS($BO:$BO,$BI:$BI,BI9)</f>
        <v>6.1965597476261E-2</v>
      </c>
      <c r="BQ9" s="21">
        <f>_xlfn.XLOOKUP(BI9,$BC:$BC,$BE:$BE)*BP9</f>
        <v>357.85132542540725</v>
      </c>
      <c r="BS9" t="str" cm="1">
        <f t="array" ref="BS9:BU14">_xlfn.DROP(_xlfn.GROUPBY($BL$8:$BL$263,BQ8:BQ263,_xlfn.HSTACK(_xleta.SUM,_xleta.PERCENTOF),1,1),1)</f>
        <v>M01</v>
      </c>
      <c r="BT9" s="21">
        <v>27091.889759375143</v>
      </c>
      <c r="BU9" s="28">
        <v>0.21335360941203255</v>
      </c>
      <c r="BV9" s="33"/>
      <c r="BW9" s="31">
        <f>BT9-BV9</f>
        <v>27091.889759375143</v>
      </c>
      <c r="BX9" s="25">
        <f>BW9/BW$14</f>
        <v>0.28523434010065463</v>
      </c>
    </row>
    <row r="10" spans="2:76" x14ac:dyDescent="0.35">
      <c r="B10" t="s">
        <v>261</v>
      </c>
      <c r="C10" t="s">
        <v>262</v>
      </c>
      <c r="D10" t="str" cm="1">
        <f t="array" ref="D10">_xlfn.REGEXEXTRACT(G10,"FG-R-\d{4}LE\d{2}")</f>
        <v>FG-R-2180LE25</v>
      </c>
      <c r="E10" t="s">
        <v>295</v>
      </c>
      <c r="F10" s="23" cm="1">
        <f t="array" ref="F10">_xlfn.SWITCH(TRUE,T10&gt;0,T10,Z10)</f>
        <v>1538.32</v>
      </c>
      <c r="G10" s="10" t="s">
        <v>37</v>
      </c>
      <c r="H10" s="10" t="s">
        <v>38</v>
      </c>
      <c r="I10" s="10" t="s">
        <v>39</v>
      </c>
      <c r="J10" s="11" t="s">
        <v>40</v>
      </c>
      <c r="K10" s="11" t="s">
        <v>40</v>
      </c>
      <c r="L10" s="10" t="s">
        <v>41</v>
      </c>
      <c r="M10" s="10" t="s">
        <v>42</v>
      </c>
      <c r="N10" s="10" t="s">
        <v>43</v>
      </c>
      <c r="O10" s="10" t="s">
        <v>44</v>
      </c>
      <c r="P10" s="10" t="s">
        <v>45</v>
      </c>
      <c r="Q10" s="10" t="s">
        <v>46</v>
      </c>
      <c r="R10" s="12">
        <v>7</v>
      </c>
      <c r="S10" s="13">
        <v>1391.32</v>
      </c>
      <c r="T10" s="13">
        <v>1538.32</v>
      </c>
      <c r="U10" s="12">
        <v>140</v>
      </c>
      <c r="V10" s="13">
        <v>1218.8399999999999</v>
      </c>
      <c r="W10" s="13">
        <v>1391.32</v>
      </c>
      <c r="X10" s="12">
        <v>0</v>
      </c>
      <c r="Y10" s="13">
        <v>0</v>
      </c>
      <c r="Z10" s="13">
        <v>0</v>
      </c>
      <c r="AA10" s="12">
        <v>0</v>
      </c>
      <c r="AB10" s="13">
        <v>0</v>
      </c>
      <c r="AC10" s="13">
        <v>0</v>
      </c>
      <c r="AD10" s="12">
        <v>0</v>
      </c>
      <c r="AE10" s="12">
        <v>7</v>
      </c>
      <c r="AF10" s="12">
        <v>0</v>
      </c>
      <c r="AG10" s="12">
        <v>0</v>
      </c>
      <c r="AH10" s="12">
        <v>7</v>
      </c>
      <c r="AI10" s="12">
        <v>0</v>
      </c>
      <c r="AJ10" s="10">
        <v>6171313</v>
      </c>
      <c r="AK10" s="10" t="s">
        <v>47</v>
      </c>
      <c r="AL10" s="14" t="s">
        <v>48</v>
      </c>
      <c r="AM10" s="10" t="s">
        <v>49</v>
      </c>
      <c r="AN10" s="15">
        <v>202300058567</v>
      </c>
      <c r="AO10" s="16" t="s">
        <v>50</v>
      </c>
      <c r="AP10" s="17">
        <v>30971.29</v>
      </c>
      <c r="AQ10" s="10" t="s">
        <v>51</v>
      </c>
      <c r="AR10" s="10" t="s">
        <v>52</v>
      </c>
      <c r="AS10" s="12">
        <v>840</v>
      </c>
      <c r="AT10" s="10" t="s">
        <v>53</v>
      </c>
      <c r="AU10" s="10">
        <v>40151503</v>
      </c>
      <c r="AV10" s="10" t="s">
        <v>54</v>
      </c>
      <c r="AW10" s="10" t="s">
        <v>55</v>
      </c>
      <c r="AX10" s="10" t="s">
        <v>56</v>
      </c>
      <c r="AY10" s="10" t="s">
        <v>57</v>
      </c>
      <c r="AZ10" s="10" t="s">
        <v>58</v>
      </c>
      <c r="BA10" s="29" t="s">
        <v>395</v>
      </c>
      <c r="BC10" t="s">
        <v>270</v>
      </c>
      <c r="BD10" s="21">
        <v>4545</v>
      </c>
      <c r="BE10" s="21">
        <v>4545</v>
      </c>
      <c r="BG10" t="str">
        <v>Outbound</v>
      </c>
      <c r="BH10" t="str">
        <v>Land</v>
      </c>
      <c r="BI10" t="str">
        <v>FG-R-2180LE25</v>
      </c>
      <c r="BJ10" t="str">
        <v>JOHNSON ELECTRIC NORTH AMERICA, INC.</v>
      </c>
      <c r="BK10" t="str">
        <v xml:space="preserve">(TDS) Transcontinental Distribution Services, Inc 14213 Transportation Ave    </v>
      </c>
      <c r="BL10" t="str">
        <v>M23</v>
      </c>
      <c r="BM10" t="str">
        <v>1908-1E90003RN</v>
      </c>
      <c r="BN10" s="24">
        <v>840</v>
      </c>
      <c r="BO10" s="23">
        <v>1538.32</v>
      </c>
      <c r="BP10" s="26">
        <f t="shared" ref="BP10:BP73" si="0">BO10/SUMIFS($BO:$BO,$BI:$BI,BI10)</f>
        <v>8.6751836466765403E-2</v>
      </c>
      <c r="BQ10" s="21">
        <f t="shared" ref="BQ10:BQ73" si="1">_xlfn.XLOOKUP(BI10,$BC:$BC,$BE:$BE)*BP10</f>
        <v>500.9918555955702</v>
      </c>
      <c r="BS10" t="str">
        <v>M19</v>
      </c>
      <c r="BT10" s="21">
        <v>52061.001553099559</v>
      </c>
      <c r="BU10" s="28">
        <v>0.40998995232938701</v>
      </c>
      <c r="BV10" s="33">
        <v>32000</v>
      </c>
      <c r="BW10" s="31">
        <f t="shared" ref="BW10:BW13" si="2">BT10-BV10</f>
        <v>20061.001553099559</v>
      </c>
      <c r="BX10" s="25">
        <f t="shared" ref="BX10:BX13" si="3">BW10/BW$14</f>
        <v>0.2112103138828266</v>
      </c>
    </row>
    <row r="11" spans="2:76" x14ac:dyDescent="0.35">
      <c r="B11" t="s">
        <v>261</v>
      </c>
      <c r="C11" t="s">
        <v>262</v>
      </c>
      <c r="D11" t="str" cm="1">
        <f t="array" ref="D11">_xlfn.REGEXEXTRACT(G11,"FG-R-\d{4}LE\d{2}")</f>
        <v>FG-R-2180LE25</v>
      </c>
      <c r="E11" t="s">
        <v>295</v>
      </c>
      <c r="F11" s="23" cm="1">
        <f t="array" ref="F11">_xlfn.SWITCH(TRUE,T11&gt;0,T11,Z11)</f>
        <v>80.628</v>
      </c>
      <c r="G11" s="10" t="s">
        <v>37</v>
      </c>
      <c r="H11" s="10" t="s">
        <v>38</v>
      </c>
      <c r="I11" s="10" t="s">
        <v>39</v>
      </c>
      <c r="J11" s="11" t="s">
        <v>40</v>
      </c>
      <c r="K11" s="11" t="s">
        <v>40</v>
      </c>
      <c r="L11" s="10" t="s">
        <v>41</v>
      </c>
      <c r="M11" s="10" t="s">
        <v>42</v>
      </c>
      <c r="N11" s="10" t="s">
        <v>43</v>
      </c>
      <c r="O11" s="10" t="s">
        <v>44</v>
      </c>
      <c r="P11" s="10" t="s">
        <v>45</v>
      </c>
      <c r="Q11" s="10" t="s">
        <v>46</v>
      </c>
      <c r="R11" s="12">
        <v>0</v>
      </c>
      <c r="S11" s="13">
        <v>0</v>
      </c>
      <c r="T11" s="13">
        <v>0</v>
      </c>
      <c r="U11" s="12">
        <v>0</v>
      </c>
      <c r="V11" s="13">
        <v>0</v>
      </c>
      <c r="W11" s="13">
        <v>0</v>
      </c>
      <c r="X11" s="12">
        <v>1</v>
      </c>
      <c r="Y11" s="13">
        <v>59.628</v>
      </c>
      <c r="Z11" s="13">
        <v>80.628</v>
      </c>
      <c r="AA11" s="12">
        <v>6</v>
      </c>
      <c r="AB11" s="13">
        <v>52.235999999999997</v>
      </c>
      <c r="AC11" s="13">
        <v>59.628</v>
      </c>
      <c r="AD11" s="12">
        <v>1</v>
      </c>
      <c r="AE11" s="12">
        <v>0</v>
      </c>
      <c r="AF11" s="12">
        <v>0</v>
      </c>
      <c r="AG11" s="12">
        <v>0</v>
      </c>
      <c r="AH11" s="12">
        <v>1</v>
      </c>
      <c r="AI11" s="12">
        <v>0</v>
      </c>
      <c r="AJ11" s="10">
        <v>6171332</v>
      </c>
      <c r="AK11" s="10" t="s">
        <v>47</v>
      </c>
      <c r="AL11" s="14" t="s">
        <v>48</v>
      </c>
      <c r="AM11" s="10" t="s">
        <v>49</v>
      </c>
      <c r="AN11" s="15">
        <v>202300058569</v>
      </c>
      <c r="AO11" s="16" t="s">
        <v>50</v>
      </c>
      <c r="AP11" s="17">
        <v>1455.55</v>
      </c>
      <c r="AQ11" s="10" t="s">
        <v>51</v>
      </c>
      <c r="AR11" s="10" t="s">
        <v>59</v>
      </c>
      <c r="AS11" s="12">
        <v>36</v>
      </c>
      <c r="AT11" s="10" t="s">
        <v>53</v>
      </c>
      <c r="AU11" s="10">
        <v>40151503</v>
      </c>
      <c r="AV11" s="10" t="s">
        <v>54</v>
      </c>
      <c r="AW11" s="10" t="s">
        <v>55</v>
      </c>
      <c r="AX11" s="10" t="s">
        <v>56</v>
      </c>
      <c r="AY11" s="10" t="s">
        <v>57</v>
      </c>
      <c r="AZ11" s="10" t="s">
        <v>58</v>
      </c>
      <c r="BA11" s="29" t="s">
        <v>395</v>
      </c>
      <c r="BC11" t="s">
        <v>271</v>
      </c>
      <c r="BD11" s="21">
        <v>6025</v>
      </c>
      <c r="BE11" s="21">
        <v>6025</v>
      </c>
      <c r="BG11" t="str">
        <v>Outbound</v>
      </c>
      <c r="BH11" t="str">
        <v>Land</v>
      </c>
      <c r="BI11" t="str">
        <v>FG-R-2180LE25</v>
      </c>
      <c r="BJ11" t="str">
        <v>JOHNSON ELECTRIC NORTH AMERICA, INC.</v>
      </c>
      <c r="BK11" t="str">
        <v xml:space="preserve">(TDS) Transcontinental Distribution Services, Inc 14213 Transportation Ave    </v>
      </c>
      <c r="BL11" t="str">
        <v>M23</v>
      </c>
      <c r="BM11" t="str">
        <v>1908-1E90003R1</v>
      </c>
      <c r="BN11" s="24">
        <v>36</v>
      </c>
      <c r="BO11" s="23">
        <v>80.628</v>
      </c>
      <c r="BP11" s="26">
        <f t="shared" si="0"/>
        <v>4.54692591310154E-3</v>
      </c>
      <c r="BQ11" s="21">
        <f t="shared" si="1"/>
        <v>26.258497148161393</v>
      </c>
      <c r="BS11" t="str">
        <v>M23</v>
      </c>
      <c r="BT11" s="21">
        <v>4022.6962212646172</v>
      </c>
      <c r="BU11" s="28">
        <v>3.1679471827097287E-2</v>
      </c>
      <c r="BV11" s="33"/>
      <c r="BW11" s="31">
        <f t="shared" si="2"/>
        <v>4022.6962212646172</v>
      </c>
      <c r="BX11" s="25">
        <f t="shared" si="3"/>
        <v>4.2352567956273651E-2</v>
      </c>
    </row>
    <row r="12" spans="2:76" x14ac:dyDescent="0.35">
      <c r="B12" t="s">
        <v>261</v>
      </c>
      <c r="C12" t="s">
        <v>262</v>
      </c>
      <c r="D12" t="str" cm="1">
        <f t="array" ref="D12">_xlfn.REGEXEXTRACT(G12,"FG-R-\d{4}LE\d{2}")</f>
        <v>FG-R-2180LE25</v>
      </c>
      <c r="E12" t="s">
        <v>296</v>
      </c>
      <c r="F12" s="23" cm="1">
        <f t="array" ref="F12">_xlfn.SWITCH(TRUE,T12&gt;0,T12,Z12)</f>
        <v>5299.2960000000003</v>
      </c>
      <c r="G12" s="10" t="s">
        <v>41</v>
      </c>
      <c r="H12" s="10" t="s">
        <v>38</v>
      </c>
      <c r="I12" s="10" t="s">
        <v>39</v>
      </c>
      <c r="J12" s="11" t="s">
        <v>40</v>
      </c>
      <c r="K12" s="11" t="s">
        <v>40</v>
      </c>
      <c r="L12" s="10" t="s">
        <v>41</v>
      </c>
      <c r="M12" s="10" t="s">
        <v>42</v>
      </c>
      <c r="N12" s="10" t="s">
        <v>43</v>
      </c>
      <c r="O12" s="10" t="s">
        <v>60</v>
      </c>
      <c r="P12" s="10" t="s">
        <v>45</v>
      </c>
      <c r="Q12" s="10" t="s">
        <v>46</v>
      </c>
      <c r="R12" s="12">
        <v>12</v>
      </c>
      <c r="S12" s="13">
        <v>5077.2960000000003</v>
      </c>
      <c r="T12" s="13">
        <v>5299.2960000000003</v>
      </c>
      <c r="U12" s="12">
        <v>504</v>
      </c>
      <c r="V12" s="13">
        <v>4886.7839999999997</v>
      </c>
      <c r="W12" s="13">
        <v>5077.2960000000003</v>
      </c>
      <c r="X12" s="12">
        <v>0</v>
      </c>
      <c r="Y12" s="13">
        <v>0</v>
      </c>
      <c r="Z12" s="13">
        <v>0</v>
      </c>
      <c r="AA12" s="12">
        <v>0</v>
      </c>
      <c r="AB12" s="13">
        <v>0</v>
      </c>
      <c r="AC12" s="13">
        <v>0</v>
      </c>
      <c r="AD12" s="12">
        <v>12</v>
      </c>
      <c r="AE12" s="12">
        <v>0</v>
      </c>
      <c r="AF12" s="12">
        <v>0</v>
      </c>
      <c r="AG12" s="12">
        <v>12</v>
      </c>
      <c r="AH12" s="12">
        <v>0</v>
      </c>
      <c r="AI12" s="12">
        <v>0</v>
      </c>
      <c r="AJ12" s="10">
        <v>6171300</v>
      </c>
      <c r="AK12" s="10" t="s">
        <v>47</v>
      </c>
      <c r="AL12" s="14" t="s">
        <v>48</v>
      </c>
      <c r="AM12" s="10" t="s">
        <v>49</v>
      </c>
      <c r="AN12" s="15">
        <v>202300058563</v>
      </c>
      <c r="AO12" s="16" t="s">
        <v>50</v>
      </c>
      <c r="AP12" s="17">
        <v>36914.879999999997</v>
      </c>
      <c r="AQ12" s="10" t="s">
        <v>51</v>
      </c>
      <c r="AR12" s="10" t="s">
        <v>61</v>
      </c>
      <c r="AS12" s="12">
        <v>6048</v>
      </c>
      <c r="AT12" s="10" t="s">
        <v>53</v>
      </c>
      <c r="AU12" s="10">
        <v>40151500</v>
      </c>
      <c r="AV12" s="10" t="s">
        <v>62</v>
      </c>
      <c r="AW12" s="10" t="s">
        <v>55</v>
      </c>
      <c r="AX12" s="10" t="s">
        <v>56</v>
      </c>
      <c r="AY12" s="10" t="s">
        <v>63</v>
      </c>
      <c r="AZ12" s="10" t="s">
        <v>64</v>
      </c>
      <c r="BA12" s="29" t="s">
        <v>395</v>
      </c>
      <c r="BC12" t="s">
        <v>272</v>
      </c>
      <c r="BD12" s="21">
        <v>5197</v>
      </c>
      <c r="BE12" s="21">
        <v>5197</v>
      </c>
      <c r="BG12" t="str">
        <v>Outbound</v>
      </c>
      <c r="BH12" t="str">
        <v>Land</v>
      </c>
      <c r="BI12" t="str">
        <v>FG-R-2180LE25</v>
      </c>
      <c r="BJ12" t="str">
        <v>JOHNSON ELECTRIC NORTH AMERICA, INC.</v>
      </c>
      <c r="BK12" t="str">
        <v xml:space="preserve">APX WH  6001 GLOBAL DISTRIBUTION WAY LOUISVILLE, KY 40228    </v>
      </c>
      <c r="BL12" t="str">
        <v>M45</v>
      </c>
      <c r="BM12" t="str">
        <v>1999-1E30016EU</v>
      </c>
      <c r="BN12" s="24">
        <v>6048</v>
      </c>
      <c r="BO12" s="23">
        <v>5299.2960000000003</v>
      </c>
      <c r="BP12" s="26">
        <f t="shared" si="0"/>
        <v>0.29884787299195492</v>
      </c>
      <c r="BQ12" s="21">
        <f t="shared" si="1"/>
        <v>1725.8464665285396</v>
      </c>
      <c r="BS12" t="str">
        <v>M45</v>
      </c>
      <c r="BT12" s="21">
        <v>40087.217048477221</v>
      </c>
      <c r="BU12" s="28">
        <v>0.31569419942794885</v>
      </c>
      <c r="BV12" s="33"/>
      <c r="BW12" s="31">
        <f t="shared" si="2"/>
        <v>40087.217048477221</v>
      </c>
      <c r="BX12" s="25">
        <f t="shared" si="3"/>
        <v>0.42205438612259566</v>
      </c>
    </row>
    <row r="13" spans="2:76" x14ac:dyDescent="0.35">
      <c r="B13" t="s">
        <v>261</v>
      </c>
      <c r="C13" t="s">
        <v>262</v>
      </c>
      <c r="D13" t="str" cm="1">
        <f t="array" ref="D13">_xlfn.REGEXEXTRACT(G13,"FG-R-\d{4}LE\d{2}")</f>
        <v>FG-R-2180LE25</v>
      </c>
      <c r="E13" t="s">
        <v>296</v>
      </c>
      <c r="F13" s="23" cm="1">
        <f t="array" ref="F13">_xlfn.SWITCH(TRUE,T13&gt;0,T13,Z13)</f>
        <v>3974.4720000000002</v>
      </c>
      <c r="G13" s="10" t="s">
        <v>41</v>
      </c>
      <c r="H13" s="10" t="s">
        <v>38</v>
      </c>
      <c r="I13" s="10" t="s">
        <v>39</v>
      </c>
      <c r="J13" s="11" t="s">
        <v>40</v>
      </c>
      <c r="K13" s="11" t="s">
        <v>40</v>
      </c>
      <c r="L13" s="10" t="s">
        <v>41</v>
      </c>
      <c r="M13" s="10" t="s">
        <v>42</v>
      </c>
      <c r="N13" s="10" t="s">
        <v>43</v>
      </c>
      <c r="O13" s="10" t="s">
        <v>60</v>
      </c>
      <c r="P13" s="10" t="s">
        <v>45</v>
      </c>
      <c r="Q13" s="10" t="s">
        <v>46</v>
      </c>
      <c r="R13" s="12">
        <v>9</v>
      </c>
      <c r="S13" s="13">
        <v>3807.9720000000002</v>
      </c>
      <c r="T13" s="13">
        <v>3974.4720000000002</v>
      </c>
      <c r="U13" s="12">
        <v>378</v>
      </c>
      <c r="V13" s="13">
        <v>3665.0880000000002</v>
      </c>
      <c r="W13" s="13">
        <v>3807.9720000000002</v>
      </c>
      <c r="X13" s="12">
        <v>0</v>
      </c>
      <c r="Y13" s="13">
        <v>0</v>
      </c>
      <c r="Z13" s="13">
        <v>0</v>
      </c>
      <c r="AA13" s="12">
        <v>0</v>
      </c>
      <c r="AB13" s="13">
        <v>0</v>
      </c>
      <c r="AC13" s="13">
        <v>0</v>
      </c>
      <c r="AD13" s="12">
        <v>9</v>
      </c>
      <c r="AE13" s="12">
        <v>0</v>
      </c>
      <c r="AF13" s="12">
        <v>0</v>
      </c>
      <c r="AG13" s="12">
        <v>9</v>
      </c>
      <c r="AH13" s="12">
        <v>0</v>
      </c>
      <c r="AI13" s="12">
        <v>0</v>
      </c>
      <c r="AJ13" s="10">
        <v>6171301</v>
      </c>
      <c r="AK13" s="10" t="s">
        <v>47</v>
      </c>
      <c r="AL13" s="14" t="s">
        <v>48</v>
      </c>
      <c r="AM13" s="10" t="s">
        <v>49</v>
      </c>
      <c r="AN13" s="15">
        <v>202300058564</v>
      </c>
      <c r="AO13" s="16" t="s">
        <v>50</v>
      </c>
      <c r="AP13" s="17">
        <v>27686.16</v>
      </c>
      <c r="AQ13" s="10" t="s">
        <v>51</v>
      </c>
      <c r="AR13" s="10" t="s">
        <v>61</v>
      </c>
      <c r="AS13" s="12">
        <v>4536</v>
      </c>
      <c r="AT13" s="10" t="s">
        <v>53</v>
      </c>
      <c r="AU13" s="10">
        <v>40151500</v>
      </c>
      <c r="AV13" s="10" t="s">
        <v>62</v>
      </c>
      <c r="AW13" s="10" t="s">
        <v>55</v>
      </c>
      <c r="AX13" s="10" t="s">
        <v>56</v>
      </c>
      <c r="AY13" s="10" t="s">
        <v>63</v>
      </c>
      <c r="AZ13" s="10" t="s">
        <v>64</v>
      </c>
      <c r="BA13" s="30" t="s">
        <v>395</v>
      </c>
      <c r="BC13" t="s">
        <v>273</v>
      </c>
      <c r="BD13" s="21">
        <v>906.60277136258662</v>
      </c>
      <c r="BE13" s="21">
        <v>4918.7602771362599</v>
      </c>
      <c r="BG13" t="str">
        <v>Outbound</v>
      </c>
      <c r="BH13" t="str">
        <v>Land</v>
      </c>
      <c r="BI13" t="str">
        <v>FG-R-2180LE25</v>
      </c>
      <c r="BJ13" t="str">
        <v>JOHNSON ELECTRIC NORTH AMERICA, INC.</v>
      </c>
      <c r="BK13" t="str">
        <v xml:space="preserve">APX WH  6001 GLOBAL DISTRIBUTION WAY LOUISVILLE, KY 40228    </v>
      </c>
      <c r="BL13" t="str">
        <v>M45</v>
      </c>
      <c r="BM13" t="str">
        <v>1999-1E30016EU</v>
      </c>
      <c r="BN13" s="24">
        <v>4536</v>
      </c>
      <c r="BO13" s="23">
        <v>3974.4720000000002</v>
      </c>
      <c r="BP13" s="26">
        <f t="shared" si="0"/>
        <v>0.22413590474396616</v>
      </c>
      <c r="BQ13" s="21">
        <f t="shared" si="1"/>
        <v>1294.3848498964046</v>
      </c>
      <c r="BS13" t="str">
        <v>M46</v>
      </c>
      <c r="BT13" s="21">
        <v>3718.3598519636107</v>
      </c>
      <c r="BU13" s="28">
        <v>2.9282767003534601E-2</v>
      </c>
      <c r="BV13" s="33"/>
      <c r="BW13" s="31">
        <f t="shared" si="2"/>
        <v>3718.3598519636107</v>
      </c>
      <c r="BX13" s="25">
        <f t="shared" si="3"/>
        <v>3.91483919376494E-2</v>
      </c>
    </row>
    <row r="14" spans="2:76" x14ac:dyDescent="0.35">
      <c r="B14" t="s">
        <v>261</v>
      </c>
      <c r="C14" t="s">
        <v>262</v>
      </c>
      <c r="D14" t="str" cm="1">
        <f t="array" ref="D14">_xlfn.REGEXEXTRACT(G14,"FG-R-\d{4}LE\d{2}")</f>
        <v>FG-R-2180LE25</v>
      </c>
      <c r="E14" t="s">
        <v>296</v>
      </c>
      <c r="F14" s="23" cm="1">
        <f t="array" ref="F14">_xlfn.SWITCH(TRUE,T14&gt;0,T14,Z14)</f>
        <v>5740.9040000000005</v>
      </c>
      <c r="G14" s="10" t="s">
        <v>41</v>
      </c>
      <c r="H14" s="10" t="s">
        <v>38</v>
      </c>
      <c r="I14" s="10" t="s">
        <v>39</v>
      </c>
      <c r="J14" s="11" t="s">
        <v>40</v>
      </c>
      <c r="K14" s="11" t="s">
        <v>40</v>
      </c>
      <c r="L14" s="10" t="s">
        <v>41</v>
      </c>
      <c r="M14" s="10" t="s">
        <v>42</v>
      </c>
      <c r="N14" s="10" t="s">
        <v>43</v>
      </c>
      <c r="O14" s="10" t="s">
        <v>60</v>
      </c>
      <c r="P14" s="10" t="s">
        <v>45</v>
      </c>
      <c r="Q14" s="10" t="s">
        <v>46</v>
      </c>
      <c r="R14" s="12">
        <v>13</v>
      </c>
      <c r="S14" s="13">
        <v>5500.4040000000005</v>
      </c>
      <c r="T14" s="13">
        <v>5740.9040000000005</v>
      </c>
      <c r="U14" s="12">
        <v>546</v>
      </c>
      <c r="V14" s="13">
        <v>5294.0159999999996</v>
      </c>
      <c r="W14" s="13">
        <v>5500.4040000000005</v>
      </c>
      <c r="X14" s="12">
        <v>0</v>
      </c>
      <c r="Y14" s="13">
        <v>0</v>
      </c>
      <c r="Z14" s="13">
        <v>0</v>
      </c>
      <c r="AA14" s="12">
        <v>0</v>
      </c>
      <c r="AB14" s="13">
        <v>0</v>
      </c>
      <c r="AC14" s="13">
        <v>0</v>
      </c>
      <c r="AD14" s="12">
        <v>13</v>
      </c>
      <c r="AE14" s="12">
        <v>0</v>
      </c>
      <c r="AF14" s="12">
        <v>0</v>
      </c>
      <c r="AG14" s="12">
        <v>13</v>
      </c>
      <c r="AH14" s="12">
        <v>0</v>
      </c>
      <c r="AI14" s="12">
        <v>0</v>
      </c>
      <c r="AJ14" s="10">
        <v>6171302</v>
      </c>
      <c r="AK14" s="10" t="s">
        <v>47</v>
      </c>
      <c r="AL14" s="14" t="s">
        <v>48</v>
      </c>
      <c r="AM14" s="10" t="s">
        <v>49</v>
      </c>
      <c r="AN14" s="15">
        <v>202300058565</v>
      </c>
      <c r="AO14" s="16" t="s">
        <v>50</v>
      </c>
      <c r="AP14" s="17">
        <v>39991.120000000003</v>
      </c>
      <c r="AQ14" s="10" t="s">
        <v>51</v>
      </c>
      <c r="AR14" s="10" t="s">
        <v>61</v>
      </c>
      <c r="AS14" s="12">
        <v>6552</v>
      </c>
      <c r="AT14" s="10" t="s">
        <v>53</v>
      </c>
      <c r="AU14" s="10">
        <v>40151500</v>
      </c>
      <c r="AV14" s="10" t="s">
        <v>62</v>
      </c>
      <c r="AW14" s="10" t="s">
        <v>55</v>
      </c>
      <c r="AX14" s="10" t="s">
        <v>56</v>
      </c>
      <c r="AY14" s="10" t="s">
        <v>63</v>
      </c>
      <c r="AZ14" s="10" t="s">
        <v>64</v>
      </c>
      <c r="BA14" s="30" t="s">
        <v>395</v>
      </c>
      <c r="BC14" t="s">
        <v>274</v>
      </c>
      <c r="BD14" s="21">
        <v>5775</v>
      </c>
      <c r="BE14" s="21">
        <v>5775</v>
      </c>
      <c r="BG14" t="str">
        <v>Outbound</v>
      </c>
      <c r="BH14" t="str">
        <v>Land</v>
      </c>
      <c r="BI14" t="str">
        <v>FG-R-2180LE25</v>
      </c>
      <c r="BJ14" t="str">
        <v>JOHNSON ELECTRIC NORTH AMERICA, INC.</v>
      </c>
      <c r="BK14" t="str">
        <v xml:space="preserve">APX WH  6001 GLOBAL DISTRIBUTION WAY LOUISVILLE, KY 40228    </v>
      </c>
      <c r="BL14" t="str">
        <v>M45</v>
      </c>
      <c r="BM14" t="str">
        <v>1999-1E30016EU</v>
      </c>
      <c r="BN14" s="24">
        <v>6552</v>
      </c>
      <c r="BO14" s="23">
        <v>5740.9040000000005</v>
      </c>
      <c r="BP14" s="26">
        <f t="shared" si="0"/>
        <v>0.32375186240795112</v>
      </c>
      <c r="BQ14" s="21">
        <f t="shared" si="1"/>
        <v>1869.6670054059177</v>
      </c>
      <c r="BS14" t="str">
        <v>Total</v>
      </c>
      <c r="BT14" s="21">
        <v>126981.16443418011</v>
      </c>
      <c r="BU14" s="28">
        <v>1</v>
      </c>
      <c r="BW14" s="31">
        <f>SUM(BW9:BW13)</f>
        <v>94981.164434180158</v>
      </c>
    </row>
    <row r="15" spans="2:76" x14ac:dyDescent="0.35">
      <c r="B15" t="s">
        <v>261</v>
      </c>
      <c r="C15" t="s">
        <v>262</v>
      </c>
      <c r="D15" t="str" cm="1">
        <f t="array" ref="D15">_xlfn.REGEXEXTRACT(G15,"FG-R-\d{4}LE\d{2}")</f>
        <v>FG-R-2181LE25</v>
      </c>
      <c r="E15" t="s">
        <v>297</v>
      </c>
      <c r="F15" s="23" cm="1">
        <f t="array" ref="F15">_xlfn.SWITCH(TRUE,T15&gt;0,T15,Z15)</f>
        <v>1161.3599999999999</v>
      </c>
      <c r="G15" s="10" t="s">
        <v>65</v>
      </c>
      <c r="H15" s="10" t="s">
        <v>38</v>
      </c>
      <c r="I15" s="10" t="s">
        <v>66</v>
      </c>
      <c r="J15" s="11" t="s">
        <v>67</v>
      </c>
      <c r="K15" s="11" t="s">
        <v>67</v>
      </c>
      <c r="L15" s="10" t="s">
        <v>65</v>
      </c>
      <c r="M15" s="10" t="s">
        <v>68</v>
      </c>
      <c r="N15" s="10" t="s">
        <v>43</v>
      </c>
      <c r="O15" s="10" t="s">
        <v>69</v>
      </c>
      <c r="P15" s="10" t="s">
        <v>45</v>
      </c>
      <c r="Q15" s="10" t="s">
        <v>46</v>
      </c>
      <c r="R15" s="12">
        <v>2</v>
      </c>
      <c r="S15" s="13">
        <v>1107.3599999999999</v>
      </c>
      <c r="T15" s="13">
        <v>1161.3599999999999</v>
      </c>
      <c r="U15" s="12">
        <v>160</v>
      </c>
      <c r="V15" s="13">
        <v>432</v>
      </c>
      <c r="W15" s="13">
        <v>1107.3599999999999</v>
      </c>
      <c r="X15" s="12">
        <v>0</v>
      </c>
      <c r="Y15" s="13">
        <v>0</v>
      </c>
      <c r="Z15" s="13">
        <v>0</v>
      </c>
      <c r="AA15" s="12">
        <v>0</v>
      </c>
      <c r="AB15" s="13">
        <v>0</v>
      </c>
      <c r="AC15" s="13">
        <v>0</v>
      </c>
      <c r="AD15" s="12">
        <v>2</v>
      </c>
      <c r="AE15" s="12">
        <v>0</v>
      </c>
      <c r="AF15" s="12">
        <v>0</v>
      </c>
      <c r="AG15" s="12">
        <v>2</v>
      </c>
      <c r="AH15" s="12">
        <v>0</v>
      </c>
      <c r="AI15" s="12">
        <v>0</v>
      </c>
      <c r="AJ15" s="10">
        <v>6173338</v>
      </c>
      <c r="AK15" s="10" t="s">
        <v>47</v>
      </c>
      <c r="AL15" s="14" t="s">
        <v>70</v>
      </c>
      <c r="AM15" s="10" t="s">
        <v>49</v>
      </c>
      <c r="AN15" s="15">
        <v>202300058592</v>
      </c>
      <c r="AO15" s="16" t="s">
        <v>71</v>
      </c>
      <c r="AP15" s="17">
        <v>7368.28</v>
      </c>
      <c r="AQ15" s="10" t="s">
        <v>51</v>
      </c>
      <c r="AR15" s="10" t="s">
        <v>72</v>
      </c>
      <c r="AS15" s="12">
        <v>4000</v>
      </c>
      <c r="AT15" s="10" t="s">
        <v>53</v>
      </c>
      <c r="AU15" s="10">
        <v>40151500</v>
      </c>
      <c r="AV15" s="10" t="s">
        <v>62</v>
      </c>
      <c r="AW15" s="10" t="s">
        <v>55</v>
      </c>
      <c r="AX15" s="10" t="s">
        <v>56</v>
      </c>
      <c r="AY15" s="10" t="s">
        <v>73</v>
      </c>
      <c r="AZ15" s="10" t="s">
        <v>74</v>
      </c>
      <c r="BA15" s="30" t="s">
        <v>395</v>
      </c>
      <c r="BC15" t="s">
        <v>275</v>
      </c>
      <c r="BD15" s="21">
        <v>5197</v>
      </c>
      <c r="BE15" s="21">
        <v>5197</v>
      </c>
      <c r="BG15" t="str">
        <v>Outbound</v>
      </c>
      <c r="BH15" t="str">
        <v>Land</v>
      </c>
      <c r="BI15" t="str">
        <v>FG-R-2181LE25</v>
      </c>
      <c r="BJ15" t="str">
        <v>JOHNSON ELECTRIC NORTH AMERICA, INC.</v>
      </c>
      <c r="BK15" t="str">
        <v xml:space="preserve">Memphis Distribution Services 3893 Crowfarn    </v>
      </c>
      <c r="BL15" t="str">
        <v>M01</v>
      </c>
      <c r="BM15" t="str">
        <v>1999-1WP0063AN</v>
      </c>
      <c r="BN15" s="24">
        <v>4000</v>
      </c>
      <c r="BO15" s="23">
        <v>1161.3599999999999</v>
      </c>
      <c r="BP15" s="26">
        <f t="shared" si="0"/>
        <v>0.20079361268712886</v>
      </c>
      <c r="BQ15" s="21">
        <f t="shared" si="1"/>
        <v>912.60696966300065</v>
      </c>
    </row>
    <row r="16" spans="2:76" x14ac:dyDescent="0.35">
      <c r="B16" t="s">
        <v>261</v>
      </c>
      <c r="C16" t="s">
        <v>262</v>
      </c>
      <c r="D16" t="str" cm="1">
        <f t="array" ref="D16">_xlfn.REGEXEXTRACT(G16,"FG-R-\d{4}LE\d{2}")</f>
        <v>FG-R-2181LE25</v>
      </c>
      <c r="E16" t="s">
        <v>297</v>
      </c>
      <c r="F16" s="23" cm="1">
        <f t="array" ref="F16">_xlfn.SWITCH(TRUE,T16&gt;0,T16,Z16)</f>
        <v>825.72400000000005</v>
      </c>
      <c r="G16" s="10" t="s">
        <v>65</v>
      </c>
      <c r="H16" s="10" t="s">
        <v>38</v>
      </c>
      <c r="I16" s="10" t="s">
        <v>66</v>
      </c>
      <c r="J16" s="11" t="s">
        <v>67</v>
      </c>
      <c r="K16" s="11" t="s">
        <v>67</v>
      </c>
      <c r="L16" s="10" t="s">
        <v>65</v>
      </c>
      <c r="M16" s="10" t="s">
        <v>68</v>
      </c>
      <c r="N16" s="10" t="s">
        <v>43</v>
      </c>
      <c r="O16" s="10" t="s">
        <v>69</v>
      </c>
      <c r="P16" s="10" t="s">
        <v>45</v>
      </c>
      <c r="Q16" s="10" t="s">
        <v>46</v>
      </c>
      <c r="R16" s="12">
        <v>2</v>
      </c>
      <c r="S16" s="13">
        <v>788.72400000000005</v>
      </c>
      <c r="T16" s="13">
        <v>825.72400000000005</v>
      </c>
      <c r="U16" s="12">
        <v>180</v>
      </c>
      <c r="V16" s="13">
        <v>734.4</v>
      </c>
      <c r="W16" s="13">
        <v>788.72400000000005</v>
      </c>
      <c r="X16" s="12">
        <v>0</v>
      </c>
      <c r="Y16" s="13">
        <v>0</v>
      </c>
      <c r="Z16" s="13">
        <v>0</v>
      </c>
      <c r="AA16" s="12">
        <v>0</v>
      </c>
      <c r="AB16" s="13">
        <v>0</v>
      </c>
      <c r="AC16" s="13">
        <v>0</v>
      </c>
      <c r="AD16" s="12">
        <v>2</v>
      </c>
      <c r="AE16" s="12">
        <v>0</v>
      </c>
      <c r="AF16" s="12">
        <v>0</v>
      </c>
      <c r="AG16" s="12">
        <v>2</v>
      </c>
      <c r="AH16" s="12">
        <v>0</v>
      </c>
      <c r="AI16" s="12">
        <v>0</v>
      </c>
      <c r="AJ16" s="10">
        <v>6173300</v>
      </c>
      <c r="AK16" s="10" t="s">
        <v>47</v>
      </c>
      <c r="AL16" s="14" t="s">
        <v>70</v>
      </c>
      <c r="AM16" s="10" t="s">
        <v>49</v>
      </c>
      <c r="AN16" s="15">
        <v>202300058580</v>
      </c>
      <c r="AO16" s="16" t="s">
        <v>71</v>
      </c>
      <c r="AP16" s="17">
        <v>11450.02</v>
      </c>
      <c r="AQ16" s="10" t="s">
        <v>51</v>
      </c>
      <c r="AR16" s="10" t="s">
        <v>75</v>
      </c>
      <c r="AS16" s="12">
        <v>7200</v>
      </c>
      <c r="AT16" s="10" t="s">
        <v>53</v>
      </c>
      <c r="AU16" s="10">
        <v>40151500</v>
      </c>
      <c r="AV16" s="10" t="s">
        <v>62</v>
      </c>
      <c r="AW16" s="10" t="s">
        <v>55</v>
      </c>
      <c r="AX16" s="10" t="s">
        <v>56</v>
      </c>
      <c r="AY16" s="10" t="s">
        <v>73</v>
      </c>
      <c r="AZ16" s="10" t="s">
        <v>74</v>
      </c>
      <c r="BA16" s="30" t="s">
        <v>395</v>
      </c>
      <c r="BC16" t="s">
        <v>276</v>
      </c>
      <c r="BD16" s="21">
        <v>4545</v>
      </c>
      <c r="BE16" s="21">
        <v>4545</v>
      </c>
      <c r="BG16" t="str">
        <v>Outbound</v>
      </c>
      <c r="BH16" t="str">
        <v>Land</v>
      </c>
      <c r="BI16" t="str">
        <v>FG-R-2181LE25</v>
      </c>
      <c r="BJ16" t="str">
        <v>JOHNSON ELECTRIC NORTH AMERICA, INC.</v>
      </c>
      <c r="BK16" t="str">
        <v xml:space="preserve">Memphis Distribution Services 3893 Crowfarn    </v>
      </c>
      <c r="BL16" t="str">
        <v>M01</v>
      </c>
      <c r="BM16" t="str">
        <v>1999-1WP0045AN</v>
      </c>
      <c r="BN16" s="24">
        <v>7200</v>
      </c>
      <c r="BO16" s="23">
        <v>825.72400000000005</v>
      </c>
      <c r="BP16" s="26">
        <f t="shared" si="0"/>
        <v>0.14276374685064649</v>
      </c>
      <c r="BQ16" s="21">
        <f t="shared" si="1"/>
        <v>648.8612294361883</v>
      </c>
      <c r="BT16" s="21"/>
    </row>
    <row r="17" spans="2:72" x14ac:dyDescent="0.35">
      <c r="B17" t="s">
        <v>261</v>
      </c>
      <c r="C17" t="s">
        <v>262</v>
      </c>
      <c r="D17" t="str" cm="1">
        <f t="array" ref="D17">_xlfn.REGEXEXTRACT(G17,"FG-R-\d{4}LE\d{2}")</f>
        <v>FG-R-2181LE25</v>
      </c>
      <c r="E17" t="s">
        <v>297</v>
      </c>
      <c r="F17" s="23" cm="1">
        <f t="array" ref="F17">_xlfn.SWITCH(TRUE,T17&gt;0,T17,Z17)</f>
        <v>311.113</v>
      </c>
      <c r="G17" s="10" t="s">
        <v>65</v>
      </c>
      <c r="H17" s="10" t="s">
        <v>38</v>
      </c>
      <c r="I17" s="10" t="s">
        <v>66</v>
      </c>
      <c r="J17" s="11" t="s">
        <v>67</v>
      </c>
      <c r="K17" s="11" t="s">
        <v>67</v>
      </c>
      <c r="L17" s="10" t="s">
        <v>65</v>
      </c>
      <c r="M17" s="10" t="s">
        <v>68</v>
      </c>
      <c r="N17" s="10" t="s">
        <v>43</v>
      </c>
      <c r="O17" s="10" t="s">
        <v>69</v>
      </c>
      <c r="P17" s="10" t="s">
        <v>45</v>
      </c>
      <c r="Q17" s="10" t="s">
        <v>46</v>
      </c>
      <c r="R17" s="12">
        <v>1</v>
      </c>
      <c r="S17" s="13">
        <v>292.113</v>
      </c>
      <c r="T17" s="13">
        <v>311.113</v>
      </c>
      <c r="U17" s="12">
        <v>90</v>
      </c>
      <c r="V17" s="13">
        <v>250.56</v>
      </c>
      <c r="W17" s="13">
        <v>292.113</v>
      </c>
      <c r="X17" s="12">
        <v>0</v>
      </c>
      <c r="Y17" s="13">
        <v>0</v>
      </c>
      <c r="Z17" s="13">
        <v>0</v>
      </c>
      <c r="AA17" s="12">
        <v>0</v>
      </c>
      <c r="AB17" s="13">
        <v>0</v>
      </c>
      <c r="AC17" s="13">
        <v>0</v>
      </c>
      <c r="AD17" s="12">
        <v>1</v>
      </c>
      <c r="AE17" s="12">
        <v>0</v>
      </c>
      <c r="AF17" s="12">
        <v>0</v>
      </c>
      <c r="AG17" s="12">
        <v>1</v>
      </c>
      <c r="AH17" s="12">
        <v>0</v>
      </c>
      <c r="AI17" s="12">
        <v>0</v>
      </c>
      <c r="AJ17" s="10">
        <v>6173298</v>
      </c>
      <c r="AK17" s="10" t="s">
        <v>47</v>
      </c>
      <c r="AL17" s="14" t="s">
        <v>70</v>
      </c>
      <c r="AM17" s="10" t="s">
        <v>49</v>
      </c>
      <c r="AN17" s="15">
        <v>202300058579</v>
      </c>
      <c r="AO17" s="16" t="s">
        <v>71</v>
      </c>
      <c r="AP17" s="17">
        <v>4034.34</v>
      </c>
      <c r="AQ17" s="10" t="s">
        <v>51</v>
      </c>
      <c r="AR17" s="10" t="s">
        <v>76</v>
      </c>
      <c r="AS17" s="12">
        <v>2160</v>
      </c>
      <c r="AT17" s="10" t="s">
        <v>53</v>
      </c>
      <c r="AU17" s="10">
        <v>40151500</v>
      </c>
      <c r="AV17" s="10" t="s">
        <v>62</v>
      </c>
      <c r="AW17" s="10" t="s">
        <v>55</v>
      </c>
      <c r="AX17" s="10" t="s">
        <v>56</v>
      </c>
      <c r="AY17" s="10" t="s">
        <v>73</v>
      </c>
      <c r="AZ17" s="10" t="s">
        <v>74</v>
      </c>
      <c r="BA17" s="30" t="s">
        <v>395</v>
      </c>
      <c r="BC17" t="s">
        <v>277</v>
      </c>
      <c r="BD17" s="21">
        <v>6025</v>
      </c>
      <c r="BE17" s="21">
        <v>6025</v>
      </c>
      <c r="BG17" t="str">
        <v>Outbound</v>
      </c>
      <c r="BH17" t="str">
        <v>Land</v>
      </c>
      <c r="BI17" t="str">
        <v>FG-R-2181LE25</v>
      </c>
      <c r="BJ17" t="str">
        <v>JOHNSON ELECTRIC NORTH AMERICA, INC.</v>
      </c>
      <c r="BK17" t="str">
        <v xml:space="preserve">Memphis Distribution Services 3893 Crowfarn    </v>
      </c>
      <c r="BL17" t="str">
        <v>M01</v>
      </c>
      <c r="BM17" t="str">
        <v>1999-1WP0046AN</v>
      </c>
      <c r="BN17" s="24">
        <v>2160</v>
      </c>
      <c r="BO17" s="23">
        <v>311.113</v>
      </c>
      <c r="BP17" s="26">
        <f t="shared" si="0"/>
        <v>5.3789955934362067E-2</v>
      </c>
      <c r="BQ17" s="21">
        <f t="shared" si="1"/>
        <v>244.4753497216756</v>
      </c>
      <c r="BT17" s="25"/>
    </row>
    <row r="18" spans="2:72" x14ac:dyDescent="0.35">
      <c r="B18" t="s">
        <v>261</v>
      </c>
      <c r="C18" t="s">
        <v>262</v>
      </c>
      <c r="D18" t="str" cm="1">
        <f t="array" ref="D18">_xlfn.REGEXEXTRACT(G18,"FG-R-\d{4}LE\d{2}")</f>
        <v>FG-R-2181LE25</v>
      </c>
      <c r="E18" t="s">
        <v>297</v>
      </c>
      <c r="F18" s="23" cm="1">
        <f t="array" ref="F18">_xlfn.SWITCH(TRUE,T18&gt;0,T18,Z18)</f>
        <v>329.88</v>
      </c>
      <c r="G18" s="10" t="s">
        <v>65</v>
      </c>
      <c r="H18" s="10" t="s">
        <v>38</v>
      </c>
      <c r="I18" s="10" t="s">
        <v>66</v>
      </c>
      <c r="J18" s="11" t="s">
        <v>67</v>
      </c>
      <c r="K18" s="11" t="s">
        <v>67</v>
      </c>
      <c r="L18" s="10" t="s">
        <v>65</v>
      </c>
      <c r="M18" s="10" t="s">
        <v>68</v>
      </c>
      <c r="N18" s="10" t="s">
        <v>43</v>
      </c>
      <c r="O18" s="10" t="s">
        <v>69</v>
      </c>
      <c r="P18" s="10" t="s">
        <v>45</v>
      </c>
      <c r="Q18" s="10" t="s">
        <v>46</v>
      </c>
      <c r="R18" s="12">
        <v>3</v>
      </c>
      <c r="S18" s="13">
        <v>254.88</v>
      </c>
      <c r="T18" s="13">
        <v>329.88</v>
      </c>
      <c r="U18" s="12">
        <v>0</v>
      </c>
      <c r="V18" s="13">
        <v>254.88</v>
      </c>
      <c r="W18" s="13">
        <v>254.88</v>
      </c>
      <c r="X18" s="12">
        <v>0</v>
      </c>
      <c r="Y18" s="13">
        <v>0</v>
      </c>
      <c r="Z18" s="13">
        <v>0</v>
      </c>
      <c r="AA18" s="12">
        <v>0</v>
      </c>
      <c r="AB18" s="13">
        <v>0</v>
      </c>
      <c r="AC18" s="13">
        <v>0</v>
      </c>
      <c r="AD18" s="12">
        <v>3</v>
      </c>
      <c r="AE18" s="12">
        <v>0</v>
      </c>
      <c r="AF18" s="12">
        <v>0</v>
      </c>
      <c r="AG18" s="12">
        <v>3</v>
      </c>
      <c r="AH18" s="12">
        <v>0</v>
      </c>
      <c r="AI18" s="12">
        <v>0</v>
      </c>
      <c r="AJ18" s="10">
        <v>6173279</v>
      </c>
      <c r="AK18" s="10" t="s">
        <v>47</v>
      </c>
      <c r="AL18" s="14" t="s">
        <v>70</v>
      </c>
      <c r="AM18" s="10" t="s">
        <v>49</v>
      </c>
      <c r="AN18" s="15">
        <v>202300058581</v>
      </c>
      <c r="AO18" s="16" t="s">
        <v>71</v>
      </c>
      <c r="AP18" s="17">
        <v>11555.28</v>
      </c>
      <c r="AQ18" s="10" t="s">
        <v>51</v>
      </c>
      <c r="AR18" s="10" t="s">
        <v>77</v>
      </c>
      <c r="AS18" s="12">
        <v>4320</v>
      </c>
      <c r="AT18" s="10" t="s">
        <v>53</v>
      </c>
      <c r="AU18" s="10">
        <v>26101200</v>
      </c>
      <c r="AV18" s="10" t="s">
        <v>78</v>
      </c>
      <c r="AW18" s="10" t="s">
        <v>55</v>
      </c>
      <c r="AX18" s="10" t="s">
        <v>56</v>
      </c>
      <c r="AY18" s="10" t="s">
        <v>79</v>
      </c>
      <c r="AZ18" s="10" t="s">
        <v>80</v>
      </c>
      <c r="BA18" s="30" t="s">
        <v>395</v>
      </c>
      <c r="BC18" t="s">
        <v>278</v>
      </c>
      <c r="BD18" s="21">
        <v>5197</v>
      </c>
      <c r="BE18" s="21">
        <v>5197</v>
      </c>
      <c r="BG18" t="str">
        <v>Outbound</v>
      </c>
      <c r="BH18" t="str">
        <v>Land</v>
      </c>
      <c r="BI18" t="str">
        <v>FG-R-2181LE25</v>
      </c>
      <c r="BJ18" t="str">
        <v>JOHNSON ELECTRIC NORTH AMERICA, INC.</v>
      </c>
      <c r="BK18" t="str">
        <v xml:space="preserve">Memphis Distribution Services 3893 Crowfarn    </v>
      </c>
      <c r="BL18" t="str">
        <v>M01</v>
      </c>
      <c r="BM18" t="str">
        <v>1916-1010002EP/MX</v>
      </c>
      <c r="BN18" s="24">
        <v>4320</v>
      </c>
      <c r="BO18" s="23">
        <v>329.88</v>
      </c>
      <c r="BP18" s="26">
        <f t="shared" si="0"/>
        <v>5.7034680851097058E-2</v>
      </c>
      <c r="BQ18" s="21">
        <f t="shared" si="1"/>
        <v>259.22262446823612</v>
      </c>
    </row>
    <row r="19" spans="2:72" x14ac:dyDescent="0.35">
      <c r="B19" t="s">
        <v>261</v>
      </c>
      <c r="C19" t="s">
        <v>262</v>
      </c>
      <c r="D19" t="str" cm="1">
        <f t="array" ref="D19">_xlfn.REGEXEXTRACT(G19,"FG-R-\d{4}LE\d{2}")</f>
        <v>FG-R-2181LE25</v>
      </c>
      <c r="E19" t="s">
        <v>297</v>
      </c>
      <c r="F19" s="23" cm="1">
        <f t="array" ref="F19">_xlfn.SWITCH(TRUE,T19&gt;0,T19,Z19)</f>
        <v>329.88</v>
      </c>
      <c r="G19" s="10" t="s">
        <v>65</v>
      </c>
      <c r="H19" s="10" t="s">
        <v>38</v>
      </c>
      <c r="I19" s="10" t="s">
        <v>66</v>
      </c>
      <c r="J19" s="11" t="s">
        <v>67</v>
      </c>
      <c r="K19" s="11" t="s">
        <v>67</v>
      </c>
      <c r="L19" s="10" t="s">
        <v>65</v>
      </c>
      <c r="M19" s="10" t="s">
        <v>68</v>
      </c>
      <c r="N19" s="10" t="s">
        <v>43</v>
      </c>
      <c r="O19" s="10" t="s">
        <v>69</v>
      </c>
      <c r="P19" s="10" t="s">
        <v>45</v>
      </c>
      <c r="Q19" s="10" t="s">
        <v>46</v>
      </c>
      <c r="R19" s="12">
        <v>3</v>
      </c>
      <c r="S19" s="13">
        <v>254.88</v>
      </c>
      <c r="T19" s="13">
        <v>329.88</v>
      </c>
      <c r="U19" s="12">
        <v>0</v>
      </c>
      <c r="V19" s="13">
        <v>254.88</v>
      </c>
      <c r="W19" s="13">
        <v>254.88</v>
      </c>
      <c r="X19" s="12">
        <v>0</v>
      </c>
      <c r="Y19" s="13">
        <v>0</v>
      </c>
      <c r="Z19" s="13">
        <v>0</v>
      </c>
      <c r="AA19" s="12">
        <v>0</v>
      </c>
      <c r="AB19" s="13">
        <v>0</v>
      </c>
      <c r="AC19" s="13">
        <v>0</v>
      </c>
      <c r="AD19" s="12">
        <v>3</v>
      </c>
      <c r="AE19" s="12">
        <v>0</v>
      </c>
      <c r="AF19" s="12">
        <v>0</v>
      </c>
      <c r="AG19" s="12">
        <v>3</v>
      </c>
      <c r="AH19" s="12">
        <v>0</v>
      </c>
      <c r="AI19" s="12">
        <v>0</v>
      </c>
      <c r="AJ19" s="10">
        <v>6173280</v>
      </c>
      <c r="AK19" s="10" t="s">
        <v>47</v>
      </c>
      <c r="AL19" s="14" t="s">
        <v>70</v>
      </c>
      <c r="AM19" s="10" t="s">
        <v>49</v>
      </c>
      <c r="AN19" s="15">
        <v>202300058582</v>
      </c>
      <c r="AO19" s="16" t="s">
        <v>71</v>
      </c>
      <c r="AP19" s="17">
        <v>11555.28</v>
      </c>
      <c r="AQ19" s="10" t="s">
        <v>51</v>
      </c>
      <c r="AR19" s="10" t="s">
        <v>77</v>
      </c>
      <c r="AS19" s="12">
        <v>4320</v>
      </c>
      <c r="AT19" s="10" t="s">
        <v>53</v>
      </c>
      <c r="AU19" s="10">
        <v>26101200</v>
      </c>
      <c r="AV19" s="10" t="s">
        <v>78</v>
      </c>
      <c r="AW19" s="10" t="s">
        <v>55</v>
      </c>
      <c r="AX19" s="10" t="s">
        <v>56</v>
      </c>
      <c r="AY19" s="10" t="s">
        <v>79</v>
      </c>
      <c r="AZ19" s="10" t="s">
        <v>80</v>
      </c>
      <c r="BA19" s="30" t="s">
        <v>395</v>
      </c>
      <c r="BC19" t="s">
        <v>279</v>
      </c>
      <c r="BD19" s="21">
        <v>0</v>
      </c>
      <c r="BE19" s="21">
        <v>4918.760277136259</v>
      </c>
      <c r="BG19" t="str">
        <v>Outbound</v>
      </c>
      <c r="BH19" t="str">
        <v>Land</v>
      </c>
      <c r="BI19" t="str">
        <v>FG-R-2181LE25</v>
      </c>
      <c r="BJ19" t="str">
        <v>JOHNSON ELECTRIC NORTH AMERICA, INC.</v>
      </c>
      <c r="BK19" t="str">
        <v xml:space="preserve">Memphis Distribution Services 3893 Crowfarn    </v>
      </c>
      <c r="BL19" t="str">
        <v>M01</v>
      </c>
      <c r="BM19" t="str">
        <v>1916-1010002EP/MX</v>
      </c>
      <c r="BN19" s="24">
        <v>4320</v>
      </c>
      <c r="BO19" s="23">
        <v>329.88</v>
      </c>
      <c r="BP19" s="26">
        <f t="shared" si="0"/>
        <v>5.7034680851097058E-2</v>
      </c>
      <c r="BQ19" s="21">
        <f t="shared" si="1"/>
        <v>259.22262446823612</v>
      </c>
    </row>
    <row r="20" spans="2:72" x14ac:dyDescent="0.35">
      <c r="B20" t="s">
        <v>261</v>
      </c>
      <c r="C20" t="s">
        <v>262</v>
      </c>
      <c r="D20" t="str" cm="1">
        <f t="array" ref="D20">_xlfn.REGEXEXTRACT(G20,"FG-R-\d{4}LE\d{2}")</f>
        <v>FG-R-2181LE25</v>
      </c>
      <c r="E20" t="s">
        <v>297</v>
      </c>
      <c r="F20" s="23" cm="1">
        <f t="array" ref="F20">_xlfn.SWITCH(TRUE,T20&gt;0,T20,Z20)</f>
        <v>297.91231900000002</v>
      </c>
      <c r="G20" s="10" t="s">
        <v>65</v>
      </c>
      <c r="H20" s="10" t="s">
        <v>38</v>
      </c>
      <c r="I20" s="10" t="s">
        <v>66</v>
      </c>
      <c r="J20" s="11" t="s">
        <v>67</v>
      </c>
      <c r="K20" s="11" t="s">
        <v>67</v>
      </c>
      <c r="L20" s="10" t="s">
        <v>65</v>
      </c>
      <c r="M20" s="10" t="s">
        <v>68</v>
      </c>
      <c r="N20" s="10" t="s">
        <v>43</v>
      </c>
      <c r="O20" s="10" t="s">
        <v>69</v>
      </c>
      <c r="P20" s="10" t="s">
        <v>45</v>
      </c>
      <c r="Q20" s="10" t="s">
        <v>46</v>
      </c>
      <c r="R20" s="12">
        <v>1</v>
      </c>
      <c r="S20" s="13">
        <v>278.91231900000002</v>
      </c>
      <c r="T20" s="13">
        <v>297.91231900000002</v>
      </c>
      <c r="U20" s="12">
        <v>70</v>
      </c>
      <c r="V20" s="13">
        <v>278.88</v>
      </c>
      <c r="W20" s="13">
        <v>278.91231900000002</v>
      </c>
      <c r="X20" s="12">
        <v>0</v>
      </c>
      <c r="Y20" s="13">
        <v>0</v>
      </c>
      <c r="Z20" s="13">
        <v>0</v>
      </c>
      <c r="AA20" s="12">
        <v>0</v>
      </c>
      <c r="AB20" s="13">
        <v>0</v>
      </c>
      <c r="AC20" s="13">
        <v>0</v>
      </c>
      <c r="AD20" s="12">
        <v>1</v>
      </c>
      <c r="AE20" s="12">
        <v>0</v>
      </c>
      <c r="AF20" s="12">
        <v>0</v>
      </c>
      <c r="AG20" s="12">
        <v>1</v>
      </c>
      <c r="AH20" s="12">
        <v>0</v>
      </c>
      <c r="AI20" s="12">
        <v>0</v>
      </c>
      <c r="AJ20" s="10">
        <v>6173294</v>
      </c>
      <c r="AK20" s="10" t="s">
        <v>47</v>
      </c>
      <c r="AL20" s="14" t="s">
        <v>70</v>
      </c>
      <c r="AM20" s="10" t="s">
        <v>49</v>
      </c>
      <c r="AN20" s="15">
        <v>202300058576</v>
      </c>
      <c r="AO20" s="16" t="s">
        <v>71</v>
      </c>
      <c r="AP20" s="17">
        <v>5376.11</v>
      </c>
      <c r="AQ20" s="10" t="s">
        <v>51</v>
      </c>
      <c r="AR20" s="10" t="s">
        <v>81</v>
      </c>
      <c r="AS20" s="12">
        <v>2100</v>
      </c>
      <c r="AT20" s="10" t="s">
        <v>53</v>
      </c>
      <c r="AU20" s="10">
        <v>25171506</v>
      </c>
      <c r="AV20" s="10" t="s">
        <v>82</v>
      </c>
      <c r="AW20" s="10" t="s">
        <v>55</v>
      </c>
      <c r="AX20" s="10" t="s">
        <v>56</v>
      </c>
      <c r="AY20" s="10" t="s">
        <v>73</v>
      </c>
      <c r="AZ20" s="10" t="s">
        <v>74</v>
      </c>
      <c r="BA20" s="30" t="s">
        <v>395</v>
      </c>
      <c r="BC20" t="s">
        <v>280</v>
      </c>
      <c r="BD20" s="21">
        <v>316.85912240184757</v>
      </c>
      <c r="BE20" s="21">
        <v>4918.760277136259</v>
      </c>
      <c r="BG20" t="str">
        <v>Outbound</v>
      </c>
      <c r="BH20" t="str">
        <v>Land</v>
      </c>
      <c r="BI20" t="str">
        <v>FG-R-2181LE25</v>
      </c>
      <c r="BJ20" t="str">
        <v>JOHNSON ELECTRIC NORTH AMERICA, INC.</v>
      </c>
      <c r="BK20" t="str">
        <v xml:space="preserve">Memphis Distribution Services 3893 Crowfarn    </v>
      </c>
      <c r="BL20" t="str">
        <v>M01</v>
      </c>
      <c r="BM20" t="str">
        <v>1999-1WP0105EN</v>
      </c>
      <c r="BN20" s="24">
        <v>2100</v>
      </c>
      <c r="BO20" s="23">
        <v>297.91231900000002</v>
      </c>
      <c r="BP20" s="26">
        <f t="shared" si="0"/>
        <v>5.150762106152304E-2</v>
      </c>
      <c r="BQ20" s="21">
        <f t="shared" si="1"/>
        <v>234.10213772462222</v>
      </c>
    </row>
    <row r="21" spans="2:72" x14ac:dyDescent="0.35">
      <c r="B21" t="s">
        <v>261</v>
      </c>
      <c r="C21" t="s">
        <v>262</v>
      </c>
      <c r="D21" t="str" cm="1">
        <f t="array" ref="D21">_xlfn.REGEXEXTRACT(G21,"FG-R-\d{4}LE\d{2}")</f>
        <v>FG-R-2181LE25</v>
      </c>
      <c r="E21" t="s">
        <v>297</v>
      </c>
      <c r="F21" s="23" cm="1">
        <f t="array" ref="F21">_xlfn.SWITCH(TRUE,T21&gt;0,T21,Z21)</f>
        <v>117.16</v>
      </c>
      <c r="G21" s="10" t="s">
        <v>65</v>
      </c>
      <c r="H21" s="10" t="s">
        <v>38</v>
      </c>
      <c r="I21" s="10" t="s">
        <v>66</v>
      </c>
      <c r="J21" s="11" t="s">
        <v>67</v>
      </c>
      <c r="K21" s="11" t="s">
        <v>67</v>
      </c>
      <c r="L21" s="10" t="s">
        <v>65</v>
      </c>
      <c r="M21" s="10" t="s">
        <v>68</v>
      </c>
      <c r="N21" s="10" t="s">
        <v>43</v>
      </c>
      <c r="O21" s="10" t="s">
        <v>69</v>
      </c>
      <c r="P21" s="10" t="s">
        <v>45</v>
      </c>
      <c r="Q21" s="10" t="s">
        <v>46</v>
      </c>
      <c r="R21" s="12">
        <v>1</v>
      </c>
      <c r="S21" s="13">
        <v>92.16</v>
      </c>
      <c r="T21" s="13">
        <v>117.16</v>
      </c>
      <c r="U21" s="12">
        <v>0</v>
      </c>
      <c r="V21" s="13">
        <v>92.16</v>
      </c>
      <c r="W21" s="13">
        <v>92.16</v>
      </c>
      <c r="X21" s="12">
        <v>0</v>
      </c>
      <c r="Y21" s="13">
        <v>0</v>
      </c>
      <c r="Z21" s="13">
        <v>0</v>
      </c>
      <c r="AA21" s="12">
        <v>0</v>
      </c>
      <c r="AB21" s="13">
        <v>0</v>
      </c>
      <c r="AC21" s="13">
        <v>0</v>
      </c>
      <c r="AD21" s="12">
        <v>1</v>
      </c>
      <c r="AE21" s="12">
        <v>0</v>
      </c>
      <c r="AF21" s="12">
        <v>0</v>
      </c>
      <c r="AG21" s="12">
        <v>1</v>
      </c>
      <c r="AH21" s="12">
        <v>0</v>
      </c>
      <c r="AI21" s="12">
        <v>0</v>
      </c>
      <c r="AJ21" s="10">
        <v>6173285</v>
      </c>
      <c r="AK21" s="10" t="s">
        <v>47</v>
      </c>
      <c r="AL21" s="14" t="s">
        <v>70</v>
      </c>
      <c r="AM21" s="10" t="s">
        <v>49</v>
      </c>
      <c r="AN21" s="15">
        <v>202300058590</v>
      </c>
      <c r="AO21" s="16" t="s">
        <v>71</v>
      </c>
      <c r="AP21" s="17">
        <v>3998.61</v>
      </c>
      <c r="AQ21" s="10" t="s">
        <v>51</v>
      </c>
      <c r="AR21" s="10" t="s">
        <v>83</v>
      </c>
      <c r="AS21" s="12">
        <v>1440</v>
      </c>
      <c r="AT21" s="10" t="s">
        <v>53</v>
      </c>
      <c r="AU21" s="10">
        <v>26101200</v>
      </c>
      <c r="AV21" s="10" t="s">
        <v>78</v>
      </c>
      <c r="AW21" s="10" t="s">
        <v>55</v>
      </c>
      <c r="AX21" s="10" t="s">
        <v>56</v>
      </c>
      <c r="AY21" s="10" t="s">
        <v>79</v>
      </c>
      <c r="AZ21" s="10" t="s">
        <v>80</v>
      </c>
      <c r="BA21" s="30" t="s">
        <v>395</v>
      </c>
      <c r="BC21" t="s">
        <v>281</v>
      </c>
      <c r="BD21" s="21">
        <v>0</v>
      </c>
      <c r="BE21" s="21">
        <v>4918.760277136259</v>
      </c>
      <c r="BG21" t="str">
        <v>Outbound</v>
      </c>
      <c r="BH21" t="str">
        <v>Land</v>
      </c>
      <c r="BI21" t="str">
        <v>FG-R-2181LE25</v>
      </c>
      <c r="BJ21" t="str">
        <v>JOHNSON ELECTRIC NORTH AMERICA, INC.</v>
      </c>
      <c r="BK21" t="str">
        <v xml:space="preserve">Memphis Distribution Services 3893 Crowfarn    </v>
      </c>
      <c r="BL21" t="str">
        <v>M01</v>
      </c>
      <c r="BM21" t="str">
        <v>1916-1010004EN</v>
      </c>
      <c r="BN21" s="24">
        <v>1440</v>
      </c>
      <c r="BO21" s="23">
        <v>117.16</v>
      </c>
      <c r="BP21" s="26">
        <f t="shared" si="0"/>
        <v>2.0256405991616742E-2</v>
      </c>
      <c r="BQ21" s="21">
        <f t="shared" si="1"/>
        <v>92.065365231898085</v>
      </c>
    </row>
    <row r="22" spans="2:72" x14ac:dyDescent="0.35">
      <c r="B22" t="s">
        <v>261</v>
      </c>
      <c r="C22" t="s">
        <v>262</v>
      </c>
      <c r="D22" t="str" cm="1">
        <f t="array" ref="D22">_xlfn.REGEXEXTRACT(G22,"FG-R-\d{4}LE\d{2}")</f>
        <v>FG-R-2181LE25</v>
      </c>
      <c r="E22" t="s">
        <v>297</v>
      </c>
      <c r="F22" s="23" cm="1">
        <f t="array" ref="F22">_xlfn.SWITCH(TRUE,T22&gt;0,T22,Z22)</f>
        <v>504.6</v>
      </c>
      <c r="G22" s="10" t="s">
        <v>65</v>
      </c>
      <c r="H22" s="10" t="s">
        <v>38</v>
      </c>
      <c r="I22" s="10" t="s">
        <v>66</v>
      </c>
      <c r="J22" s="11" t="s">
        <v>67</v>
      </c>
      <c r="K22" s="11" t="s">
        <v>67</v>
      </c>
      <c r="L22" s="10" t="s">
        <v>65</v>
      </c>
      <c r="M22" s="10" t="s">
        <v>68</v>
      </c>
      <c r="N22" s="10" t="s">
        <v>43</v>
      </c>
      <c r="O22" s="10" t="s">
        <v>69</v>
      </c>
      <c r="P22" s="10" t="s">
        <v>45</v>
      </c>
      <c r="Q22" s="10" t="s">
        <v>46</v>
      </c>
      <c r="R22" s="12">
        <v>1</v>
      </c>
      <c r="S22" s="13">
        <v>477.6</v>
      </c>
      <c r="T22" s="13">
        <v>504.6</v>
      </c>
      <c r="U22" s="12">
        <v>60</v>
      </c>
      <c r="V22" s="13">
        <v>441.6</v>
      </c>
      <c r="W22" s="13">
        <v>477.6</v>
      </c>
      <c r="X22" s="12">
        <v>0</v>
      </c>
      <c r="Y22" s="13">
        <v>0</v>
      </c>
      <c r="Z22" s="13">
        <v>0</v>
      </c>
      <c r="AA22" s="12">
        <v>0</v>
      </c>
      <c r="AB22" s="13">
        <v>0</v>
      </c>
      <c r="AC22" s="13">
        <v>0</v>
      </c>
      <c r="AD22" s="12">
        <v>1</v>
      </c>
      <c r="AE22" s="12">
        <v>0</v>
      </c>
      <c r="AF22" s="12">
        <v>0</v>
      </c>
      <c r="AG22" s="12">
        <v>1</v>
      </c>
      <c r="AH22" s="12">
        <v>0</v>
      </c>
      <c r="AI22" s="12">
        <v>0</v>
      </c>
      <c r="AJ22" s="10">
        <v>6173297</v>
      </c>
      <c r="AK22" s="10" t="s">
        <v>47</v>
      </c>
      <c r="AL22" s="14" t="s">
        <v>70</v>
      </c>
      <c r="AM22" s="10" t="s">
        <v>49</v>
      </c>
      <c r="AN22" s="15">
        <v>202300058578</v>
      </c>
      <c r="AO22" s="16" t="s">
        <v>71</v>
      </c>
      <c r="AP22" s="17">
        <v>7290.29</v>
      </c>
      <c r="AQ22" s="10" t="s">
        <v>51</v>
      </c>
      <c r="AR22" s="10" t="s">
        <v>84</v>
      </c>
      <c r="AS22" s="12">
        <v>4800</v>
      </c>
      <c r="AT22" s="10" t="s">
        <v>53</v>
      </c>
      <c r="AU22" s="10">
        <v>40151500</v>
      </c>
      <c r="AV22" s="10" t="s">
        <v>62</v>
      </c>
      <c r="AW22" s="10" t="s">
        <v>55</v>
      </c>
      <c r="AX22" s="10" t="s">
        <v>56</v>
      </c>
      <c r="AY22" s="10" t="s">
        <v>73</v>
      </c>
      <c r="AZ22" s="10" t="s">
        <v>74</v>
      </c>
      <c r="BA22" s="30" t="s">
        <v>395</v>
      </c>
      <c r="BC22" t="s">
        <v>282</v>
      </c>
      <c r="BD22" s="21">
        <v>0</v>
      </c>
      <c r="BE22" s="21">
        <v>4918.760277136259</v>
      </c>
      <c r="BG22" t="str">
        <v>Outbound</v>
      </c>
      <c r="BH22" t="str">
        <v>Land</v>
      </c>
      <c r="BI22" t="str">
        <v>FG-R-2181LE25</v>
      </c>
      <c r="BJ22" t="str">
        <v>JOHNSON ELECTRIC NORTH AMERICA, INC.</v>
      </c>
      <c r="BK22" t="str">
        <v xml:space="preserve">Memphis Distribution Services 3893 Crowfarn    </v>
      </c>
      <c r="BL22" t="str">
        <v>M01</v>
      </c>
      <c r="BM22" t="str">
        <v>1999-1WP0055AN</v>
      </c>
      <c r="BN22" s="24">
        <v>4800</v>
      </c>
      <c r="BO22" s="23">
        <v>504.6</v>
      </c>
      <c r="BP22" s="26">
        <f t="shared" si="0"/>
        <v>8.7242936696567172E-2</v>
      </c>
      <c r="BQ22" s="21">
        <f t="shared" si="1"/>
        <v>396.51914728589782</v>
      </c>
    </row>
    <row r="23" spans="2:72" x14ac:dyDescent="0.35">
      <c r="B23" t="s">
        <v>261</v>
      </c>
      <c r="C23" t="s">
        <v>262</v>
      </c>
      <c r="D23" t="str" cm="1">
        <f t="array" ref="D23">_xlfn.REGEXEXTRACT(G23,"FG-R-\d{4}LE\d{2}")</f>
        <v>FG-R-2181LE25</v>
      </c>
      <c r="E23" t="s">
        <v>297</v>
      </c>
      <c r="F23" s="23" cm="1">
        <f t="array" ref="F23">_xlfn.SWITCH(TRUE,T23&gt;0,T23,Z23)</f>
        <v>633.24</v>
      </c>
      <c r="G23" s="10" t="s">
        <v>65</v>
      </c>
      <c r="H23" s="10" t="s">
        <v>38</v>
      </c>
      <c r="I23" s="10" t="s">
        <v>66</v>
      </c>
      <c r="J23" s="11" t="s">
        <v>67</v>
      </c>
      <c r="K23" s="11" t="s">
        <v>67</v>
      </c>
      <c r="L23" s="10" t="s">
        <v>65</v>
      </c>
      <c r="M23" s="10" t="s">
        <v>68</v>
      </c>
      <c r="N23" s="10" t="s">
        <v>43</v>
      </c>
      <c r="O23" s="10" t="s">
        <v>69</v>
      </c>
      <c r="P23" s="10" t="s">
        <v>45</v>
      </c>
      <c r="Q23" s="10" t="s">
        <v>46</v>
      </c>
      <c r="R23" s="12">
        <v>1</v>
      </c>
      <c r="S23" s="13">
        <v>606.24</v>
      </c>
      <c r="T23" s="13">
        <v>633.24</v>
      </c>
      <c r="U23" s="12">
        <v>60</v>
      </c>
      <c r="V23" s="13">
        <v>570.24</v>
      </c>
      <c r="W23" s="13">
        <v>606.24</v>
      </c>
      <c r="X23" s="12">
        <v>0</v>
      </c>
      <c r="Y23" s="13">
        <v>0</v>
      </c>
      <c r="Z23" s="13">
        <v>0</v>
      </c>
      <c r="AA23" s="12">
        <v>0</v>
      </c>
      <c r="AB23" s="13">
        <v>0</v>
      </c>
      <c r="AC23" s="13">
        <v>0</v>
      </c>
      <c r="AD23" s="12">
        <v>1</v>
      </c>
      <c r="AE23" s="12">
        <v>0</v>
      </c>
      <c r="AF23" s="12">
        <v>0</v>
      </c>
      <c r="AG23" s="12">
        <v>1</v>
      </c>
      <c r="AH23" s="12">
        <v>0</v>
      </c>
      <c r="AI23" s="12">
        <v>0</v>
      </c>
      <c r="AJ23" s="10">
        <v>6173296</v>
      </c>
      <c r="AK23" s="10" t="s">
        <v>47</v>
      </c>
      <c r="AL23" s="14" t="s">
        <v>70</v>
      </c>
      <c r="AM23" s="10" t="s">
        <v>49</v>
      </c>
      <c r="AN23" s="15">
        <v>202300058577</v>
      </c>
      <c r="AO23" s="16" t="s">
        <v>71</v>
      </c>
      <c r="AP23" s="17">
        <v>10229.52</v>
      </c>
      <c r="AQ23" s="10" t="s">
        <v>51</v>
      </c>
      <c r="AR23" s="10" t="s">
        <v>85</v>
      </c>
      <c r="AS23" s="12">
        <v>4800</v>
      </c>
      <c r="AT23" s="10" t="s">
        <v>53</v>
      </c>
      <c r="AU23" s="10">
        <v>25171506</v>
      </c>
      <c r="AV23" s="10" t="s">
        <v>82</v>
      </c>
      <c r="AW23" s="10" t="s">
        <v>55</v>
      </c>
      <c r="AX23" s="10" t="s">
        <v>56</v>
      </c>
      <c r="AY23" s="10" t="s">
        <v>73</v>
      </c>
      <c r="AZ23" s="10" t="s">
        <v>74</v>
      </c>
      <c r="BA23" s="30" t="s">
        <v>395</v>
      </c>
      <c r="BC23" t="s">
        <v>283</v>
      </c>
      <c r="BD23" s="21">
        <v>0</v>
      </c>
      <c r="BE23" s="21">
        <v>4918.760277136259</v>
      </c>
      <c r="BG23" t="str">
        <v>Outbound</v>
      </c>
      <c r="BH23" t="str">
        <v>Land</v>
      </c>
      <c r="BI23" t="str">
        <v>FG-R-2181LE25</v>
      </c>
      <c r="BJ23" t="str">
        <v>JOHNSON ELECTRIC NORTH AMERICA, INC.</v>
      </c>
      <c r="BK23" t="str">
        <v xml:space="preserve">Memphis Distribution Services 3893 Crowfarn    </v>
      </c>
      <c r="BL23" t="str">
        <v>M01</v>
      </c>
      <c r="BM23" t="str">
        <v>1999-1WP0113EN</v>
      </c>
      <c r="BN23" s="24">
        <v>4800</v>
      </c>
      <c r="BO23" s="23">
        <v>633.24</v>
      </c>
      <c r="BP23" s="26">
        <f t="shared" si="0"/>
        <v>0.10948418001136383</v>
      </c>
      <c r="BQ23" s="21">
        <f t="shared" si="1"/>
        <v>497.60559815164862</v>
      </c>
    </row>
    <row r="24" spans="2:72" x14ac:dyDescent="0.35">
      <c r="B24" t="s">
        <v>261</v>
      </c>
      <c r="C24" t="s">
        <v>262</v>
      </c>
      <c r="D24" t="str" cm="1">
        <f t="array" ref="D24">_xlfn.REGEXEXTRACT(G24,"FG-R-\d{4}LE\d{2}")</f>
        <v>FG-R-2181LE25</v>
      </c>
      <c r="E24" t="s">
        <v>297</v>
      </c>
      <c r="F24" s="23" cm="1">
        <f t="array" ref="F24">_xlfn.SWITCH(TRUE,T24&gt;0,T24,Z24)</f>
        <v>439.84</v>
      </c>
      <c r="G24" s="10" t="s">
        <v>65</v>
      </c>
      <c r="H24" s="10" t="s">
        <v>38</v>
      </c>
      <c r="I24" s="10" t="s">
        <v>66</v>
      </c>
      <c r="J24" s="11" t="s">
        <v>67</v>
      </c>
      <c r="K24" s="11" t="s">
        <v>67</v>
      </c>
      <c r="L24" s="10" t="s">
        <v>65</v>
      </c>
      <c r="M24" s="10" t="s">
        <v>68</v>
      </c>
      <c r="N24" s="10" t="s">
        <v>43</v>
      </c>
      <c r="O24" s="10" t="s">
        <v>69</v>
      </c>
      <c r="P24" s="10" t="s">
        <v>45</v>
      </c>
      <c r="Q24" s="10" t="s">
        <v>46</v>
      </c>
      <c r="R24" s="12">
        <v>4</v>
      </c>
      <c r="S24" s="13">
        <v>339.84</v>
      </c>
      <c r="T24" s="13">
        <v>439.84</v>
      </c>
      <c r="U24" s="12">
        <v>0</v>
      </c>
      <c r="V24" s="13">
        <v>339.84</v>
      </c>
      <c r="W24" s="13">
        <v>339.84</v>
      </c>
      <c r="X24" s="12">
        <v>0</v>
      </c>
      <c r="Y24" s="13">
        <v>0</v>
      </c>
      <c r="Z24" s="13">
        <v>0</v>
      </c>
      <c r="AA24" s="12">
        <v>0</v>
      </c>
      <c r="AB24" s="13">
        <v>0</v>
      </c>
      <c r="AC24" s="13">
        <v>0</v>
      </c>
      <c r="AD24" s="12">
        <v>4</v>
      </c>
      <c r="AE24" s="12">
        <v>0</v>
      </c>
      <c r="AF24" s="12">
        <v>0</v>
      </c>
      <c r="AG24" s="12">
        <v>4</v>
      </c>
      <c r="AH24" s="12">
        <v>0</v>
      </c>
      <c r="AI24" s="12">
        <v>0</v>
      </c>
      <c r="AJ24" s="10">
        <v>6173283</v>
      </c>
      <c r="AK24" s="10" t="s">
        <v>47</v>
      </c>
      <c r="AL24" s="14" t="s">
        <v>70</v>
      </c>
      <c r="AM24" s="10" t="s">
        <v>49</v>
      </c>
      <c r="AN24" s="15">
        <v>202300058588</v>
      </c>
      <c r="AO24" s="16" t="s">
        <v>71</v>
      </c>
      <c r="AP24" s="17">
        <v>15407.04</v>
      </c>
      <c r="AQ24" s="10" t="s">
        <v>51</v>
      </c>
      <c r="AR24" s="10" t="s">
        <v>77</v>
      </c>
      <c r="AS24" s="12">
        <v>5760</v>
      </c>
      <c r="AT24" s="10" t="s">
        <v>53</v>
      </c>
      <c r="AU24" s="10">
        <v>26101200</v>
      </c>
      <c r="AV24" s="10" t="s">
        <v>78</v>
      </c>
      <c r="AW24" s="10" t="s">
        <v>55</v>
      </c>
      <c r="AX24" s="10" t="s">
        <v>56</v>
      </c>
      <c r="AY24" s="10" t="s">
        <v>79</v>
      </c>
      <c r="AZ24" s="10" t="s">
        <v>80</v>
      </c>
      <c r="BA24" s="30" t="s">
        <v>395</v>
      </c>
      <c r="BC24" t="s">
        <v>284</v>
      </c>
      <c r="BD24" s="21">
        <v>0</v>
      </c>
      <c r="BE24" s="21">
        <v>4918.760277136259</v>
      </c>
      <c r="BG24" t="str">
        <v>Outbound</v>
      </c>
      <c r="BH24" t="str">
        <v>Land</v>
      </c>
      <c r="BI24" t="str">
        <v>FG-R-2181LE25</v>
      </c>
      <c r="BJ24" t="str">
        <v>JOHNSON ELECTRIC NORTH AMERICA, INC.</v>
      </c>
      <c r="BK24" t="str">
        <v xml:space="preserve">Memphis Distribution Services 3893 Crowfarn    </v>
      </c>
      <c r="BL24" t="str">
        <v>M01</v>
      </c>
      <c r="BM24" t="str">
        <v>1916-1010002EP/MX</v>
      </c>
      <c r="BN24" s="24">
        <v>5760</v>
      </c>
      <c r="BO24" s="23">
        <v>439.84</v>
      </c>
      <c r="BP24" s="26">
        <f t="shared" si="0"/>
        <v>7.6046241134796078E-2</v>
      </c>
      <c r="BQ24" s="21">
        <f t="shared" si="1"/>
        <v>345.63016595764816</v>
      </c>
    </row>
    <row r="25" spans="2:72" x14ac:dyDescent="0.35">
      <c r="B25" t="s">
        <v>261</v>
      </c>
      <c r="C25" t="s">
        <v>262</v>
      </c>
      <c r="D25" t="str" cm="1">
        <f t="array" ref="D25">_xlfn.REGEXEXTRACT(G25,"FG-R-\d{4}LE\d{2}")</f>
        <v>FG-R-2181LE25</v>
      </c>
      <c r="E25" t="s">
        <v>297</v>
      </c>
      <c r="F25" s="23" cm="1">
        <f t="array" ref="F25">_xlfn.SWITCH(TRUE,T25&gt;0,T25,Z25)</f>
        <v>585.79999999999995</v>
      </c>
      <c r="G25" s="10" t="s">
        <v>65</v>
      </c>
      <c r="H25" s="10" t="s">
        <v>38</v>
      </c>
      <c r="I25" s="10" t="s">
        <v>66</v>
      </c>
      <c r="J25" s="11" t="s">
        <v>67</v>
      </c>
      <c r="K25" s="11" t="s">
        <v>67</v>
      </c>
      <c r="L25" s="10" t="s">
        <v>65</v>
      </c>
      <c r="M25" s="10" t="s">
        <v>68</v>
      </c>
      <c r="N25" s="10" t="s">
        <v>43</v>
      </c>
      <c r="O25" s="10" t="s">
        <v>69</v>
      </c>
      <c r="P25" s="10" t="s">
        <v>45</v>
      </c>
      <c r="Q25" s="10" t="s">
        <v>46</v>
      </c>
      <c r="R25" s="12">
        <v>5</v>
      </c>
      <c r="S25" s="13">
        <v>460.8</v>
      </c>
      <c r="T25" s="13">
        <v>585.79999999999995</v>
      </c>
      <c r="U25" s="12">
        <v>0</v>
      </c>
      <c r="V25" s="13">
        <v>460.8</v>
      </c>
      <c r="W25" s="13">
        <v>460.8</v>
      </c>
      <c r="X25" s="12">
        <v>0</v>
      </c>
      <c r="Y25" s="13">
        <v>0</v>
      </c>
      <c r="Z25" s="13">
        <v>0</v>
      </c>
      <c r="AA25" s="12">
        <v>0</v>
      </c>
      <c r="AB25" s="13">
        <v>0</v>
      </c>
      <c r="AC25" s="13">
        <v>0</v>
      </c>
      <c r="AD25" s="12">
        <v>5</v>
      </c>
      <c r="AE25" s="12">
        <v>0</v>
      </c>
      <c r="AF25" s="12">
        <v>0</v>
      </c>
      <c r="AG25" s="12">
        <v>5</v>
      </c>
      <c r="AH25" s="12">
        <v>0</v>
      </c>
      <c r="AI25" s="12">
        <v>0</v>
      </c>
      <c r="AJ25" s="10">
        <v>6173284</v>
      </c>
      <c r="AK25" s="10" t="s">
        <v>47</v>
      </c>
      <c r="AL25" s="14" t="s">
        <v>70</v>
      </c>
      <c r="AM25" s="10" t="s">
        <v>49</v>
      </c>
      <c r="AN25" s="15">
        <v>202300058589</v>
      </c>
      <c r="AO25" s="16" t="s">
        <v>71</v>
      </c>
      <c r="AP25" s="17">
        <v>19993.05</v>
      </c>
      <c r="AQ25" s="10" t="s">
        <v>51</v>
      </c>
      <c r="AR25" s="10" t="s">
        <v>83</v>
      </c>
      <c r="AS25" s="12">
        <v>7200</v>
      </c>
      <c r="AT25" s="10" t="s">
        <v>53</v>
      </c>
      <c r="AU25" s="10">
        <v>26101200</v>
      </c>
      <c r="AV25" s="10" t="s">
        <v>78</v>
      </c>
      <c r="AW25" s="10" t="s">
        <v>55</v>
      </c>
      <c r="AX25" s="10" t="s">
        <v>56</v>
      </c>
      <c r="AY25" s="10" t="s">
        <v>79</v>
      </c>
      <c r="AZ25" s="10" t="s">
        <v>80</v>
      </c>
      <c r="BA25" s="30" t="s">
        <v>395</v>
      </c>
      <c r="BC25" t="s">
        <v>285</v>
      </c>
      <c r="BD25" s="21">
        <v>0</v>
      </c>
      <c r="BE25" s="21">
        <v>4918.760277136259</v>
      </c>
      <c r="BG25" t="str">
        <v>Outbound</v>
      </c>
      <c r="BH25" t="str">
        <v>Land</v>
      </c>
      <c r="BI25" t="str">
        <v>FG-R-2181LE25</v>
      </c>
      <c r="BJ25" t="str">
        <v>JOHNSON ELECTRIC NORTH AMERICA, INC.</v>
      </c>
      <c r="BK25" t="str">
        <v xml:space="preserve">Memphis Distribution Services 3893 Crowfarn    </v>
      </c>
      <c r="BL25" t="str">
        <v>M01</v>
      </c>
      <c r="BM25" t="str">
        <v>1916-1010004EN</v>
      </c>
      <c r="BN25" s="24">
        <v>7200</v>
      </c>
      <c r="BO25" s="23">
        <v>585.79999999999995</v>
      </c>
      <c r="BP25" s="26">
        <f t="shared" si="0"/>
        <v>0.10128202995808371</v>
      </c>
      <c r="BQ25" s="21">
        <f t="shared" si="1"/>
        <v>460.32682615949045</v>
      </c>
    </row>
    <row r="26" spans="2:72" x14ac:dyDescent="0.35">
      <c r="B26" t="s">
        <v>261</v>
      </c>
      <c r="C26" t="s">
        <v>262</v>
      </c>
      <c r="D26" t="str" cm="1">
        <f t="array" ref="D26">_xlfn.REGEXEXTRACT(G26,"FG-R-\d{4}LE\d{2}")</f>
        <v>FG-R-2181LE25</v>
      </c>
      <c r="E26" t="s">
        <v>298</v>
      </c>
      <c r="F26" s="23" cm="1">
        <f t="array" ref="F26">_xlfn.SWITCH(TRUE,T26&gt;0,T26,Z26)</f>
        <v>122.44</v>
      </c>
      <c r="G26" s="10" t="s">
        <v>65</v>
      </c>
      <c r="H26" s="10" t="s">
        <v>38</v>
      </c>
      <c r="I26" s="10" t="s">
        <v>66</v>
      </c>
      <c r="J26" s="11" t="s">
        <v>67</v>
      </c>
      <c r="K26" s="11" t="s">
        <v>67</v>
      </c>
      <c r="L26" s="10" t="s">
        <v>65</v>
      </c>
      <c r="M26" s="10" t="s">
        <v>68</v>
      </c>
      <c r="N26" s="10" t="s">
        <v>43</v>
      </c>
      <c r="O26" s="10" t="s">
        <v>69</v>
      </c>
      <c r="P26" s="10" t="s">
        <v>45</v>
      </c>
      <c r="Q26" s="10" t="s">
        <v>46</v>
      </c>
      <c r="R26" s="12">
        <v>1</v>
      </c>
      <c r="S26" s="13">
        <v>101.44</v>
      </c>
      <c r="T26" s="13">
        <v>122.44</v>
      </c>
      <c r="U26" s="12">
        <v>50</v>
      </c>
      <c r="V26" s="13">
        <v>26.44</v>
      </c>
      <c r="W26" s="13">
        <v>101.44</v>
      </c>
      <c r="X26" s="12">
        <v>0</v>
      </c>
      <c r="Y26" s="13">
        <v>0</v>
      </c>
      <c r="Z26" s="13">
        <v>0</v>
      </c>
      <c r="AA26" s="12">
        <v>0</v>
      </c>
      <c r="AB26" s="13">
        <v>0</v>
      </c>
      <c r="AC26" s="13">
        <v>0</v>
      </c>
      <c r="AD26" s="12">
        <v>1</v>
      </c>
      <c r="AE26" s="12">
        <v>0</v>
      </c>
      <c r="AF26" s="12">
        <v>0</v>
      </c>
      <c r="AG26" s="12">
        <v>1</v>
      </c>
      <c r="AH26" s="12">
        <v>0</v>
      </c>
      <c r="AI26" s="12">
        <v>0</v>
      </c>
      <c r="AJ26" s="10">
        <v>6173291</v>
      </c>
      <c r="AK26" s="10" t="s">
        <v>47</v>
      </c>
      <c r="AL26" s="14" t="s">
        <v>70</v>
      </c>
      <c r="AM26" s="10" t="s">
        <v>49</v>
      </c>
      <c r="AN26" s="15">
        <v>202300058574</v>
      </c>
      <c r="AO26" s="16" t="s">
        <v>71</v>
      </c>
      <c r="AP26" s="17">
        <v>1346.81</v>
      </c>
      <c r="AQ26" s="10" t="s">
        <v>51</v>
      </c>
      <c r="AR26" s="10" t="s">
        <v>86</v>
      </c>
      <c r="AS26" s="12">
        <v>200</v>
      </c>
      <c r="AT26" s="10" t="s">
        <v>53</v>
      </c>
      <c r="AU26" s="10">
        <v>26101100</v>
      </c>
      <c r="AV26" s="10" t="s">
        <v>87</v>
      </c>
      <c r="AW26" s="10" t="s">
        <v>55</v>
      </c>
      <c r="AX26" s="10" t="s">
        <v>56</v>
      </c>
      <c r="AY26" s="10" t="s">
        <v>79</v>
      </c>
      <c r="AZ26" s="10" t="s">
        <v>80</v>
      </c>
      <c r="BA26" s="30" t="s">
        <v>395</v>
      </c>
      <c r="BC26" t="s">
        <v>286</v>
      </c>
      <c r="BD26" s="21">
        <v>0</v>
      </c>
      <c r="BE26" s="21">
        <v>4918.760277136259</v>
      </c>
      <c r="BG26" t="str">
        <v>Outbound</v>
      </c>
      <c r="BH26" t="str">
        <v>Land</v>
      </c>
      <c r="BI26" t="str">
        <v>FG-R-2181LE25</v>
      </c>
      <c r="BJ26" t="str">
        <v>JOHNSON ELECTRIC NORTH AMERICA, INC.</v>
      </c>
      <c r="BK26" t="str">
        <v xml:space="preserve">Memphis Distribution Services 3893 Crowfarn    </v>
      </c>
      <c r="BL26" t="str">
        <v>M46</v>
      </c>
      <c r="BM26" t="str">
        <v>1651-EQH0040EN</v>
      </c>
      <c r="BN26" s="24">
        <v>200</v>
      </c>
      <c r="BO26" s="23">
        <v>122.44</v>
      </c>
      <c r="BP26" s="26">
        <f t="shared" si="0"/>
        <v>2.1169292844089742E-2</v>
      </c>
      <c r="BQ26" s="21">
        <f t="shared" si="1"/>
        <v>96.214435976387875</v>
      </c>
    </row>
    <row r="27" spans="2:72" x14ac:dyDescent="0.35">
      <c r="B27" t="s">
        <v>261</v>
      </c>
      <c r="C27" t="s">
        <v>262</v>
      </c>
      <c r="D27" t="str" cm="1">
        <f t="array" ref="D27">_xlfn.REGEXEXTRACT(G27,"FG-R-\d{4}LE\d{2}")</f>
        <v>FG-R-2181LE25</v>
      </c>
      <c r="E27" t="s">
        <v>298</v>
      </c>
      <c r="F27" s="23" cm="1">
        <f t="array" ref="F27">_xlfn.SWITCH(TRUE,T27&gt;0,T27,Z27)</f>
        <v>62.44</v>
      </c>
      <c r="G27" s="10" t="s">
        <v>65</v>
      </c>
      <c r="H27" s="10" t="s">
        <v>38</v>
      </c>
      <c r="I27" s="10" t="s">
        <v>66</v>
      </c>
      <c r="J27" s="11" t="s">
        <v>67</v>
      </c>
      <c r="K27" s="11" t="s">
        <v>67</v>
      </c>
      <c r="L27" s="10" t="s">
        <v>65</v>
      </c>
      <c r="M27" s="10" t="s">
        <v>68</v>
      </c>
      <c r="N27" s="10" t="s">
        <v>43</v>
      </c>
      <c r="O27" s="10" t="s">
        <v>69</v>
      </c>
      <c r="P27" s="10" t="s">
        <v>45</v>
      </c>
      <c r="Q27" s="10" t="s">
        <v>46</v>
      </c>
      <c r="R27" s="12">
        <v>0</v>
      </c>
      <c r="S27" s="13">
        <v>0</v>
      </c>
      <c r="T27" s="13">
        <v>0</v>
      </c>
      <c r="U27" s="12">
        <v>0</v>
      </c>
      <c r="V27" s="13">
        <v>0</v>
      </c>
      <c r="W27" s="13">
        <v>0</v>
      </c>
      <c r="X27" s="12">
        <v>1</v>
      </c>
      <c r="Y27" s="13">
        <v>41.44</v>
      </c>
      <c r="Z27" s="13">
        <v>62.44</v>
      </c>
      <c r="AA27" s="12">
        <v>10</v>
      </c>
      <c r="AB27" s="13">
        <v>26.44</v>
      </c>
      <c r="AC27" s="13">
        <v>41.44</v>
      </c>
      <c r="AD27" s="12">
        <v>1</v>
      </c>
      <c r="AE27" s="12">
        <v>0</v>
      </c>
      <c r="AF27" s="12">
        <v>0</v>
      </c>
      <c r="AG27" s="12">
        <v>1</v>
      </c>
      <c r="AH27" s="12">
        <v>0</v>
      </c>
      <c r="AI27" s="12">
        <v>0</v>
      </c>
      <c r="AJ27" s="10">
        <v>6173290</v>
      </c>
      <c r="AK27" s="10" t="s">
        <v>47</v>
      </c>
      <c r="AL27" s="14" t="s">
        <v>70</v>
      </c>
      <c r="AM27" s="10" t="s">
        <v>49</v>
      </c>
      <c r="AN27" s="15">
        <v>202300058573</v>
      </c>
      <c r="AO27" s="16" t="s">
        <v>71</v>
      </c>
      <c r="AP27" s="17">
        <v>716.41</v>
      </c>
      <c r="AQ27" s="10" t="s">
        <v>51</v>
      </c>
      <c r="AR27" s="10" t="s">
        <v>88</v>
      </c>
      <c r="AS27" s="12">
        <v>200</v>
      </c>
      <c r="AT27" s="10" t="s">
        <v>53</v>
      </c>
      <c r="AU27" s="10">
        <v>26101100</v>
      </c>
      <c r="AV27" s="10" t="s">
        <v>87</v>
      </c>
      <c r="AW27" s="10" t="s">
        <v>55</v>
      </c>
      <c r="AX27" s="10" t="s">
        <v>56</v>
      </c>
      <c r="AY27" s="10" t="s">
        <v>79</v>
      </c>
      <c r="AZ27" s="10" t="s">
        <v>80</v>
      </c>
      <c r="BA27" s="30" t="s">
        <v>395</v>
      </c>
      <c r="BC27" t="s">
        <v>287</v>
      </c>
      <c r="BD27" s="21">
        <v>0</v>
      </c>
      <c r="BE27" s="21">
        <v>4918.760277136259</v>
      </c>
      <c r="BG27" t="str">
        <v>Outbound</v>
      </c>
      <c r="BH27" t="str">
        <v>Land</v>
      </c>
      <c r="BI27" t="str">
        <v>FG-R-2181LE25</v>
      </c>
      <c r="BJ27" t="str">
        <v>JOHNSON ELECTRIC NORTH AMERICA, INC.</v>
      </c>
      <c r="BK27" t="str">
        <v xml:space="preserve">Memphis Distribution Services 3893 Crowfarn    </v>
      </c>
      <c r="BL27" t="str">
        <v>M46</v>
      </c>
      <c r="BM27" t="str">
        <v>1651-EQM0167EN</v>
      </c>
      <c r="BN27" s="24">
        <v>200</v>
      </c>
      <c r="BO27" s="23">
        <v>62.44</v>
      </c>
      <c r="BP27" s="26">
        <f t="shared" si="0"/>
        <v>1.0795578611442039E-2</v>
      </c>
      <c r="BQ27" s="21">
        <f t="shared" si="1"/>
        <v>49.065904789004072</v>
      </c>
    </row>
    <row r="28" spans="2:72" x14ac:dyDescent="0.35">
      <c r="B28" t="s">
        <v>261</v>
      </c>
      <c r="C28" t="s">
        <v>262</v>
      </c>
      <c r="D28" t="str" cm="1">
        <f t="array" ref="D28">_xlfn.REGEXEXTRACT(G28,"FG-R-\d{4}LE\d{2}")</f>
        <v>FG-R-2181LE25</v>
      </c>
      <c r="E28" t="s">
        <v>298</v>
      </c>
      <c r="F28" s="23" cm="1">
        <f t="array" ref="F28">_xlfn.SWITCH(TRUE,T28&gt;0,T28,Z28)</f>
        <v>62.46</v>
      </c>
      <c r="G28" s="10" t="s">
        <v>65</v>
      </c>
      <c r="H28" s="10" t="s">
        <v>38</v>
      </c>
      <c r="I28" s="10" t="s">
        <v>66</v>
      </c>
      <c r="J28" s="11" t="s">
        <v>67</v>
      </c>
      <c r="K28" s="11" t="s">
        <v>67</v>
      </c>
      <c r="L28" s="10" t="s">
        <v>65</v>
      </c>
      <c r="M28" s="10" t="s">
        <v>68</v>
      </c>
      <c r="N28" s="10" t="s">
        <v>43</v>
      </c>
      <c r="O28" s="10" t="s">
        <v>69</v>
      </c>
      <c r="P28" s="10" t="s">
        <v>45</v>
      </c>
      <c r="Q28" s="10" t="s">
        <v>46</v>
      </c>
      <c r="R28" s="12">
        <v>0</v>
      </c>
      <c r="S28" s="13">
        <v>0</v>
      </c>
      <c r="T28" s="13">
        <v>0</v>
      </c>
      <c r="U28" s="12">
        <v>0</v>
      </c>
      <c r="V28" s="13">
        <v>0</v>
      </c>
      <c r="W28" s="13">
        <v>0</v>
      </c>
      <c r="X28" s="12">
        <v>1</v>
      </c>
      <c r="Y28" s="13">
        <v>41.46</v>
      </c>
      <c r="Z28" s="13">
        <v>62.46</v>
      </c>
      <c r="AA28" s="12">
        <v>10</v>
      </c>
      <c r="AB28" s="13">
        <v>26.46</v>
      </c>
      <c r="AC28" s="13">
        <v>41.46</v>
      </c>
      <c r="AD28" s="12">
        <v>1</v>
      </c>
      <c r="AE28" s="12">
        <v>0</v>
      </c>
      <c r="AF28" s="12">
        <v>0</v>
      </c>
      <c r="AG28" s="12">
        <v>1</v>
      </c>
      <c r="AH28" s="12">
        <v>0</v>
      </c>
      <c r="AI28" s="12">
        <v>0</v>
      </c>
      <c r="AJ28" s="10">
        <v>6173293</v>
      </c>
      <c r="AK28" s="10" t="s">
        <v>47</v>
      </c>
      <c r="AL28" s="14" t="s">
        <v>70</v>
      </c>
      <c r="AM28" s="10" t="s">
        <v>49</v>
      </c>
      <c r="AN28" s="15">
        <v>202300058575</v>
      </c>
      <c r="AO28" s="16" t="s">
        <v>71</v>
      </c>
      <c r="AP28" s="17">
        <v>1328.25</v>
      </c>
      <c r="AQ28" s="10" t="s">
        <v>51</v>
      </c>
      <c r="AR28" s="10" t="s">
        <v>89</v>
      </c>
      <c r="AS28" s="12">
        <v>200</v>
      </c>
      <c r="AT28" s="10" t="s">
        <v>53</v>
      </c>
      <c r="AU28" s="10">
        <v>26101100</v>
      </c>
      <c r="AV28" s="10" t="s">
        <v>87</v>
      </c>
      <c r="AW28" s="10" t="s">
        <v>55</v>
      </c>
      <c r="AX28" s="10" t="s">
        <v>56</v>
      </c>
      <c r="AY28" s="10" t="s">
        <v>79</v>
      </c>
      <c r="AZ28" s="10" t="s">
        <v>80</v>
      </c>
      <c r="BA28" s="30" t="s">
        <v>395</v>
      </c>
      <c r="BC28" t="s">
        <v>288</v>
      </c>
      <c r="BD28" s="21">
        <v>0</v>
      </c>
      <c r="BE28" s="21">
        <v>4918.760277136259</v>
      </c>
      <c r="BG28" t="str">
        <v>Outbound</v>
      </c>
      <c r="BH28" t="str">
        <v>Land</v>
      </c>
      <c r="BI28" t="str">
        <v>FG-R-2181LE25</v>
      </c>
      <c r="BJ28" t="str">
        <v>JOHNSON ELECTRIC NORTH AMERICA, INC.</v>
      </c>
      <c r="BK28" t="str">
        <v xml:space="preserve">Memphis Distribution Services 3893 Crowfarn    </v>
      </c>
      <c r="BL28" t="str">
        <v>M46</v>
      </c>
      <c r="BM28" t="str">
        <v>1651-EQH0021EN</v>
      </c>
      <c r="BN28" s="24">
        <v>200</v>
      </c>
      <c r="BO28" s="23">
        <v>62.46</v>
      </c>
      <c r="BP28" s="26">
        <f t="shared" si="0"/>
        <v>1.0799036516186257E-2</v>
      </c>
      <c r="BQ28" s="21">
        <f t="shared" si="1"/>
        <v>49.081620966066538</v>
      </c>
    </row>
    <row r="29" spans="2:72" x14ac:dyDescent="0.35">
      <c r="B29" t="s">
        <v>261</v>
      </c>
      <c r="C29" t="s">
        <v>262</v>
      </c>
      <c r="D29" t="str" cm="1">
        <f t="array" ref="D29">_xlfn.REGEXEXTRACT(G29,"FG-R-\d{4}LE\d{2}")</f>
        <v>FG-R-2184LE25</v>
      </c>
      <c r="E29" t="s">
        <v>299</v>
      </c>
      <c r="F29" s="23" cm="1">
        <f t="array" ref="F29">_xlfn.SWITCH(TRUE,T29&gt;0,T29,Z29)</f>
        <v>11245.248</v>
      </c>
      <c r="G29" s="10" t="s">
        <v>90</v>
      </c>
      <c r="H29" s="10" t="s">
        <v>38</v>
      </c>
      <c r="I29" s="10" t="s">
        <v>91</v>
      </c>
      <c r="J29" s="11" t="s">
        <v>67</v>
      </c>
      <c r="K29" s="11" t="s">
        <v>67</v>
      </c>
      <c r="L29" s="10" t="s">
        <v>90</v>
      </c>
      <c r="M29" s="10" t="s">
        <v>92</v>
      </c>
      <c r="N29" s="10" t="s">
        <v>93</v>
      </c>
      <c r="O29" s="10" t="s">
        <v>94</v>
      </c>
      <c r="P29" s="10" t="s">
        <v>95</v>
      </c>
      <c r="Q29" s="10" t="s">
        <v>96</v>
      </c>
      <c r="R29" s="12">
        <v>24</v>
      </c>
      <c r="S29" s="13">
        <v>10741.248</v>
      </c>
      <c r="T29" s="13">
        <v>11245.248</v>
      </c>
      <c r="U29" s="12">
        <v>1296</v>
      </c>
      <c r="V29" s="13">
        <v>10082.879999999999</v>
      </c>
      <c r="W29" s="13">
        <v>10741.248</v>
      </c>
      <c r="X29" s="12">
        <v>0</v>
      </c>
      <c r="Y29" s="13">
        <v>0</v>
      </c>
      <c r="Z29" s="13">
        <v>0</v>
      </c>
      <c r="AA29" s="12">
        <v>0</v>
      </c>
      <c r="AB29" s="13">
        <v>0</v>
      </c>
      <c r="AC29" s="13">
        <v>0</v>
      </c>
      <c r="AD29" s="12">
        <v>24</v>
      </c>
      <c r="AE29" s="12">
        <v>0</v>
      </c>
      <c r="AF29" s="12">
        <v>0</v>
      </c>
      <c r="AG29" s="12">
        <v>24</v>
      </c>
      <c r="AH29" s="12">
        <v>0</v>
      </c>
      <c r="AI29" s="12">
        <v>0</v>
      </c>
      <c r="AJ29" s="10">
        <v>6173351</v>
      </c>
      <c r="AK29" s="10" t="s">
        <v>47</v>
      </c>
      <c r="AL29" s="14" t="s">
        <v>70</v>
      </c>
      <c r="AM29" s="10" t="s">
        <v>97</v>
      </c>
      <c r="AN29" s="15">
        <v>202000289793</v>
      </c>
      <c r="AO29" s="16" t="s">
        <v>71</v>
      </c>
      <c r="AP29" s="17">
        <v>12737.74</v>
      </c>
      <c r="AQ29" s="10" t="s">
        <v>51</v>
      </c>
      <c r="AR29" s="10" t="s">
        <v>98</v>
      </c>
      <c r="AS29" s="12">
        <v>5184</v>
      </c>
      <c r="AT29" s="10" t="s">
        <v>53</v>
      </c>
      <c r="AU29" s="10">
        <v>26101200</v>
      </c>
      <c r="AV29" s="10" t="s">
        <v>78</v>
      </c>
      <c r="AW29" s="10" t="s">
        <v>55</v>
      </c>
      <c r="AX29" s="10" t="s">
        <v>56</v>
      </c>
      <c r="AY29" s="10" t="s">
        <v>99</v>
      </c>
      <c r="AZ29" s="10" t="s">
        <v>100</v>
      </c>
      <c r="BA29" s="30" t="s">
        <v>395</v>
      </c>
      <c r="BC29" t="s">
        <v>289</v>
      </c>
      <c r="BD29" s="21">
        <v>0</v>
      </c>
      <c r="BE29" s="21">
        <v>4918.760277136259</v>
      </c>
      <c r="BG29" t="str">
        <v>Outbound</v>
      </c>
      <c r="BH29" t="str">
        <v>Land</v>
      </c>
      <c r="BI29" t="str">
        <v>FG-R-2182LE25</v>
      </c>
      <c r="BJ29" t="str">
        <v>JOHNSON ELECTRIC NORTH AMERICA, INC.</v>
      </c>
      <c r="BK29" t="str">
        <v xml:space="preserve">(TDS) Transcontinental Distribution Services, Inc 14213 Transportation Ave    </v>
      </c>
      <c r="BL29" t="str">
        <v>M23</v>
      </c>
      <c r="BM29" t="str">
        <v>1908-1E90003RN</v>
      </c>
      <c r="BN29" s="24">
        <v>480</v>
      </c>
      <c r="BO29" s="23">
        <v>879.04</v>
      </c>
      <c r="BP29" s="26">
        <f t="shared" si="0"/>
        <v>7.3015267055100169E-2</v>
      </c>
      <c r="BQ29" s="21">
        <f t="shared" si="1"/>
        <v>439.91698400697851</v>
      </c>
    </row>
    <row r="30" spans="2:72" x14ac:dyDescent="0.35">
      <c r="B30" t="s">
        <v>261</v>
      </c>
      <c r="C30" t="s">
        <v>262</v>
      </c>
      <c r="D30" t="str" cm="1">
        <f t="array" ref="D30">_xlfn.REGEXEXTRACT(G30,"FG-R-\d{4}LE\d{2}")</f>
        <v>FG-R-2184LE25</v>
      </c>
      <c r="E30" t="s">
        <v>299</v>
      </c>
      <c r="F30" s="23" cm="1">
        <f t="array" ref="F30">_xlfn.SWITCH(TRUE,T30&gt;0,T30,Z30)</f>
        <v>11245.248</v>
      </c>
      <c r="G30" s="10" t="s">
        <v>90</v>
      </c>
      <c r="H30" s="10" t="s">
        <v>38</v>
      </c>
      <c r="I30" s="10" t="s">
        <v>91</v>
      </c>
      <c r="J30" s="11" t="s">
        <v>67</v>
      </c>
      <c r="K30" s="11" t="s">
        <v>67</v>
      </c>
      <c r="L30" s="10" t="s">
        <v>90</v>
      </c>
      <c r="M30" s="10" t="s">
        <v>92</v>
      </c>
      <c r="N30" s="10" t="s">
        <v>93</v>
      </c>
      <c r="O30" s="10" t="s">
        <v>94</v>
      </c>
      <c r="P30" s="10" t="s">
        <v>95</v>
      </c>
      <c r="Q30" s="10" t="s">
        <v>96</v>
      </c>
      <c r="R30" s="12">
        <v>24</v>
      </c>
      <c r="S30" s="13">
        <v>10741.248</v>
      </c>
      <c r="T30" s="13">
        <v>11245.248</v>
      </c>
      <c r="U30" s="12">
        <v>1296</v>
      </c>
      <c r="V30" s="13">
        <v>10082.879999999999</v>
      </c>
      <c r="W30" s="13">
        <v>10741.248</v>
      </c>
      <c r="X30" s="12">
        <v>0</v>
      </c>
      <c r="Y30" s="13">
        <v>0</v>
      </c>
      <c r="Z30" s="13">
        <v>0</v>
      </c>
      <c r="AA30" s="12">
        <v>0</v>
      </c>
      <c r="AB30" s="13">
        <v>0</v>
      </c>
      <c r="AC30" s="13">
        <v>0</v>
      </c>
      <c r="AD30" s="12">
        <v>24</v>
      </c>
      <c r="AE30" s="12">
        <v>0</v>
      </c>
      <c r="AF30" s="12">
        <v>0</v>
      </c>
      <c r="AG30" s="12">
        <v>24</v>
      </c>
      <c r="AH30" s="12">
        <v>0</v>
      </c>
      <c r="AI30" s="12">
        <v>0</v>
      </c>
      <c r="AJ30" s="10">
        <v>6173351</v>
      </c>
      <c r="AK30" s="10" t="s">
        <v>47</v>
      </c>
      <c r="AL30" s="14" t="s">
        <v>70</v>
      </c>
      <c r="AM30" s="10" t="s">
        <v>97</v>
      </c>
      <c r="AN30" s="15">
        <v>202000289794</v>
      </c>
      <c r="AO30" s="16" t="s">
        <v>71</v>
      </c>
      <c r="AP30" s="17">
        <v>183787.34</v>
      </c>
      <c r="AQ30" s="10" t="s">
        <v>51</v>
      </c>
      <c r="AR30" s="10" t="s">
        <v>98</v>
      </c>
      <c r="AS30" s="12">
        <v>5184</v>
      </c>
      <c r="AT30" s="10" t="s">
        <v>53</v>
      </c>
      <c r="AU30" s="10">
        <v>26101200</v>
      </c>
      <c r="AV30" s="10" t="s">
        <v>78</v>
      </c>
      <c r="AW30" s="10" t="s">
        <v>55</v>
      </c>
      <c r="AX30" s="10" t="s">
        <v>56</v>
      </c>
      <c r="AY30" s="10" t="s">
        <v>99</v>
      </c>
      <c r="AZ30" s="10" t="s">
        <v>100</v>
      </c>
      <c r="BA30" s="30" t="s">
        <v>395</v>
      </c>
      <c r="BC30" t="s">
        <v>290</v>
      </c>
      <c r="BD30" s="21">
        <v>0</v>
      </c>
      <c r="BE30" s="21">
        <v>4918.760277136259</v>
      </c>
      <c r="BG30" t="str">
        <v>Outbound</v>
      </c>
      <c r="BH30" t="str">
        <v>Land</v>
      </c>
      <c r="BI30" t="str">
        <v>FG-R-2182LE25</v>
      </c>
      <c r="BJ30" t="str">
        <v>JOHNSON ELECTRIC NORTH AMERICA, INC.</v>
      </c>
      <c r="BK30" t="str">
        <v xml:space="preserve">(TDS) Transcontinental Distribution Services, Inc 14213 Transportation Ave    </v>
      </c>
      <c r="BL30" t="str">
        <v>M46</v>
      </c>
      <c r="BM30" t="str">
        <v>1651-MYY0054EN</v>
      </c>
      <c r="BN30" s="24">
        <v>10</v>
      </c>
      <c r="BO30" s="23">
        <v>14.618</v>
      </c>
      <c r="BP30" s="26">
        <f t="shared" si="0"/>
        <v>1.2142077423228231E-3</v>
      </c>
      <c r="BQ30" s="21">
        <f t="shared" si="1"/>
        <v>7.3156016474950096</v>
      </c>
    </row>
    <row r="31" spans="2:72" x14ac:dyDescent="0.35">
      <c r="B31" t="s">
        <v>261</v>
      </c>
      <c r="C31" t="s">
        <v>262</v>
      </c>
      <c r="D31" t="str" cm="1">
        <f t="array" ref="D31">_xlfn.REGEXEXTRACT(G31,"FG-R-\d{4}LE\d{2}")</f>
        <v>FG-R-2184LE25</v>
      </c>
      <c r="E31" t="s">
        <v>299</v>
      </c>
      <c r="F31" s="23" cm="1">
        <f t="array" ref="F31">_xlfn.SWITCH(TRUE,T31&gt;0,T31,Z31)</f>
        <v>2073.2399999999998</v>
      </c>
      <c r="G31" s="10" t="s">
        <v>90</v>
      </c>
      <c r="H31" s="10" t="s">
        <v>38</v>
      </c>
      <c r="I31" s="10" t="s">
        <v>91</v>
      </c>
      <c r="J31" s="11" t="s">
        <v>67</v>
      </c>
      <c r="K31" s="11" t="s">
        <v>67</v>
      </c>
      <c r="L31" s="10" t="s">
        <v>90</v>
      </c>
      <c r="M31" s="10" t="s">
        <v>92</v>
      </c>
      <c r="N31" s="10" t="s">
        <v>93</v>
      </c>
      <c r="O31" s="10" t="s">
        <v>94</v>
      </c>
      <c r="P31" s="10" t="s">
        <v>95</v>
      </c>
      <c r="Q31" s="10" t="s">
        <v>96</v>
      </c>
      <c r="R31" s="12">
        <v>5</v>
      </c>
      <c r="S31" s="13">
        <v>1914.24</v>
      </c>
      <c r="T31" s="13">
        <v>2073.2399999999998</v>
      </c>
      <c r="U31" s="12">
        <v>320</v>
      </c>
      <c r="V31" s="13">
        <v>1804.8</v>
      </c>
      <c r="W31" s="13">
        <v>1914.24</v>
      </c>
      <c r="X31" s="12">
        <v>0</v>
      </c>
      <c r="Y31" s="13">
        <v>0</v>
      </c>
      <c r="Z31" s="13">
        <v>0</v>
      </c>
      <c r="AA31" s="12">
        <v>0</v>
      </c>
      <c r="AB31" s="13">
        <v>0</v>
      </c>
      <c r="AC31" s="13">
        <v>0</v>
      </c>
      <c r="AD31" s="12">
        <v>5</v>
      </c>
      <c r="AE31" s="12">
        <v>0</v>
      </c>
      <c r="AF31" s="12">
        <v>0</v>
      </c>
      <c r="AG31" s="12">
        <v>5</v>
      </c>
      <c r="AH31" s="12">
        <v>0</v>
      </c>
      <c r="AI31" s="12">
        <v>0</v>
      </c>
      <c r="AJ31" s="10">
        <v>6173319</v>
      </c>
      <c r="AK31" s="10" t="s">
        <v>47</v>
      </c>
      <c r="AL31" s="14" t="s">
        <v>70</v>
      </c>
      <c r="AM31" s="10" t="s">
        <v>97</v>
      </c>
      <c r="AN31" s="15">
        <v>202000289778</v>
      </c>
      <c r="AO31" s="16" t="s">
        <v>71</v>
      </c>
      <c r="AP31" s="17">
        <v>5176.49</v>
      </c>
      <c r="AQ31" s="10" t="s">
        <v>51</v>
      </c>
      <c r="AR31" s="10" t="s">
        <v>101</v>
      </c>
      <c r="AS31" s="12">
        <v>1600</v>
      </c>
      <c r="AT31" s="10" t="s">
        <v>53</v>
      </c>
      <c r="AU31" s="10">
        <v>26101200</v>
      </c>
      <c r="AV31" s="10" t="s">
        <v>78</v>
      </c>
      <c r="AW31" s="10" t="s">
        <v>55</v>
      </c>
      <c r="AX31" s="10" t="s">
        <v>56</v>
      </c>
      <c r="AY31" s="10" t="s">
        <v>102</v>
      </c>
      <c r="AZ31" s="10" t="s">
        <v>103</v>
      </c>
      <c r="BA31" s="30" t="s">
        <v>395</v>
      </c>
      <c r="BC31" t="s">
        <v>291</v>
      </c>
      <c r="BD31" s="21">
        <v>0</v>
      </c>
      <c r="BE31" s="21">
        <v>4918.760277136259</v>
      </c>
      <c r="BG31" t="str">
        <v>Outbound</v>
      </c>
      <c r="BH31" t="str">
        <v>Land</v>
      </c>
      <c r="BI31" t="str">
        <v>FG-R-2182LE25</v>
      </c>
      <c r="BJ31" t="str">
        <v>JOHNSON ELECTRIC NORTH AMERICA, INC.</v>
      </c>
      <c r="BK31" t="str">
        <v xml:space="preserve">(TDS) Transcontinental Distribution Services, Inc 14213 Transportation Ave    </v>
      </c>
      <c r="BL31" t="str">
        <v>M46</v>
      </c>
      <c r="BM31" t="str">
        <v>1651-MYY0047EN</v>
      </c>
      <c r="BN31" s="24">
        <v>504</v>
      </c>
      <c r="BO31" s="23">
        <v>105.268</v>
      </c>
      <c r="BP31" s="26">
        <f t="shared" si="0"/>
        <v>8.7438240948720033E-3</v>
      </c>
      <c r="BQ31" s="21">
        <f t="shared" si="1"/>
        <v>52.681540171603821</v>
      </c>
    </row>
    <row r="32" spans="2:72" x14ac:dyDescent="0.35">
      <c r="B32" t="s">
        <v>261</v>
      </c>
      <c r="C32" t="s">
        <v>262</v>
      </c>
      <c r="D32" t="str" cm="1">
        <f t="array" ref="D32">_xlfn.REGEXEXTRACT(G32,"FG-R-\d{4}LE\d{2}")</f>
        <v>FG-R-2184LE25</v>
      </c>
      <c r="E32" t="s">
        <v>299</v>
      </c>
      <c r="F32" s="23" cm="1">
        <f t="array" ref="F32">_xlfn.SWITCH(TRUE,T32&gt;0,T32,Z32)</f>
        <v>2073.2399999999998</v>
      </c>
      <c r="G32" s="10" t="s">
        <v>90</v>
      </c>
      <c r="H32" s="10" t="s">
        <v>38</v>
      </c>
      <c r="I32" s="10" t="s">
        <v>91</v>
      </c>
      <c r="J32" s="11" t="s">
        <v>67</v>
      </c>
      <c r="K32" s="11" t="s">
        <v>67</v>
      </c>
      <c r="L32" s="10" t="s">
        <v>90</v>
      </c>
      <c r="M32" s="10" t="s">
        <v>92</v>
      </c>
      <c r="N32" s="10" t="s">
        <v>93</v>
      </c>
      <c r="O32" s="10" t="s">
        <v>94</v>
      </c>
      <c r="P32" s="10" t="s">
        <v>95</v>
      </c>
      <c r="Q32" s="10" t="s">
        <v>96</v>
      </c>
      <c r="R32" s="12">
        <v>5</v>
      </c>
      <c r="S32" s="13">
        <v>1914.24</v>
      </c>
      <c r="T32" s="13">
        <v>2073.2399999999998</v>
      </c>
      <c r="U32" s="12">
        <v>320</v>
      </c>
      <c r="V32" s="13">
        <v>1804.8</v>
      </c>
      <c r="W32" s="13">
        <v>1914.24</v>
      </c>
      <c r="X32" s="12">
        <v>0</v>
      </c>
      <c r="Y32" s="13">
        <v>0</v>
      </c>
      <c r="Z32" s="13">
        <v>0</v>
      </c>
      <c r="AA32" s="12">
        <v>0</v>
      </c>
      <c r="AB32" s="13">
        <v>0</v>
      </c>
      <c r="AC32" s="13">
        <v>0</v>
      </c>
      <c r="AD32" s="12">
        <v>5</v>
      </c>
      <c r="AE32" s="12">
        <v>0</v>
      </c>
      <c r="AF32" s="12">
        <v>0</v>
      </c>
      <c r="AG32" s="12">
        <v>5</v>
      </c>
      <c r="AH32" s="12">
        <v>0</v>
      </c>
      <c r="AI32" s="12">
        <v>0</v>
      </c>
      <c r="AJ32" s="10">
        <v>6173319</v>
      </c>
      <c r="AK32" s="10" t="s">
        <v>47</v>
      </c>
      <c r="AL32" s="14" t="s">
        <v>70</v>
      </c>
      <c r="AM32" s="10" t="s">
        <v>97</v>
      </c>
      <c r="AN32" s="15">
        <v>202000289779</v>
      </c>
      <c r="AO32" s="16" t="s">
        <v>71</v>
      </c>
      <c r="AP32" s="17">
        <v>20705.96</v>
      </c>
      <c r="AQ32" s="10" t="s">
        <v>51</v>
      </c>
      <c r="AR32" s="10" t="s">
        <v>101</v>
      </c>
      <c r="AS32" s="12">
        <v>1600</v>
      </c>
      <c r="AT32" s="10" t="s">
        <v>53</v>
      </c>
      <c r="AU32" s="10">
        <v>26101200</v>
      </c>
      <c r="AV32" s="10" t="s">
        <v>78</v>
      </c>
      <c r="AW32" s="10" t="s">
        <v>55</v>
      </c>
      <c r="AX32" s="10" t="s">
        <v>56</v>
      </c>
      <c r="AY32" s="10" t="s">
        <v>102</v>
      </c>
      <c r="AZ32" s="10" t="s">
        <v>103</v>
      </c>
      <c r="BA32" s="30" t="s">
        <v>395</v>
      </c>
      <c r="BC32" t="s">
        <v>292</v>
      </c>
      <c r="BD32" s="21">
        <v>0</v>
      </c>
      <c r="BE32" s="21">
        <v>4918.760277136259</v>
      </c>
      <c r="BG32" t="str">
        <v>Outbound</v>
      </c>
      <c r="BH32" t="str">
        <v>Land</v>
      </c>
      <c r="BI32" t="str">
        <v>FG-R-2182LE25</v>
      </c>
      <c r="BJ32" t="str">
        <v>JOHNSON ELECTRIC NORTH AMERICA, INC.</v>
      </c>
      <c r="BK32" t="str">
        <v xml:space="preserve">APX WH  6001 GLOBAL DISTRIBUTION WAY LOUISVILLE, KY 40228    </v>
      </c>
      <c r="BL32" t="str">
        <v>M45</v>
      </c>
      <c r="BM32" t="str">
        <v>1999-1E30016EU</v>
      </c>
      <c r="BN32" s="24">
        <v>6048</v>
      </c>
      <c r="BO32" s="23">
        <v>5299.2960000000003</v>
      </c>
      <c r="BP32" s="26">
        <f t="shared" si="0"/>
        <v>0.44017281653169843</v>
      </c>
      <c r="BQ32" s="21">
        <f t="shared" si="1"/>
        <v>2652.0412196034831</v>
      </c>
    </row>
    <row r="33" spans="2:69" x14ac:dyDescent="0.35">
      <c r="B33" t="s">
        <v>261</v>
      </c>
      <c r="C33" t="s">
        <v>262</v>
      </c>
      <c r="D33" t="str" cm="1">
        <f t="array" ref="D33">_xlfn.REGEXEXTRACT(G33,"FG-R-\d{4}LE\d{2}")</f>
        <v>FG-R-2184LE25</v>
      </c>
      <c r="E33" t="s">
        <v>299</v>
      </c>
      <c r="F33" s="23" cm="1">
        <f t="array" ref="F33">_xlfn.SWITCH(TRUE,T33&gt;0,T33,Z33)</f>
        <v>468.55200000000002</v>
      </c>
      <c r="G33" s="10" t="s">
        <v>90</v>
      </c>
      <c r="H33" s="10" t="s">
        <v>38</v>
      </c>
      <c r="I33" s="10" t="s">
        <v>91</v>
      </c>
      <c r="J33" s="11" t="s">
        <v>67</v>
      </c>
      <c r="K33" s="11" t="s">
        <v>67</v>
      </c>
      <c r="L33" s="10" t="s">
        <v>90</v>
      </c>
      <c r="M33" s="10" t="s">
        <v>92</v>
      </c>
      <c r="N33" s="10" t="s">
        <v>93</v>
      </c>
      <c r="O33" s="10" t="s">
        <v>94</v>
      </c>
      <c r="P33" s="10" t="s">
        <v>95</v>
      </c>
      <c r="Q33" s="10" t="s">
        <v>96</v>
      </c>
      <c r="R33" s="12">
        <v>1</v>
      </c>
      <c r="S33" s="13">
        <v>447.55200000000002</v>
      </c>
      <c r="T33" s="13">
        <v>468.55200000000002</v>
      </c>
      <c r="U33" s="12">
        <v>54</v>
      </c>
      <c r="V33" s="13">
        <v>420.12</v>
      </c>
      <c r="W33" s="13">
        <v>447.55200000000002</v>
      </c>
      <c r="X33" s="12">
        <v>0</v>
      </c>
      <c r="Y33" s="13">
        <v>0</v>
      </c>
      <c r="Z33" s="13">
        <v>0</v>
      </c>
      <c r="AA33" s="12">
        <v>0</v>
      </c>
      <c r="AB33" s="13">
        <v>0</v>
      </c>
      <c r="AC33" s="13">
        <v>0</v>
      </c>
      <c r="AD33" s="12">
        <v>1</v>
      </c>
      <c r="AE33" s="12">
        <v>0</v>
      </c>
      <c r="AF33" s="12">
        <v>0</v>
      </c>
      <c r="AG33" s="12">
        <v>1</v>
      </c>
      <c r="AH33" s="12">
        <v>0</v>
      </c>
      <c r="AI33" s="12">
        <v>0</v>
      </c>
      <c r="AJ33" s="10">
        <v>6173326</v>
      </c>
      <c r="AK33" s="10" t="s">
        <v>47</v>
      </c>
      <c r="AL33" s="14" t="s">
        <v>70</v>
      </c>
      <c r="AM33" s="10" t="s">
        <v>97</v>
      </c>
      <c r="AN33" s="15">
        <v>202000289783</v>
      </c>
      <c r="AO33" s="16" t="s">
        <v>71</v>
      </c>
      <c r="AP33" s="17">
        <v>4814.88</v>
      </c>
      <c r="AQ33" s="10" t="s">
        <v>51</v>
      </c>
      <c r="AR33" s="10" t="s">
        <v>104</v>
      </c>
      <c r="AS33" s="12">
        <v>216</v>
      </c>
      <c r="AT33" s="10" t="s">
        <v>53</v>
      </c>
      <c r="AU33" s="10">
        <v>26101200</v>
      </c>
      <c r="AV33" s="10" t="s">
        <v>78</v>
      </c>
      <c r="AW33" s="10" t="s">
        <v>55</v>
      </c>
      <c r="AX33" s="10" t="s">
        <v>56</v>
      </c>
      <c r="AY33" s="10" t="s">
        <v>99</v>
      </c>
      <c r="AZ33" s="10" t="s">
        <v>100</v>
      </c>
      <c r="BA33" s="30" t="s">
        <v>395</v>
      </c>
      <c r="BC33" t="s">
        <v>293</v>
      </c>
      <c r="BD33" s="21">
        <v>0</v>
      </c>
      <c r="BE33" s="21">
        <v>4918.760277136259</v>
      </c>
      <c r="BG33" t="str">
        <v>Outbound</v>
      </c>
      <c r="BH33" t="str">
        <v>Land</v>
      </c>
      <c r="BI33" t="str">
        <v>FG-R-2182LE25</v>
      </c>
      <c r="BJ33" t="str">
        <v>JOHNSON ELECTRIC NORTH AMERICA, INC.</v>
      </c>
      <c r="BK33" t="str">
        <v xml:space="preserve">APX WH  6001 GLOBAL DISTRIBUTION WAY LOUISVILLE, KY 40228    </v>
      </c>
      <c r="BL33" t="str">
        <v>M45</v>
      </c>
      <c r="BM33" t="str">
        <v>1999-1E30016EU</v>
      </c>
      <c r="BN33" s="24">
        <v>3528</v>
      </c>
      <c r="BO33" s="23">
        <v>3091.2559999999999</v>
      </c>
      <c r="BP33" s="26">
        <f t="shared" si="0"/>
        <v>0.25676747631015739</v>
      </c>
      <c r="BQ33" s="21">
        <f t="shared" si="1"/>
        <v>1547.0240447686983</v>
      </c>
    </row>
    <row r="34" spans="2:69" x14ac:dyDescent="0.35">
      <c r="B34" t="s">
        <v>261</v>
      </c>
      <c r="C34" t="s">
        <v>262</v>
      </c>
      <c r="D34" t="str" cm="1">
        <f t="array" ref="D34">_xlfn.REGEXEXTRACT(G34,"FG-R-\d{4}LE\d{2}")</f>
        <v>FG-R-2184LE25</v>
      </c>
      <c r="E34" t="s">
        <v>299</v>
      </c>
      <c r="F34" s="23" cm="1">
        <f t="array" ref="F34">_xlfn.SWITCH(TRUE,T34&gt;0,T34,Z34)</f>
        <v>468.55200000000002</v>
      </c>
      <c r="G34" s="10" t="s">
        <v>90</v>
      </c>
      <c r="H34" s="10" t="s">
        <v>38</v>
      </c>
      <c r="I34" s="10" t="s">
        <v>91</v>
      </c>
      <c r="J34" s="11" t="s">
        <v>67</v>
      </c>
      <c r="K34" s="11" t="s">
        <v>67</v>
      </c>
      <c r="L34" s="10" t="s">
        <v>90</v>
      </c>
      <c r="M34" s="10" t="s">
        <v>92</v>
      </c>
      <c r="N34" s="10" t="s">
        <v>93</v>
      </c>
      <c r="O34" s="10" t="s">
        <v>94</v>
      </c>
      <c r="P34" s="10" t="s">
        <v>95</v>
      </c>
      <c r="Q34" s="10" t="s">
        <v>96</v>
      </c>
      <c r="R34" s="12">
        <v>1</v>
      </c>
      <c r="S34" s="13">
        <v>447.55200000000002</v>
      </c>
      <c r="T34" s="13">
        <v>468.55200000000002</v>
      </c>
      <c r="U34" s="12">
        <v>54</v>
      </c>
      <c r="V34" s="13">
        <v>420.12</v>
      </c>
      <c r="W34" s="13">
        <v>447.55200000000002</v>
      </c>
      <c r="X34" s="12">
        <v>0</v>
      </c>
      <c r="Y34" s="13">
        <v>0</v>
      </c>
      <c r="Z34" s="13">
        <v>0</v>
      </c>
      <c r="AA34" s="12">
        <v>0</v>
      </c>
      <c r="AB34" s="13">
        <v>0</v>
      </c>
      <c r="AC34" s="13">
        <v>0</v>
      </c>
      <c r="AD34" s="12">
        <v>1</v>
      </c>
      <c r="AE34" s="12">
        <v>0</v>
      </c>
      <c r="AF34" s="12">
        <v>0</v>
      </c>
      <c r="AG34" s="12">
        <v>1</v>
      </c>
      <c r="AH34" s="12">
        <v>0</v>
      </c>
      <c r="AI34" s="12">
        <v>0</v>
      </c>
      <c r="AJ34" s="10">
        <v>6173326</v>
      </c>
      <c r="AK34" s="10" t="s">
        <v>47</v>
      </c>
      <c r="AL34" s="14" t="s">
        <v>70</v>
      </c>
      <c r="AM34" s="10" t="s">
        <v>97</v>
      </c>
      <c r="AN34" s="15">
        <v>202000289784</v>
      </c>
      <c r="AO34" s="16" t="s">
        <v>71</v>
      </c>
      <c r="AP34" s="17">
        <v>4150.76</v>
      </c>
      <c r="AQ34" s="10" t="s">
        <v>51</v>
      </c>
      <c r="AR34" s="10" t="s">
        <v>104</v>
      </c>
      <c r="AS34" s="12">
        <v>216</v>
      </c>
      <c r="AT34" s="10" t="s">
        <v>53</v>
      </c>
      <c r="AU34" s="10">
        <v>26101200</v>
      </c>
      <c r="AV34" s="10" t="s">
        <v>78</v>
      </c>
      <c r="AW34" s="10" t="s">
        <v>55</v>
      </c>
      <c r="AX34" s="10" t="s">
        <v>56</v>
      </c>
      <c r="AY34" s="10" t="s">
        <v>99</v>
      </c>
      <c r="AZ34" s="10" t="s">
        <v>100</v>
      </c>
      <c r="BA34" s="30" t="s">
        <v>395</v>
      </c>
      <c r="BG34" t="str">
        <v>Outbound</v>
      </c>
      <c r="BH34" t="str">
        <v>Land</v>
      </c>
      <c r="BI34" t="str">
        <v>FG-R-2182LE25</v>
      </c>
      <c r="BJ34" t="str">
        <v>JOHNSON ELECTRIC NORTH AMERICA, INC.</v>
      </c>
      <c r="BK34" t="str">
        <v xml:space="preserve">APX WH  6001 GLOBAL DISTRIBUTION WAY LOUISVILLE, KY 40228    </v>
      </c>
      <c r="BL34" t="str">
        <v>M45</v>
      </c>
      <c r="BM34" t="str">
        <v>1999-1E30016EU</v>
      </c>
      <c r="BN34" s="24">
        <v>3024</v>
      </c>
      <c r="BO34" s="23">
        <v>2649.6480000000001</v>
      </c>
      <c r="BP34" s="26">
        <f t="shared" si="0"/>
        <v>0.22008640826584921</v>
      </c>
      <c r="BQ34" s="21">
        <f t="shared" si="1"/>
        <v>1326.0206098017416</v>
      </c>
    </row>
    <row r="35" spans="2:69" x14ac:dyDescent="0.35">
      <c r="B35" t="s">
        <v>261</v>
      </c>
      <c r="C35" t="s">
        <v>262</v>
      </c>
      <c r="D35" t="str" cm="1">
        <f t="array" ref="D35">_xlfn.REGEXEXTRACT(G35,"FG-R-\d{4}LE\d{2}")</f>
        <v>FG-R-2184LE25</v>
      </c>
      <c r="E35" t="s">
        <v>299</v>
      </c>
      <c r="F35" s="23" cm="1">
        <f t="array" ref="F35">_xlfn.SWITCH(TRUE,T35&gt;0,T35,Z35)</f>
        <v>3262.4760000000001</v>
      </c>
      <c r="G35" s="10" t="s">
        <v>90</v>
      </c>
      <c r="H35" s="10" t="s">
        <v>38</v>
      </c>
      <c r="I35" s="10" t="s">
        <v>91</v>
      </c>
      <c r="J35" s="11" t="s">
        <v>67</v>
      </c>
      <c r="K35" s="11" t="s">
        <v>67</v>
      </c>
      <c r="L35" s="10" t="s">
        <v>90</v>
      </c>
      <c r="M35" s="10" t="s">
        <v>92</v>
      </c>
      <c r="N35" s="10" t="s">
        <v>93</v>
      </c>
      <c r="O35" s="10" t="s">
        <v>94</v>
      </c>
      <c r="P35" s="10" t="s">
        <v>95</v>
      </c>
      <c r="Q35" s="10" t="s">
        <v>96</v>
      </c>
      <c r="R35" s="12">
        <v>7</v>
      </c>
      <c r="S35" s="13">
        <v>3115.4760000000001</v>
      </c>
      <c r="T35" s="13">
        <v>3262.4760000000001</v>
      </c>
      <c r="U35" s="12">
        <v>378</v>
      </c>
      <c r="V35" s="13">
        <v>2923.4520000000002</v>
      </c>
      <c r="W35" s="13">
        <v>3115.4760000000001</v>
      </c>
      <c r="X35" s="12">
        <v>0</v>
      </c>
      <c r="Y35" s="13">
        <v>0</v>
      </c>
      <c r="Z35" s="13">
        <v>0</v>
      </c>
      <c r="AA35" s="12">
        <v>0</v>
      </c>
      <c r="AB35" s="13">
        <v>0</v>
      </c>
      <c r="AC35" s="13">
        <v>0</v>
      </c>
      <c r="AD35" s="12">
        <v>7</v>
      </c>
      <c r="AE35" s="12">
        <v>0</v>
      </c>
      <c r="AF35" s="12">
        <v>0</v>
      </c>
      <c r="AG35" s="12">
        <v>7</v>
      </c>
      <c r="AH35" s="12">
        <v>0</v>
      </c>
      <c r="AI35" s="12">
        <v>0</v>
      </c>
      <c r="AJ35" s="10">
        <v>6173322</v>
      </c>
      <c r="AK35" s="10" t="s">
        <v>47</v>
      </c>
      <c r="AL35" s="14" t="s">
        <v>70</v>
      </c>
      <c r="AM35" s="10" t="s">
        <v>97</v>
      </c>
      <c r="AN35" s="15">
        <v>202000289780</v>
      </c>
      <c r="AO35" s="16" t="s">
        <v>71</v>
      </c>
      <c r="AP35" s="17">
        <v>34829.269999999997</v>
      </c>
      <c r="AQ35" s="10" t="s">
        <v>51</v>
      </c>
      <c r="AR35" s="10" t="s">
        <v>105</v>
      </c>
      <c r="AS35" s="12">
        <v>1134</v>
      </c>
      <c r="AT35" s="10" t="s">
        <v>53</v>
      </c>
      <c r="AU35" s="10">
        <v>26101200</v>
      </c>
      <c r="AV35" s="10" t="s">
        <v>78</v>
      </c>
      <c r="AW35" s="10" t="s">
        <v>55</v>
      </c>
      <c r="AX35" s="10" t="s">
        <v>56</v>
      </c>
      <c r="AY35" s="10" t="s">
        <v>102</v>
      </c>
      <c r="AZ35" s="10" t="s">
        <v>103</v>
      </c>
      <c r="BA35" s="30" t="s">
        <v>395</v>
      </c>
      <c r="BG35" t="str">
        <v>Outbound</v>
      </c>
      <c r="BH35" t="str">
        <v>Land</v>
      </c>
      <c r="BI35" t="str">
        <v>FG-R-2183LE25</v>
      </c>
      <c r="BJ35" t="str">
        <v>SAIA-BURGESS AUTOMOTIVE ACTUATORS, LLC</v>
      </c>
      <c r="BK35" t="str">
        <v xml:space="preserve">755 BILL JONES DRIVE      </v>
      </c>
      <c r="BL35" t="str">
        <v>M19</v>
      </c>
      <c r="BM35" t="str">
        <v>1999-5YY0871EN</v>
      </c>
      <c r="BN35" s="24">
        <v>27</v>
      </c>
      <c r="BO35" s="23">
        <v>93.92</v>
      </c>
      <c r="BP35" s="26">
        <f t="shared" si="0"/>
        <v>1.9003739479451314E-3</v>
      </c>
      <c r="BQ35" s="21">
        <f t="shared" si="1"/>
        <v>9.8762434074708469</v>
      </c>
    </row>
    <row r="36" spans="2:69" x14ac:dyDescent="0.35">
      <c r="B36" t="s">
        <v>261</v>
      </c>
      <c r="C36" t="s">
        <v>262</v>
      </c>
      <c r="D36" t="str" cm="1">
        <f t="array" ref="D36">_xlfn.REGEXEXTRACT(G36,"FG-R-\d{4}LE\d{2}")</f>
        <v>FG-R-2184LE25</v>
      </c>
      <c r="E36" t="s">
        <v>299</v>
      </c>
      <c r="F36" s="23" cm="1">
        <f t="array" ref="F36">_xlfn.SWITCH(TRUE,T36&gt;0,T36,Z36)</f>
        <v>3262.4760000000001</v>
      </c>
      <c r="G36" s="10" t="s">
        <v>90</v>
      </c>
      <c r="H36" s="10" t="s">
        <v>38</v>
      </c>
      <c r="I36" s="10" t="s">
        <v>91</v>
      </c>
      <c r="J36" s="11" t="s">
        <v>67</v>
      </c>
      <c r="K36" s="11" t="s">
        <v>67</v>
      </c>
      <c r="L36" s="10" t="s">
        <v>90</v>
      </c>
      <c r="M36" s="10" t="s">
        <v>92</v>
      </c>
      <c r="N36" s="10" t="s">
        <v>93</v>
      </c>
      <c r="O36" s="10" t="s">
        <v>94</v>
      </c>
      <c r="P36" s="10" t="s">
        <v>95</v>
      </c>
      <c r="Q36" s="10" t="s">
        <v>96</v>
      </c>
      <c r="R36" s="12">
        <v>7</v>
      </c>
      <c r="S36" s="13">
        <v>3115.4760000000001</v>
      </c>
      <c r="T36" s="13">
        <v>3262.4760000000001</v>
      </c>
      <c r="U36" s="12">
        <v>378</v>
      </c>
      <c r="V36" s="13">
        <v>2923.4520000000002</v>
      </c>
      <c r="W36" s="13">
        <v>3115.4760000000001</v>
      </c>
      <c r="X36" s="12">
        <v>0</v>
      </c>
      <c r="Y36" s="13">
        <v>0</v>
      </c>
      <c r="Z36" s="13">
        <v>0</v>
      </c>
      <c r="AA36" s="12">
        <v>0</v>
      </c>
      <c r="AB36" s="13">
        <v>0</v>
      </c>
      <c r="AC36" s="13">
        <v>0</v>
      </c>
      <c r="AD36" s="12">
        <v>7</v>
      </c>
      <c r="AE36" s="12">
        <v>0</v>
      </c>
      <c r="AF36" s="12">
        <v>0</v>
      </c>
      <c r="AG36" s="12">
        <v>7</v>
      </c>
      <c r="AH36" s="12">
        <v>0</v>
      </c>
      <c r="AI36" s="12">
        <v>0</v>
      </c>
      <c r="AJ36" s="10">
        <v>6173322</v>
      </c>
      <c r="AK36" s="10" t="s">
        <v>47</v>
      </c>
      <c r="AL36" s="14" t="s">
        <v>70</v>
      </c>
      <c r="AM36" s="10" t="s">
        <v>97</v>
      </c>
      <c r="AN36" s="15">
        <v>202000289781</v>
      </c>
      <c r="AO36" s="16" t="s">
        <v>71</v>
      </c>
      <c r="AP36" s="17">
        <v>26121.96</v>
      </c>
      <c r="AQ36" s="10" t="s">
        <v>51</v>
      </c>
      <c r="AR36" s="10" t="s">
        <v>105</v>
      </c>
      <c r="AS36" s="12">
        <v>1134</v>
      </c>
      <c r="AT36" s="10" t="s">
        <v>53</v>
      </c>
      <c r="AU36" s="10">
        <v>26101200</v>
      </c>
      <c r="AV36" s="10" t="s">
        <v>78</v>
      </c>
      <c r="AW36" s="10" t="s">
        <v>55</v>
      </c>
      <c r="AX36" s="10" t="s">
        <v>56</v>
      </c>
      <c r="AY36" s="10" t="s">
        <v>102</v>
      </c>
      <c r="AZ36" s="10" t="s">
        <v>103</v>
      </c>
      <c r="BA36" s="30" t="s">
        <v>395</v>
      </c>
      <c r="BG36" t="str">
        <v>Outbound</v>
      </c>
      <c r="BH36" t="str">
        <v>Land</v>
      </c>
      <c r="BI36" t="str">
        <v>FG-R-2183LE25</v>
      </c>
      <c r="BJ36" t="str">
        <v>SAIA-BURGESS AUTOMOTIVE ACTUATORS, LLC</v>
      </c>
      <c r="BK36" t="str">
        <v xml:space="preserve">755 Bill Jones Drive      </v>
      </c>
      <c r="BL36" t="str">
        <v>M19</v>
      </c>
      <c r="BM36" t="str">
        <v>1999-5YY1445EN</v>
      </c>
      <c r="BN36" s="24">
        <v>1512</v>
      </c>
      <c r="BO36" s="23">
        <v>3326.7359999999999</v>
      </c>
      <c r="BP36" s="26">
        <f t="shared" si="0"/>
        <v>6.7313058199437767E-2</v>
      </c>
      <c r="BQ36" s="21">
        <f t="shared" si="1"/>
        <v>349.82596346247806</v>
      </c>
    </row>
    <row r="37" spans="2:69" x14ac:dyDescent="0.35">
      <c r="B37" t="s">
        <v>261</v>
      </c>
      <c r="C37" t="s">
        <v>262</v>
      </c>
      <c r="D37" t="str" cm="1">
        <f t="array" ref="D37">_xlfn.REGEXEXTRACT(G37,"FG-R-\d{4}LE\d{2}")</f>
        <v>FG-R-2182LE25</v>
      </c>
      <c r="E37" t="s">
        <v>295</v>
      </c>
      <c r="F37" s="23" cm="1">
        <f t="array" ref="F37">_xlfn.SWITCH(TRUE,T37&gt;0,T37,Z37)</f>
        <v>879.04</v>
      </c>
      <c r="G37" s="10" t="s">
        <v>106</v>
      </c>
      <c r="H37" s="10" t="s">
        <v>38</v>
      </c>
      <c r="I37" s="10" t="s">
        <v>107</v>
      </c>
      <c r="J37" s="11" t="s">
        <v>67</v>
      </c>
      <c r="K37" s="11" t="s">
        <v>67</v>
      </c>
      <c r="L37" s="10" t="s">
        <v>108</v>
      </c>
      <c r="M37" s="10" t="s">
        <v>109</v>
      </c>
      <c r="N37" s="10" t="s">
        <v>43</v>
      </c>
      <c r="O37" s="10" t="s">
        <v>44</v>
      </c>
      <c r="P37" s="10" t="s">
        <v>45</v>
      </c>
      <c r="Q37" s="10" t="s">
        <v>46</v>
      </c>
      <c r="R37" s="12">
        <v>4</v>
      </c>
      <c r="S37" s="13">
        <v>795.04</v>
      </c>
      <c r="T37" s="13">
        <v>879.04</v>
      </c>
      <c r="U37" s="12">
        <v>80</v>
      </c>
      <c r="V37" s="13">
        <v>696.48</v>
      </c>
      <c r="W37" s="13">
        <v>795.04</v>
      </c>
      <c r="X37" s="12">
        <v>0</v>
      </c>
      <c r="Y37" s="13">
        <v>0</v>
      </c>
      <c r="Z37" s="13">
        <v>0</v>
      </c>
      <c r="AA37" s="12">
        <v>0</v>
      </c>
      <c r="AB37" s="13">
        <v>0</v>
      </c>
      <c r="AC37" s="13">
        <v>0</v>
      </c>
      <c r="AD37" s="12">
        <v>4</v>
      </c>
      <c r="AE37" s="12">
        <v>0</v>
      </c>
      <c r="AF37" s="12">
        <v>0</v>
      </c>
      <c r="AG37" s="12">
        <v>0</v>
      </c>
      <c r="AH37" s="12">
        <v>4</v>
      </c>
      <c r="AI37" s="12">
        <v>0</v>
      </c>
      <c r="AJ37" s="10">
        <v>6173261</v>
      </c>
      <c r="AK37" s="10" t="s">
        <v>47</v>
      </c>
      <c r="AL37" s="14" t="s">
        <v>70</v>
      </c>
      <c r="AM37" s="10" t="s">
        <v>49</v>
      </c>
      <c r="AN37" s="15">
        <v>202300058572</v>
      </c>
      <c r="AO37" s="16" t="s">
        <v>71</v>
      </c>
      <c r="AP37" s="17">
        <v>18152.080000000002</v>
      </c>
      <c r="AQ37" s="10" t="s">
        <v>51</v>
      </c>
      <c r="AR37" s="10" t="s">
        <v>52</v>
      </c>
      <c r="AS37" s="12">
        <v>480</v>
      </c>
      <c r="AT37" s="10" t="s">
        <v>53</v>
      </c>
      <c r="AU37" s="10">
        <v>40151503</v>
      </c>
      <c r="AV37" s="10" t="s">
        <v>54</v>
      </c>
      <c r="AW37" s="10" t="s">
        <v>55</v>
      </c>
      <c r="AX37" s="10" t="s">
        <v>56</v>
      </c>
      <c r="AY37" s="10" t="s">
        <v>57</v>
      </c>
      <c r="AZ37" s="10" t="s">
        <v>58</v>
      </c>
      <c r="BA37" s="30" t="s">
        <v>395</v>
      </c>
      <c r="BG37" t="str">
        <v>Outbound</v>
      </c>
      <c r="BH37" t="str">
        <v>Land</v>
      </c>
      <c r="BI37" t="str">
        <v>FG-R-2183LE25</v>
      </c>
      <c r="BJ37" t="str">
        <v>SAIA-BURGESS AUTOMOTIVE ACTUATORS, LLC</v>
      </c>
      <c r="BK37" t="str">
        <v xml:space="preserve">755 Bill Jones Drive      </v>
      </c>
      <c r="BL37" t="str">
        <v>M19</v>
      </c>
      <c r="BM37" t="str">
        <v>1999-5YY1445EN</v>
      </c>
      <c r="BN37" s="24">
        <v>1512</v>
      </c>
      <c r="BO37" s="23">
        <v>3326.7359999999999</v>
      </c>
      <c r="BP37" s="26">
        <f t="shared" si="0"/>
        <v>6.7313058199437767E-2</v>
      </c>
      <c r="BQ37" s="21">
        <f t="shared" si="1"/>
        <v>349.82596346247806</v>
      </c>
    </row>
    <row r="38" spans="2:69" x14ac:dyDescent="0.35">
      <c r="B38" t="s">
        <v>261</v>
      </c>
      <c r="C38" t="s">
        <v>262</v>
      </c>
      <c r="D38" t="str" cm="1">
        <f t="array" ref="D38">_xlfn.REGEXEXTRACT(G38,"FG-R-\d{4}LE\d{2}")</f>
        <v>FG-R-2182LE25</v>
      </c>
      <c r="E38" t="s">
        <v>298</v>
      </c>
      <c r="F38" s="23" cm="1">
        <f t="array" ref="F38">_xlfn.SWITCH(TRUE,T38&gt;0,T38,Z38)</f>
        <v>14.618</v>
      </c>
      <c r="G38" s="10" t="s">
        <v>108</v>
      </c>
      <c r="H38" s="10" t="s">
        <v>38</v>
      </c>
      <c r="I38" s="10" t="s">
        <v>107</v>
      </c>
      <c r="J38" s="11" t="s">
        <v>67</v>
      </c>
      <c r="K38" s="11" t="s">
        <v>67</v>
      </c>
      <c r="L38" s="10" t="s">
        <v>108</v>
      </c>
      <c r="M38" s="10" t="s">
        <v>109</v>
      </c>
      <c r="N38" s="10" t="s">
        <v>43</v>
      </c>
      <c r="O38" s="10" t="s">
        <v>44</v>
      </c>
      <c r="P38" s="10" t="s">
        <v>45</v>
      </c>
      <c r="Q38" s="10" t="s">
        <v>46</v>
      </c>
      <c r="R38" s="12">
        <v>0</v>
      </c>
      <c r="S38" s="13">
        <v>0</v>
      </c>
      <c r="T38" s="13">
        <v>0</v>
      </c>
      <c r="U38" s="12">
        <v>0</v>
      </c>
      <c r="V38" s="13">
        <v>0</v>
      </c>
      <c r="W38" s="13">
        <v>0</v>
      </c>
      <c r="X38" s="12">
        <v>1</v>
      </c>
      <c r="Y38" s="13">
        <v>2.6179999999999999</v>
      </c>
      <c r="Z38" s="13">
        <v>14.618</v>
      </c>
      <c r="AA38" s="12">
        <v>1</v>
      </c>
      <c r="AB38" s="13">
        <v>1.5</v>
      </c>
      <c r="AC38" s="13">
        <v>2.6179999999999999</v>
      </c>
      <c r="AD38" s="12">
        <v>1</v>
      </c>
      <c r="AE38" s="12">
        <v>0</v>
      </c>
      <c r="AF38" s="12">
        <v>0</v>
      </c>
      <c r="AG38" s="12">
        <v>1</v>
      </c>
      <c r="AH38" s="12">
        <v>0</v>
      </c>
      <c r="AI38" s="12">
        <v>0</v>
      </c>
      <c r="AJ38" s="10">
        <v>6173335</v>
      </c>
      <c r="AK38" s="10" t="s">
        <v>47</v>
      </c>
      <c r="AL38" s="14" t="s">
        <v>70</v>
      </c>
      <c r="AM38" s="10" t="s">
        <v>49</v>
      </c>
      <c r="AN38" s="15">
        <v>202300058596</v>
      </c>
      <c r="AO38" s="16" t="s">
        <v>71</v>
      </c>
      <c r="AP38" s="17">
        <v>101.17</v>
      </c>
      <c r="AQ38" s="10" t="s">
        <v>51</v>
      </c>
      <c r="AR38" s="10" t="s">
        <v>110</v>
      </c>
      <c r="AS38" s="12">
        <v>10</v>
      </c>
      <c r="AT38" s="10" t="s">
        <v>53</v>
      </c>
      <c r="AU38" s="10">
        <v>26101200</v>
      </c>
      <c r="AV38" s="10" t="s">
        <v>78</v>
      </c>
      <c r="AW38" s="10" t="s">
        <v>55</v>
      </c>
      <c r="AX38" s="10" t="s">
        <v>56</v>
      </c>
      <c r="AY38" s="10" t="s">
        <v>79</v>
      </c>
      <c r="AZ38" s="10" t="s">
        <v>80</v>
      </c>
      <c r="BA38" s="30" t="s">
        <v>395</v>
      </c>
      <c r="BG38" t="str">
        <v>Outbound</v>
      </c>
      <c r="BH38" t="str">
        <v>Land</v>
      </c>
      <c r="BI38" t="str">
        <v>FG-R-2183LE25</v>
      </c>
      <c r="BJ38" t="str">
        <v>SAIA-BURGESS AUTOMOTIVE ACTUATORS, LLC</v>
      </c>
      <c r="BK38" t="str">
        <v xml:space="preserve">755 Bill Jones Drive      </v>
      </c>
      <c r="BL38" t="str">
        <v>M19</v>
      </c>
      <c r="BM38" t="str">
        <v>1999-5YY1445EN</v>
      </c>
      <c r="BN38" s="24">
        <v>1512</v>
      </c>
      <c r="BO38" s="23">
        <v>3326.7359999999999</v>
      </c>
      <c r="BP38" s="26">
        <f t="shared" si="0"/>
        <v>6.7313058199437767E-2</v>
      </c>
      <c r="BQ38" s="21">
        <f t="shared" si="1"/>
        <v>349.82596346247806</v>
      </c>
    </row>
    <row r="39" spans="2:69" x14ac:dyDescent="0.35">
      <c r="B39" t="s">
        <v>261</v>
      </c>
      <c r="C39" t="s">
        <v>262</v>
      </c>
      <c r="D39" t="str" cm="1">
        <f t="array" ref="D39">_xlfn.REGEXEXTRACT(G39,"FG-R-\d{4}LE\d{2}")</f>
        <v>FG-R-2182LE25</v>
      </c>
      <c r="E39" t="s">
        <v>298</v>
      </c>
      <c r="F39" s="23" cm="1">
        <f t="array" ref="F39">_xlfn.SWITCH(TRUE,T39&gt;0,T39,Z39)</f>
        <v>105.268</v>
      </c>
      <c r="G39" s="10" t="s">
        <v>108</v>
      </c>
      <c r="H39" s="10" t="s">
        <v>38</v>
      </c>
      <c r="I39" s="10" t="s">
        <v>107</v>
      </c>
      <c r="J39" s="11" t="s">
        <v>67</v>
      </c>
      <c r="K39" s="11" t="s">
        <v>67</v>
      </c>
      <c r="L39" s="10" t="s">
        <v>108</v>
      </c>
      <c r="M39" s="10" t="s">
        <v>109</v>
      </c>
      <c r="N39" s="10" t="s">
        <v>43</v>
      </c>
      <c r="O39" s="10" t="s">
        <v>44</v>
      </c>
      <c r="P39" s="10" t="s">
        <v>45</v>
      </c>
      <c r="Q39" s="10" t="s">
        <v>46</v>
      </c>
      <c r="R39" s="12">
        <v>0</v>
      </c>
      <c r="S39" s="13">
        <v>0</v>
      </c>
      <c r="T39" s="13">
        <v>0</v>
      </c>
      <c r="U39" s="12">
        <v>0</v>
      </c>
      <c r="V39" s="13">
        <v>0</v>
      </c>
      <c r="W39" s="13">
        <v>0</v>
      </c>
      <c r="X39" s="12">
        <v>1</v>
      </c>
      <c r="Y39" s="13">
        <v>93.268000000000001</v>
      </c>
      <c r="Z39" s="13">
        <v>105.268</v>
      </c>
      <c r="AA39" s="12">
        <v>14</v>
      </c>
      <c r="AB39" s="13">
        <v>77.616</v>
      </c>
      <c r="AC39" s="13">
        <v>93.268000000000001</v>
      </c>
      <c r="AD39" s="12">
        <v>1</v>
      </c>
      <c r="AE39" s="12">
        <v>0</v>
      </c>
      <c r="AF39" s="12">
        <v>0</v>
      </c>
      <c r="AG39" s="12">
        <v>1</v>
      </c>
      <c r="AH39" s="12">
        <v>0</v>
      </c>
      <c r="AI39" s="12">
        <v>0</v>
      </c>
      <c r="AJ39" s="10">
        <v>6173334</v>
      </c>
      <c r="AK39" s="10" t="s">
        <v>47</v>
      </c>
      <c r="AL39" s="14" t="s">
        <v>70</v>
      </c>
      <c r="AM39" s="10" t="s">
        <v>49</v>
      </c>
      <c r="AN39" s="15">
        <v>202300058594</v>
      </c>
      <c r="AO39" s="16" t="s">
        <v>71</v>
      </c>
      <c r="AP39" s="17">
        <v>5076.34</v>
      </c>
      <c r="AQ39" s="10" t="s">
        <v>51</v>
      </c>
      <c r="AR39" s="10" t="s">
        <v>111</v>
      </c>
      <c r="AS39" s="12">
        <v>504</v>
      </c>
      <c r="AT39" s="10" t="s">
        <v>53</v>
      </c>
      <c r="AU39" s="10">
        <v>26101200</v>
      </c>
      <c r="AV39" s="10" t="s">
        <v>78</v>
      </c>
      <c r="AW39" s="10" t="s">
        <v>55</v>
      </c>
      <c r="AX39" s="10" t="s">
        <v>56</v>
      </c>
      <c r="AY39" s="10" t="s">
        <v>79</v>
      </c>
      <c r="AZ39" s="10" t="s">
        <v>80</v>
      </c>
      <c r="BA39" s="30" t="s">
        <v>395</v>
      </c>
      <c r="BG39" t="str">
        <v>Outbound</v>
      </c>
      <c r="BH39" t="str">
        <v>Land</v>
      </c>
      <c r="BI39" t="str">
        <v>FG-R-2183LE25</v>
      </c>
      <c r="BJ39" t="str">
        <v>SAIA-BURGESS AUTOMOTIVE ACTUATORS, LLC</v>
      </c>
      <c r="BK39" t="str">
        <v xml:space="preserve">755 Bill Jones Drive      </v>
      </c>
      <c r="BL39" t="str">
        <v>M19</v>
      </c>
      <c r="BM39" t="str">
        <v>1999-5YY2044EN</v>
      </c>
      <c r="BN39" s="24">
        <v>4050</v>
      </c>
      <c r="BO39" s="23">
        <v>12591.3</v>
      </c>
      <c r="BP39" s="26">
        <f t="shared" si="0"/>
        <v>0.25477191749107253</v>
      </c>
      <c r="BQ39" s="21">
        <f t="shared" si="1"/>
        <v>1324.0496552011039</v>
      </c>
    </row>
    <row r="40" spans="2:69" x14ac:dyDescent="0.35">
      <c r="B40" t="s">
        <v>261</v>
      </c>
      <c r="C40" t="s">
        <v>262</v>
      </c>
      <c r="D40" t="str" cm="1">
        <f t="array" ref="D40">_xlfn.REGEXEXTRACT(G40,"FG-R-\d{4}LE\d{2}")</f>
        <v>FG-R-2182LE25</v>
      </c>
      <c r="E40" t="s">
        <v>296</v>
      </c>
      <c r="F40" s="23" cm="1">
        <f t="array" ref="F40">_xlfn.SWITCH(TRUE,T40&gt;0,T40,Z40)</f>
        <v>5299.2960000000003</v>
      </c>
      <c r="G40" s="10" t="s">
        <v>108</v>
      </c>
      <c r="H40" s="10" t="s">
        <v>38</v>
      </c>
      <c r="I40" s="10" t="s">
        <v>107</v>
      </c>
      <c r="J40" s="11" t="s">
        <v>67</v>
      </c>
      <c r="K40" s="11" t="s">
        <v>67</v>
      </c>
      <c r="L40" s="10" t="s">
        <v>108</v>
      </c>
      <c r="M40" s="10" t="s">
        <v>109</v>
      </c>
      <c r="N40" s="10" t="s">
        <v>43</v>
      </c>
      <c r="O40" s="10" t="s">
        <v>60</v>
      </c>
      <c r="P40" s="10" t="s">
        <v>45</v>
      </c>
      <c r="Q40" s="10" t="s">
        <v>46</v>
      </c>
      <c r="R40" s="12">
        <v>12</v>
      </c>
      <c r="S40" s="13">
        <v>5077.2960000000003</v>
      </c>
      <c r="T40" s="13">
        <v>5299.2960000000003</v>
      </c>
      <c r="U40" s="12">
        <v>504</v>
      </c>
      <c r="V40" s="13">
        <v>4886.7839999999997</v>
      </c>
      <c r="W40" s="13">
        <v>5077.2960000000003</v>
      </c>
      <c r="X40" s="12">
        <v>0</v>
      </c>
      <c r="Y40" s="13">
        <v>0</v>
      </c>
      <c r="Z40" s="13">
        <v>0</v>
      </c>
      <c r="AA40" s="12">
        <v>0</v>
      </c>
      <c r="AB40" s="13">
        <v>0</v>
      </c>
      <c r="AC40" s="13">
        <v>0</v>
      </c>
      <c r="AD40" s="12">
        <v>12</v>
      </c>
      <c r="AE40" s="12">
        <v>0</v>
      </c>
      <c r="AF40" s="12">
        <v>0</v>
      </c>
      <c r="AG40" s="12">
        <v>12</v>
      </c>
      <c r="AH40" s="12">
        <v>0</v>
      </c>
      <c r="AI40" s="12">
        <v>0</v>
      </c>
      <c r="AJ40" s="10">
        <v>6173339</v>
      </c>
      <c r="AK40" s="10" t="s">
        <v>47</v>
      </c>
      <c r="AL40" s="14" t="s">
        <v>70</v>
      </c>
      <c r="AM40" s="10" t="s">
        <v>49</v>
      </c>
      <c r="AN40" s="15">
        <v>202300058593</v>
      </c>
      <c r="AO40" s="16" t="s">
        <v>71</v>
      </c>
      <c r="AP40" s="17">
        <v>36297.599999999999</v>
      </c>
      <c r="AQ40" s="10" t="s">
        <v>51</v>
      </c>
      <c r="AR40" s="10" t="s">
        <v>61</v>
      </c>
      <c r="AS40" s="12">
        <v>6048</v>
      </c>
      <c r="AT40" s="10" t="s">
        <v>53</v>
      </c>
      <c r="AU40" s="10">
        <v>40151500</v>
      </c>
      <c r="AV40" s="10" t="s">
        <v>62</v>
      </c>
      <c r="AW40" s="10" t="s">
        <v>55</v>
      </c>
      <c r="AX40" s="10" t="s">
        <v>56</v>
      </c>
      <c r="AY40" s="10" t="s">
        <v>63</v>
      </c>
      <c r="AZ40" s="10" t="s">
        <v>64</v>
      </c>
      <c r="BA40" s="30" t="s">
        <v>395</v>
      </c>
      <c r="BG40" t="str">
        <v>Outbound</v>
      </c>
      <c r="BH40" t="str">
        <v>Land</v>
      </c>
      <c r="BI40" t="str">
        <v>FG-R-2183LE25</v>
      </c>
      <c r="BJ40" t="str">
        <v>SAIA-BURGESS AUTOMOTIVE ACTUATORS, LLC</v>
      </c>
      <c r="BK40" t="str">
        <v xml:space="preserve">755 Bill Jones Drive      </v>
      </c>
      <c r="BL40" t="str">
        <v>M19</v>
      </c>
      <c r="BM40" t="str">
        <v>1999-5YY2044EN</v>
      </c>
      <c r="BN40" s="24">
        <v>4050</v>
      </c>
      <c r="BO40" s="23">
        <v>12591.3</v>
      </c>
      <c r="BP40" s="26">
        <f t="shared" si="0"/>
        <v>0.25477191749107253</v>
      </c>
      <c r="BQ40" s="21">
        <f t="shared" si="1"/>
        <v>1324.0496552011039</v>
      </c>
    </row>
    <row r="41" spans="2:69" x14ac:dyDescent="0.35">
      <c r="B41" t="s">
        <v>261</v>
      </c>
      <c r="C41" t="s">
        <v>262</v>
      </c>
      <c r="D41" t="str" cm="1">
        <f t="array" ref="D41">_xlfn.REGEXEXTRACT(G41,"FG-R-\d{4}LE\d{2}")</f>
        <v>FG-R-2182LE25</v>
      </c>
      <c r="E41" t="s">
        <v>296</v>
      </c>
      <c r="F41" s="23" cm="1">
        <f t="array" ref="F41">_xlfn.SWITCH(TRUE,T41&gt;0,T41,Z41)</f>
        <v>3091.2559999999999</v>
      </c>
      <c r="G41" s="10" t="s">
        <v>108</v>
      </c>
      <c r="H41" s="10" t="s">
        <v>38</v>
      </c>
      <c r="I41" s="10" t="s">
        <v>107</v>
      </c>
      <c r="J41" s="11" t="s">
        <v>67</v>
      </c>
      <c r="K41" s="11" t="s">
        <v>67</v>
      </c>
      <c r="L41" s="10" t="s">
        <v>108</v>
      </c>
      <c r="M41" s="10" t="s">
        <v>109</v>
      </c>
      <c r="N41" s="10" t="s">
        <v>43</v>
      </c>
      <c r="O41" s="10" t="s">
        <v>60</v>
      </c>
      <c r="P41" s="10" t="s">
        <v>45</v>
      </c>
      <c r="Q41" s="10" t="s">
        <v>46</v>
      </c>
      <c r="R41" s="12">
        <v>7</v>
      </c>
      <c r="S41" s="13">
        <v>2961.7559999999999</v>
      </c>
      <c r="T41" s="13">
        <v>3091.2559999999999</v>
      </c>
      <c r="U41" s="12">
        <v>294</v>
      </c>
      <c r="V41" s="13">
        <v>2850.6239999999998</v>
      </c>
      <c r="W41" s="13">
        <v>2961.7559999999999</v>
      </c>
      <c r="X41" s="12">
        <v>0</v>
      </c>
      <c r="Y41" s="13">
        <v>0</v>
      </c>
      <c r="Z41" s="13">
        <v>0</v>
      </c>
      <c r="AA41" s="12">
        <v>0</v>
      </c>
      <c r="AB41" s="13">
        <v>0</v>
      </c>
      <c r="AC41" s="13">
        <v>0</v>
      </c>
      <c r="AD41" s="12">
        <v>7</v>
      </c>
      <c r="AE41" s="12">
        <v>0</v>
      </c>
      <c r="AF41" s="12">
        <v>0</v>
      </c>
      <c r="AG41" s="12">
        <v>7</v>
      </c>
      <c r="AH41" s="12">
        <v>0</v>
      </c>
      <c r="AI41" s="12">
        <v>0</v>
      </c>
      <c r="AJ41" s="10">
        <v>6173336</v>
      </c>
      <c r="AK41" s="10" t="s">
        <v>47</v>
      </c>
      <c r="AL41" s="14" t="s">
        <v>70</v>
      </c>
      <c r="AM41" s="10" t="s">
        <v>49</v>
      </c>
      <c r="AN41" s="15">
        <v>202300058599</v>
      </c>
      <c r="AO41" s="16" t="s">
        <v>71</v>
      </c>
      <c r="AP41" s="17">
        <v>21173.599999999999</v>
      </c>
      <c r="AQ41" s="10" t="s">
        <v>51</v>
      </c>
      <c r="AR41" s="10" t="s">
        <v>61</v>
      </c>
      <c r="AS41" s="12">
        <v>3528</v>
      </c>
      <c r="AT41" s="10" t="s">
        <v>53</v>
      </c>
      <c r="AU41" s="10">
        <v>40151500</v>
      </c>
      <c r="AV41" s="10" t="s">
        <v>62</v>
      </c>
      <c r="AW41" s="10" t="s">
        <v>55</v>
      </c>
      <c r="AX41" s="10" t="s">
        <v>56</v>
      </c>
      <c r="AY41" s="10" t="s">
        <v>63</v>
      </c>
      <c r="AZ41" s="10" t="s">
        <v>64</v>
      </c>
      <c r="BG41" t="str">
        <v>Outbound</v>
      </c>
      <c r="BH41" t="str">
        <v>Land</v>
      </c>
      <c r="BI41" t="str">
        <v>FG-R-2183LE25</v>
      </c>
      <c r="BJ41" t="str">
        <v>SAIA-BURGESS AUTOMOTIVE ACTUATORS, LLC</v>
      </c>
      <c r="BK41" t="str">
        <v xml:space="preserve">755 Bill Jones Drive      </v>
      </c>
      <c r="BL41" t="str">
        <v>M19</v>
      </c>
      <c r="BM41" t="str">
        <v>1999-5YY2044EN</v>
      </c>
      <c r="BN41" s="24">
        <v>4050</v>
      </c>
      <c r="BO41" s="23">
        <v>12591.3</v>
      </c>
      <c r="BP41" s="26">
        <f t="shared" si="0"/>
        <v>0.25477191749107253</v>
      </c>
      <c r="BQ41" s="21">
        <f t="shared" si="1"/>
        <v>1324.0496552011039</v>
      </c>
    </row>
    <row r="42" spans="2:69" x14ac:dyDescent="0.35">
      <c r="B42" t="s">
        <v>261</v>
      </c>
      <c r="C42" t="s">
        <v>262</v>
      </c>
      <c r="D42" t="str" cm="1">
        <f t="array" ref="D42">_xlfn.REGEXEXTRACT(G42,"FG-R-\d{4}LE\d{2}")</f>
        <v>FG-R-2182LE25</v>
      </c>
      <c r="E42" t="s">
        <v>296</v>
      </c>
      <c r="F42" s="23" cm="1">
        <f t="array" ref="F42">_xlfn.SWITCH(TRUE,T42&gt;0,T42,Z42)</f>
        <v>2649.6480000000001</v>
      </c>
      <c r="G42" s="10" t="s">
        <v>108</v>
      </c>
      <c r="H42" s="10" t="s">
        <v>38</v>
      </c>
      <c r="I42" s="10" t="s">
        <v>107</v>
      </c>
      <c r="J42" s="11" t="s">
        <v>67</v>
      </c>
      <c r="K42" s="11" t="s">
        <v>67</v>
      </c>
      <c r="L42" s="10" t="s">
        <v>108</v>
      </c>
      <c r="M42" s="10" t="s">
        <v>109</v>
      </c>
      <c r="N42" s="10" t="s">
        <v>43</v>
      </c>
      <c r="O42" s="10" t="s">
        <v>60</v>
      </c>
      <c r="P42" s="10" t="s">
        <v>45</v>
      </c>
      <c r="Q42" s="10" t="s">
        <v>46</v>
      </c>
      <c r="R42" s="12">
        <v>6</v>
      </c>
      <c r="S42" s="13">
        <v>2538.6480000000001</v>
      </c>
      <c r="T42" s="13">
        <v>2649.6480000000001</v>
      </c>
      <c r="U42" s="12">
        <v>252</v>
      </c>
      <c r="V42" s="13">
        <v>2443.3919999999998</v>
      </c>
      <c r="W42" s="13">
        <v>2538.6480000000001</v>
      </c>
      <c r="X42" s="12">
        <v>0</v>
      </c>
      <c r="Y42" s="13">
        <v>0</v>
      </c>
      <c r="Z42" s="13">
        <v>0</v>
      </c>
      <c r="AA42" s="12">
        <v>0</v>
      </c>
      <c r="AB42" s="13">
        <v>0</v>
      </c>
      <c r="AC42" s="13">
        <v>0</v>
      </c>
      <c r="AD42" s="12">
        <v>6</v>
      </c>
      <c r="AE42" s="12">
        <v>0</v>
      </c>
      <c r="AF42" s="12">
        <v>0</v>
      </c>
      <c r="AG42" s="12">
        <v>6</v>
      </c>
      <c r="AH42" s="12">
        <v>0</v>
      </c>
      <c r="AI42" s="12">
        <v>0</v>
      </c>
      <c r="AJ42" s="10">
        <v>6173337</v>
      </c>
      <c r="AK42" s="10" t="s">
        <v>47</v>
      </c>
      <c r="AL42" s="14" t="s">
        <v>70</v>
      </c>
      <c r="AM42" s="10" t="s">
        <v>49</v>
      </c>
      <c r="AN42" s="15">
        <v>202300058600</v>
      </c>
      <c r="AO42" s="16" t="s">
        <v>71</v>
      </c>
      <c r="AP42" s="17">
        <v>18148.8</v>
      </c>
      <c r="AQ42" s="10" t="s">
        <v>51</v>
      </c>
      <c r="AR42" s="10" t="s">
        <v>61</v>
      </c>
      <c r="AS42" s="12">
        <v>3024</v>
      </c>
      <c r="AT42" s="10" t="s">
        <v>53</v>
      </c>
      <c r="AU42" s="10">
        <v>40151500</v>
      </c>
      <c r="AV42" s="10" t="s">
        <v>62</v>
      </c>
      <c r="AW42" s="10" t="s">
        <v>55</v>
      </c>
      <c r="AX42" s="10" t="s">
        <v>56</v>
      </c>
      <c r="AY42" s="10" t="s">
        <v>63</v>
      </c>
      <c r="AZ42" s="10" t="s">
        <v>64</v>
      </c>
      <c r="BG42" t="str">
        <v>Outbound</v>
      </c>
      <c r="BH42" t="str">
        <v>Land</v>
      </c>
      <c r="BI42" t="str">
        <v>FG-R-2183LE25</v>
      </c>
      <c r="BJ42" t="str">
        <v>SAIA-BURGESS AUTOMOTIVE ACTUATORS, LLC</v>
      </c>
      <c r="BK42" t="str">
        <v xml:space="preserve">755 Bill Jones Drive      </v>
      </c>
      <c r="BL42" t="str">
        <v>M19</v>
      </c>
      <c r="BM42" t="str">
        <v>1999-5YY0937EN</v>
      </c>
      <c r="BN42" s="24">
        <v>50</v>
      </c>
      <c r="BO42" s="23">
        <v>175.62</v>
      </c>
      <c r="BP42" s="26">
        <f t="shared" si="0"/>
        <v>3.5534888494263626E-3</v>
      </c>
      <c r="BQ42" s="21">
        <f t="shared" si="1"/>
        <v>18.467481550468808</v>
      </c>
    </row>
    <row r="43" spans="2:69" x14ac:dyDescent="0.35">
      <c r="B43" t="s">
        <v>261</v>
      </c>
      <c r="C43" t="s">
        <v>262</v>
      </c>
      <c r="D43" t="str" cm="1">
        <f t="array" ref="D43">_xlfn.REGEXEXTRACT(G43,"FG-R-\d{4}LE\d{2}")</f>
        <v>FG-R-2183LE25</v>
      </c>
      <c r="E43" t="s">
        <v>299</v>
      </c>
      <c r="F43" s="23" cm="1">
        <f t="array" ref="F43">_xlfn.SWITCH(TRUE,T43&gt;0,T43,Z43)</f>
        <v>93.92</v>
      </c>
      <c r="G43" s="10" t="s">
        <v>112</v>
      </c>
      <c r="H43" s="10" t="s">
        <v>38</v>
      </c>
      <c r="I43" s="10" t="s">
        <v>113</v>
      </c>
      <c r="J43" s="11" t="s">
        <v>67</v>
      </c>
      <c r="K43" s="11" t="s">
        <v>67</v>
      </c>
      <c r="L43" s="10" t="s">
        <v>112</v>
      </c>
      <c r="M43" s="10" t="s">
        <v>114</v>
      </c>
      <c r="N43" s="10" t="s">
        <v>93</v>
      </c>
      <c r="O43" s="10" t="s">
        <v>115</v>
      </c>
      <c r="P43" s="10" t="s">
        <v>95</v>
      </c>
      <c r="Q43" s="10" t="s">
        <v>96</v>
      </c>
      <c r="R43" s="12">
        <v>0</v>
      </c>
      <c r="S43" s="13">
        <v>0</v>
      </c>
      <c r="T43" s="13">
        <v>0</v>
      </c>
      <c r="U43" s="12">
        <v>0</v>
      </c>
      <c r="V43" s="13">
        <v>0</v>
      </c>
      <c r="W43" s="13">
        <v>0</v>
      </c>
      <c r="X43" s="12">
        <v>1</v>
      </c>
      <c r="Y43" s="13">
        <v>70.92</v>
      </c>
      <c r="Z43" s="13">
        <v>93.92</v>
      </c>
      <c r="AA43" s="12">
        <v>9</v>
      </c>
      <c r="AB43" s="13">
        <v>63.18</v>
      </c>
      <c r="AC43" s="13">
        <v>70.92</v>
      </c>
      <c r="AD43" s="12">
        <v>1</v>
      </c>
      <c r="AE43" s="12">
        <v>0</v>
      </c>
      <c r="AF43" s="12">
        <v>0</v>
      </c>
      <c r="AG43" s="12">
        <v>1</v>
      </c>
      <c r="AH43" s="12">
        <v>0</v>
      </c>
      <c r="AI43" s="12">
        <v>0</v>
      </c>
      <c r="AJ43" s="10">
        <v>6173352</v>
      </c>
      <c r="AK43" s="10" t="s">
        <v>47</v>
      </c>
      <c r="AL43" s="14" t="s">
        <v>70</v>
      </c>
      <c r="AM43" s="10" t="s">
        <v>97</v>
      </c>
      <c r="AN43" s="15">
        <v>202000289795</v>
      </c>
      <c r="AO43" s="16" t="s">
        <v>71</v>
      </c>
      <c r="AP43" s="17">
        <v>1510.35</v>
      </c>
      <c r="AQ43" s="10" t="s">
        <v>51</v>
      </c>
      <c r="AR43" s="10" t="s">
        <v>116</v>
      </c>
      <c r="AS43" s="12">
        <v>27</v>
      </c>
      <c r="AT43" s="10" t="s">
        <v>53</v>
      </c>
      <c r="AU43" s="10">
        <v>26101200</v>
      </c>
      <c r="AV43" s="10" t="s">
        <v>78</v>
      </c>
      <c r="AW43" s="10" t="s">
        <v>55</v>
      </c>
      <c r="AX43" s="10" t="s">
        <v>56</v>
      </c>
      <c r="AY43" s="10" t="s">
        <v>99</v>
      </c>
      <c r="AZ43" s="10" t="s">
        <v>100</v>
      </c>
      <c r="BG43" t="str">
        <v>Outbound</v>
      </c>
      <c r="BH43" t="str">
        <v>Land</v>
      </c>
      <c r="BI43" t="str">
        <v>FG-R-2183LE25</v>
      </c>
      <c r="BJ43" t="str">
        <v>SAIA-BURGESS AUTOMOTIVE ACTUATORS, LLC</v>
      </c>
      <c r="BK43" t="str">
        <v xml:space="preserve">755 Bill Jones Drive      </v>
      </c>
      <c r="BL43" t="str">
        <v>M19</v>
      </c>
      <c r="BM43" t="str">
        <v>1999-5YY2043EN</v>
      </c>
      <c r="BN43" s="24">
        <v>486</v>
      </c>
      <c r="BO43" s="23">
        <v>1398.204</v>
      </c>
      <c r="BP43" s="26">
        <f t="shared" si="0"/>
        <v>2.829121013109747E-2</v>
      </c>
      <c r="BQ43" s="21">
        <f t="shared" si="1"/>
        <v>147.02941905131357</v>
      </c>
    </row>
    <row r="44" spans="2:69" x14ac:dyDescent="0.35">
      <c r="B44" t="s">
        <v>261</v>
      </c>
      <c r="C44" t="s">
        <v>262</v>
      </c>
      <c r="D44" t="str" cm="1">
        <f t="array" ref="D44">_xlfn.REGEXEXTRACT(G44,"FG-R-\d{4}LE\d{2}")</f>
        <v>FG-R-2183LE25</v>
      </c>
      <c r="E44" t="s">
        <v>299</v>
      </c>
      <c r="F44" s="23" cm="1">
        <f t="array" ref="F44">_xlfn.SWITCH(TRUE,T44&gt;0,T44,Z44)</f>
        <v>3326.7359999999999</v>
      </c>
      <c r="G44" s="10" t="s">
        <v>112</v>
      </c>
      <c r="H44" s="10" t="s">
        <v>38</v>
      </c>
      <c r="I44" s="10" t="s">
        <v>113</v>
      </c>
      <c r="J44" s="11" t="s">
        <v>67</v>
      </c>
      <c r="K44" s="11" t="s">
        <v>67</v>
      </c>
      <c r="L44" s="10" t="s">
        <v>112</v>
      </c>
      <c r="M44" s="10" t="s">
        <v>114</v>
      </c>
      <c r="N44" s="10" t="s">
        <v>93</v>
      </c>
      <c r="O44" s="10" t="s">
        <v>94</v>
      </c>
      <c r="P44" s="10" t="s">
        <v>95</v>
      </c>
      <c r="Q44" s="10" t="s">
        <v>96</v>
      </c>
      <c r="R44" s="12">
        <v>7</v>
      </c>
      <c r="S44" s="13">
        <v>3179.7359999999999</v>
      </c>
      <c r="T44" s="13">
        <v>3326.7359999999999</v>
      </c>
      <c r="U44" s="12">
        <v>378</v>
      </c>
      <c r="V44" s="13">
        <v>2987.712</v>
      </c>
      <c r="W44" s="13">
        <v>3179.7359999999999</v>
      </c>
      <c r="X44" s="12">
        <v>0</v>
      </c>
      <c r="Y44" s="13">
        <v>0</v>
      </c>
      <c r="Z44" s="13">
        <v>0</v>
      </c>
      <c r="AA44" s="12">
        <v>0</v>
      </c>
      <c r="AB44" s="13">
        <v>0</v>
      </c>
      <c r="AC44" s="13">
        <v>0</v>
      </c>
      <c r="AD44" s="12">
        <v>7</v>
      </c>
      <c r="AE44" s="12">
        <v>0</v>
      </c>
      <c r="AF44" s="12">
        <v>0</v>
      </c>
      <c r="AG44" s="12">
        <v>7</v>
      </c>
      <c r="AH44" s="12">
        <v>0</v>
      </c>
      <c r="AI44" s="12">
        <v>0</v>
      </c>
      <c r="AJ44" s="10">
        <v>6175284</v>
      </c>
      <c r="AK44" s="10" t="s">
        <v>47</v>
      </c>
      <c r="AL44" s="14" t="s">
        <v>70</v>
      </c>
      <c r="AM44" s="10" t="s">
        <v>97</v>
      </c>
      <c r="AN44" s="15">
        <v>202000289807</v>
      </c>
      <c r="AO44" s="16" t="s">
        <v>117</v>
      </c>
      <c r="AP44" s="17">
        <v>1833.98</v>
      </c>
      <c r="AQ44" s="10" t="s">
        <v>51</v>
      </c>
      <c r="AR44" s="10" t="s">
        <v>118</v>
      </c>
      <c r="AS44" s="12">
        <v>1512</v>
      </c>
      <c r="AT44" s="10" t="s">
        <v>53</v>
      </c>
      <c r="AU44" s="10">
        <v>26101200</v>
      </c>
      <c r="AV44" s="10" t="s">
        <v>78</v>
      </c>
      <c r="AW44" s="10" t="s">
        <v>55</v>
      </c>
      <c r="AX44" s="10" t="s">
        <v>56</v>
      </c>
      <c r="AY44" s="10" t="s">
        <v>99</v>
      </c>
      <c r="AZ44" s="10" t="s">
        <v>100</v>
      </c>
      <c r="BG44" t="str">
        <v>Outbound</v>
      </c>
      <c r="BH44" t="str">
        <v>Land</v>
      </c>
      <c r="BI44" t="str">
        <v>FG-R-2184LE25</v>
      </c>
      <c r="BJ44" t="str">
        <v>SAIA-BURGESS AUTOMOTIVE ACTUATORS, LLC</v>
      </c>
      <c r="BK44" t="str">
        <v xml:space="preserve">755 Bill Jones Drive      </v>
      </c>
      <c r="BL44" t="str">
        <v>M19</v>
      </c>
      <c r="BM44" t="str">
        <v>1999-5YY1255EN</v>
      </c>
      <c r="BN44" s="24">
        <v>5184</v>
      </c>
      <c r="BO44" s="23">
        <v>11245.248</v>
      </c>
      <c r="BP44" s="26">
        <f t="shared" si="0"/>
        <v>0.32901013697520753</v>
      </c>
      <c r="BQ44" s="21">
        <f t="shared" si="1"/>
        <v>1618.3219925288106</v>
      </c>
    </row>
    <row r="45" spans="2:69" x14ac:dyDescent="0.35">
      <c r="B45" t="s">
        <v>261</v>
      </c>
      <c r="C45" t="s">
        <v>262</v>
      </c>
      <c r="D45" t="str" cm="1">
        <f t="array" ref="D45">_xlfn.REGEXEXTRACT(G45,"FG-R-\d{4}LE\d{2}")</f>
        <v>FG-R-2183LE25</v>
      </c>
      <c r="E45" t="s">
        <v>299</v>
      </c>
      <c r="F45" s="23" cm="1">
        <f t="array" ref="F45">_xlfn.SWITCH(TRUE,T45&gt;0,T45,Z45)</f>
        <v>3326.7359999999999</v>
      </c>
      <c r="G45" s="10" t="s">
        <v>112</v>
      </c>
      <c r="H45" s="10" t="s">
        <v>38</v>
      </c>
      <c r="I45" s="10" t="s">
        <v>113</v>
      </c>
      <c r="J45" s="11" t="s">
        <v>67</v>
      </c>
      <c r="K45" s="11" t="s">
        <v>67</v>
      </c>
      <c r="L45" s="10" t="s">
        <v>112</v>
      </c>
      <c r="M45" s="10" t="s">
        <v>114</v>
      </c>
      <c r="N45" s="10" t="s">
        <v>93</v>
      </c>
      <c r="O45" s="10" t="s">
        <v>94</v>
      </c>
      <c r="P45" s="10" t="s">
        <v>95</v>
      </c>
      <c r="Q45" s="10" t="s">
        <v>96</v>
      </c>
      <c r="R45" s="12">
        <v>7</v>
      </c>
      <c r="S45" s="13">
        <v>3179.7359999999999</v>
      </c>
      <c r="T45" s="13">
        <v>3326.7359999999999</v>
      </c>
      <c r="U45" s="12">
        <v>378</v>
      </c>
      <c r="V45" s="13">
        <v>2987.712</v>
      </c>
      <c r="W45" s="13">
        <v>3179.7359999999999</v>
      </c>
      <c r="X45" s="12">
        <v>0</v>
      </c>
      <c r="Y45" s="13">
        <v>0</v>
      </c>
      <c r="Z45" s="13">
        <v>0</v>
      </c>
      <c r="AA45" s="12">
        <v>0</v>
      </c>
      <c r="AB45" s="13">
        <v>0</v>
      </c>
      <c r="AC45" s="13">
        <v>0</v>
      </c>
      <c r="AD45" s="12">
        <v>7</v>
      </c>
      <c r="AE45" s="12">
        <v>0</v>
      </c>
      <c r="AF45" s="12">
        <v>0</v>
      </c>
      <c r="AG45" s="12">
        <v>7</v>
      </c>
      <c r="AH45" s="12">
        <v>0</v>
      </c>
      <c r="AI45" s="12">
        <v>0</v>
      </c>
      <c r="AJ45" s="10">
        <v>6175284</v>
      </c>
      <c r="AK45" s="10" t="s">
        <v>47</v>
      </c>
      <c r="AL45" s="14" t="s">
        <v>70</v>
      </c>
      <c r="AM45" s="10" t="s">
        <v>97</v>
      </c>
      <c r="AN45" s="15">
        <v>202000289808</v>
      </c>
      <c r="AO45" s="16" t="s">
        <v>117</v>
      </c>
      <c r="AP45" s="17">
        <v>54018.95</v>
      </c>
      <c r="AQ45" s="10" t="s">
        <v>51</v>
      </c>
      <c r="AR45" s="10" t="s">
        <v>118</v>
      </c>
      <c r="AS45" s="12">
        <v>1512</v>
      </c>
      <c r="AT45" s="10" t="s">
        <v>53</v>
      </c>
      <c r="AU45" s="10">
        <v>26101200</v>
      </c>
      <c r="AV45" s="10" t="s">
        <v>78</v>
      </c>
      <c r="AW45" s="10" t="s">
        <v>55</v>
      </c>
      <c r="AX45" s="10" t="s">
        <v>56</v>
      </c>
      <c r="AY45" s="10" t="s">
        <v>99</v>
      </c>
      <c r="AZ45" s="10" t="s">
        <v>100</v>
      </c>
      <c r="BG45" t="str">
        <v>Outbound</v>
      </c>
      <c r="BH45" t="str">
        <v>Land</v>
      </c>
      <c r="BI45" t="str">
        <v>FG-R-2184LE25</v>
      </c>
      <c r="BJ45" t="str">
        <v>SAIA-BURGESS AUTOMOTIVE ACTUATORS, LLC</v>
      </c>
      <c r="BK45" t="str">
        <v xml:space="preserve">755 Bill Jones Drive      </v>
      </c>
      <c r="BL45" t="str">
        <v>M19</v>
      </c>
      <c r="BM45" t="str">
        <v>1999-5YY1255EN</v>
      </c>
      <c r="BN45" s="24">
        <v>5184</v>
      </c>
      <c r="BO45" s="23">
        <v>11245.248</v>
      </c>
      <c r="BP45" s="26">
        <f t="shared" si="0"/>
        <v>0.32901013697520753</v>
      </c>
      <c r="BQ45" s="21">
        <f t="shared" si="1"/>
        <v>1618.3219925288106</v>
      </c>
    </row>
    <row r="46" spans="2:69" x14ac:dyDescent="0.35">
      <c r="B46" t="s">
        <v>261</v>
      </c>
      <c r="C46" t="s">
        <v>262</v>
      </c>
      <c r="D46" t="str" cm="1">
        <f t="array" ref="D46">_xlfn.REGEXEXTRACT(G46,"FG-R-\d{4}LE\d{2}")</f>
        <v>FG-R-2183LE25</v>
      </c>
      <c r="E46" t="s">
        <v>299</v>
      </c>
      <c r="F46" s="23" cm="1">
        <f t="array" ref="F46">_xlfn.SWITCH(TRUE,T46&gt;0,T46,Z46)</f>
        <v>3326.7359999999999</v>
      </c>
      <c r="G46" s="10" t="s">
        <v>112</v>
      </c>
      <c r="H46" s="10" t="s">
        <v>38</v>
      </c>
      <c r="I46" s="10" t="s">
        <v>113</v>
      </c>
      <c r="J46" s="11" t="s">
        <v>67</v>
      </c>
      <c r="K46" s="11" t="s">
        <v>67</v>
      </c>
      <c r="L46" s="10" t="s">
        <v>112</v>
      </c>
      <c r="M46" s="10" t="s">
        <v>114</v>
      </c>
      <c r="N46" s="10" t="s">
        <v>93</v>
      </c>
      <c r="O46" s="10" t="s">
        <v>94</v>
      </c>
      <c r="P46" s="10" t="s">
        <v>95</v>
      </c>
      <c r="Q46" s="10" t="s">
        <v>96</v>
      </c>
      <c r="R46" s="12">
        <v>7</v>
      </c>
      <c r="S46" s="13">
        <v>3179.7359999999999</v>
      </c>
      <c r="T46" s="13">
        <v>3326.7359999999999</v>
      </c>
      <c r="U46" s="12">
        <v>378</v>
      </c>
      <c r="V46" s="13">
        <v>2987.712</v>
      </c>
      <c r="W46" s="13">
        <v>3179.7359999999999</v>
      </c>
      <c r="X46" s="12">
        <v>0</v>
      </c>
      <c r="Y46" s="13">
        <v>0</v>
      </c>
      <c r="Z46" s="13">
        <v>0</v>
      </c>
      <c r="AA46" s="12">
        <v>0</v>
      </c>
      <c r="AB46" s="13">
        <v>0</v>
      </c>
      <c r="AC46" s="13">
        <v>0</v>
      </c>
      <c r="AD46" s="12">
        <v>7</v>
      </c>
      <c r="AE46" s="12">
        <v>0</v>
      </c>
      <c r="AF46" s="12">
        <v>0</v>
      </c>
      <c r="AG46" s="12">
        <v>7</v>
      </c>
      <c r="AH46" s="12">
        <v>0</v>
      </c>
      <c r="AI46" s="12">
        <v>0</v>
      </c>
      <c r="AJ46" s="10">
        <v>6175284</v>
      </c>
      <c r="AK46" s="10" t="s">
        <v>47</v>
      </c>
      <c r="AL46" s="14" t="s">
        <v>70</v>
      </c>
      <c r="AM46" s="10" t="s">
        <v>97</v>
      </c>
      <c r="AN46" s="15">
        <v>202000289809</v>
      </c>
      <c r="AO46" s="16" t="s">
        <v>117</v>
      </c>
      <c r="AP46" s="17">
        <v>7169.18</v>
      </c>
      <c r="AQ46" s="10" t="s">
        <v>51</v>
      </c>
      <c r="AR46" s="10" t="s">
        <v>118</v>
      </c>
      <c r="AS46" s="12">
        <v>1512</v>
      </c>
      <c r="AT46" s="10" t="s">
        <v>53</v>
      </c>
      <c r="AU46" s="10">
        <v>26101200</v>
      </c>
      <c r="AV46" s="10" t="s">
        <v>78</v>
      </c>
      <c r="AW46" s="10" t="s">
        <v>55</v>
      </c>
      <c r="AX46" s="10" t="s">
        <v>56</v>
      </c>
      <c r="AY46" s="10" t="s">
        <v>99</v>
      </c>
      <c r="AZ46" s="10" t="s">
        <v>100</v>
      </c>
      <c r="BG46" t="str">
        <v>Outbound</v>
      </c>
      <c r="BH46" t="str">
        <v>Land</v>
      </c>
      <c r="BI46" t="str">
        <v>FG-R-2184LE25</v>
      </c>
      <c r="BJ46" t="str">
        <v>SAIA-BURGESS AUTOMOTIVE ACTUATORS, LLC</v>
      </c>
      <c r="BK46" t="str">
        <v xml:space="preserve">755 Bill Jones Drive      </v>
      </c>
      <c r="BL46" t="str">
        <v>M19</v>
      </c>
      <c r="BM46" t="str">
        <v>1999-5YY0898EN</v>
      </c>
      <c r="BN46" s="24">
        <v>1600</v>
      </c>
      <c r="BO46" s="23">
        <v>2073.2399999999998</v>
      </c>
      <c r="BP46" s="26">
        <f t="shared" si="0"/>
        <v>6.0658242164377277E-2</v>
      </c>
      <c r="BQ46" s="21">
        <f t="shared" si="1"/>
        <v>298.36335203905077</v>
      </c>
    </row>
    <row r="47" spans="2:69" x14ac:dyDescent="0.35">
      <c r="B47" t="s">
        <v>261</v>
      </c>
      <c r="C47" t="s">
        <v>262</v>
      </c>
      <c r="D47" t="str" cm="1">
        <f t="array" ref="D47">_xlfn.REGEXEXTRACT(G47,"FG-R-\d{4}LE\d{2}")</f>
        <v>FG-R-2183LE25</v>
      </c>
      <c r="E47" t="s">
        <v>299</v>
      </c>
      <c r="F47" s="23" cm="1">
        <f t="array" ref="F47">_xlfn.SWITCH(TRUE,T47&gt;0,T47,Z47)</f>
        <v>12591.3</v>
      </c>
      <c r="G47" s="10" t="s">
        <v>112</v>
      </c>
      <c r="H47" s="10" t="s">
        <v>38</v>
      </c>
      <c r="I47" s="10" t="s">
        <v>113</v>
      </c>
      <c r="J47" s="11" t="s">
        <v>67</v>
      </c>
      <c r="K47" s="11" t="s">
        <v>67</v>
      </c>
      <c r="L47" s="10" t="s">
        <v>112</v>
      </c>
      <c r="M47" s="10" t="s">
        <v>114</v>
      </c>
      <c r="N47" s="10" t="s">
        <v>93</v>
      </c>
      <c r="O47" s="10" t="s">
        <v>94</v>
      </c>
      <c r="P47" s="10" t="s">
        <v>95</v>
      </c>
      <c r="Q47" s="10" t="s">
        <v>96</v>
      </c>
      <c r="R47" s="12">
        <v>25</v>
      </c>
      <c r="S47" s="13">
        <v>12066.3</v>
      </c>
      <c r="T47" s="13">
        <v>12591.3</v>
      </c>
      <c r="U47" s="12">
        <v>1350</v>
      </c>
      <c r="V47" s="13">
        <v>11380.5</v>
      </c>
      <c r="W47" s="13">
        <v>12066.3</v>
      </c>
      <c r="X47" s="12">
        <v>0</v>
      </c>
      <c r="Y47" s="13">
        <v>0</v>
      </c>
      <c r="Z47" s="13">
        <v>0</v>
      </c>
      <c r="AA47" s="12">
        <v>0</v>
      </c>
      <c r="AB47" s="13">
        <v>0</v>
      </c>
      <c r="AC47" s="13">
        <v>0</v>
      </c>
      <c r="AD47" s="12">
        <v>25</v>
      </c>
      <c r="AE47" s="12">
        <v>0</v>
      </c>
      <c r="AF47" s="12">
        <v>0</v>
      </c>
      <c r="AG47" s="12">
        <v>25</v>
      </c>
      <c r="AH47" s="12">
        <v>0</v>
      </c>
      <c r="AI47" s="12">
        <v>0</v>
      </c>
      <c r="AJ47" s="10">
        <v>6173317</v>
      </c>
      <c r="AK47" s="10" t="s">
        <v>47</v>
      </c>
      <c r="AL47" s="14" t="s">
        <v>70</v>
      </c>
      <c r="AM47" s="10" t="s">
        <v>97</v>
      </c>
      <c r="AN47" s="15">
        <v>202000289774</v>
      </c>
      <c r="AO47" s="16" t="s">
        <v>71</v>
      </c>
      <c r="AP47" s="17">
        <v>46312.46</v>
      </c>
      <c r="AQ47" s="10" t="s">
        <v>51</v>
      </c>
      <c r="AR47" s="10" t="s">
        <v>119</v>
      </c>
      <c r="AS47" s="12">
        <v>4050</v>
      </c>
      <c r="AT47" s="10" t="s">
        <v>53</v>
      </c>
      <c r="AU47" s="10">
        <v>26101200</v>
      </c>
      <c r="AV47" s="10" t="s">
        <v>78</v>
      </c>
      <c r="AW47" s="10" t="s">
        <v>55</v>
      </c>
      <c r="AX47" s="10" t="s">
        <v>56</v>
      </c>
      <c r="AY47" s="10" t="s">
        <v>102</v>
      </c>
      <c r="AZ47" s="10" t="s">
        <v>103</v>
      </c>
      <c r="BG47" t="str">
        <v>Outbound</v>
      </c>
      <c r="BH47" t="str">
        <v>Land</v>
      </c>
      <c r="BI47" t="str">
        <v>FG-R-2184LE25</v>
      </c>
      <c r="BJ47" t="str">
        <v>SAIA-BURGESS AUTOMOTIVE ACTUATORS, LLC</v>
      </c>
      <c r="BK47" t="str">
        <v xml:space="preserve">755 Bill Jones Drive      </v>
      </c>
      <c r="BL47" t="str">
        <v>M19</v>
      </c>
      <c r="BM47" t="str">
        <v>1999-5YY0898EN</v>
      </c>
      <c r="BN47" s="24">
        <v>1600</v>
      </c>
      <c r="BO47" s="23">
        <v>2073.2399999999998</v>
      </c>
      <c r="BP47" s="26">
        <f t="shared" si="0"/>
        <v>6.0658242164377277E-2</v>
      </c>
      <c r="BQ47" s="21">
        <f t="shared" si="1"/>
        <v>298.36335203905077</v>
      </c>
    </row>
    <row r="48" spans="2:69" x14ac:dyDescent="0.35">
      <c r="B48" t="s">
        <v>261</v>
      </c>
      <c r="C48" t="s">
        <v>262</v>
      </c>
      <c r="D48" t="str" cm="1">
        <f t="array" ref="D48">_xlfn.REGEXEXTRACT(G48,"FG-R-\d{4}LE\d{2}")</f>
        <v>FG-R-2183LE25</v>
      </c>
      <c r="E48" t="s">
        <v>299</v>
      </c>
      <c r="F48" s="23" cm="1">
        <f t="array" ref="F48">_xlfn.SWITCH(TRUE,T48&gt;0,T48,Z48)</f>
        <v>12591.3</v>
      </c>
      <c r="G48" s="10" t="s">
        <v>112</v>
      </c>
      <c r="H48" s="10" t="s">
        <v>38</v>
      </c>
      <c r="I48" s="10" t="s">
        <v>113</v>
      </c>
      <c r="J48" s="11" t="s">
        <v>67</v>
      </c>
      <c r="K48" s="11" t="s">
        <v>67</v>
      </c>
      <c r="L48" s="10" t="s">
        <v>112</v>
      </c>
      <c r="M48" s="10" t="s">
        <v>114</v>
      </c>
      <c r="N48" s="10" t="s">
        <v>93</v>
      </c>
      <c r="O48" s="10" t="s">
        <v>94</v>
      </c>
      <c r="P48" s="10" t="s">
        <v>95</v>
      </c>
      <c r="Q48" s="10" t="s">
        <v>96</v>
      </c>
      <c r="R48" s="12">
        <v>25</v>
      </c>
      <c r="S48" s="13">
        <v>12066.3</v>
      </c>
      <c r="T48" s="13">
        <v>12591.3</v>
      </c>
      <c r="U48" s="12">
        <v>1350</v>
      </c>
      <c r="V48" s="13">
        <v>11380.5</v>
      </c>
      <c r="W48" s="13">
        <v>12066.3</v>
      </c>
      <c r="X48" s="12">
        <v>0</v>
      </c>
      <c r="Y48" s="13">
        <v>0</v>
      </c>
      <c r="Z48" s="13">
        <v>0</v>
      </c>
      <c r="AA48" s="12">
        <v>0</v>
      </c>
      <c r="AB48" s="13">
        <v>0</v>
      </c>
      <c r="AC48" s="13">
        <v>0</v>
      </c>
      <c r="AD48" s="12">
        <v>25</v>
      </c>
      <c r="AE48" s="12">
        <v>0</v>
      </c>
      <c r="AF48" s="12">
        <v>0</v>
      </c>
      <c r="AG48" s="12">
        <v>25</v>
      </c>
      <c r="AH48" s="12">
        <v>0</v>
      </c>
      <c r="AI48" s="12">
        <v>0</v>
      </c>
      <c r="AJ48" s="10">
        <v>6173317</v>
      </c>
      <c r="AK48" s="10" t="s">
        <v>47</v>
      </c>
      <c r="AL48" s="14" t="s">
        <v>70</v>
      </c>
      <c r="AM48" s="10" t="s">
        <v>97</v>
      </c>
      <c r="AN48" s="15">
        <v>202000289775</v>
      </c>
      <c r="AO48" s="16" t="s">
        <v>71</v>
      </c>
      <c r="AP48" s="17">
        <v>142907.01999999999</v>
      </c>
      <c r="AQ48" s="10" t="s">
        <v>51</v>
      </c>
      <c r="AR48" s="10" t="s">
        <v>119</v>
      </c>
      <c r="AS48" s="12">
        <v>4050</v>
      </c>
      <c r="AT48" s="10" t="s">
        <v>53</v>
      </c>
      <c r="AU48" s="10">
        <v>26101200</v>
      </c>
      <c r="AV48" s="10" t="s">
        <v>78</v>
      </c>
      <c r="AW48" s="10" t="s">
        <v>55</v>
      </c>
      <c r="AX48" s="10" t="s">
        <v>56</v>
      </c>
      <c r="AY48" s="10" t="s">
        <v>102</v>
      </c>
      <c r="AZ48" s="10" t="s">
        <v>103</v>
      </c>
      <c r="BG48" t="str">
        <v>Outbound</v>
      </c>
      <c r="BH48" t="str">
        <v>Land</v>
      </c>
      <c r="BI48" t="str">
        <v>FG-R-2184LE25</v>
      </c>
      <c r="BJ48" t="str">
        <v>SAIA-BURGESS AUTOMOTIVE ACTUATORS, LLC</v>
      </c>
      <c r="BK48" t="str">
        <v xml:space="preserve">755 Bill Jones Drive      </v>
      </c>
      <c r="BL48" t="str">
        <v>M19</v>
      </c>
      <c r="BM48" t="str">
        <v>1999-5YY1256EN</v>
      </c>
      <c r="BN48" s="24">
        <v>216</v>
      </c>
      <c r="BO48" s="23">
        <v>468.55200000000002</v>
      </c>
      <c r="BP48" s="26">
        <f t="shared" si="0"/>
        <v>1.3708755707300315E-2</v>
      </c>
      <c r="BQ48" s="21">
        <f t="shared" si="1"/>
        <v>67.430083022033784</v>
      </c>
    </row>
    <row r="49" spans="2:69" x14ac:dyDescent="0.35">
      <c r="B49" t="s">
        <v>261</v>
      </c>
      <c r="C49" t="s">
        <v>262</v>
      </c>
      <c r="D49" t="str" cm="1">
        <f t="array" ref="D49">_xlfn.REGEXEXTRACT(G49,"FG-R-\d{4}LE\d{2}")</f>
        <v>FG-R-2183LE25</v>
      </c>
      <c r="E49" t="s">
        <v>299</v>
      </c>
      <c r="F49" s="23" cm="1">
        <f t="array" ref="F49">_xlfn.SWITCH(TRUE,T49&gt;0,T49,Z49)</f>
        <v>12591.3</v>
      </c>
      <c r="G49" s="10" t="s">
        <v>112</v>
      </c>
      <c r="H49" s="10" t="s">
        <v>38</v>
      </c>
      <c r="I49" s="10" t="s">
        <v>113</v>
      </c>
      <c r="J49" s="11" t="s">
        <v>67</v>
      </c>
      <c r="K49" s="11" t="s">
        <v>67</v>
      </c>
      <c r="L49" s="10" t="s">
        <v>112</v>
      </c>
      <c r="M49" s="10" t="s">
        <v>114</v>
      </c>
      <c r="N49" s="10" t="s">
        <v>93</v>
      </c>
      <c r="O49" s="10" t="s">
        <v>94</v>
      </c>
      <c r="P49" s="10" t="s">
        <v>95</v>
      </c>
      <c r="Q49" s="10" t="s">
        <v>96</v>
      </c>
      <c r="R49" s="12">
        <v>25</v>
      </c>
      <c r="S49" s="13">
        <v>12066.3</v>
      </c>
      <c r="T49" s="13">
        <v>12591.3</v>
      </c>
      <c r="U49" s="12">
        <v>1350</v>
      </c>
      <c r="V49" s="13">
        <v>11380.5</v>
      </c>
      <c r="W49" s="13">
        <v>12066.3</v>
      </c>
      <c r="X49" s="12">
        <v>0</v>
      </c>
      <c r="Y49" s="13">
        <v>0</v>
      </c>
      <c r="Z49" s="13">
        <v>0</v>
      </c>
      <c r="AA49" s="12">
        <v>0</v>
      </c>
      <c r="AB49" s="13">
        <v>0</v>
      </c>
      <c r="AC49" s="13">
        <v>0</v>
      </c>
      <c r="AD49" s="12">
        <v>25</v>
      </c>
      <c r="AE49" s="12">
        <v>0</v>
      </c>
      <c r="AF49" s="12">
        <v>0</v>
      </c>
      <c r="AG49" s="12">
        <v>25</v>
      </c>
      <c r="AH49" s="12">
        <v>0</v>
      </c>
      <c r="AI49" s="12">
        <v>0</v>
      </c>
      <c r="AJ49" s="10">
        <v>6173317</v>
      </c>
      <c r="AK49" s="10" t="s">
        <v>47</v>
      </c>
      <c r="AL49" s="14" t="s">
        <v>70</v>
      </c>
      <c r="AM49" s="10" t="s">
        <v>97</v>
      </c>
      <c r="AN49" s="15">
        <v>202000289776</v>
      </c>
      <c r="AO49" s="16" t="s">
        <v>71</v>
      </c>
      <c r="AP49" s="17">
        <v>34072.74</v>
      </c>
      <c r="AQ49" s="10" t="s">
        <v>51</v>
      </c>
      <c r="AR49" s="10" t="s">
        <v>119</v>
      </c>
      <c r="AS49" s="12">
        <v>4050</v>
      </c>
      <c r="AT49" s="10" t="s">
        <v>53</v>
      </c>
      <c r="AU49" s="10">
        <v>26101200</v>
      </c>
      <c r="AV49" s="10" t="s">
        <v>78</v>
      </c>
      <c r="AW49" s="10" t="s">
        <v>55</v>
      </c>
      <c r="AX49" s="10" t="s">
        <v>56</v>
      </c>
      <c r="AY49" s="10" t="s">
        <v>102</v>
      </c>
      <c r="AZ49" s="10" t="s">
        <v>103</v>
      </c>
      <c r="BG49" t="str">
        <v>Outbound</v>
      </c>
      <c r="BH49" t="str">
        <v>Land</v>
      </c>
      <c r="BI49" t="str">
        <v>FG-R-2184LE25</v>
      </c>
      <c r="BJ49" t="str">
        <v>SAIA-BURGESS AUTOMOTIVE ACTUATORS, LLC</v>
      </c>
      <c r="BK49" t="str">
        <v xml:space="preserve">755 Bill Jones Drive      </v>
      </c>
      <c r="BL49" t="str">
        <v>M19</v>
      </c>
      <c r="BM49" t="str">
        <v>1999-5YY1256EN</v>
      </c>
      <c r="BN49" s="24">
        <v>216</v>
      </c>
      <c r="BO49" s="23">
        <v>468.55200000000002</v>
      </c>
      <c r="BP49" s="26">
        <f t="shared" si="0"/>
        <v>1.3708755707300315E-2</v>
      </c>
      <c r="BQ49" s="21">
        <f t="shared" si="1"/>
        <v>67.430083022033784</v>
      </c>
    </row>
    <row r="50" spans="2:69" x14ac:dyDescent="0.35">
      <c r="B50" t="s">
        <v>261</v>
      </c>
      <c r="C50" t="s">
        <v>262</v>
      </c>
      <c r="D50" t="str" cm="1">
        <f t="array" ref="D50">_xlfn.REGEXEXTRACT(G50,"FG-R-\d{4}LE\d{2}")</f>
        <v>FG-R-2183LE25</v>
      </c>
      <c r="E50" t="s">
        <v>299</v>
      </c>
      <c r="F50" s="23" cm="1">
        <f t="array" ref="F50">_xlfn.SWITCH(TRUE,T50&gt;0,T50,Z50)</f>
        <v>175.62</v>
      </c>
      <c r="G50" s="10" t="s">
        <v>112</v>
      </c>
      <c r="H50" s="10" t="s">
        <v>38</v>
      </c>
      <c r="I50" s="10" t="s">
        <v>113</v>
      </c>
      <c r="J50" s="11" t="s">
        <v>67</v>
      </c>
      <c r="K50" s="11" t="s">
        <v>67</v>
      </c>
      <c r="L50" s="10" t="s">
        <v>112</v>
      </c>
      <c r="M50" s="10" t="s">
        <v>114</v>
      </c>
      <c r="N50" s="10" t="s">
        <v>93</v>
      </c>
      <c r="O50" s="10" t="s">
        <v>94</v>
      </c>
      <c r="P50" s="10" t="s">
        <v>95</v>
      </c>
      <c r="Q50" s="10" t="s">
        <v>96</v>
      </c>
      <c r="R50" s="12">
        <v>0</v>
      </c>
      <c r="S50" s="13">
        <v>0</v>
      </c>
      <c r="T50" s="13">
        <v>0</v>
      </c>
      <c r="U50" s="12">
        <v>0</v>
      </c>
      <c r="V50" s="13">
        <v>0</v>
      </c>
      <c r="W50" s="13">
        <v>0</v>
      </c>
      <c r="X50" s="12">
        <v>1</v>
      </c>
      <c r="Y50" s="13">
        <v>152.62</v>
      </c>
      <c r="Z50" s="13">
        <v>175.62</v>
      </c>
      <c r="AA50" s="12">
        <v>17</v>
      </c>
      <c r="AB50" s="13">
        <v>138</v>
      </c>
      <c r="AC50" s="13">
        <v>152.62</v>
      </c>
      <c r="AD50" s="12">
        <v>1</v>
      </c>
      <c r="AE50" s="12">
        <v>0</v>
      </c>
      <c r="AF50" s="12">
        <v>0</v>
      </c>
      <c r="AG50" s="12">
        <v>1</v>
      </c>
      <c r="AH50" s="12">
        <v>0</v>
      </c>
      <c r="AI50" s="12">
        <v>0</v>
      </c>
      <c r="AJ50" s="10">
        <v>6173349</v>
      </c>
      <c r="AK50" s="10" t="s">
        <v>47</v>
      </c>
      <c r="AL50" s="14" t="s">
        <v>70</v>
      </c>
      <c r="AM50" s="10" t="s">
        <v>97</v>
      </c>
      <c r="AN50" s="15">
        <v>202000289792</v>
      </c>
      <c r="AO50" s="16" t="s">
        <v>71</v>
      </c>
      <c r="AP50" s="17">
        <v>2828.4</v>
      </c>
      <c r="AQ50" s="10" t="s">
        <v>51</v>
      </c>
      <c r="AR50" s="10" t="s">
        <v>120</v>
      </c>
      <c r="AS50" s="12">
        <v>50</v>
      </c>
      <c r="AT50" s="10" t="s">
        <v>53</v>
      </c>
      <c r="AU50" s="10">
        <v>26101200</v>
      </c>
      <c r="AV50" s="10" t="s">
        <v>78</v>
      </c>
      <c r="AW50" s="10" t="s">
        <v>55</v>
      </c>
      <c r="AX50" s="10" t="s">
        <v>56</v>
      </c>
      <c r="AY50" s="10" t="s">
        <v>99</v>
      </c>
      <c r="AZ50" s="10" t="s">
        <v>100</v>
      </c>
      <c r="BG50" t="str">
        <v>Outbound</v>
      </c>
      <c r="BH50" t="str">
        <v>Land</v>
      </c>
      <c r="BI50" t="str">
        <v>FG-R-2184LE25</v>
      </c>
      <c r="BJ50" t="str">
        <v>SAIA-BURGESS AUTOMOTIVE ACTUATORS, LLC</v>
      </c>
      <c r="BK50" t="str">
        <v xml:space="preserve">755 Bill Jones Drive      </v>
      </c>
      <c r="BL50" t="str">
        <v>M19</v>
      </c>
      <c r="BM50" t="str">
        <v>1999-5YY2043EN</v>
      </c>
      <c r="BN50" s="24">
        <v>1134</v>
      </c>
      <c r="BO50" s="23">
        <v>3262.4760000000001</v>
      </c>
      <c r="BP50" s="26">
        <f t="shared" si="0"/>
        <v>9.54525569945925E-2</v>
      </c>
      <c r="BQ50" s="21">
        <f t="shared" si="1"/>
        <v>469.50824569608642</v>
      </c>
    </row>
    <row r="51" spans="2:69" x14ac:dyDescent="0.35">
      <c r="B51" t="s">
        <v>261</v>
      </c>
      <c r="C51" t="s">
        <v>262</v>
      </c>
      <c r="D51" t="str" cm="1">
        <f t="array" ref="D51">_xlfn.REGEXEXTRACT(G51,"FG-R-\d{4}LE\d{2}")</f>
        <v>FG-R-2183LE25</v>
      </c>
      <c r="E51" t="s">
        <v>299</v>
      </c>
      <c r="F51" s="23" cm="1">
        <f t="array" ref="F51">_xlfn.SWITCH(TRUE,T51&gt;0,T51,Z51)</f>
        <v>1398.204</v>
      </c>
      <c r="G51" s="10" t="s">
        <v>112</v>
      </c>
      <c r="H51" s="10" t="s">
        <v>38</v>
      </c>
      <c r="I51" s="10" t="s">
        <v>113</v>
      </c>
      <c r="J51" s="11" t="s">
        <v>67</v>
      </c>
      <c r="K51" s="11" t="s">
        <v>67</v>
      </c>
      <c r="L51" s="10" t="s">
        <v>112</v>
      </c>
      <c r="M51" s="10" t="s">
        <v>114</v>
      </c>
      <c r="N51" s="10" t="s">
        <v>93</v>
      </c>
      <c r="O51" s="10" t="s">
        <v>94</v>
      </c>
      <c r="P51" s="10" t="s">
        <v>95</v>
      </c>
      <c r="Q51" s="10" t="s">
        <v>96</v>
      </c>
      <c r="R51" s="12">
        <v>3</v>
      </c>
      <c r="S51" s="13">
        <v>1335.204</v>
      </c>
      <c r="T51" s="13">
        <v>1398.204</v>
      </c>
      <c r="U51" s="12">
        <v>162</v>
      </c>
      <c r="V51" s="13">
        <v>1252.9079999999999</v>
      </c>
      <c r="W51" s="13">
        <v>1335.204</v>
      </c>
      <c r="X51" s="12">
        <v>0</v>
      </c>
      <c r="Y51" s="13">
        <v>0</v>
      </c>
      <c r="Z51" s="13">
        <v>0</v>
      </c>
      <c r="AA51" s="12">
        <v>0</v>
      </c>
      <c r="AB51" s="13">
        <v>0</v>
      </c>
      <c r="AC51" s="13">
        <v>0</v>
      </c>
      <c r="AD51" s="12">
        <v>3</v>
      </c>
      <c r="AE51" s="12">
        <v>0</v>
      </c>
      <c r="AF51" s="12">
        <v>0</v>
      </c>
      <c r="AG51" s="12">
        <v>3</v>
      </c>
      <c r="AH51" s="12">
        <v>0</v>
      </c>
      <c r="AI51" s="12">
        <v>0</v>
      </c>
      <c r="AJ51" s="10">
        <v>6173318</v>
      </c>
      <c r="AK51" s="10" t="s">
        <v>47</v>
      </c>
      <c r="AL51" s="14" t="s">
        <v>70</v>
      </c>
      <c r="AM51" s="10" t="s">
        <v>97</v>
      </c>
      <c r="AN51" s="15">
        <v>202000289777</v>
      </c>
      <c r="AO51" s="16" t="s">
        <v>71</v>
      </c>
      <c r="AP51" s="17">
        <v>26121.96</v>
      </c>
      <c r="AQ51" s="10" t="s">
        <v>51</v>
      </c>
      <c r="AR51" s="10" t="s">
        <v>105</v>
      </c>
      <c r="AS51" s="12">
        <v>486</v>
      </c>
      <c r="AT51" s="10" t="s">
        <v>53</v>
      </c>
      <c r="AU51" s="10">
        <v>26101200</v>
      </c>
      <c r="AV51" s="10" t="s">
        <v>78</v>
      </c>
      <c r="AW51" s="10" t="s">
        <v>55</v>
      </c>
      <c r="AX51" s="10" t="s">
        <v>56</v>
      </c>
      <c r="AY51" s="10" t="s">
        <v>102</v>
      </c>
      <c r="AZ51" s="10" t="s">
        <v>103</v>
      </c>
      <c r="BG51" t="str">
        <v>Outbound</v>
      </c>
      <c r="BH51" t="str">
        <v>Land</v>
      </c>
      <c r="BI51" t="str">
        <v>FG-R-2184LE25</v>
      </c>
      <c r="BJ51" t="str">
        <v>SAIA-BURGESS AUTOMOTIVE ACTUATORS, LLC</v>
      </c>
      <c r="BK51" t="str">
        <v xml:space="preserve">755 Bill Jones Drive      </v>
      </c>
      <c r="BL51" t="str">
        <v>M19</v>
      </c>
      <c r="BM51" t="str">
        <v>1999-5YY2043EN</v>
      </c>
      <c r="BN51" s="24">
        <v>1134</v>
      </c>
      <c r="BO51" s="23">
        <v>3262.4760000000001</v>
      </c>
      <c r="BP51" s="26">
        <f t="shared" si="0"/>
        <v>9.54525569945925E-2</v>
      </c>
      <c r="BQ51" s="21">
        <f t="shared" si="1"/>
        <v>469.50824569608642</v>
      </c>
    </row>
    <row r="52" spans="2:69" x14ac:dyDescent="0.35">
      <c r="B52" t="s">
        <v>261</v>
      </c>
      <c r="C52" t="s">
        <v>262</v>
      </c>
      <c r="D52" t="str" cm="1">
        <f t="array" ref="D52">_xlfn.REGEXEXTRACT(G52,"FG-R-\d{4}LE\d{2}")</f>
        <v>FG-R-2184LE25</v>
      </c>
      <c r="E52" t="s">
        <v>298</v>
      </c>
      <c r="F52" s="23" cm="1">
        <f t="array" ref="F52">_xlfn.SWITCH(TRUE,T52&gt;0,T52,Z52)</f>
        <v>80</v>
      </c>
      <c r="G52" s="10" t="s">
        <v>90</v>
      </c>
      <c r="H52" s="10" t="s">
        <v>38</v>
      </c>
      <c r="I52" s="10" t="s">
        <v>91</v>
      </c>
      <c r="J52" s="11" t="s">
        <v>67</v>
      </c>
      <c r="K52" s="11" t="s">
        <v>67</v>
      </c>
      <c r="L52" s="10" t="s">
        <v>90</v>
      </c>
      <c r="M52" s="10" t="s">
        <v>92</v>
      </c>
      <c r="N52" s="10" t="s">
        <v>43</v>
      </c>
      <c r="O52" s="10" t="s">
        <v>44</v>
      </c>
      <c r="P52" s="10" t="s">
        <v>45</v>
      </c>
      <c r="Q52" s="10" t="s">
        <v>46</v>
      </c>
      <c r="R52" s="12">
        <v>0</v>
      </c>
      <c r="S52" s="13">
        <v>0</v>
      </c>
      <c r="T52" s="13">
        <v>0</v>
      </c>
      <c r="U52" s="12">
        <v>0</v>
      </c>
      <c r="V52" s="13">
        <v>0</v>
      </c>
      <c r="W52" s="13">
        <v>0</v>
      </c>
      <c r="X52" s="12">
        <v>1</v>
      </c>
      <c r="Y52" s="13">
        <v>55.98</v>
      </c>
      <c r="Z52" s="13">
        <v>80</v>
      </c>
      <c r="AA52" s="12">
        <v>9</v>
      </c>
      <c r="AB52" s="13">
        <v>36</v>
      </c>
      <c r="AC52" s="13">
        <v>55.98</v>
      </c>
      <c r="AD52" s="12">
        <v>1</v>
      </c>
      <c r="AE52" s="12">
        <v>0</v>
      </c>
      <c r="AF52" s="12">
        <v>0</v>
      </c>
      <c r="AG52" s="12">
        <v>0</v>
      </c>
      <c r="AH52" s="12">
        <v>1</v>
      </c>
      <c r="AI52" s="12">
        <v>0</v>
      </c>
      <c r="AJ52" s="10">
        <v>6175308</v>
      </c>
      <c r="AK52" s="10" t="s">
        <v>47</v>
      </c>
      <c r="AL52" s="14" t="s">
        <v>121</v>
      </c>
      <c r="AM52" s="10" t="s">
        <v>49</v>
      </c>
      <c r="AN52" s="15">
        <v>202300058606</v>
      </c>
      <c r="AO52" s="16" t="s">
        <v>117</v>
      </c>
      <c r="AP52" s="17">
        <v>810.5</v>
      </c>
      <c r="AQ52" s="10" t="s">
        <v>51</v>
      </c>
      <c r="AR52" s="10" t="s">
        <v>122</v>
      </c>
      <c r="AS52" s="12">
        <v>400</v>
      </c>
      <c r="AT52" s="10" t="s">
        <v>53</v>
      </c>
      <c r="AU52" s="10">
        <v>26101200</v>
      </c>
      <c r="AV52" s="10" t="s">
        <v>78</v>
      </c>
      <c r="AW52" s="10" t="s">
        <v>55</v>
      </c>
      <c r="AX52" s="10" t="s">
        <v>56</v>
      </c>
      <c r="AY52" s="10" t="s">
        <v>79</v>
      </c>
      <c r="AZ52" s="10" t="s">
        <v>80</v>
      </c>
      <c r="BG52" t="str">
        <v>Outbound</v>
      </c>
      <c r="BH52" t="str">
        <v>Land</v>
      </c>
      <c r="BI52" t="str">
        <v>FG-R-2184LE25</v>
      </c>
      <c r="BJ52" t="str">
        <v>JOHNSON ELECTRIC NORTH AMERICA, INC.</v>
      </c>
      <c r="BK52" t="str">
        <v xml:space="preserve">(TDS) Transcontinental Distribution Services, Inc 14213 Transportation Ave    </v>
      </c>
      <c r="BL52" t="str">
        <v>M46</v>
      </c>
      <c r="BM52" t="str">
        <v>1651-EGN0004LN</v>
      </c>
      <c r="BN52" s="24">
        <v>400</v>
      </c>
      <c r="BO52" s="23">
        <v>80</v>
      </c>
      <c r="BP52" s="26">
        <f t="shared" si="0"/>
        <v>2.340616317044907E-3</v>
      </c>
      <c r="BQ52" s="21">
        <f t="shared" si="1"/>
        <v>11.512930564297459</v>
      </c>
    </row>
    <row r="53" spans="2:69" x14ac:dyDescent="0.35">
      <c r="B53" t="s">
        <v>261</v>
      </c>
      <c r="C53" t="s">
        <v>262</v>
      </c>
      <c r="D53" t="str" cm="1">
        <f t="array" ref="D53">_xlfn.REGEXEXTRACT(G53,"FG-R-\d{4}LE\d{2}")</f>
        <v>FG-R-2192LE26</v>
      </c>
      <c r="E53" t="s">
        <v>297</v>
      </c>
      <c r="F53" s="23" cm="1">
        <f t="array" ref="F53">_xlfn.SWITCH(TRUE,T53&gt;0,T53,Z53)</f>
        <v>412.86200000000002</v>
      </c>
      <c r="G53" s="10" t="s">
        <v>123</v>
      </c>
      <c r="H53" s="10" t="s">
        <v>124</v>
      </c>
      <c r="I53" s="10" t="s">
        <v>125</v>
      </c>
      <c r="J53" s="11" t="s">
        <v>126</v>
      </c>
      <c r="K53" s="11" t="s">
        <v>126</v>
      </c>
      <c r="L53" s="10" t="s">
        <v>123</v>
      </c>
      <c r="M53" s="10" t="s">
        <v>127</v>
      </c>
      <c r="N53" s="10" t="s">
        <v>43</v>
      </c>
      <c r="O53" s="10" t="s">
        <v>69</v>
      </c>
      <c r="P53" s="10" t="s">
        <v>45</v>
      </c>
      <c r="Q53" s="10" t="s">
        <v>46</v>
      </c>
      <c r="R53" s="12">
        <v>1</v>
      </c>
      <c r="S53" s="13">
        <v>394.36200000000002</v>
      </c>
      <c r="T53" s="13">
        <v>412.86200000000002</v>
      </c>
      <c r="U53" s="12">
        <v>90</v>
      </c>
      <c r="V53" s="13">
        <v>367.2</v>
      </c>
      <c r="W53" s="13">
        <v>394.36200000000002</v>
      </c>
      <c r="X53" s="12">
        <v>0</v>
      </c>
      <c r="Y53" s="13">
        <v>0</v>
      </c>
      <c r="Z53" s="13">
        <v>0</v>
      </c>
      <c r="AA53" s="12">
        <v>0</v>
      </c>
      <c r="AB53" s="13">
        <v>0</v>
      </c>
      <c r="AC53" s="13">
        <v>0</v>
      </c>
      <c r="AD53" s="12">
        <v>1</v>
      </c>
      <c r="AE53" s="12">
        <v>0</v>
      </c>
      <c r="AF53" s="12">
        <v>0</v>
      </c>
      <c r="AG53" s="12">
        <v>1</v>
      </c>
      <c r="AH53" s="12">
        <v>0</v>
      </c>
      <c r="AI53" s="12">
        <v>0</v>
      </c>
      <c r="AJ53" s="10">
        <v>6180295</v>
      </c>
      <c r="AK53" s="10" t="s">
        <v>47</v>
      </c>
      <c r="AL53" s="14" t="s">
        <v>128</v>
      </c>
      <c r="AM53" s="10" t="s">
        <v>49</v>
      </c>
      <c r="AN53" s="15">
        <v>202300058640</v>
      </c>
      <c r="AO53" s="16" t="s">
        <v>129</v>
      </c>
      <c r="AP53" s="17">
        <v>5725.01</v>
      </c>
      <c r="AQ53" s="10" t="s">
        <v>51</v>
      </c>
      <c r="AR53" s="10" t="s">
        <v>75</v>
      </c>
      <c r="AS53" s="12">
        <v>3600</v>
      </c>
      <c r="AT53" s="10" t="s">
        <v>53</v>
      </c>
      <c r="AU53" s="10">
        <v>40151500</v>
      </c>
      <c r="AV53" s="10" t="s">
        <v>62</v>
      </c>
      <c r="AW53" s="10" t="s">
        <v>55</v>
      </c>
      <c r="AX53" s="10" t="s">
        <v>56</v>
      </c>
      <c r="AY53" s="10" t="s">
        <v>73</v>
      </c>
      <c r="AZ53" s="10" t="s">
        <v>74</v>
      </c>
      <c r="BG53" t="str">
        <v>Outbound</v>
      </c>
      <c r="BH53" t="str">
        <v>Land</v>
      </c>
      <c r="BI53" t="str">
        <v>FG-R-2186LE26</v>
      </c>
      <c r="BJ53" t="str">
        <v>JOHNSON ELECTRIC NORTH AMERICA, INC.</v>
      </c>
      <c r="BK53" t="str">
        <v xml:space="preserve">(TDS) Transcontinental Distribution Services, Inc 14213 Transportation Ave    </v>
      </c>
      <c r="BL53" t="str">
        <v>M23</v>
      </c>
      <c r="BM53" t="str">
        <v>1908-1E90003RN</v>
      </c>
      <c r="BN53" s="24">
        <v>480</v>
      </c>
      <c r="BO53" s="23">
        <v>879.04</v>
      </c>
      <c r="BP53" s="26">
        <f t="shared" si="0"/>
        <v>4.5915291969315979E-2</v>
      </c>
      <c r="BQ53" s="21">
        <f t="shared" si="1"/>
        <v>265.16081112279977</v>
      </c>
    </row>
    <row r="54" spans="2:69" x14ac:dyDescent="0.35">
      <c r="B54" t="s">
        <v>261</v>
      </c>
      <c r="C54" t="s">
        <v>262</v>
      </c>
      <c r="D54" t="str" cm="1">
        <f t="array" ref="D54">_xlfn.REGEXEXTRACT(G54,"FG-R-\d{4}LE\d{2}")</f>
        <v>FG-R-2192LE26</v>
      </c>
      <c r="E54" t="s">
        <v>297</v>
      </c>
      <c r="F54" s="23" cm="1">
        <f t="array" ref="F54">_xlfn.SWITCH(TRUE,T54&gt;0,T54,Z54)</f>
        <v>297.91231900000002</v>
      </c>
      <c r="G54" s="10" t="s">
        <v>123</v>
      </c>
      <c r="H54" s="10" t="s">
        <v>124</v>
      </c>
      <c r="I54" s="10" t="s">
        <v>125</v>
      </c>
      <c r="J54" s="11" t="s">
        <v>126</v>
      </c>
      <c r="K54" s="11" t="s">
        <v>126</v>
      </c>
      <c r="L54" s="10" t="s">
        <v>123</v>
      </c>
      <c r="M54" s="10" t="s">
        <v>127</v>
      </c>
      <c r="N54" s="10" t="s">
        <v>43</v>
      </c>
      <c r="O54" s="10" t="s">
        <v>69</v>
      </c>
      <c r="P54" s="10" t="s">
        <v>45</v>
      </c>
      <c r="Q54" s="10" t="s">
        <v>46</v>
      </c>
      <c r="R54" s="12">
        <v>1</v>
      </c>
      <c r="S54" s="13">
        <v>278.91231900000002</v>
      </c>
      <c r="T54" s="13">
        <v>297.91231900000002</v>
      </c>
      <c r="U54" s="12">
        <v>70</v>
      </c>
      <c r="V54" s="13">
        <v>278.88</v>
      </c>
      <c r="W54" s="13">
        <v>278.91231900000002</v>
      </c>
      <c r="X54" s="12">
        <v>0</v>
      </c>
      <c r="Y54" s="13">
        <v>0</v>
      </c>
      <c r="Z54" s="13">
        <v>0</v>
      </c>
      <c r="AA54" s="12">
        <v>0</v>
      </c>
      <c r="AB54" s="13">
        <v>0</v>
      </c>
      <c r="AC54" s="13">
        <v>0</v>
      </c>
      <c r="AD54" s="12">
        <v>1</v>
      </c>
      <c r="AE54" s="12">
        <v>0</v>
      </c>
      <c r="AF54" s="12">
        <v>0</v>
      </c>
      <c r="AG54" s="12">
        <v>1</v>
      </c>
      <c r="AH54" s="12">
        <v>0</v>
      </c>
      <c r="AI54" s="12">
        <v>0</v>
      </c>
      <c r="AJ54" s="10">
        <v>6180297</v>
      </c>
      <c r="AK54" s="10" t="s">
        <v>47</v>
      </c>
      <c r="AL54" s="14" t="s">
        <v>128</v>
      </c>
      <c r="AM54" s="10" t="s">
        <v>49</v>
      </c>
      <c r="AN54" s="15">
        <v>202300058642</v>
      </c>
      <c r="AO54" s="16" t="s">
        <v>129</v>
      </c>
      <c r="AP54" s="17">
        <v>5376.11</v>
      </c>
      <c r="AQ54" s="10" t="s">
        <v>51</v>
      </c>
      <c r="AR54" s="10" t="s">
        <v>81</v>
      </c>
      <c r="AS54" s="12">
        <v>2100</v>
      </c>
      <c r="AT54" s="10" t="s">
        <v>53</v>
      </c>
      <c r="AU54" s="10">
        <v>25171506</v>
      </c>
      <c r="AV54" s="10" t="s">
        <v>82</v>
      </c>
      <c r="AW54" s="10" t="s">
        <v>55</v>
      </c>
      <c r="AX54" s="10" t="s">
        <v>56</v>
      </c>
      <c r="AY54" s="10" t="s">
        <v>73</v>
      </c>
      <c r="AZ54" s="10" t="s">
        <v>74</v>
      </c>
      <c r="BG54" t="str">
        <v>Outbound</v>
      </c>
      <c r="BH54" t="str">
        <v>Land</v>
      </c>
      <c r="BI54" t="str">
        <v>FG-R-2186LE26</v>
      </c>
      <c r="BJ54" t="str">
        <v>JOHNSON ELECTRIC NORTH AMERICA, INC.</v>
      </c>
      <c r="BK54" t="str">
        <v xml:space="preserve">(TDS) Transcontinental Distribution Services, Inc 14213 Transportation Ave    </v>
      </c>
      <c r="BL54" t="str">
        <v>M45</v>
      </c>
      <c r="BM54" t="str">
        <v>1999-1E30017EN</v>
      </c>
      <c r="BN54" s="24">
        <v>1200</v>
      </c>
      <c r="BO54" s="23">
        <v>449.22</v>
      </c>
      <c r="BP54" s="26">
        <f t="shared" si="0"/>
        <v>2.3464310450555297E-2</v>
      </c>
      <c r="BQ54" s="21">
        <f t="shared" si="1"/>
        <v>135.50639285195683</v>
      </c>
    </row>
    <row r="55" spans="2:69" x14ac:dyDescent="0.35">
      <c r="B55" t="s">
        <v>261</v>
      </c>
      <c r="C55" t="s">
        <v>262</v>
      </c>
      <c r="D55" t="str" cm="1">
        <f t="array" ref="D55">_xlfn.REGEXEXTRACT(G55,"FG-R-\d{4}LE\d{2}")</f>
        <v>FG-R-2192LE26</v>
      </c>
      <c r="E55" t="s">
        <v>297</v>
      </c>
      <c r="F55" s="23" cm="1">
        <f t="array" ref="F55">_xlfn.SWITCH(TRUE,T55&gt;0,T55,Z55)</f>
        <v>2018.4</v>
      </c>
      <c r="G55" s="10" t="s">
        <v>123</v>
      </c>
      <c r="H55" s="10" t="s">
        <v>124</v>
      </c>
      <c r="I55" s="10" t="s">
        <v>125</v>
      </c>
      <c r="J55" s="11" t="s">
        <v>126</v>
      </c>
      <c r="K55" s="11" t="s">
        <v>126</v>
      </c>
      <c r="L55" s="10" t="s">
        <v>123</v>
      </c>
      <c r="M55" s="10" t="s">
        <v>127</v>
      </c>
      <c r="N55" s="10" t="s">
        <v>43</v>
      </c>
      <c r="O55" s="10" t="s">
        <v>69</v>
      </c>
      <c r="P55" s="10" t="s">
        <v>45</v>
      </c>
      <c r="Q55" s="10" t="s">
        <v>46</v>
      </c>
      <c r="R55" s="12">
        <v>4</v>
      </c>
      <c r="S55" s="13">
        <v>1910.4</v>
      </c>
      <c r="T55" s="13">
        <v>2018.4</v>
      </c>
      <c r="U55" s="12">
        <v>240</v>
      </c>
      <c r="V55" s="13">
        <v>1766.4</v>
      </c>
      <c r="W55" s="13">
        <v>1910.4</v>
      </c>
      <c r="X55" s="12">
        <v>0</v>
      </c>
      <c r="Y55" s="13">
        <v>0</v>
      </c>
      <c r="Z55" s="13">
        <v>0</v>
      </c>
      <c r="AA55" s="12">
        <v>0</v>
      </c>
      <c r="AB55" s="13">
        <v>0</v>
      </c>
      <c r="AC55" s="13">
        <v>0</v>
      </c>
      <c r="AD55" s="12">
        <v>4</v>
      </c>
      <c r="AE55" s="12">
        <v>0</v>
      </c>
      <c r="AF55" s="12">
        <v>0</v>
      </c>
      <c r="AG55" s="12">
        <v>4</v>
      </c>
      <c r="AH55" s="12">
        <v>0</v>
      </c>
      <c r="AI55" s="12">
        <v>0</v>
      </c>
      <c r="AJ55" s="10">
        <v>6180296</v>
      </c>
      <c r="AK55" s="10" t="s">
        <v>47</v>
      </c>
      <c r="AL55" s="14" t="s">
        <v>128</v>
      </c>
      <c r="AM55" s="10" t="s">
        <v>49</v>
      </c>
      <c r="AN55" s="15">
        <v>202300058641</v>
      </c>
      <c r="AO55" s="16" t="s">
        <v>129</v>
      </c>
      <c r="AP55" s="17">
        <v>29161.16</v>
      </c>
      <c r="AQ55" s="10" t="s">
        <v>51</v>
      </c>
      <c r="AR55" s="10" t="s">
        <v>84</v>
      </c>
      <c r="AS55" s="12">
        <v>19200</v>
      </c>
      <c r="AT55" s="10" t="s">
        <v>53</v>
      </c>
      <c r="AU55" s="10">
        <v>40151500</v>
      </c>
      <c r="AV55" s="10" t="s">
        <v>62</v>
      </c>
      <c r="AW55" s="10" t="s">
        <v>55</v>
      </c>
      <c r="AX55" s="10" t="s">
        <v>56</v>
      </c>
      <c r="AY55" s="10" t="s">
        <v>73</v>
      </c>
      <c r="AZ55" s="10" t="s">
        <v>74</v>
      </c>
      <c r="BG55" t="str">
        <v>Outbound</v>
      </c>
      <c r="BH55" t="str">
        <v>Land</v>
      </c>
      <c r="BI55" t="str">
        <v>FG-R-2186LE26</v>
      </c>
      <c r="BJ55" t="str">
        <v>JOHNSON ELECTRIC NORTH AMERICA, INC.</v>
      </c>
      <c r="BK55" t="str">
        <v xml:space="preserve">130 W. Jones Rd      </v>
      </c>
      <c r="BL55" t="str">
        <v>M45</v>
      </c>
      <c r="BM55" t="str">
        <v>1999-1E30017EN</v>
      </c>
      <c r="BN55" s="24">
        <v>24000</v>
      </c>
      <c r="BO55" s="23">
        <v>8984.4</v>
      </c>
      <c r="BP55" s="26">
        <f t="shared" si="0"/>
        <v>0.46928620901110585</v>
      </c>
      <c r="BQ55" s="21">
        <f t="shared" si="1"/>
        <v>2710.1278570391364</v>
      </c>
    </row>
    <row r="56" spans="2:69" x14ac:dyDescent="0.35">
      <c r="B56" t="s">
        <v>261</v>
      </c>
      <c r="C56" t="s">
        <v>262</v>
      </c>
      <c r="D56" t="str" cm="1">
        <f t="array" ref="D56">_xlfn.REGEXEXTRACT(G56,"FG-R-\d{4}LE\d{2}")</f>
        <v>FG-R-2192LE26</v>
      </c>
      <c r="E56" t="s">
        <v>297</v>
      </c>
      <c r="F56" s="23" cm="1">
        <f t="array" ref="F56">_xlfn.SWITCH(TRUE,T56&gt;0,T56,Z56)</f>
        <v>109.96</v>
      </c>
      <c r="G56" s="10" t="s">
        <v>123</v>
      </c>
      <c r="H56" s="10" t="s">
        <v>124</v>
      </c>
      <c r="I56" s="10" t="s">
        <v>125</v>
      </c>
      <c r="J56" s="11" t="s">
        <v>126</v>
      </c>
      <c r="K56" s="11" t="s">
        <v>126</v>
      </c>
      <c r="L56" s="10" t="s">
        <v>123</v>
      </c>
      <c r="M56" s="10" t="s">
        <v>127</v>
      </c>
      <c r="N56" s="10" t="s">
        <v>43</v>
      </c>
      <c r="O56" s="10" t="s">
        <v>69</v>
      </c>
      <c r="P56" s="10" t="s">
        <v>45</v>
      </c>
      <c r="Q56" s="10" t="s">
        <v>46</v>
      </c>
      <c r="R56" s="12">
        <v>1</v>
      </c>
      <c r="S56" s="13">
        <v>84.96</v>
      </c>
      <c r="T56" s="13">
        <v>109.96</v>
      </c>
      <c r="U56" s="12">
        <v>0</v>
      </c>
      <c r="V56" s="13">
        <v>84.96</v>
      </c>
      <c r="W56" s="13">
        <v>84.96</v>
      </c>
      <c r="X56" s="12">
        <v>0</v>
      </c>
      <c r="Y56" s="13">
        <v>0</v>
      </c>
      <c r="Z56" s="13">
        <v>0</v>
      </c>
      <c r="AA56" s="12">
        <v>0</v>
      </c>
      <c r="AB56" s="13">
        <v>0</v>
      </c>
      <c r="AC56" s="13">
        <v>0</v>
      </c>
      <c r="AD56" s="12">
        <v>1</v>
      </c>
      <c r="AE56" s="12">
        <v>0</v>
      </c>
      <c r="AF56" s="12">
        <v>0</v>
      </c>
      <c r="AG56" s="12">
        <v>1</v>
      </c>
      <c r="AH56" s="12">
        <v>0</v>
      </c>
      <c r="AI56" s="12">
        <v>0</v>
      </c>
      <c r="AJ56" s="10">
        <v>6180290</v>
      </c>
      <c r="AK56" s="10" t="s">
        <v>47</v>
      </c>
      <c r="AL56" s="14" t="s">
        <v>128</v>
      </c>
      <c r="AM56" s="10" t="s">
        <v>49</v>
      </c>
      <c r="AN56" s="15">
        <v>202300058636</v>
      </c>
      <c r="AO56" s="16" t="s">
        <v>129</v>
      </c>
      <c r="AP56" s="17">
        <v>3851.76</v>
      </c>
      <c r="AQ56" s="10" t="s">
        <v>51</v>
      </c>
      <c r="AR56" s="10" t="s">
        <v>77</v>
      </c>
      <c r="AS56" s="12">
        <v>1440</v>
      </c>
      <c r="AT56" s="10" t="s">
        <v>53</v>
      </c>
      <c r="AU56" s="10">
        <v>26101200</v>
      </c>
      <c r="AV56" s="10" t="s">
        <v>78</v>
      </c>
      <c r="AW56" s="10" t="s">
        <v>55</v>
      </c>
      <c r="AX56" s="10" t="s">
        <v>56</v>
      </c>
      <c r="AY56" s="10" t="s">
        <v>79</v>
      </c>
      <c r="AZ56" s="10" t="s">
        <v>80</v>
      </c>
      <c r="BG56" t="str">
        <v>Outbound</v>
      </c>
      <c r="BH56" t="str">
        <v>Land</v>
      </c>
      <c r="BI56" t="str">
        <v>FG-R-2186LE26</v>
      </c>
      <c r="BJ56" t="str">
        <v>JOHNSON ELECTRIC NORTH AMERICA, INC.</v>
      </c>
      <c r="BK56" t="str">
        <v xml:space="preserve">APX WH  6001 GLOBAL DISTRIBUTION WAY LOUISVILLE, KY 40228    </v>
      </c>
      <c r="BL56" t="str">
        <v>M45</v>
      </c>
      <c r="BM56" t="str">
        <v>1999-1E30016EU</v>
      </c>
      <c r="BN56" s="24">
        <v>4032</v>
      </c>
      <c r="BO56" s="23">
        <v>3532.864</v>
      </c>
      <c r="BP56" s="26">
        <f t="shared" si="0"/>
        <v>0.18453367542760915</v>
      </c>
      <c r="BQ56" s="21">
        <f t="shared" si="1"/>
        <v>1065.6819755944427</v>
      </c>
    </row>
    <row r="57" spans="2:69" x14ac:dyDescent="0.35">
      <c r="B57" t="s">
        <v>261</v>
      </c>
      <c r="C57" t="s">
        <v>262</v>
      </c>
      <c r="D57" t="str" cm="1">
        <f t="array" ref="D57">_xlfn.REGEXEXTRACT(G57,"FG-R-\d{4}LE\d{2}")</f>
        <v>FG-R-2192LE26</v>
      </c>
      <c r="E57" t="s">
        <v>297</v>
      </c>
      <c r="F57" s="23" cm="1">
        <f t="array" ref="F57">_xlfn.SWITCH(TRUE,T57&gt;0,T57,Z57)</f>
        <v>109.96</v>
      </c>
      <c r="G57" s="10" t="s">
        <v>123</v>
      </c>
      <c r="H57" s="10" t="s">
        <v>124</v>
      </c>
      <c r="I57" s="10" t="s">
        <v>125</v>
      </c>
      <c r="J57" s="11" t="s">
        <v>126</v>
      </c>
      <c r="K57" s="11" t="s">
        <v>126</v>
      </c>
      <c r="L57" s="10" t="s">
        <v>123</v>
      </c>
      <c r="M57" s="10" t="s">
        <v>127</v>
      </c>
      <c r="N57" s="10" t="s">
        <v>43</v>
      </c>
      <c r="O57" s="10" t="s">
        <v>69</v>
      </c>
      <c r="P57" s="10" t="s">
        <v>45</v>
      </c>
      <c r="Q57" s="10" t="s">
        <v>46</v>
      </c>
      <c r="R57" s="12">
        <v>1</v>
      </c>
      <c r="S57" s="13">
        <v>84.96</v>
      </c>
      <c r="T57" s="13">
        <v>109.96</v>
      </c>
      <c r="U57" s="12">
        <v>0</v>
      </c>
      <c r="V57" s="13">
        <v>84.96</v>
      </c>
      <c r="W57" s="13">
        <v>84.96</v>
      </c>
      <c r="X57" s="12">
        <v>0</v>
      </c>
      <c r="Y57" s="13">
        <v>0</v>
      </c>
      <c r="Z57" s="13">
        <v>0</v>
      </c>
      <c r="AA57" s="12">
        <v>0</v>
      </c>
      <c r="AB57" s="13">
        <v>0</v>
      </c>
      <c r="AC57" s="13">
        <v>0</v>
      </c>
      <c r="AD57" s="12">
        <v>1</v>
      </c>
      <c r="AE57" s="12">
        <v>0</v>
      </c>
      <c r="AF57" s="12">
        <v>0</v>
      </c>
      <c r="AG57" s="12">
        <v>1</v>
      </c>
      <c r="AH57" s="12">
        <v>0</v>
      </c>
      <c r="AI57" s="12">
        <v>0</v>
      </c>
      <c r="AJ57" s="10">
        <v>6180291</v>
      </c>
      <c r="AK57" s="10" t="s">
        <v>47</v>
      </c>
      <c r="AL57" s="14" t="s">
        <v>128</v>
      </c>
      <c r="AM57" s="10" t="s">
        <v>49</v>
      </c>
      <c r="AN57" s="15">
        <v>202300058637</v>
      </c>
      <c r="AO57" s="16" t="s">
        <v>129</v>
      </c>
      <c r="AP57" s="17">
        <v>3851.76</v>
      </c>
      <c r="AQ57" s="10" t="s">
        <v>51</v>
      </c>
      <c r="AR57" s="10" t="s">
        <v>77</v>
      </c>
      <c r="AS57" s="12">
        <v>1440</v>
      </c>
      <c r="AT57" s="10" t="s">
        <v>53</v>
      </c>
      <c r="AU57" s="10">
        <v>26101200</v>
      </c>
      <c r="AV57" s="10" t="s">
        <v>78</v>
      </c>
      <c r="AW57" s="10" t="s">
        <v>55</v>
      </c>
      <c r="AX57" s="10" t="s">
        <v>56</v>
      </c>
      <c r="AY57" s="10" t="s">
        <v>79</v>
      </c>
      <c r="AZ57" s="10" t="s">
        <v>80</v>
      </c>
      <c r="BG57" t="str">
        <v>Outbound</v>
      </c>
      <c r="BH57" t="str">
        <v>Land</v>
      </c>
      <c r="BI57" t="str">
        <v>FG-R-2186LE26</v>
      </c>
      <c r="BJ57" t="str">
        <v>JOHNSON ELECTRIC NORTH AMERICA, INC.</v>
      </c>
      <c r="BK57" t="str">
        <v xml:space="preserve">APX WH  6001 GLOBAL DISTRIBUTION WAY LOUISVILLE, KY 40228    </v>
      </c>
      <c r="BL57" t="str">
        <v>M45</v>
      </c>
      <c r="BM57" t="str">
        <v>1999-1E30016EU</v>
      </c>
      <c r="BN57" s="24">
        <v>6048</v>
      </c>
      <c r="BO57" s="23">
        <v>5299.2960000000003</v>
      </c>
      <c r="BP57" s="26">
        <f t="shared" si="0"/>
        <v>0.27680051314141374</v>
      </c>
      <c r="BQ57" s="21">
        <f t="shared" si="1"/>
        <v>1598.5229633916642</v>
      </c>
    </row>
    <row r="58" spans="2:69" x14ac:dyDescent="0.35">
      <c r="B58" t="s">
        <v>261</v>
      </c>
      <c r="C58" t="s">
        <v>262</v>
      </c>
      <c r="D58" t="str" cm="1">
        <f t="array" ref="D58">_xlfn.REGEXEXTRACT(G58,"FG-R-\d{4}LE\d{2}")</f>
        <v>FG-R-2192LE26</v>
      </c>
      <c r="E58" t="s">
        <v>297</v>
      </c>
      <c r="F58" s="23" cm="1">
        <f t="array" ref="F58">_xlfn.SWITCH(TRUE,T58&gt;0,T58,Z58)</f>
        <v>117.16</v>
      </c>
      <c r="G58" s="10" t="s">
        <v>123</v>
      </c>
      <c r="H58" s="10" t="s">
        <v>124</v>
      </c>
      <c r="I58" s="10" t="s">
        <v>125</v>
      </c>
      <c r="J58" s="11" t="s">
        <v>126</v>
      </c>
      <c r="K58" s="11" t="s">
        <v>126</v>
      </c>
      <c r="L58" s="10" t="s">
        <v>123</v>
      </c>
      <c r="M58" s="10" t="s">
        <v>127</v>
      </c>
      <c r="N58" s="10" t="s">
        <v>43</v>
      </c>
      <c r="O58" s="10" t="s">
        <v>69</v>
      </c>
      <c r="P58" s="10" t="s">
        <v>45</v>
      </c>
      <c r="Q58" s="10" t="s">
        <v>46</v>
      </c>
      <c r="R58" s="12">
        <v>1</v>
      </c>
      <c r="S58" s="13">
        <v>92.16</v>
      </c>
      <c r="T58" s="13">
        <v>117.16</v>
      </c>
      <c r="U58" s="12">
        <v>0</v>
      </c>
      <c r="V58" s="13">
        <v>92.16</v>
      </c>
      <c r="W58" s="13">
        <v>92.16</v>
      </c>
      <c r="X58" s="12">
        <v>0</v>
      </c>
      <c r="Y58" s="13">
        <v>0</v>
      </c>
      <c r="Z58" s="13">
        <v>0</v>
      </c>
      <c r="AA58" s="12">
        <v>0</v>
      </c>
      <c r="AB58" s="13">
        <v>0</v>
      </c>
      <c r="AC58" s="13">
        <v>0</v>
      </c>
      <c r="AD58" s="12">
        <v>1</v>
      </c>
      <c r="AE58" s="12">
        <v>0</v>
      </c>
      <c r="AF58" s="12">
        <v>0</v>
      </c>
      <c r="AG58" s="12">
        <v>1</v>
      </c>
      <c r="AH58" s="12">
        <v>0</v>
      </c>
      <c r="AI58" s="12">
        <v>0</v>
      </c>
      <c r="AJ58" s="10">
        <v>6180293</v>
      </c>
      <c r="AK58" s="10" t="s">
        <v>47</v>
      </c>
      <c r="AL58" s="14" t="s">
        <v>128</v>
      </c>
      <c r="AM58" s="10" t="s">
        <v>49</v>
      </c>
      <c r="AN58" s="15">
        <v>202300058638</v>
      </c>
      <c r="AO58" s="16" t="s">
        <v>129</v>
      </c>
      <c r="AP58" s="17">
        <v>3998.61</v>
      </c>
      <c r="AQ58" s="10" t="s">
        <v>51</v>
      </c>
      <c r="AR58" s="10" t="s">
        <v>83</v>
      </c>
      <c r="AS58" s="12">
        <v>1440</v>
      </c>
      <c r="AT58" s="10" t="s">
        <v>53</v>
      </c>
      <c r="AU58" s="10">
        <v>26101200</v>
      </c>
      <c r="AV58" s="10" t="s">
        <v>78</v>
      </c>
      <c r="AW58" s="10" t="s">
        <v>55</v>
      </c>
      <c r="AX58" s="10" t="s">
        <v>56</v>
      </c>
      <c r="AY58" s="10" t="s">
        <v>79</v>
      </c>
      <c r="AZ58" s="10" t="s">
        <v>80</v>
      </c>
      <c r="BG58" t="str">
        <v>Outbound</v>
      </c>
      <c r="BH58" t="str">
        <v>Land</v>
      </c>
      <c r="BI58" t="str">
        <v>FG-R-2187LE26</v>
      </c>
      <c r="BJ58" t="str">
        <v>SAIA-BURGESS AUTOMOTIVE ACTUATORS, LLC</v>
      </c>
      <c r="BK58" t="str">
        <v xml:space="preserve">755 Bill Jones Drive      </v>
      </c>
      <c r="BL58" t="str">
        <v>M19</v>
      </c>
      <c r="BM58" t="str">
        <v>1999-5YY2044EN</v>
      </c>
      <c r="BN58" s="24">
        <v>324</v>
      </c>
      <c r="BO58" s="23">
        <v>1007.304</v>
      </c>
      <c r="BP58" s="26">
        <f t="shared" si="0"/>
        <v>4.5097440169683541E-2</v>
      </c>
      <c r="BQ58" s="21">
        <f t="shared" si="1"/>
        <v>234.37139656184536</v>
      </c>
    </row>
    <row r="59" spans="2:69" x14ac:dyDescent="0.35">
      <c r="B59" t="s">
        <v>261</v>
      </c>
      <c r="C59" t="s">
        <v>262</v>
      </c>
      <c r="D59" t="str" cm="1">
        <f t="array" ref="D59">_xlfn.REGEXEXTRACT(G59,"FG-R-\d{4}LE\d{2}")</f>
        <v>FG-R-2192LE26</v>
      </c>
      <c r="E59" t="s">
        <v>297</v>
      </c>
      <c r="F59" s="23" cm="1">
        <f t="array" ref="F59">_xlfn.SWITCH(TRUE,T59&gt;0,T59,Z59)</f>
        <v>468.64</v>
      </c>
      <c r="G59" s="10" t="s">
        <v>123</v>
      </c>
      <c r="H59" s="10" t="s">
        <v>124</v>
      </c>
      <c r="I59" s="10" t="s">
        <v>125</v>
      </c>
      <c r="J59" s="11" t="s">
        <v>126</v>
      </c>
      <c r="K59" s="11" t="s">
        <v>126</v>
      </c>
      <c r="L59" s="10" t="s">
        <v>123</v>
      </c>
      <c r="M59" s="10" t="s">
        <v>127</v>
      </c>
      <c r="N59" s="10" t="s">
        <v>43</v>
      </c>
      <c r="O59" s="10" t="s">
        <v>69</v>
      </c>
      <c r="P59" s="10" t="s">
        <v>45</v>
      </c>
      <c r="Q59" s="10" t="s">
        <v>46</v>
      </c>
      <c r="R59" s="12">
        <v>4</v>
      </c>
      <c r="S59" s="13">
        <v>368.64</v>
      </c>
      <c r="T59" s="13">
        <v>468.64</v>
      </c>
      <c r="U59" s="12">
        <v>0</v>
      </c>
      <c r="V59" s="13">
        <v>368.64</v>
      </c>
      <c r="W59" s="13">
        <v>368.64</v>
      </c>
      <c r="X59" s="12">
        <v>0</v>
      </c>
      <c r="Y59" s="13">
        <v>0</v>
      </c>
      <c r="Z59" s="13">
        <v>0</v>
      </c>
      <c r="AA59" s="12">
        <v>0</v>
      </c>
      <c r="AB59" s="13">
        <v>0</v>
      </c>
      <c r="AC59" s="13">
        <v>0</v>
      </c>
      <c r="AD59" s="12">
        <v>4</v>
      </c>
      <c r="AE59" s="12">
        <v>0</v>
      </c>
      <c r="AF59" s="12">
        <v>0</v>
      </c>
      <c r="AG59" s="12">
        <v>4</v>
      </c>
      <c r="AH59" s="12">
        <v>0</v>
      </c>
      <c r="AI59" s="12">
        <v>0</v>
      </c>
      <c r="AJ59" s="10">
        <v>6180294</v>
      </c>
      <c r="AK59" s="10" t="s">
        <v>47</v>
      </c>
      <c r="AL59" s="14" t="s">
        <v>128</v>
      </c>
      <c r="AM59" s="10" t="s">
        <v>49</v>
      </c>
      <c r="AN59" s="15">
        <v>202300058639</v>
      </c>
      <c r="AO59" s="16" t="s">
        <v>129</v>
      </c>
      <c r="AP59" s="17">
        <v>15994.44</v>
      </c>
      <c r="AQ59" s="10" t="s">
        <v>51</v>
      </c>
      <c r="AR59" s="10" t="s">
        <v>83</v>
      </c>
      <c r="AS59" s="12">
        <v>5760</v>
      </c>
      <c r="AT59" s="10" t="s">
        <v>53</v>
      </c>
      <c r="AU59" s="10">
        <v>26101200</v>
      </c>
      <c r="AV59" s="10" t="s">
        <v>78</v>
      </c>
      <c r="AW59" s="10" t="s">
        <v>55</v>
      </c>
      <c r="AX59" s="10" t="s">
        <v>56</v>
      </c>
      <c r="AY59" s="10" t="s">
        <v>79</v>
      </c>
      <c r="AZ59" s="10" t="s">
        <v>80</v>
      </c>
      <c r="BG59" t="str">
        <v>Outbound</v>
      </c>
      <c r="BH59" t="str">
        <v>Land</v>
      </c>
      <c r="BI59" t="str">
        <v>FG-R-2187LE26</v>
      </c>
      <c r="BJ59" t="str">
        <v>SAIA-BURGESS AUTOMOTIVE ACTUATORS, LLC</v>
      </c>
      <c r="BK59" t="str">
        <v xml:space="preserve">755 Bill Jones Drive      </v>
      </c>
      <c r="BL59" t="str">
        <v>M19</v>
      </c>
      <c r="BM59" t="str">
        <v>1999-5YY0898EN</v>
      </c>
      <c r="BN59" s="24">
        <v>1280</v>
      </c>
      <c r="BO59" s="23">
        <v>1658.5920000000001</v>
      </c>
      <c r="BP59" s="26">
        <f t="shared" si="0"/>
        <v>7.4255888476483539E-2</v>
      </c>
      <c r="BQ59" s="21">
        <f t="shared" si="1"/>
        <v>385.90785241228497</v>
      </c>
    </row>
    <row r="60" spans="2:69" x14ac:dyDescent="0.35">
      <c r="B60" t="s">
        <v>261</v>
      </c>
      <c r="C60" t="s">
        <v>262</v>
      </c>
      <c r="D60" t="str" cm="1">
        <f t="array" ref="D60">_xlfn.REGEXEXTRACT(G60,"FG-R-\d{4}LE\d{2}")</f>
        <v>FG-R-2192LE26</v>
      </c>
      <c r="E60" t="s">
        <v>297</v>
      </c>
      <c r="F60" s="23" cm="1">
        <f t="array" ref="F60">_xlfn.SWITCH(TRUE,T60&gt;0,T60,Z60)</f>
        <v>633.24</v>
      </c>
      <c r="G60" s="10" t="s">
        <v>123</v>
      </c>
      <c r="H60" s="10" t="s">
        <v>124</v>
      </c>
      <c r="I60" s="10" t="s">
        <v>125</v>
      </c>
      <c r="J60" s="11" t="s">
        <v>126</v>
      </c>
      <c r="K60" s="11" t="s">
        <v>126</v>
      </c>
      <c r="L60" s="10" t="s">
        <v>123</v>
      </c>
      <c r="M60" s="10" t="s">
        <v>127</v>
      </c>
      <c r="N60" s="10" t="s">
        <v>43</v>
      </c>
      <c r="O60" s="10" t="s">
        <v>69</v>
      </c>
      <c r="P60" s="10" t="s">
        <v>45</v>
      </c>
      <c r="Q60" s="10" t="s">
        <v>46</v>
      </c>
      <c r="R60" s="12">
        <v>1</v>
      </c>
      <c r="S60" s="13">
        <v>606.24</v>
      </c>
      <c r="T60" s="13">
        <v>633.24</v>
      </c>
      <c r="U60" s="12">
        <v>60</v>
      </c>
      <c r="V60" s="13">
        <v>570.24</v>
      </c>
      <c r="W60" s="13">
        <v>606.24</v>
      </c>
      <c r="X60" s="12">
        <v>0</v>
      </c>
      <c r="Y60" s="13">
        <v>0</v>
      </c>
      <c r="Z60" s="13">
        <v>0</v>
      </c>
      <c r="AA60" s="12">
        <v>0</v>
      </c>
      <c r="AB60" s="13">
        <v>0</v>
      </c>
      <c r="AC60" s="13">
        <v>0</v>
      </c>
      <c r="AD60" s="12">
        <v>1</v>
      </c>
      <c r="AE60" s="12">
        <v>0</v>
      </c>
      <c r="AF60" s="12">
        <v>0</v>
      </c>
      <c r="AG60" s="12">
        <v>1</v>
      </c>
      <c r="AH60" s="12">
        <v>0</v>
      </c>
      <c r="AI60" s="12">
        <v>0</v>
      </c>
      <c r="AJ60" s="10">
        <v>6180298</v>
      </c>
      <c r="AK60" s="10" t="s">
        <v>47</v>
      </c>
      <c r="AL60" s="14" t="s">
        <v>128</v>
      </c>
      <c r="AM60" s="10" t="s">
        <v>49</v>
      </c>
      <c r="AN60" s="15">
        <v>202300058643</v>
      </c>
      <c r="AO60" s="16" t="s">
        <v>129</v>
      </c>
      <c r="AP60" s="17">
        <v>10229.52</v>
      </c>
      <c r="AQ60" s="10" t="s">
        <v>51</v>
      </c>
      <c r="AR60" s="10" t="s">
        <v>85</v>
      </c>
      <c r="AS60" s="12">
        <v>4800</v>
      </c>
      <c r="AT60" s="10" t="s">
        <v>53</v>
      </c>
      <c r="AU60" s="10">
        <v>25171506</v>
      </c>
      <c r="AV60" s="10" t="s">
        <v>82</v>
      </c>
      <c r="AW60" s="10" t="s">
        <v>55</v>
      </c>
      <c r="AX60" s="10" t="s">
        <v>56</v>
      </c>
      <c r="AY60" s="10" t="s">
        <v>73</v>
      </c>
      <c r="AZ60" s="10" t="s">
        <v>74</v>
      </c>
      <c r="BG60" t="str">
        <v>Outbound</v>
      </c>
      <c r="BH60" t="str">
        <v>Land</v>
      </c>
      <c r="BI60" t="str">
        <v>FG-R-2187LE26</v>
      </c>
      <c r="BJ60" t="str">
        <v>SAIA-BURGESS AUTOMOTIVE ACTUATORS, LLC</v>
      </c>
      <c r="BK60" t="str">
        <v xml:space="preserve">755 Bill Jones Drive      </v>
      </c>
      <c r="BL60" t="str">
        <v>M19</v>
      </c>
      <c r="BM60" t="str">
        <v>1999-5YY0898EN</v>
      </c>
      <c r="BN60" s="24">
        <v>1280</v>
      </c>
      <c r="BO60" s="23">
        <v>1658.5920000000001</v>
      </c>
      <c r="BP60" s="26">
        <f t="shared" si="0"/>
        <v>7.4255888476483539E-2</v>
      </c>
      <c r="BQ60" s="21">
        <f t="shared" si="1"/>
        <v>385.90785241228497</v>
      </c>
    </row>
    <row r="61" spans="2:69" x14ac:dyDescent="0.35">
      <c r="B61" t="s">
        <v>261</v>
      </c>
      <c r="C61" t="s">
        <v>262</v>
      </c>
      <c r="D61" t="str" cm="1">
        <f t="array" ref="D61">_xlfn.REGEXEXTRACT(G61,"FG-R-\d{4}LE\d{2}")</f>
        <v>FG-R-2192LE26</v>
      </c>
      <c r="E61" t="s">
        <v>298</v>
      </c>
      <c r="F61" s="23" cm="1">
        <f t="array" ref="F61">_xlfn.SWITCH(TRUE,T61&gt;0,T61,Z61)</f>
        <v>714</v>
      </c>
      <c r="G61" s="10" t="s">
        <v>123</v>
      </c>
      <c r="H61" s="10" t="s">
        <v>124</v>
      </c>
      <c r="I61" s="10" t="s">
        <v>125</v>
      </c>
      <c r="J61" s="11" t="s">
        <v>126</v>
      </c>
      <c r="K61" s="11" t="s">
        <v>126</v>
      </c>
      <c r="L61" s="10" t="s">
        <v>123</v>
      </c>
      <c r="M61" s="10" t="s">
        <v>127</v>
      </c>
      <c r="N61" s="10" t="s">
        <v>43</v>
      </c>
      <c r="O61" s="10" t="s">
        <v>69</v>
      </c>
      <c r="P61" s="10" t="s">
        <v>45</v>
      </c>
      <c r="Q61" s="10" t="s">
        <v>46</v>
      </c>
      <c r="R61" s="12">
        <v>2</v>
      </c>
      <c r="S61" s="13">
        <v>672</v>
      </c>
      <c r="T61" s="13">
        <v>714</v>
      </c>
      <c r="U61" s="12">
        <v>250</v>
      </c>
      <c r="V61" s="13">
        <v>297</v>
      </c>
      <c r="W61" s="13">
        <v>672</v>
      </c>
      <c r="X61" s="12">
        <v>0</v>
      </c>
      <c r="Y61" s="13">
        <v>0</v>
      </c>
      <c r="Z61" s="13">
        <v>0</v>
      </c>
      <c r="AA61" s="12">
        <v>0</v>
      </c>
      <c r="AB61" s="13">
        <v>0</v>
      </c>
      <c r="AC61" s="13">
        <v>0</v>
      </c>
      <c r="AD61" s="12">
        <v>2</v>
      </c>
      <c r="AE61" s="12">
        <v>0</v>
      </c>
      <c r="AF61" s="12">
        <v>0</v>
      </c>
      <c r="AG61" s="12">
        <v>2</v>
      </c>
      <c r="AH61" s="12">
        <v>0</v>
      </c>
      <c r="AI61" s="12">
        <v>0</v>
      </c>
      <c r="AJ61" s="10">
        <v>6180300</v>
      </c>
      <c r="AK61" s="10" t="s">
        <v>47</v>
      </c>
      <c r="AL61" s="14" t="s">
        <v>128</v>
      </c>
      <c r="AM61" s="10" t="s">
        <v>49</v>
      </c>
      <c r="AN61" s="15">
        <v>202300058644</v>
      </c>
      <c r="AO61" s="16" t="s">
        <v>129</v>
      </c>
      <c r="AP61" s="17">
        <v>10903.48</v>
      </c>
      <c r="AQ61" s="10" t="s">
        <v>51</v>
      </c>
      <c r="AR61" s="10" t="s">
        <v>130</v>
      </c>
      <c r="AS61" s="12">
        <v>1500</v>
      </c>
      <c r="AT61" s="10" t="s">
        <v>53</v>
      </c>
      <c r="AU61" s="10">
        <v>26101100</v>
      </c>
      <c r="AV61" s="10" t="s">
        <v>87</v>
      </c>
      <c r="AW61" s="10" t="s">
        <v>55</v>
      </c>
      <c r="AX61" s="10" t="s">
        <v>56</v>
      </c>
      <c r="AY61" s="10" t="s">
        <v>79</v>
      </c>
      <c r="AZ61" s="10" t="s">
        <v>80</v>
      </c>
      <c r="BG61" t="str">
        <v>Outbound</v>
      </c>
      <c r="BH61" t="str">
        <v>Land</v>
      </c>
      <c r="BI61" t="str">
        <v>FG-R-2187LE26</v>
      </c>
      <c r="BJ61" t="str">
        <v>SAIA-BURGESS AUTOMOTIVE ACTUATORS, LLC</v>
      </c>
      <c r="BK61" t="str">
        <v xml:space="preserve">755 Bill Jones Drive      </v>
      </c>
      <c r="BL61" t="str">
        <v>M19</v>
      </c>
      <c r="BM61" t="str">
        <v>1999-5YY1256EN</v>
      </c>
      <c r="BN61" s="24">
        <v>1612</v>
      </c>
      <c r="BO61" s="23">
        <v>3279.864</v>
      </c>
      <c r="BP61" s="26">
        <f t="shared" si="0"/>
        <v>0.14684094424791219</v>
      </c>
      <c r="BQ61" s="21">
        <f t="shared" si="1"/>
        <v>763.13238725639962</v>
      </c>
    </row>
    <row r="62" spans="2:69" x14ac:dyDescent="0.35">
      <c r="B62" t="s">
        <v>261</v>
      </c>
      <c r="C62" t="s">
        <v>262</v>
      </c>
      <c r="D62" t="str" cm="1">
        <f t="array" ref="D62">_xlfn.REGEXEXTRACT(G62,"FG-R-\d{4}LE\d{2}")</f>
        <v>FG-R-2186LE26</v>
      </c>
      <c r="E62" t="s">
        <v>295</v>
      </c>
      <c r="F62" s="23" cm="1">
        <f t="array" ref="F62">_xlfn.SWITCH(TRUE,T62&gt;0,T62,Z62)</f>
        <v>879.04</v>
      </c>
      <c r="G62" s="10" t="s">
        <v>131</v>
      </c>
      <c r="H62" s="10" t="s">
        <v>38</v>
      </c>
      <c r="I62" s="10" t="s">
        <v>39</v>
      </c>
      <c r="J62" s="11" t="s">
        <v>132</v>
      </c>
      <c r="K62" s="11" t="s">
        <v>132</v>
      </c>
      <c r="L62" s="10" t="s">
        <v>131</v>
      </c>
      <c r="M62" s="10" t="s">
        <v>133</v>
      </c>
      <c r="N62" s="10" t="s">
        <v>43</v>
      </c>
      <c r="O62" s="10" t="s">
        <v>44</v>
      </c>
      <c r="P62" s="10" t="s">
        <v>45</v>
      </c>
      <c r="Q62" s="10" t="s">
        <v>46</v>
      </c>
      <c r="R62" s="12">
        <v>4</v>
      </c>
      <c r="S62" s="13">
        <v>795.04</v>
      </c>
      <c r="T62" s="13">
        <v>879.04</v>
      </c>
      <c r="U62" s="12">
        <v>80</v>
      </c>
      <c r="V62" s="13">
        <v>696.48</v>
      </c>
      <c r="W62" s="13">
        <v>795.04</v>
      </c>
      <c r="X62" s="12">
        <v>0</v>
      </c>
      <c r="Y62" s="13">
        <v>0</v>
      </c>
      <c r="Z62" s="13">
        <v>0</v>
      </c>
      <c r="AA62" s="12">
        <v>0</v>
      </c>
      <c r="AB62" s="13">
        <v>0</v>
      </c>
      <c r="AC62" s="13">
        <v>0</v>
      </c>
      <c r="AD62" s="12">
        <v>4</v>
      </c>
      <c r="AE62" s="12">
        <v>0</v>
      </c>
      <c r="AF62" s="12">
        <v>0</v>
      </c>
      <c r="AG62" s="12">
        <v>0</v>
      </c>
      <c r="AH62" s="12">
        <v>4</v>
      </c>
      <c r="AI62" s="12">
        <v>0</v>
      </c>
      <c r="AJ62" s="10">
        <v>6182358</v>
      </c>
      <c r="AK62" s="10" t="s">
        <v>47</v>
      </c>
      <c r="AL62" s="14" t="s">
        <v>134</v>
      </c>
      <c r="AM62" s="10" t="s">
        <v>49</v>
      </c>
      <c r="AN62" s="15">
        <v>202300058652</v>
      </c>
      <c r="AO62" s="16" t="s">
        <v>135</v>
      </c>
      <c r="AP62" s="17">
        <v>18152.080000000002</v>
      </c>
      <c r="AQ62" s="10" t="s">
        <v>51</v>
      </c>
      <c r="AR62" s="10" t="s">
        <v>52</v>
      </c>
      <c r="AS62" s="12">
        <v>480</v>
      </c>
      <c r="AT62" s="10" t="s">
        <v>53</v>
      </c>
      <c r="AU62" s="10">
        <v>40151503</v>
      </c>
      <c r="AV62" s="10" t="s">
        <v>54</v>
      </c>
      <c r="AW62" s="10" t="s">
        <v>55</v>
      </c>
      <c r="AX62" s="10" t="s">
        <v>56</v>
      </c>
      <c r="AY62" s="10" t="s">
        <v>57</v>
      </c>
      <c r="AZ62" s="10" t="s">
        <v>58</v>
      </c>
      <c r="BG62" t="str">
        <v>Outbound</v>
      </c>
      <c r="BH62" t="str">
        <v>Land</v>
      </c>
      <c r="BI62" t="str">
        <v>FG-R-2187LE26</v>
      </c>
      <c r="BJ62" t="str">
        <v>SAIA-BURGESS AUTOMOTIVE ACTUATORS, LLC</v>
      </c>
      <c r="BK62" t="str">
        <v xml:space="preserve">755 Bill Jones Drive      </v>
      </c>
      <c r="BL62" t="str">
        <v>M19</v>
      </c>
      <c r="BM62" t="str">
        <v>1999-5YY1256EN</v>
      </c>
      <c r="BN62" s="24">
        <v>1612</v>
      </c>
      <c r="BO62" s="23">
        <v>3279.864</v>
      </c>
      <c r="BP62" s="26">
        <f t="shared" si="0"/>
        <v>0.14684094424791219</v>
      </c>
      <c r="BQ62" s="21">
        <f t="shared" si="1"/>
        <v>763.13238725639962</v>
      </c>
    </row>
    <row r="63" spans="2:69" x14ac:dyDescent="0.35">
      <c r="B63" t="s">
        <v>261</v>
      </c>
      <c r="C63" t="s">
        <v>262</v>
      </c>
      <c r="D63" t="str" cm="1">
        <f t="array" ref="D63">_xlfn.REGEXEXTRACT(G63,"FG-R-\d{4}LE\d{2}")</f>
        <v>FG-R-2186LE26</v>
      </c>
      <c r="E63" t="s">
        <v>296</v>
      </c>
      <c r="F63" s="23" cm="1">
        <f t="array" ref="F63">_xlfn.SWITCH(TRUE,T63&gt;0,T63,Z63)</f>
        <v>449.22</v>
      </c>
      <c r="G63" s="10" t="s">
        <v>131</v>
      </c>
      <c r="H63" s="10" t="s">
        <v>38</v>
      </c>
      <c r="I63" s="10" t="s">
        <v>39</v>
      </c>
      <c r="J63" s="11" t="s">
        <v>132</v>
      </c>
      <c r="K63" s="11" t="s">
        <v>132</v>
      </c>
      <c r="L63" s="10" t="s">
        <v>131</v>
      </c>
      <c r="M63" s="10" t="s">
        <v>133</v>
      </c>
      <c r="N63" s="10" t="s">
        <v>43</v>
      </c>
      <c r="O63" s="10" t="s">
        <v>44</v>
      </c>
      <c r="P63" s="10" t="s">
        <v>45</v>
      </c>
      <c r="Q63" s="10" t="s">
        <v>46</v>
      </c>
      <c r="R63" s="12">
        <v>1</v>
      </c>
      <c r="S63" s="13">
        <v>430.72</v>
      </c>
      <c r="T63" s="13">
        <v>449.22</v>
      </c>
      <c r="U63" s="12">
        <v>40</v>
      </c>
      <c r="V63" s="13">
        <v>428.4</v>
      </c>
      <c r="W63" s="13">
        <v>430.72</v>
      </c>
      <c r="X63" s="12">
        <v>0</v>
      </c>
      <c r="Y63" s="13">
        <v>0</v>
      </c>
      <c r="Z63" s="13">
        <v>0</v>
      </c>
      <c r="AA63" s="12">
        <v>0</v>
      </c>
      <c r="AB63" s="13">
        <v>0</v>
      </c>
      <c r="AC63" s="13">
        <v>0</v>
      </c>
      <c r="AD63" s="12">
        <v>1</v>
      </c>
      <c r="AE63" s="12">
        <v>0</v>
      </c>
      <c r="AF63" s="12">
        <v>0</v>
      </c>
      <c r="AG63" s="12">
        <v>1</v>
      </c>
      <c r="AH63" s="12">
        <v>0</v>
      </c>
      <c r="AI63" s="12">
        <v>0</v>
      </c>
      <c r="AJ63" s="10">
        <v>6182367</v>
      </c>
      <c r="AK63" s="10" t="s">
        <v>47</v>
      </c>
      <c r="AL63" s="14" t="s">
        <v>134</v>
      </c>
      <c r="AM63" s="10" t="s">
        <v>49</v>
      </c>
      <c r="AN63" s="15">
        <v>202300058656</v>
      </c>
      <c r="AO63" s="16" t="s">
        <v>135</v>
      </c>
      <c r="AP63" s="17">
        <v>3763.02</v>
      </c>
      <c r="AQ63" s="10" t="s">
        <v>51</v>
      </c>
      <c r="AR63" s="10" t="s">
        <v>136</v>
      </c>
      <c r="AS63" s="12">
        <v>1200</v>
      </c>
      <c r="AT63" s="10" t="s">
        <v>53</v>
      </c>
      <c r="AU63" s="10">
        <v>40151500</v>
      </c>
      <c r="AV63" s="10" t="s">
        <v>62</v>
      </c>
      <c r="AW63" s="10" t="s">
        <v>55</v>
      </c>
      <c r="AX63" s="10" t="s">
        <v>56</v>
      </c>
      <c r="AY63" s="10" t="s">
        <v>63</v>
      </c>
      <c r="AZ63" s="10" t="s">
        <v>64</v>
      </c>
      <c r="BG63" t="str">
        <v>Outbound</v>
      </c>
      <c r="BH63" t="str">
        <v>Land</v>
      </c>
      <c r="BI63" t="str">
        <v>FG-R-2187LE26</v>
      </c>
      <c r="BJ63" t="str">
        <v>SAIA-BURGESS AUTOMOTIVE ACTUATORS, LLC</v>
      </c>
      <c r="BK63" t="str">
        <v xml:space="preserve">755 Bill Jones Drive      </v>
      </c>
      <c r="BL63" t="str">
        <v>M19</v>
      </c>
      <c r="BM63" t="str">
        <v>1999-5YY2043EN</v>
      </c>
      <c r="BN63" s="24">
        <v>1782</v>
      </c>
      <c r="BO63" s="23">
        <v>5126.7479999999996</v>
      </c>
      <c r="BP63" s="26">
        <f t="shared" si="0"/>
        <v>0.22952674782890245</v>
      </c>
      <c r="BQ63" s="21">
        <f t="shared" si="1"/>
        <v>1192.8505084668061</v>
      </c>
    </row>
    <row r="64" spans="2:69" x14ac:dyDescent="0.35">
      <c r="B64" t="s">
        <v>261</v>
      </c>
      <c r="C64" t="s">
        <v>262</v>
      </c>
      <c r="D64" t="str" cm="1">
        <f t="array" ref="D64">_xlfn.REGEXEXTRACT(G64,"FG-R-\d{4}LE\d{2}")</f>
        <v>FG-R-2186LE26</v>
      </c>
      <c r="E64" t="s">
        <v>296</v>
      </c>
      <c r="F64" s="23" cm="1">
        <f t="array" ref="F64">_xlfn.SWITCH(TRUE,T64&gt;0,T64,Z64)</f>
        <v>8984.4</v>
      </c>
      <c r="G64" s="10" t="s">
        <v>131</v>
      </c>
      <c r="H64" s="10" t="s">
        <v>38</v>
      </c>
      <c r="I64" s="10" t="s">
        <v>39</v>
      </c>
      <c r="J64" s="11" t="s">
        <v>132</v>
      </c>
      <c r="K64" s="11" t="s">
        <v>132</v>
      </c>
      <c r="L64" s="10" t="s">
        <v>131</v>
      </c>
      <c r="M64" s="10" t="s">
        <v>133</v>
      </c>
      <c r="N64" s="10" t="s">
        <v>43</v>
      </c>
      <c r="O64" s="10" t="s">
        <v>137</v>
      </c>
      <c r="P64" s="10" t="s">
        <v>45</v>
      </c>
      <c r="Q64" s="10" t="s">
        <v>46</v>
      </c>
      <c r="R64" s="12">
        <v>20</v>
      </c>
      <c r="S64" s="13">
        <v>8614.4</v>
      </c>
      <c r="T64" s="13">
        <v>8984.4</v>
      </c>
      <c r="U64" s="12">
        <v>800</v>
      </c>
      <c r="V64" s="13">
        <v>8568</v>
      </c>
      <c r="W64" s="13">
        <v>8614.4</v>
      </c>
      <c r="X64" s="12">
        <v>0</v>
      </c>
      <c r="Y64" s="13">
        <v>0</v>
      </c>
      <c r="Z64" s="13">
        <v>0</v>
      </c>
      <c r="AA64" s="12">
        <v>0</v>
      </c>
      <c r="AB64" s="13">
        <v>0</v>
      </c>
      <c r="AC64" s="13">
        <v>0</v>
      </c>
      <c r="AD64" s="12">
        <v>20</v>
      </c>
      <c r="AE64" s="12">
        <v>0</v>
      </c>
      <c r="AF64" s="12">
        <v>0</v>
      </c>
      <c r="AG64" s="12">
        <v>20</v>
      </c>
      <c r="AH64" s="12">
        <v>0</v>
      </c>
      <c r="AI64" s="12">
        <v>0</v>
      </c>
      <c r="AJ64" s="10">
        <v>6182366</v>
      </c>
      <c r="AK64" s="10" t="s">
        <v>47</v>
      </c>
      <c r="AL64" s="14" t="s">
        <v>134</v>
      </c>
      <c r="AM64" s="10" t="s">
        <v>49</v>
      </c>
      <c r="AN64" s="15">
        <v>202300058655</v>
      </c>
      <c r="AO64" s="16" t="s">
        <v>135</v>
      </c>
      <c r="AP64" s="17">
        <v>75260.41</v>
      </c>
      <c r="AQ64" s="10" t="s">
        <v>51</v>
      </c>
      <c r="AR64" s="10" t="s">
        <v>136</v>
      </c>
      <c r="AS64" s="12">
        <v>24000</v>
      </c>
      <c r="AT64" s="10" t="s">
        <v>53</v>
      </c>
      <c r="AU64" s="10">
        <v>40151500</v>
      </c>
      <c r="AV64" s="10" t="s">
        <v>62</v>
      </c>
      <c r="AW64" s="10" t="s">
        <v>55</v>
      </c>
      <c r="AX64" s="10" t="s">
        <v>56</v>
      </c>
      <c r="AY64" s="10" t="s">
        <v>63</v>
      </c>
      <c r="AZ64" s="10" t="s">
        <v>64</v>
      </c>
      <c r="BG64" t="str">
        <v>Outbound</v>
      </c>
      <c r="BH64" t="str">
        <v>Land</v>
      </c>
      <c r="BI64" t="str">
        <v>FG-R-2187LE26</v>
      </c>
      <c r="BJ64" t="str">
        <v>SAIA-BURGESS AUTOMOTIVE ACTUATORS, LLC</v>
      </c>
      <c r="BK64" t="str">
        <v xml:space="preserve">755 Bill Jones Drive      </v>
      </c>
      <c r="BL64" t="str">
        <v>M19</v>
      </c>
      <c r="BM64" t="str">
        <v>1999-5YY2043EN</v>
      </c>
      <c r="BN64" s="24">
        <v>1782</v>
      </c>
      <c r="BO64" s="23">
        <v>5126.7479999999996</v>
      </c>
      <c r="BP64" s="26">
        <f t="shared" si="0"/>
        <v>0.22952674782890245</v>
      </c>
      <c r="BQ64" s="21">
        <f t="shared" si="1"/>
        <v>1192.8505084668061</v>
      </c>
    </row>
    <row r="65" spans="2:69" x14ac:dyDescent="0.35">
      <c r="B65" t="s">
        <v>261</v>
      </c>
      <c r="C65" t="s">
        <v>262</v>
      </c>
      <c r="D65" t="str" cm="1">
        <f t="array" ref="D65">_xlfn.REGEXEXTRACT(G65,"FG-R-\d{4}LE\d{2}")</f>
        <v>FG-R-2186LE26</v>
      </c>
      <c r="E65" t="s">
        <v>296</v>
      </c>
      <c r="F65" s="23" cm="1">
        <f t="array" ref="F65">_xlfn.SWITCH(TRUE,T65&gt;0,T65,Z65)</f>
        <v>3532.864</v>
      </c>
      <c r="G65" s="10" t="s">
        <v>131</v>
      </c>
      <c r="H65" s="10" t="s">
        <v>38</v>
      </c>
      <c r="I65" s="10" t="s">
        <v>39</v>
      </c>
      <c r="J65" s="11" t="s">
        <v>132</v>
      </c>
      <c r="K65" s="11" t="s">
        <v>132</v>
      </c>
      <c r="L65" s="10" t="s">
        <v>131</v>
      </c>
      <c r="M65" s="10" t="s">
        <v>133</v>
      </c>
      <c r="N65" s="10" t="s">
        <v>43</v>
      </c>
      <c r="O65" s="10" t="s">
        <v>60</v>
      </c>
      <c r="P65" s="10" t="s">
        <v>45</v>
      </c>
      <c r="Q65" s="10" t="s">
        <v>46</v>
      </c>
      <c r="R65" s="12">
        <v>8</v>
      </c>
      <c r="S65" s="13">
        <v>3384.864</v>
      </c>
      <c r="T65" s="13">
        <v>3532.864</v>
      </c>
      <c r="U65" s="12">
        <v>336</v>
      </c>
      <c r="V65" s="13">
        <v>3257.8560000000002</v>
      </c>
      <c r="W65" s="13">
        <v>3384.864</v>
      </c>
      <c r="X65" s="12">
        <v>0</v>
      </c>
      <c r="Y65" s="13">
        <v>0</v>
      </c>
      <c r="Z65" s="13">
        <v>0</v>
      </c>
      <c r="AA65" s="12">
        <v>0</v>
      </c>
      <c r="AB65" s="13">
        <v>0</v>
      </c>
      <c r="AC65" s="13">
        <v>0</v>
      </c>
      <c r="AD65" s="12">
        <v>8</v>
      </c>
      <c r="AE65" s="12">
        <v>0</v>
      </c>
      <c r="AF65" s="12">
        <v>0</v>
      </c>
      <c r="AG65" s="12">
        <v>8</v>
      </c>
      <c r="AH65" s="12">
        <v>0</v>
      </c>
      <c r="AI65" s="12">
        <v>0</v>
      </c>
      <c r="AJ65" s="10">
        <v>6182364</v>
      </c>
      <c r="AK65" s="10" t="s">
        <v>47</v>
      </c>
      <c r="AL65" s="14" t="s">
        <v>134</v>
      </c>
      <c r="AM65" s="10" t="s">
        <v>49</v>
      </c>
      <c r="AN65" s="15">
        <v>202300058653</v>
      </c>
      <c r="AO65" s="16" t="s">
        <v>135</v>
      </c>
      <c r="AP65" s="17">
        <v>24198.400000000001</v>
      </c>
      <c r="AQ65" s="10" t="s">
        <v>51</v>
      </c>
      <c r="AR65" s="10" t="s">
        <v>61</v>
      </c>
      <c r="AS65" s="12">
        <v>4032</v>
      </c>
      <c r="AT65" s="10" t="s">
        <v>53</v>
      </c>
      <c r="AU65" s="10">
        <v>40151500</v>
      </c>
      <c r="AV65" s="10" t="s">
        <v>62</v>
      </c>
      <c r="AW65" s="10" t="s">
        <v>55</v>
      </c>
      <c r="AX65" s="10" t="s">
        <v>56</v>
      </c>
      <c r="AY65" s="10" t="s">
        <v>63</v>
      </c>
      <c r="AZ65" s="10" t="s">
        <v>64</v>
      </c>
      <c r="BG65" t="str">
        <v>Outbound</v>
      </c>
      <c r="BH65" t="str">
        <v>Land</v>
      </c>
      <c r="BI65" t="str">
        <v>FG-R-2187LE26</v>
      </c>
      <c r="BJ65" t="str">
        <v>SAIA-BURGESS AUTOMOTIVE ACTUATORS, LLC</v>
      </c>
      <c r="BK65" t="str">
        <v xml:space="preserve">755 Bill Jones Drive      </v>
      </c>
      <c r="BL65" t="str">
        <v>M19</v>
      </c>
      <c r="BM65" t="str">
        <v>1999-5YY1148EN</v>
      </c>
      <c r="BN65" s="24">
        <v>432</v>
      </c>
      <c r="BO65" s="23">
        <v>937.10400000000004</v>
      </c>
      <c r="BP65" s="26">
        <f t="shared" si="0"/>
        <v>4.1954555499403481E-2</v>
      </c>
      <c r="BQ65" s="21">
        <f t="shared" si="1"/>
        <v>218.03782493039989</v>
      </c>
    </row>
    <row r="66" spans="2:69" x14ac:dyDescent="0.35">
      <c r="B66" t="s">
        <v>261</v>
      </c>
      <c r="C66" t="s">
        <v>262</v>
      </c>
      <c r="D66" t="str" cm="1">
        <f t="array" ref="D66">_xlfn.REGEXEXTRACT(G66,"FG-R-\d{4}LE\d{2}")</f>
        <v>FG-R-2186LE26</v>
      </c>
      <c r="E66" t="s">
        <v>296</v>
      </c>
      <c r="F66" s="23" cm="1">
        <f t="array" ref="F66">_xlfn.SWITCH(TRUE,T66&gt;0,T66,Z66)</f>
        <v>5299.2960000000003</v>
      </c>
      <c r="G66" s="10" t="s">
        <v>131</v>
      </c>
      <c r="H66" s="10" t="s">
        <v>38</v>
      </c>
      <c r="I66" s="10" t="s">
        <v>39</v>
      </c>
      <c r="J66" s="11" t="s">
        <v>132</v>
      </c>
      <c r="K66" s="11" t="s">
        <v>132</v>
      </c>
      <c r="L66" s="10" t="s">
        <v>131</v>
      </c>
      <c r="M66" s="10" t="s">
        <v>133</v>
      </c>
      <c r="N66" s="10" t="s">
        <v>43</v>
      </c>
      <c r="O66" s="10" t="s">
        <v>60</v>
      </c>
      <c r="P66" s="10" t="s">
        <v>45</v>
      </c>
      <c r="Q66" s="10" t="s">
        <v>46</v>
      </c>
      <c r="R66" s="12">
        <v>12</v>
      </c>
      <c r="S66" s="13">
        <v>5077.2960000000003</v>
      </c>
      <c r="T66" s="13">
        <v>5299.2960000000003</v>
      </c>
      <c r="U66" s="12">
        <v>504</v>
      </c>
      <c r="V66" s="13">
        <v>4886.7839999999997</v>
      </c>
      <c r="W66" s="13">
        <v>5077.2960000000003</v>
      </c>
      <c r="X66" s="12">
        <v>0</v>
      </c>
      <c r="Y66" s="13">
        <v>0</v>
      </c>
      <c r="Z66" s="13">
        <v>0</v>
      </c>
      <c r="AA66" s="12">
        <v>0</v>
      </c>
      <c r="AB66" s="13">
        <v>0</v>
      </c>
      <c r="AC66" s="13">
        <v>0</v>
      </c>
      <c r="AD66" s="12">
        <v>12</v>
      </c>
      <c r="AE66" s="12">
        <v>0</v>
      </c>
      <c r="AF66" s="12">
        <v>0</v>
      </c>
      <c r="AG66" s="12">
        <v>12</v>
      </c>
      <c r="AH66" s="12">
        <v>0</v>
      </c>
      <c r="AI66" s="12">
        <v>0</v>
      </c>
      <c r="AJ66" s="10">
        <v>6182365</v>
      </c>
      <c r="AK66" s="10" t="s">
        <v>47</v>
      </c>
      <c r="AL66" s="14" t="s">
        <v>134</v>
      </c>
      <c r="AM66" s="10" t="s">
        <v>49</v>
      </c>
      <c r="AN66" s="15">
        <v>202300058654</v>
      </c>
      <c r="AO66" s="16" t="s">
        <v>135</v>
      </c>
      <c r="AP66" s="17">
        <v>36297.599999999999</v>
      </c>
      <c r="AQ66" s="10" t="s">
        <v>51</v>
      </c>
      <c r="AR66" s="10" t="s">
        <v>61</v>
      </c>
      <c r="AS66" s="12">
        <v>6048</v>
      </c>
      <c r="AT66" s="10" t="s">
        <v>53</v>
      </c>
      <c r="AU66" s="10">
        <v>40151500</v>
      </c>
      <c r="AV66" s="10" t="s">
        <v>62</v>
      </c>
      <c r="AW66" s="10" t="s">
        <v>55</v>
      </c>
      <c r="AX66" s="10" t="s">
        <v>56</v>
      </c>
      <c r="AY66" s="10" t="s">
        <v>63</v>
      </c>
      <c r="AZ66" s="10" t="s">
        <v>64</v>
      </c>
      <c r="BG66" t="str">
        <v>Outbound</v>
      </c>
      <c r="BH66" t="str">
        <v>Land</v>
      </c>
      <c r="BI66" t="str">
        <v>FG-R-2187LE26</v>
      </c>
      <c r="BJ66" t="str">
        <v>SAIA-BURGESS AUTOMOTIVE ACTUATORS, LLC</v>
      </c>
      <c r="BK66" t="str">
        <v xml:space="preserve">755 Bill Jones Drive      </v>
      </c>
      <c r="BL66" t="str">
        <v>M19</v>
      </c>
      <c r="BM66" t="str">
        <v>1999-5YY1256EN</v>
      </c>
      <c r="BN66" s="24">
        <v>116</v>
      </c>
      <c r="BO66" s="23">
        <v>261.35199999999998</v>
      </c>
      <c r="BP66" s="26">
        <f t="shared" si="0"/>
        <v>1.1700843224316722E-2</v>
      </c>
      <c r="BQ66" s="21">
        <f t="shared" si="1"/>
        <v>60.809282236774003</v>
      </c>
    </row>
    <row r="67" spans="2:69" x14ac:dyDescent="0.35">
      <c r="B67" t="s">
        <v>261</v>
      </c>
      <c r="C67" t="s">
        <v>262</v>
      </c>
      <c r="D67" t="str" cm="1">
        <f t="array" ref="D67">_xlfn.REGEXEXTRACT(G67,"FG-R-\d{4}LE\d{2}")</f>
        <v>FG-R-2190LE26</v>
      </c>
      <c r="E67" t="s">
        <v>299</v>
      </c>
      <c r="F67" s="23" cm="1">
        <f t="array" ref="F67">_xlfn.SWITCH(TRUE,T67&gt;0,T67,Z67)</f>
        <v>9839.5920000000006</v>
      </c>
      <c r="G67" s="10" t="s">
        <v>138</v>
      </c>
      <c r="H67" s="10" t="s">
        <v>38</v>
      </c>
      <c r="I67" s="10" t="s">
        <v>139</v>
      </c>
      <c r="J67" s="11" t="s">
        <v>140</v>
      </c>
      <c r="K67" s="11" t="s">
        <v>140</v>
      </c>
      <c r="L67" s="10" t="s">
        <v>138</v>
      </c>
      <c r="M67" s="10" t="s">
        <v>141</v>
      </c>
      <c r="N67" s="10" t="s">
        <v>93</v>
      </c>
      <c r="O67" s="10" t="s">
        <v>94</v>
      </c>
      <c r="P67" s="10" t="s">
        <v>95</v>
      </c>
      <c r="Q67" s="10" t="s">
        <v>96</v>
      </c>
      <c r="R67" s="12">
        <v>21</v>
      </c>
      <c r="S67" s="13">
        <v>9398.5920000000006</v>
      </c>
      <c r="T67" s="13">
        <v>9839.5920000000006</v>
      </c>
      <c r="U67" s="12">
        <v>1134</v>
      </c>
      <c r="V67" s="13">
        <v>8822.52</v>
      </c>
      <c r="W67" s="13">
        <v>9398.5920000000006</v>
      </c>
      <c r="X67" s="12">
        <v>0</v>
      </c>
      <c r="Y67" s="13">
        <v>0</v>
      </c>
      <c r="Z67" s="13">
        <v>0</v>
      </c>
      <c r="AA67" s="12">
        <v>0</v>
      </c>
      <c r="AB67" s="13">
        <v>0</v>
      </c>
      <c r="AC67" s="13">
        <v>0</v>
      </c>
      <c r="AD67" s="12">
        <v>21</v>
      </c>
      <c r="AE67" s="12">
        <v>0</v>
      </c>
      <c r="AF67" s="12">
        <v>0</v>
      </c>
      <c r="AG67" s="12">
        <v>21</v>
      </c>
      <c r="AH67" s="12">
        <v>0</v>
      </c>
      <c r="AI67" s="12">
        <v>0</v>
      </c>
      <c r="AJ67" s="10">
        <v>6186832</v>
      </c>
      <c r="AK67" s="10" t="s">
        <v>47</v>
      </c>
      <c r="AL67" s="14" t="s">
        <v>142</v>
      </c>
      <c r="AM67" s="10" t="s">
        <v>97</v>
      </c>
      <c r="AN67" s="15">
        <v>202000290078</v>
      </c>
      <c r="AO67" s="16" t="s">
        <v>143</v>
      </c>
      <c r="AP67" s="17">
        <v>159221.71</v>
      </c>
      <c r="AQ67" s="10" t="s">
        <v>51</v>
      </c>
      <c r="AR67" s="10" t="s">
        <v>98</v>
      </c>
      <c r="AS67" s="12">
        <v>4536</v>
      </c>
      <c r="AT67" s="10" t="s">
        <v>53</v>
      </c>
      <c r="AU67" s="10">
        <v>26101200</v>
      </c>
      <c r="AV67" s="10" t="s">
        <v>78</v>
      </c>
      <c r="AW67" s="10" t="s">
        <v>55</v>
      </c>
      <c r="AX67" s="10" t="s">
        <v>56</v>
      </c>
      <c r="AY67" s="10" t="s">
        <v>99</v>
      </c>
      <c r="AZ67" s="10" t="s">
        <v>100</v>
      </c>
      <c r="BG67" t="str">
        <v>Outbound</v>
      </c>
      <c r="BH67" t="str">
        <v>Land</v>
      </c>
      <c r="BI67" t="str">
        <v>FG-R-2188LE26</v>
      </c>
      <c r="BJ67" t="str">
        <v>JOHNSON ELECTRIC NORTH AMERICA, INC.</v>
      </c>
      <c r="BK67" t="str">
        <v xml:space="preserve">Memphis Distribution Services 3893 Crowfarn    </v>
      </c>
      <c r="BL67" t="str">
        <v>M01</v>
      </c>
      <c r="BM67" t="str">
        <v>1999-1WP0071E1</v>
      </c>
      <c r="BN67" s="24">
        <v>3600</v>
      </c>
      <c r="BO67" s="23">
        <v>412.86200000000002</v>
      </c>
      <c r="BP67" s="26">
        <f t="shared" si="0"/>
        <v>4.4254155200063386E-2</v>
      </c>
      <c r="BQ67" s="21">
        <f t="shared" si="1"/>
        <v>201.13513538428808</v>
      </c>
    </row>
    <row r="68" spans="2:69" x14ac:dyDescent="0.35">
      <c r="B68" t="s">
        <v>261</v>
      </c>
      <c r="C68" t="s">
        <v>262</v>
      </c>
      <c r="D68" t="str" cm="1">
        <f t="array" ref="D68">_xlfn.REGEXEXTRACT(G68,"FG-R-\d{4}LE\d{2}")</f>
        <v>FG-R-2190LE26</v>
      </c>
      <c r="E68" t="s">
        <v>299</v>
      </c>
      <c r="F68" s="23" cm="1">
        <f t="array" ref="F68">_xlfn.SWITCH(TRUE,T68&gt;0,T68,Z68)</f>
        <v>9839.5920000000006</v>
      </c>
      <c r="G68" s="10" t="s">
        <v>138</v>
      </c>
      <c r="H68" s="10" t="s">
        <v>38</v>
      </c>
      <c r="I68" s="10" t="s">
        <v>139</v>
      </c>
      <c r="J68" s="11" t="s">
        <v>140</v>
      </c>
      <c r="K68" s="11" t="s">
        <v>140</v>
      </c>
      <c r="L68" s="10" t="s">
        <v>138</v>
      </c>
      <c r="M68" s="10" t="s">
        <v>141</v>
      </c>
      <c r="N68" s="10" t="s">
        <v>93</v>
      </c>
      <c r="O68" s="10" t="s">
        <v>94</v>
      </c>
      <c r="P68" s="10" t="s">
        <v>95</v>
      </c>
      <c r="Q68" s="10" t="s">
        <v>96</v>
      </c>
      <c r="R68" s="12">
        <v>21</v>
      </c>
      <c r="S68" s="13">
        <v>9398.5920000000006</v>
      </c>
      <c r="T68" s="13">
        <v>9839.5920000000006</v>
      </c>
      <c r="U68" s="12">
        <v>1134</v>
      </c>
      <c r="V68" s="13">
        <v>8822.52</v>
      </c>
      <c r="W68" s="13">
        <v>9398.5920000000006</v>
      </c>
      <c r="X68" s="12">
        <v>0</v>
      </c>
      <c r="Y68" s="13">
        <v>0</v>
      </c>
      <c r="Z68" s="13">
        <v>0</v>
      </c>
      <c r="AA68" s="12">
        <v>0</v>
      </c>
      <c r="AB68" s="13">
        <v>0</v>
      </c>
      <c r="AC68" s="13">
        <v>0</v>
      </c>
      <c r="AD68" s="12">
        <v>21</v>
      </c>
      <c r="AE68" s="12">
        <v>0</v>
      </c>
      <c r="AF68" s="12">
        <v>0</v>
      </c>
      <c r="AG68" s="12">
        <v>21</v>
      </c>
      <c r="AH68" s="12">
        <v>0</v>
      </c>
      <c r="AI68" s="12">
        <v>0</v>
      </c>
      <c r="AJ68" s="10">
        <v>6186832</v>
      </c>
      <c r="AK68" s="10" t="s">
        <v>47</v>
      </c>
      <c r="AL68" s="14" t="s">
        <v>142</v>
      </c>
      <c r="AM68" s="10" t="s">
        <v>97</v>
      </c>
      <c r="AN68" s="15">
        <v>202000290079</v>
      </c>
      <c r="AO68" s="16" t="s">
        <v>143</v>
      </c>
      <c r="AP68" s="17">
        <v>12737.74</v>
      </c>
      <c r="AQ68" s="10" t="s">
        <v>51</v>
      </c>
      <c r="AR68" s="10" t="s">
        <v>98</v>
      </c>
      <c r="AS68" s="12">
        <v>4536</v>
      </c>
      <c r="AT68" s="10" t="s">
        <v>53</v>
      </c>
      <c r="AU68" s="10">
        <v>26101200</v>
      </c>
      <c r="AV68" s="10" t="s">
        <v>78</v>
      </c>
      <c r="AW68" s="10" t="s">
        <v>55</v>
      </c>
      <c r="AX68" s="10" t="s">
        <v>56</v>
      </c>
      <c r="AY68" s="10" t="s">
        <v>99</v>
      </c>
      <c r="AZ68" s="10" t="s">
        <v>100</v>
      </c>
      <c r="BG68" t="str">
        <v>Outbound</v>
      </c>
      <c r="BH68" t="str">
        <v>Land</v>
      </c>
      <c r="BI68" t="str">
        <v>FG-R-2188LE26</v>
      </c>
      <c r="BJ68" t="str">
        <v>JOHNSON ELECTRIC NORTH AMERICA, INC.</v>
      </c>
      <c r="BK68" t="str">
        <v xml:space="preserve">Memphis Distribution Services 3893 Crowfarn    </v>
      </c>
      <c r="BL68" t="str">
        <v>M01</v>
      </c>
      <c r="BM68" t="str">
        <v>1999-1WP0063AN</v>
      </c>
      <c r="BN68" s="24">
        <v>6000</v>
      </c>
      <c r="BO68" s="23">
        <v>1742.04</v>
      </c>
      <c r="BP68" s="26">
        <f t="shared" si="0"/>
        <v>0.18672706261346023</v>
      </c>
      <c r="BQ68" s="21">
        <f t="shared" si="1"/>
        <v>848.67449957817678</v>
      </c>
    </row>
    <row r="69" spans="2:69" x14ac:dyDescent="0.35">
      <c r="B69" t="s">
        <v>261</v>
      </c>
      <c r="C69" t="s">
        <v>262</v>
      </c>
      <c r="D69" t="str" cm="1">
        <f t="array" ref="D69">_xlfn.REGEXEXTRACT(G69,"FG-R-\d{4}LE\d{2}")</f>
        <v>FG-R-2190LE26</v>
      </c>
      <c r="E69" t="s">
        <v>299</v>
      </c>
      <c r="F69" s="23" cm="1">
        <f t="array" ref="F69">_xlfn.SWITCH(TRUE,T69&gt;0,T69,Z69)</f>
        <v>2376.2399999999998</v>
      </c>
      <c r="G69" s="10" t="s">
        <v>138</v>
      </c>
      <c r="H69" s="10" t="s">
        <v>38</v>
      </c>
      <c r="I69" s="10" t="s">
        <v>139</v>
      </c>
      <c r="J69" s="11" t="s">
        <v>140</v>
      </c>
      <c r="K69" s="11" t="s">
        <v>140</v>
      </c>
      <c r="L69" s="10" t="s">
        <v>138</v>
      </c>
      <c r="M69" s="10" t="s">
        <v>141</v>
      </c>
      <c r="N69" s="10" t="s">
        <v>93</v>
      </c>
      <c r="O69" s="10" t="s">
        <v>94</v>
      </c>
      <c r="P69" s="10" t="s">
        <v>95</v>
      </c>
      <c r="Q69" s="10" t="s">
        <v>96</v>
      </c>
      <c r="R69" s="12">
        <v>5</v>
      </c>
      <c r="S69" s="13">
        <v>2271.2399999999998</v>
      </c>
      <c r="T69" s="13">
        <v>2376.2399999999998</v>
      </c>
      <c r="U69" s="12">
        <v>270</v>
      </c>
      <c r="V69" s="13">
        <v>2134.08</v>
      </c>
      <c r="W69" s="13">
        <v>2271.2399999999998</v>
      </c>
      <c r="X69" s="12">
        <v>0</v>
      </c>
      <c r="Y69" s="13">
        <v>0</v>
      </c>
      <c r="Z69" s="13">
        <v>0</v>
      </c>
      <c r="AA69" s="12">
        <v>0</v>
      </c>
      <c r="AB69" s="13">
        <v>0</v>
      </c>
      <c r="AC69" s="13">
        <v>0</v>
      </c>
      <c r="AD69" s="12">
        <v>5</v>
      </c>
      <c r="AE69" s="12">
        <v>0</v>
      </c>
      <c r="AF69" s="12">
        <v>0</v>
      </c>
      <c r="AG69" s="12">
        <v>5</v>
      </c>
      <c r="AH69" s="12">
        <v>0</v>
      </c>
      <c r="AI69" s="12">
        <v>0</v>
      </c>
      <c r="AJ69" s="10">
        <v>6186833</v>
      </c>
      <c r="AK69" s="10" t="s">
        <v>47</v>
      </c>
      <c r="AL69" s="14" t="s">
        <v>142</v>
      </c>
      <c r="AM69" s="10" t="s">
        <v>97</v>
      </c>
      <c r="AN69" s="15">
        <v>202000290080</v>
      </c>
      <c r="AO69" s="16" t="s">
        <v>143</v>
      </c>
      <c r="AP69" s="17">
        <v>45015.79</v>
      </c>
      <c r="AQ69" s="10" t="s">
        <v>51</v>
      </c>
      <c r="AR69" s="10" t="s">
        <v>118</v>
      </c>
      <c r="AS69" s="12">
        <v>1080</v>
      </c>
      <c r="AT69" s="10" t="s">
        <v>53</v>
      </c>
      <c r="AU69" s="10">
        <v>26101200</v>
      </c>
      <c r="AV69" s="10" t="s">
        <v>78</v>
      </c>
      <c r="AW69" s="10" t="s">
        <v>55</v>
      </c>
      <c r="AX69" s="10" t="s">
        <v>56</v>
      </c>
      <c r="AY69" s="10" t="s">
        <v>99</v>
      </c>
      <c r="AZ69" s="10" t="s">
        <v>100</v>
      </c>
      <c r="BG69" t="str">
        <v>Outbound</v>
      </c>
      <c r="BH69" t="str">
        <v>Land</v>
      </c>
      <c r="BI69" t="str">
        <v>FG-R-2188LE26</v>
      </c>
      <c r="BJ69" t="str">
        <v>JOHNSON ELECTRIC NORTH AMERICA, INC.</v>
      </c>
      <c r="BK69" t="str">
        <v xml:space="preserve">Memphis Distribution Services 3893 Crowfarn    </v>
      </c>
      <c r="BL69" t="str">
        <v>M01</v>
      </c>
      <c r="BM69" t="str">
        <v>1999-1WP0045AN</v>
      </c>
      <c r="BN69" s="24">
        <v>14400</v>
      </c>
      <c r="BO69" s="23">
        <v>1651.4480000000001</v>
      </c>
      <c r="BP69" s="26">
        <f t="shared" si="0"/>
        <v>0.17701662080025354</v>
      </c>
      <c r="BQ69" s="21">
        <f t="shared" si="1"/>
        <v>804.54054153715231</v>
      </c>
    </row>
    <row r="70" spans="2:69" x14ac:dyDescent="0.35">
      <c r="B70" t="s">
        <v>261</v>
      </c>
      <c r="C70" t="s">
        <v>262</v>
      </c>
      <c r="D70" t="str" cm="1">
        <f t="array" ref="D70">_xlfn.REGEXEXTRACT(G70,"FG-R-\d{4}LE\d{2}")</f>
        <v>FG-R-2190LE26</v>
      </c>
      <c r="E70" t="s">
        <v>299</v>
      </c>
      <c r="F70" s="23" cm="1">
        <f t="array" ref="F70">_xlfn.SWITCH(TRUE,T70&gt;0,T70,Z70)</f>
        <v>313.99200000000002</v>
      </c>
      <c r="G70" s="10" t="s">
        <v>138</v>
      </c>
      <c r="H70" s="10" t="s">
        <v>38</v>
      </c>
      <c r="I70" s="10" t="s">
        <v>139</v>
      </c>
      <c r="J70" s="11" t="s">
        <v>140</v>
      </c>
      <c r="K70" s="11" t="s">
        <v>140</v>
      </c>
      <c r="L70" s="10" t="s">
        <v>138</v>
      </c>
      <c r="M70" s="10" t="s">
        <v>141</v>
      </c>
      <c r="N70" s="10" t="s">
        <v>93</v>
      </c>
      <c r="O70" s="10" t="s">
        <v>94</v>
      </c>
      <c r="P70" s="10" t="s">
        <v>95</v>
      </c>
      <c r="Q70" s="10" t="s">
        <v>96</v>
      </c>
      <c r="R70" s="12">
        <v>0</v>
      </c>
      <c r="S70" s="13">
        <v>0</v>
      </c>
      <c r="T70" s="13">
        <v>0</v>
      </c>
      <c r="U70" s="12">
        <v>0</v>
      </c>
      <c r="V70" s="13">
        <v>0</v>
      </c>
      <c r="W70" s="13">
        <v>0</v>
      </c>
      <c r="X70" s="12">
        <v>1</v>
      </c>
      <c r="Y70" s="13">
        <v>292.99200000000002</v>
      </c>
      <c r="Z70" s="13">
        <v>313.99200000000002</v>
      </c>
      <c r="AA70" s="12">
        <v>32</v>
      </c>
      <c r="AB70" s="13">
        <v>276.73599999999999</v>
      </c>
      <c r="AC70" s="13">
        <v>292.99200000000002</v>
      </c>
      <c r="AD70" s="12">
        <v>1</v>
      </c>
      <c r="AE70" s="12">
        <v>0</v>
      </c>
      <c r="AF70" s="12">
        <v>0</v>
      </c>
      <c r="AG70" s="12">
        <v>1</v>
      </c>
      <c r="AH70" s="12">
        <v>0</v>
      </c>
      <c r="AI70" s="12">
        <v>0</v>
      </c>
      <c r="AJ70" s="10">
        <v>6186831</v>
      </c>
      <c r="AK70" s="10" t="s">
        <v>47</v>
      </c>
      <c r="AL70" s="14" t="s">
        <v>142</v>
      </c>
      <c r="AM70" s="10" t="s">
        <v>97</v>
      </c>
      <c r="AN70" s="15">
        <v>202000290077</v>
      </c>
      <c r="AO70" s="16" t="s">
        <v>143</v>
      </c>
      <c r="AP70" s="17">
        <v>5442.18</v>
      </c>
      <c r="AQ70" s="10" t="s">
        <v>51</v>
      </c>
      <c r="AR70" s="10" t="s">
        <v>144</v>
      </c>
      <c r="AS70" s="12">
        <v>128</v>
      </c>
      <c r="AT70" s="10" t="s">
        <v>53</v>
      </c>
      <c r="AU70" s="10">
        <v>26101200</v>
      </c>
      <c r="AV70" s="10" t="s">
        <v>78</v>
      </c>
      <c r="AW70" s="10" t="s">
        <v>55</v>
      </c>
      <c r="AX70" s="10" t="s">
        <v>56</v>
      </c>
      <c r="AY70" s="10" t="s">
        <v>99</v>
      </c>
      <c r="AZ70" s="10" t="s">
        <v>100</v>
      </c>
      <c r="BG70" t="str">
        <v>Outbound</v>
      </c>
      <c r="BH70" t="str">
        <v>Land</v>
      </c>
      <c r="BI70" t="str">
        <v>FG-R-2188LE26</v>
      </c>
      <c r="BJ70" t="str">
        <v>JOHNSON ELECTRIC NORTH AMERICA, INC.</v>
      </c>
      <c r="BK70" t="str">
        <v xml:space="preserve">Memphis Distribution Services 3893 Crowfarn    </v>
      </c>
      <c r="BL70" t="str">
        <v>M01</v>
      </c>
      <c r="BM70" t="str">
        <v>1999-1WP0105EN</v>
      </c>
      <c r="BN70" s="24">
        <v>4200</v>
      </c>
      <c r="BO70" s="23">
        <v>595.82463800000005</v>
      </c>
      <c r="BP70" s="26">
        <f t="shared" si="0"/>
        <v>6.3865688782386326E-2</v>
      </c>
      <c r="BQ70" s="21">
        <f t="shared" si="1"/>
        <v>290.26955551594585</v>
      </c>
    </row>
    <row r="71" spans="2:69" x14ac:dyDescent="0.35">
      <c r="B71" t="s">
        <v>261</v>
      </c>
      <c r="C71" t="s">
        <v>262</v>
      </c>
      <c r="D71" t="str" cm="1">
        <f t="array" ref="D71">_xlfn.REGEXEXTRACT(G71,"FG-R-\d{4}LE\d{2}")</f>
        <v>FG-R-2190LE26</v>
      </c>
      <c r="E71" t="s">
        <v>299</v>
      </c>
      <c r="F71" s="23" cm="1">
        <f t="array" ref="F71">_xlfn.SWITCH(TRUE,T71&gt;0,T71,Z71)</f>
        <v>2851.4879999999998</v>
      </c>
      <c r="G71" s="10" t="s">
        <v>138</v>
      </c>
      <c r="H71" s="10" t="s">
        <v>38</v>
      </c>
      <c r="I71" s="10" t="s">
        <v>139</v>
      </c>
      <c r="J71" s="11" t="s">
        <v>140</v>
      </c>
      <c r="K71" s="11" t="s">
        <v>140</v>
      </c>
      <c r="L71" s="10" t="s">
        <v>138</v>
      </c>
      <c r="M71" s="10" t="s">
        <v>141</v>
      </c>
      <c r="N71" s="10" t="s">
        <v>93</v>
      </c>
      <c r="O71" s="10" t="s">
        <v>94</v>
      </c>
      <c r="P71" s="10" t="s">
        <v>95</v>
      </c>
      <c r="Q71" s="10" t="s">
        <v>96</v>
      </c>
      <c r="R71" s="12">
        <v>6</v>
      </c>
      <c r="S71" s="13">
        <v>2725.4879999999998</v>
      </c>
      <c r="T71" s="13">
        <v>2851.4879999999998</v>
      </c>
      <c r="U71" s="12">
        <v>324</v>
      </c>
      <c r="V71" s="13">
        <v>2560.8960000000002</v>
      </c>
      <c r="W71" s="13">
        <v>2725.4879999999998</v>
      </c>
      <c r="X71" s="12">
        <v>0</v>
      </c>
      <c r="Y71" s="13">
        <v>0</v>
      </c>
      <c r="Z71" s="13">
        <v>0</v>
      </c>
      <c r="AA71" s="12">
        <v>0</v>
      </c>
      <c r="AB71" s="13">
        <v>0</v>
      </c>
      <c r="AC71" s="13">
        <v>0</v>
      </c>
      <c r="AD71" s="12">
        <v>6</v>
      </c>
      <c r="AE71" s="12">
        <v>0</v>
      </c>
      <c r="AF71" s="12">
        <v>0</v>
      </c>
      <c r="AG71" s="12">
        <v>6</v>
      </c>
      <c r="AH71" s="12">
        <v>0</v>
      </c>
      <c r="AI71" s="12">
        <v>0</v>
      </c>
      <c r="AJ71" s="10">
        <v>6186830</v>
      </c>
      <c r="AK71" s="10" t="s">
        <v>47</v>
      </c>
      <c r="AL71" s="14" t="s">
        <v>142</v>
      </c>
      <c r="AM71" s="10" t="s">
        <v>97</v>
      </c>
      <c r="AN71" s="15">
        <v>202000290065</v>
      </c>
      <c r="AO71" s="16" t="s">
        <v>143</v>
      </c>
      <c r="AP71" s="17">
        <v>34747.93</v>
      </c>
      <c r="AQ71" s="10" t="s">
        <v>51</v>
      </c>
      <c r="AR71" s="10" t="s">
        <v>145</v>
      </c>
      <c r="AS71" s="12">
        <v>1296</v>
      </c>
      <c r="AT71" s="10" t="s">
        <v>53</v>
      </c>
      <c r="AU71" s="10">
        <v>26101200</v>
      </c>
      <c r="AV71" s="10" t="s">
        <v>78</v>
      </c>
      <c r="AW71" s="10" t="s">
        <v>55</v>
      </c>
      <c r="AX71" s="10" t="s">
        <v>56</v>
      </c>
      <c r="AY71" s="10" t="s">
        <v>99</v>
      </c>
      <c r="AZ71" s="10" t="s">
        <v>100</v>
      </c>
      <c r="BG71" t="str">
        <v>Outbound</v>
      </c>
      <c r="BH71" t="str">
        <v>Land</v>
      </c>
      <c r="BI71" t="str">
        <v>FG-R-2188LE26</v>
      </c>
      <c r="BJ71" t="str">
        <v>JOHNSON ELECTRIC NORTH AMERICA, INC.</v>
      </c>
      <c r="BK71" t="str">
        <v xml:space="preserve">Memphis Distribution Services 3893 Crowfarn    </v>
      </c>
      <c r="BL71" t="str">
        <v>M01</v>
      </c>
      <c r="BM71" t="str">
        <v>1999-1WP0112EN</v>
      </c>
      <c r="BN71" s="24">
        <v>4800</v>
      </c>
      <c r="BO71" s="23">
        <v>633.24</v>
      </c>
      <c r="BP71" s="26">
        <f t="shared" si="0"/>
        <v>6.7876194076684548E-2</v>
      </c>
      <c r="BQ71" s="21">
        <f t="shared" si="1"/>
        <v>308.49730207853128</v>
      </c>
    </row>
    <row r="72" spans="2:69" x14ac:dyDescent="0.35">
      <c r="B72" t="s">
        <v>261</v>
      </c>
      <c r="C72" t="s">
        <v>262</v>
      </c>
      <c r="D72" t="str" cm="1">
        <f t="array" ref="D72">_xlfn.REGEXEXTRACT(G72,"FG-R-\d{4}LE\d{2}")</f>
        <v>FG-R-2190LE26</v>
      </c>
      <c r="E72" t="s">
        <v>299</v>
      </c>
      <c r="F72" s="23" cm="1">
        <f t="array" ref="F72">_xlfn.SWITCH(TRUE,T72&gt;0,T72,Z72)</f>
        <v>2851.4879999999998</v>
      </c>
      <c r="G72" s="10" t="s">
        <v>138</v>
      </c>
      <c r="H72" s="10" t="s">
        <v>38</v>
      </c>
      <c r="I72" s="10" t="s">
        <v>139</v>
      </c>
      <c r="J72" s="11" t="s">
        <v>140</v>
      </c>
      <c r="K72" s="11" t="s">
        <v>140</v>
      </c>
      <c r="L72" s="10" t="s">
        <v>138</v>
      </c>
      <c r="M72" s="10" t="s">
        <v>141</v>
      </c>
      <c r="N72" s="10" t="s">
        <v>93</v>
      </c>
      <c r="O72" s="10" t="s">
        <v>94</v>
      </c>
      <c r="P72" s="10" t="s">
        <v>95</v>
      </c>
      <c r="Q72" s="10" t="s">
        <v>96</v>
      </c>
      <c r="R72" s="12">
        <v>6</v>
      </c>
      <c r="S72" s="13">
        <v>2725.4879999999998</v>
      </c>
      <c r="T72" s="13">
        <v>2851.4879999999998</v>
      </c>
      <c r="U72" s="12">
        <v>324</v>
      </c>
      <c r="V72" s="13">
        <v>2560.8960000000002</v>
      </c>
      <c r="W72" s="13">
        <v>2725.4879999999998</v>
      </c>
      <c r="X72" s="12">
        <v>0</v>
      </c>
      <c r="Y72" s="13">
        <v>0</v>
      </c>
      <c r="Z72" s="13">
        <v>0</v>
      </c>
      <c r="AA72" s="12">
        <v>0</v>
      </c>
      <c r="AB72" s="13">
        <v>0</v>
      </c>
      <c r="AC72" s="13">
        <v>0</v>
      </c>
      <c r="AD72" s="12">
        <v>6</v>
      </c>
      <c r="AE72" s="12">
        <v>0</v>
      </c>
      <c r="AF72" s="12">
        <v>0</v>
      </c>
      <c r="AG72" s="12">
        <v>6</v>
      </c>
      <c r="AH72" s="12">
        <v>0</v>
      </c>
      <c r="AI72" s="12">
        <v>0</v>
      </c>
      <c r="AJ72" s="10">
        <v>6186830</v>
      </c>
      <c r="AK72" s="10" t="s">
        <v>47</v>
      </c>
      <c r="AL72" s="14" t="s">
        <v>142</v>
      </c>
      <c r="AM72" s="10" t="s">
        <v>97</v>
      </c>
      <c r="AN72" s="15">
        <v>202000290066</v>
      </c>
      <c r="AO72" s="16" t="s">
        <v>143</v>
      </c>
      <c r="AP72" s="17">
        <v>17373.96</v>
      </c>
      <c r="AQ72" s="10" t="s">
        <v>51</v>
      </c>
      <c r="AR72" s="10" t="s">
        <v>145</v>
      </c>
      <c r="AS72" s="12">
        <v>1296</v>
      </c>
      <c r="AT72" s="10" t="s">
        <v>53</v>
      </c>
      <c r="AU72" s="10">
        <v>26101200</v>
      </c>
      <c r="AV72" s="10" t="s">
        <v>78</v>
      </c>
      <c r="AW72" s="10" t="s">
        <v>55</v>
      </c>
      <c r="AX72" s="10" t="s">
        <v>56</v>
      </c>
      <c r="AY72" s="10" t="s">
        <v>99</v>
      </c>
      <c r="AZ72" s="10" t="s">
        <v>100</v>
      </c>
      <c r="BG72" t="str">
        <v>Outbound</v>
      </c>
      <c r="BH72" t="str">
        <v>Land</v>
      </c>
      <c r="BI72" t="str">
        <v>FG-R-2188LE26</v>
      </c>
      <c r="BJ72" t="str">
        <v>JOHNSON ELECTRIC NORTH AMERICA, INC.</v>
      </c>
      <c r="BK72" t="str">
        <v xml:space="preserve">Memphis Distribution Services 3893 Crowfarn    </v>
      </c>
      <c r="BL72" t="str">
        <v>M01</v>
      </c>
      <c r="BM72" t="str">
        <v>1999-1WP0071E1</v>
      </c>
      <c r="BN72" s="24">
        <v>3600</v>
      </c>
      <c r="BO72" s="23">
        <v>412.86200000000002</v>
      </c>
      <c r="BP72" s="26">
        <f t="shared" si="0"/>
        <v>4.4254155200063386E-2</v>
      </c>
      <c r="BQ72" s="21">
        <f t="shared" si="1"/>
        <v>201.13513538428808</v>
      </c>
    </row>
    <row r="73" spans="2:69" x14ac:dyDescent="0.35">
      <c r="B73" t="s">
        <v>261</v>
      </c>
      <c r="C73" t="s">
        <v>262</v>
      </c>
      <c r="D73" t="str" cm="1">
        <f t="array" ref="D73">_xlfn.REGEXEXTRACT(G73,"FG-R-\d{4}LE\d{2}")</f>
        <v>FG-R-2187LE26</v>
      </c>
      <c r="E73" t="s">
        <v>299</v>
      </c>
      <c r="F73" s="23" cm="1">
        <f t="array" ref="F73">_xlfn.SWITCH(TRUE,T73&gt;0,T73,Z73)</f>
        <v>1007.304</v>
      </c>
      <c r="G73" s="10" t="s">
        <v>146</v>
      </c>
      <c r="H73" s="10" t="s">
        <v>38</v>
      </c>
      <c r="I73" s="10" t="s">
        <v>147</v>
      </c>
      <c r="J73" s="11" t="s">
        <v>140</v>
      </c>
      <c r="K73" s="11" t="s">
        <v>140</v>
      </c>
      <c r="L73" s="10" t="s">
        <v>146</v>
      </c>
      <c r="M73" s="10" t="s">
        <v>148</v>
      </c>
      <c r="N73" s="10" t="s">
        <v>93</v>
      </c>
      <c r="O73" s="10" t="s">
        <v>94</v>
      </c>
      <c r="P73" s="10" t="s">
        <v>95</v>
      </c>
      <c r="Q73" s="10" t="s">
        <v>96</v>
      </c>
      <c r="R73" s="12">
        <v>2</v>
      </c>
      <c r="S73" s="13">
        <v>965.30399999999997</v>
      </c>
      <c r="T73" s="13">
        <v>1007.304</v>
      </c>
      <c r="U73" s="12">
        <v>108</v>
      </c>
      <c r="V73" s="13">
        <v>910.44</v>
      </c>
      <c r="W73" s="13">
        <v>965.30399999999997</v>
      </c>
      <c r="X73" s="12">
        <v>0</v>
      </c>
      <c r="Y73" s="13">
        <v>0</v>
      </c>
      <c r="Z73" s="13">
        <v>0</v>
      </c>
      <c r="AA73" s="12">
        <v>0</v>
      </c>
      <c r="AB73" s="13">
        <v>0</v>
      </c>
      <c r="AC73" s="13">
        <v>0</v>
      </c>
      <c r="AD73" s="12">
        <v>2</v>
      </c>
      <c r="AE73" s="12">
        <v>0</v>
      </c>
      <c r="AF73" s="12">
        <v>0</v>
      </c>
      <c r="AG73" s="12">
        <v>2</v>
      </c>
      <c r="AH73" s="12">
        <v>0</v>
      </c>
      <c r="AI73" s="12">
        <v>0</v>
      </c>
      <c r="AJ73" s="10">
        <v>6186829</v>
      </c>
      <c r="AK73" s="10" t="s">
        <v>47</v>
      </c>
      <c r="AL73" s="14" t="s">
        <v>142</v>
      </c>
      <c r="AM73" s="10" t="s">
        <v>97</v>
      </c>
      <c r="AN73" s="15">
        <v>202000290076</v>
      </c>
      <c r="AO73" s="16" t="s">
        <v>143</v>
      </c>
      <c r="AP73" s="17">
        <v>17863.38</v>
      </c>
      <c r="AQ73" s="10" t="s">
        <v>51</v>
      </c>
      <c r="AR73" s="10" t="s">
        <v>119</v>
      </c>
      <c r="AS73" s="12">
        <v>324</v>
      </c>
      <c r="AT73" s="10" t="s">
        <v>53</v>
      </c>
      <c r="AU73" s="10">
        <v>26101200</v>
      </c>
      <c r="AV73" s="10" t="s">
        <v>78</v>
      </c>
      <c r="AW73" s="10" t="s">
        <v>55</v>
      </c>
      <c r="AX73" s="10" t="s">
        <v>56</v>
      </c>
      <c r="AY73" s="10" t="s">
        <v>102</v>
      </c>
      <c r="AZ73" s="10" t="s">
        <v>103</v>
      </c>
      <c r="BG73" t="str">
        <v>Outbound</v>
      </c>
      <c r="BH73" t="str">
        <v>Land</v>
      </c>
      <c r="BI73" t="str">
        <v>FG-R-2188LE26</v>
      </c>
      <c r="BJ73" t="str">
        <v>JOHNSON ELECTRIC NORTH AMERICA, INC.</v>
      </c>
      <c r="BK73" t="str">
        <v xml:space="preserve">Memphis Distribution Services 3893 Crowfarn    </v>
      </c>
      <c r="BL73" t="str">
        <v>M01</v>
      </c>
      <c r="BM73" t="str">
        <v>1916-1010002EP/MX</v>
      </c>
      <c r="BN73" s="24">
        <v>7200</v>
      </c>
      <c r="BO73" s="23">
        <v>549.79999999999995</v>
      </c>
      <c r="BP73" s="26">
        <f t="shared" si="0"/>
        <v>5.8932366090836276E-2</v>
      </c>
      <c r="BQ73" s="21">
        <f t="shared" si="1"/>
        <v>267.84760388285088</v>
      </c>
    </row>
    <row r="74" spans="2:69" x14ac:dyDescent="0.35">
      <c r="B74" t="s">
        <v>261</v>
      </c>
      <c r="C74" t="s">
        <v>262</v>
      </c>
      <c r="D74" t="str" cm="1">
        <f t="array" ref="D74">_xlfn.REGEXEXTRACT(G74,"FG-R-\d{4}LE\d{2}")</f>
        <v>FG-R-2187LE26</v>
      </c>
      <c r="E74" t="s">
        <v>299</v>
      </c>
      <c r="F74" s="23" cm="1">
        <f t="array" ref="F74">_xlfn.SWITCH(TRUE,T74&gt;0,T74,Z74)</f>
        <v>1658.5920000000001</v>
      </c>
      <c r="G74" s="10" t="s">
        <v>146</v>
      </c>
      <c r="H74" s="10" t="s">
        <v>38</v>
      </c>
      <c r="I74" s="10" t="s">
        <v>147</v>
      </c>
      <c r="J74" s="11" t="s">
        <v>140</v>
      </c>
      <c r="K74" s="11" t="s">
        <v>140</v>
      </c>
      <c r="L74" s="10" t="s">
        <v>146</v>
      </c>
      <c r="M74" s="10" t="s">
        <v>148</v>
      </c>
      <c r="N74" s="10" t="s">
        <v>93</v>
      </c>
      <c r="O74" s="10" t="s">
        <v>94</v>
      </c>
      <c r="P74" s="10" t="s">
        <v>95</v>
      </c>
      <c r="Q74" s="10" t="s">
        <v>96</v>
      </c>
      <c r="R74" s="12">
        <v>4</v>
      </c>
      <c r="S74" s="13">
        <v>1531.3920000000001</v>
      </c>
      <c r="T74" s="13">
        <v>1658.5920000000001</v>
      </c>
      <c r="U74" s="12">
        <v>256</v>
      </c>
      <c r="V74" s="13">
        <v>1443.84</v>
      </c>
      <c r="W74" s="13">
        <v>1531.3920000000001</v>
      </c>
      <c r="X74" s="12">
        <v>0</v>
      </c>
      <c r="Y74" s="13">
        <v>0</v>
      </c>
      <c r="Z74" s="13">
        <v>0</v>
      </c>
      <c r="AA74" s="12">
        <v>0</v>
      </c>
      <c r="AB74" s="13">
        <v>0</v>
      </c>
      <c r="AC74" s="13">
        <v>0</v>
      </c>
      <c r="AD74" s="12">
        <v>4</v>
      </c>
      <c r="AE74" s="12">
        <v>0</v>
      </c>
      <c r="AF74" s="12">
        <v>0</v>
      </c>
      <c r="AG74" s="12">
        <v>4</v>
      </c>
      <c r="AH74" s="12">
        <v>0</v>
      </c>
      <c r="AI74" s="12">
        <v>0</v>
      </c>
      <c r="AJ74" s="10">
        <v>6186824</v>
      </c>
      <c r="AK74" s="10" t="s">
        <v>47</v>
      </c>
      <c r="AL74" s="14" t="s">
        <v>142</v>
      </c>
      <c r="AM74" s="10" t="s">
        <v>97</v>
      </c>
      <c r="AN74" s="15">
        <v>202000290068</v>
      </c>
      <c r="AO74" s="16" t="s">
        <v>143</v>
      </c>
      <c r="AP74" s="17">
        <v>5176.49</v>
      </c>
      <c r="AQ74" s="10" t="s">
        <v>51</v>
      </c>
      <c r="AR74" s="10" t="s">
        <v>101</v>
      </c>
      <c r="AS74" s="12">
        <v>1280</v>
      </c>
      <c r="AT74" s="10" t="s">
        <v>53</v>
      </c>
      <c r="AU74" s="10">
        <v>26101200</v>
      </c>
      <c r="AV74" s="10" t="s">
        <v>78</v>
      </c>
      <c r="AW74" s="10" t="s">
        <v>55</v>
      </c>
      <c r="AX74" s="10" t="s">
        <v>56</v>
      </c>
      <c r="AY74" s="10" t="s">
        <v>102</v>
      </c>
      <c r="AZ74" s="10" t="s">
        <v>103</v>
      </c>
      <c r="BG74" t="str">
        <v>Outbound</v>
      </c>
      <c r="BH74" t="str">
        <v>Land</v>
      </c>
      <c r="BI74" t="str">
        <v>FG-R-2188LE26</v>
      </c>
      <c r="BJ74" t="str">
        <v>JOHNSON ELECTRIC NORTH AMERICA, INC.</v>
      </c>
      <c r="BK74" t="str">
        <v xml:space="preserve">Memphis Distribution Services 3893 Crowfarn    </v>
      </c>
      <c r="BL74" t="str">
        <v>M01</v>
      </c>
      <c r="BM74" t="str">
        <v>1916-1010002EP/MX</v>
      </c>
      <c r="BN74" s="24">
        <v>10080</v>
      </c>
      <c r="BO74" s="23">
        <v>769.72</v>
      </c>
      <c r="BP74" s="26">
        <f t="shared" ref="BP74:BP137" si="4">BO74/SUMIFS($BO:$BO,$BI:$BI,BI74)</f>
        <v>8.250531252717079E-2</v>
      </c>
      <c r="BQ74" s="21">
        <f t="shared" ref="BQ74:BQ137" si="5">_xlfn.XLOOKUP(BI74,$BC:$BC,$BE:$BE)*BP74</f>
        <v>374.98664543599125</v>
      </c>
    </row>
    <row r="75" spans="2:69" x14ac:dyDescent="0.35">
      <c r="B75" t="s">
        <v>261</v>
      </c>
      <c r="C75" t="s">
        <v>262</v>
      </c>
      <c r="D75" t="str" cm="1">
        <f t="array" ref="D75">_xlfn.REGEXEXTRACT(G75,"FG-R-\d{4}LE\d{2}")</f>
        <v>FG-R-2187LE26</v>
      </c>
      <c r="E75" t="s">
        <v>299</v>
      </c>
      <c r="F75" s="23" cm="1">
        <f t="array" ref="F75">_xlfn.SWITCH(TRUE,T75&gt;0,T75,Z75)</f>
        <v>1658.5920000000001</v>
      </c>
      <c r="G75" s="10" t="s">
        <v>146</v>
      </c>
      <c r="H75" s="10" t="s">
        <v>38</v>
      </c>
      <c r="I75" s="10" t="s">
        <v>147</v>
      </c>
      <c r="J75" s="11" t="s">
        <v>140</v>
      </c>
      <c r="K75" s="11" t="s">
        <v>140</v>
      </c>
      <c r="L75" s="10" t="s">
        <v>146</v>
      </c>
      <c r="M75" s="10" t="s">
        <v>148</v>
      </c>
      <c r="N75" s="10" t="s">
        <v>93</v>
      </c>
      <c r="O75" s="10" t="s">
        <v>94</v>
      </c>
      <c r="P75" s="10" t="s">
        <v>95</v>
      </c>
      <c r="Q75" s="10" t="s">
        <v>96</v>
      </c>
      <c r="R75" s="12">
        <v>4</v>
      </c>
      <c r="S75" s="13">
        <v>1531.3920000000001</v>
      </c>
      <c r="T75" s="13">
        <v>1658.5920000000001</v>
      </c>
      <c r="U75" s="12">
        <v>256</v>
      </c>
      <c r="V75" s="13">
        <v>1443.84</v>
      </c>
      <c r="W75" s="13">
        <v>1531.3920000000001</v>
      </c>
      <c r="X75" s="12">
        <v>0</v>
      </c>
      <c r="Y75" s="13">
        <v>0</v>
      </c>
      <c r="Z75" s="13">
        <v>0</v>
      </c>
      <c r="AA75" s="12">
        <v>0</v>
      </c>
      <c r="AB75" s="13">
        <v>0</v>
      </c>
      <c r="AC75" s="13">
        <v>0</v>
      </c>
      <c r="AD75" s="12">
        <v>4</v>
      </c>
      <c r="AE75" s="12">
        <v>0</v>
      </c>
      <c r="AF75" s="12">
        <v>0</v>
      </c>
      <c r="AG75" s="12">
        <v>4</v>
      </c>
      <c r="AH75" s="12">
        <v>0</v>
      </c>
      <c r="AI75" s="12">
        <v>0</v>
      </c>
      <c r="AJ75" s="10">
        <v>6186824</v>
      </c>
      <c r="AK75" s="10" t="s">
        <v>47</v>
      </c>
      <c r="AL75" s="14" t="s">
        <v>142</v>
      </c>
      <c r="AM75" s="10" t="s">
        <v>97</v>
      </c>
      <c r="AN75" s="15">
        <v>202000290069</v>
      </c>
      <c r="AO75" s="16" t="s">
        <v>143</v>
      </c>
      <c r="AP75" s="17">
        <v>15529.47</v>
      </c>
      <c r="AQ75" s="10" t="s">
        <v>51</v>
      </c>
      <c r="AR75" s="10" t="s">
        <v>101</v>
      </c>
      <c r="AS75" s="12">
        <v>1280</v>
      </c>
      <c r="AT75" s="10" t="s">
        <v>53</v>
      </c>
      <c r="AU75" s="10">
        <v>26101200</v>
      </c>
      <c r="AV75" s="10" t="s">
        <v>78</v>
      </c>
      <c r="AW75" s="10" t="s">
        <v>55</v>
      </c>
      <c r="AX75" s="10" t="s">
        <v>56</v>
      </c>
      <c r="AY75" s="10" t="s">
        <v>102</v>
      </c>
      <c r="AZ75" s="10" t="s">
        <v>103</v>
      </c>
      <c r="BG75" t="str">
        <v>Outbound</v>
      </c>
      <c r="BH75" t="str">
        <v>Land</v>
      </c>
      <c r="BI75" t="str">
        <v>FG-R-2188LE26</v>
      </c>
      <c r="BJ75" t="str">
        <v>JOHNSON ELECTRIC NORTH AMERICA, INC.</v>
      </c>
      <c r="BK75" t="str">
        <v xml:space="preserve">Memphis Distribution Services 3893 Crowfarn    </v>
      </c>
      <c r="BL75" t="str">
        <v>M01</v>
      </c>
      <c r="BM75" t="str">
        <v>1916-1010002EP/MX</v>
      </c>
      <c r="BN75" s="24">
        <v>5760</v>
      </c>
      <c r="BO75" s="23">
        <v>439.84</v>
      </c>
      <c r="BP75" s="26">
        <f t="shared" si="4"/>
        <v>4.7145892872669022E-2</v>
      </c>
      <c r="BQ75" s="21">
        <f t="shared" si="5"/>
        <v>214.27808310628072</v>
      </c>
    </row>
    <row r="76" spans="2:69" x14ac:dyDescent="0.35">
      <c r="B76" t="s">
        <v>261</v>
      </c>
      <c r="C76" t="s">
        <v>262</v>
      </c>
      <c r="D76" t="str" cm="1">
        <f t="array" ref="D76">_xlfn.REGEXEXTRACT(G76,"FG-R-\d{4}LE\d{2}")</f>
        <v>FG-R-2187LE26</v>
      </c>
      <c r="E76" t="s">
        <v>299</v>
      </c>
      <c r="F76" s="23" cm="1">
        <f t="array" ref="F76">_xlfn.SWITCH(TRUE,T76&gt;0,T76,Z76)</f>
        <v>3279.864</v>
      </c>
      <c r="G76" s="10" t="s">
        <v>146</v>
      </c>
      <c r="H76" s="10" t="s">
        <v>38</v>
      </c>
      <c r="I76" s="10" t="s">
        <v>147</v>
      </c>
      <c r="J76" s="11" t="s">
        <v>140</v>
      </c>
      <c r="K76" s="11" t="s">
        <v>140</v>
      </c>
      <c r="L76" s="10" t="s">
        <v>146</v>
      </c>
      <c r="M76" s="10" t="s">
        <v>148</v>
      </c>
      <c r="N76" s="10" t="s">
        <v>93</v>
      </c>
      <c r="O76" s="10" t="s">
        <v>94</v>
      </c>
      <c r="P76" s="10" t="s">
        <v>95</v>
      </c>
      <c r="Q76" s="10" t="s">
        <v>96</v>
      </c>
      <c r="R76" s="12">
        <v>7</v>
      </c>
      <c r="S76" s="13">
        <v>3132.864</v>
      </c>
      <c r="T76" s="13">
        <v>3279.864</v>
      </c>
      <c r="U76" s="12">
        <v>378</v>
      </c>
      <c r="V76" s="13">
        <v>2940.84</v>
      </c>
      <c r="W76" s="13">
        <v>3132.864</v>
      </c>
      <c r="X76" s="12">
        <v>1</v>
      </c>
      <c r="Y76" s="13">
        <v>207.2</v>
      </c>
      <c r="Z76" s="13">
        <v>228.2</v>
      </c>
      <c r="AA76" s="12">
        <v>25</v>
      </c>
      <c r="AB76" s="13">
        <v>194.5</v>
      </c>
      <c r="AC76" s="13">
        <v>207.2</v>
      </c>
      <c r="AD76" s="12">
        <v>8</v>
      </c>
      <c r="AE76" s="12">
        <v>0</v>
      </c>
      <c r="AF76" s="12">
        <v>0</v>
      </c>
      <c r="AG76" s="12">
        <v>8</v>
      </c>
      <c r="AH76" s="12">
        <v>0</v>
      </c>
      <c r="AI76" s="12">
        <v>0</v>
      </c>
      <c r="AJ76" s="10">
        <v>6186826</v>
      </c>
      <c r="AK76" s="10" t="s">
        <v>47</v>
      </c>
      <c r="AL76" s="14" t="s">
        <v>142</v>
      </c>
      <c r="AM76" s="10" t="s">
        <v>97</v>
      </c>
      <c r="AN76" s="15">
        <v>202000290071</v>
      </c>
      <c r="AO76" s="16" t="s">
        <v>143</v>
      </c>
      <c r="AP76" s="17">
        <v>53129.75</v>
      </c>
      <c r="AQ76" s="10" t="s">
        <v>51</v>
      </c>
      <c r="AR76" s="10" t="s">
        <v>104</v>
      </c>
      <c r="AS76" s="12">
        <v>1612</v>
      </c>
      <c r="AT76" s="10" t="s">
        <v>53</v>
      </c>
      <c r="AU76" s="10">
        <v>26101200</v>
      </c>
      <c r="AV76" s="10" t="s">
        <v>78</v>
      </c>
      <c r="AW76" s="10" t="s">
        <v>55</v>
      </c>
      <c r="AX76" s="10" t="s">
        <v>56</v>
      </c>
      <c r="AY76" s="10" t="s">
        <v>99</v>
      </c>
      <c r="AZ76" s="10" t="s">
        <v>100</v>
      </c>
      <c r="BG76" t="str">
        <v>Outbound</v>
      </c>
      <c r="BH76" t="str">
        <v>Land</v>
      </c>
      <c r="BI76" t="str">
        <v>FG-R-2188LE26</v>
      </c>
      <c r="BJ76" t="str">
        <v>JOHNSON ELECTRIC NORTH AMERICA, INC.</v>
      </c>
      <c r="BK76" t="str">
        <v xml:space="preserve">Memphis Distribution Services 3893 Crowfarn    </v>
      </c>
      <c r="BL76" t="str">
        <v>M01</v>
      </c>
      <c r="BM76" t="str">
        <v>1999-1WP0111EN</v>
      </c>
      <c r="BN76" s="24">
        <v>3150</v>
      </c>
      <c r="BO76" s="23">
        <v>366.96199999999999</v>
      </c>
      <c r="BP76" s="26">
        <f t="shared" si="4"/>
        <v>3.9334192297972831E-2</v>
      </c>
      <c r="BQ76" s="21">
        <f t="shared" si="5"/>
        <v>178.77390399428651</v>
      </c>
    </row>
    <row r="77" spans="2:69" x14ac:dyDescent="0.35">
      <c r="B77" t="s">
        <v>261</v>
      </c>
      <c r="C77" t="s">
        <v>262</v>
      </c>
      <c r="D77" t="str" cm="1">
        <f t="array" ref="D77">_xlfn.REGEXEXTRACT(G77,"FG-R-\d{4}LE\d{2}")</f>
        <v>FG-R-2187LE26</v>
      </c>
      <c r="E77" t="s">
        <v>299</v>
      </c>
      <c r="F77" s="23" cm="1">
        <f t="array" ref="F77">_xlfn.SWITCH(TRUE,T77&gt;0,T77,Z77)</f>
        <v>3279.864</v>
      </c>
      <c r="G77" s="10" t="s">
        <v>146</v>
      </c>
      <c r="H77" s="10" t="s">
        <v>38</v>
      </c>
      <c r="I77" s="10" t="s">
        <v>147</v>
      </c>
      <c r="J77" s="11" t="s">
        <v>140</v>
      </c>
      <c r="K77" s="11" t="s">
        <v>140</v>
      </c>
      <c r="L77" s="10" t="s">
        <v>146</v>
      </c>
      <c r="M77" s="10" t="s">
        <v>148</v>
      </c>
      <c r="N77" s="10" t="s">
        <v>93</v>
      </c>
      <c r="O77" s="10" t="s">
        <v>94</v>
      </c>
      <c r="P77" s="10" t="s">
        <v>95</v>
      </c>
      <c r="Q77" s="10" t="s">
        <v>96</v>
      </c>
      <c r="R77" s="12">
        <v>7</v>
      </c>
      <c r="S77" s="13">
        <v>3132.864</v>
      </c>
      <c r="T77" s="13">
        <v>3279.864</v>
      </c>
      <c r="U77" s="12">
        <v>378</v>
      </c>
      <c r="V77" s="13">
        <v>2940.84</v>
      </c>
      <c r="W77" s="13">
        <v>3132.864</v>
      </c>
      <c r="X77" s="12">
        <v>1</v>
      </c>
      <c r="Y77" s="13">
        <v>207.2</v>
      </c>
      <c r="Z77" s="13">
        <v>228.2</v>
      </c>
      <c r="AA77" s="12">
        <v>25</v>
      </c>
      <c r="AB77" s="13">
        <v>194.5</v>
      </c>
      <c r="AC77" s="13">
        <v>207.2</v>
      </c>
      <c r="AD77" s="12">
        <v>8</v>
      </c>
      <c r="AE77" s="12">
        <v>0</v>
      </c>
      <c r="AF77" s="12">
        <v>0</v>
      </c>
      <c r="AG77" s="12">
        <v>8</v>
      </c>
      <c r="AH77" s="12">
        <v>0</v>
      </c>
      <c r="AI77" s="12">
        <v>0</v>
      </c>
      <c r="AJ77" s="10">
        <v>6186826</v>
      </c>
      <c r="AK77" s="10" t="s">
        <v>47</v>
      </c>
      <c r="AL77" s="14" t="s">
        <v>142</v>
      </c>
      <c r="AM77" s="10" t="s">
        <v>97</v>
      </c>
      <c r="AN77" s="15">
        <v>202000290072</v>
      </c>
      <c r="AO77" s="16" t="s">
        <v>143</v>
      </c>
      <c r="AP77" s="17">
        <v>13780.53</v>
      </c>
      <c r="AQ77" s="10" t="s">
        <v>51</v>
      </c>
      <c r="AR77" s="10" t="s">
        <v>104</v>
      </c>
      <c r="AS77" s="12">
        <v>1612</v>
      </c>
      <c r="AT77" s="10" t="s">
        <v>53</v>
      </c>
      <c r="AU77" s="10">
        <v>26101200</v>
      </c>
      <c r="AV77" s="10" t="s">
        <v>78</v>
      </c>
      <c r="AW77" s="10" t="s">
        <v>55</v>
      </c>
      <c r="AX77" s="10" t="s">
        <v>56</v>
      </c>
      <c r="AY77" s="10" t="s">
        <v>99</v>
      </c>
      <c r="AZ77" s="10" t="s">
        <v>100</v>
      </c>
      <c r="BG77" t="str">
        <v>Outbound</v>
      </c>
      <c r="BH77" t="str">
        <v>Land</v>
      </c>
      <c r="BI77" t="str">
        <v>FG-R-2188LE26</v>
      </c>
      <c r="BJ77" t="str">
        <v>JOHNSON ELECTRIC NORTH AMERICA, INC.</v>
      </c>
      <c r="BK77" t="str">
        <v xml:space="preserve">Memphis Distribution Services 3893 Crowfarn    </v>
      </c>
      <c r="BL77" t="str">
        <v>M01</v>
      </c>
      <c r="BM77" t="str">
        <v>1916-1010004EN</v>
      </c>
      <c r="BN77" s="24">
        <v>7200</v>
      </c>
      <c r="BO77" s="23">
        <v>585.79999999999995</v>
      </c>
      <c r="BP77" s="26">
        <f t="shared" si="4"/>
        <v>6.2791160523848477E-2</v>
      </c>
      <c r="BQ77" s="21">
        <f t="shared" si="5"/>
        <v>285.38582458089132</v>
      </c>
    </row>
    <row r="78" spans="2:69" x14ac:dyDescent="0.35">
      <c r="B78" t="s">
        <v>261</v>
      </c>
      <c r="C78" t="s">
        <v>262</v>
      </c>
      <c r="D78" t="str" cm="1">
        <f t="array" ref="D78">_xlfn.REGEXEXTRACT(G78,"FG-R-\d{4}LE\d{2}")</f>
        <v>FG-R-2187LE26</v>
      </c>
      <c r="E78" t="s">
        <v>299</v>
      </c>
      <c r="F78" s="23" cm="1">
        <f t="array" ref="F78">_xlfn.SWITCH(TRUE,T78&gt;0,T78,Z78)</f>
        <v>5126.7479999999996</v>
      </c>
      <c r="G78" s="10" t="s">
        <v>146</v>
      </c>
      <c r="H78" s="10" t="s">
        <v>38</v>
      </c>
      <c r="I78" s="10" t="s">
        <v>147</v>
      </c>
      <c r="J78" s="11" t="s">
        <v>140</v>
      </c>
      <c r="K78" s="11" t="s">
        <v>140</v>
      </c>
      <c r="L78" s="10" t="s">
        <v>146</v>
      </c>
      <c r="M78" s="10" t="s">
        <v>148</v>
      </c>
      <c r="N78" s="10" t="s">
        <v>93</v>
      </c>
      <c r="O78" s="10" t="s">
        <v>94</v>
      </c>
      <c r="P78" s="10" t="s">
        <v>95</v>
      </c>
      <c r="Q78" s="10" t="s">
        <v>96</v>
      </c>
      <c r="R78" s="12">
        <v>11</v>
      </c>
      <c r="S78" s="13">
        <v>4895.7479999999996</v>
      </c>
      <c r="T78" s="13">
        <v>5126.7479999999996</v>
      </c>
      <c r="U78" s="12">
        <v>594</v>
      </c>
      <c r="V78" s="13">
        <v>4593.9960000000001</v>
      </c>
      <c r="W78" s="13">
        <v>4895.7479999999996</v>
      </c>
      <c r="X78" s="12">
        <v>0</v>
      </c>
      <c r="Y78" s="13">
        <v>0</v>
      </c>
      <c r="Z78" s="13">
        <v>0</v>
      </c>
      <c r="AA78" s="12">
        <v>0</v>
      </c>
      <c r="AB78" s="13">
        <v>0</v>
      </c>
      <c r="AC78" s="13">
        <v>0</v>
      </c>
      <c r="AD78" s="12">
        <v>11</v>
      </c>
      <c r="AE78" s="12">
        <v>0</v>
      </c>
      <c r="AF78" s="12">
        <v>0</v>
      </c>
      <c r="AG78" s="12">
        <v>11</v>
      </c>
      <c r="AH78" s="12">
        <v>0</v>
      </c>
      <c r="AI78" s="12">
        <v>0</v>
      </c>
      <c r="AJ78" s="10">
        <v>6186828</v>
      </c>
      <c r="AK78" s="10" t="s">
        <v>47</v>
      </c>
      <c r="AL78" s="14" t="s">
        <v>142</v>
      </c>
      <c r="AM78" s="10" t="s">
        <v>97</v>
      </c>
      <c r="AN78" s="15">
        <v>202000290074</v>
      </c>
      <c r="AO78" s="16" t="s">
        <v>143</v>
      </c>
      <c r="AP78" s="17">
        <v>43536.59</v>
      </c>
      <c r="AQ78" s="10" t="s">
        <v>51</v>
      </c>
      <c r="AR78" s="10" t="s">
        <v>105</v>
      </c>
      <c r="AS78" s="12">
        <v>1782</v>
      </c>
      <c r="AT78" s="10" t="s">
        <v>53</v>
      </c>
      <c r="AU78" s="10">
        <v>26101200</v>
      </c>
      <c r="AV78" s="10" t="s">
        <v>78</v>
      </c>
      <c r="AW78" s="10" t="s">
        <v>55</v>
      </c>
      <c r="AX78" s="10" t="s">
        <v>56</v>
      </c>
      <c r="AY78" s="10" t="s">
        <v>102</v>
      </c>
      <c r="AZ78" s="10" t="s">
        <v>103</v>
      </c>
      <c r="BG78" t="str">
        <v>Outbound</v>
      </c>
      <c r="BH78" t="str">
        <v>Land</v>
      </c>
      <c r="BI78" t="str">
        <v>FG-R-2188LE26</v>
      </c>
      <c r="BJ78" t="str">
        <v>JOHNSON ELECTRIC NORTH AMERICA, INC.</v>
      </c>
      <c r="BK78" t="str">
        <v xml:space="preserve">Memphis Distribution Services 3893 Crowfarn    </v>
      </c>
      <c r="BL78" t="str">
        <v>M01</v>
      </c>
      <c r="BM78" t="str">
        <v>1999-1WP0055AN</v>
      </c>
      <c r="BN78" s="24">
        <v>4800</v>
      </c>
      <c r="BO78" s="23">
        <v>504.6</v>
      </c>
      <c r="BP78" s="26">
        <f t="shared" si="4"/>
        <v>5.4087435302720969E-2</v>
      </c>
      <c r="BQ78" s="21">
        <f t="shared" si="5"/>
        <v>245.82739345086679</v>
      </c>
    </row>
    <row r="79" spans="2:69" x14ac:dyDescent="0.35">
      <c r="B79" t="s">
        <v>261</v>
      </c>
      <c r="C79" t="s">
        <v>262</v>
      </c>
      <c r="D79" t="str" cm="1">
        <f t="array" ref="D79">_xlfn.REGEXEXTRACT(G79,"FG-R-\d{4}LE\d{2}")</f>
        <v>FG-R-2187LE26</v>
      </c>
      <c r="E79" t="s">
        <v>299</v>
      </c>
      <c r="F79" s="23" cm="1">
        <f t="array" ref="F79">_xlfn.SWITCH(TRUE,T79&gt;0,T79,Z79)</f>
        <v>5126.7479999999996</v>
      </c>
      <c r="G79" s="10" t="s">
        <v>146</v>
      </c>
      <c r="H79" s="10" t="s">
        <v>38</v>
      </c>
      <c r="I79" s="10" t="s">
        <v>147</v>
      </c>
      <c r="J79" s="11" t="s">
        <v>140</v>
      </c>
      <c r="K79" s="11" t="s">
        <v>140</v>
      </c>
      <c r="L79" s="10" t="s">
        <v>146</v>
      </c>
      <c r="M79" s="10" t="s">
        <v>148</v>
      </c>
      <c r="N79" s="10" t="s">
        <v>93</v>
      </c>
      <c r="O79" s="10" t="s">
        <v>94</v>
      </c>
      <c r="P79" s="10" t="s">
        <v>95</v>
      </c>
      <c r="Q79" s="10" t="s">
        <v>96</v>
      </c>
      <c r="R79" s="12">
        <v>11</v>
      </c>
      <c r="S79" s="13">
        <v>4895.7479999999996</v>
      </c>
      <c r="T79" s="13">
        <v>5126.7479999999996</v>
      </c>
      <c r="U79" s="12">
        <v>594</v>
      </c>
      <c r="V79" s="13">
        <v>4593.9960000000001</v>
      </c>
      <c r="W79" s="13">
        <v>4895.7479999999996</v>
      </c>
      <c r="X79" s="12">
        <v>0</v>
      </c>
      <c r="Y79" s="13">
        <v>0</v>
      </c>
      <c r="Z79" s="13">
        <v>0</v>
      </c>
      <c r="AA79" s="12">
        <v>0</v>
      </c>
      <c r="AB79" s="13">
        <v>0</v>
      </c>
      <c r="AC79" s="13">
        <v>0</v>
      </c>
      <c r="AD79" s="12">
        <v>11</v>
      </c>
      <c r="AE79" s="12">
        <v>0</v>
      </c>
      <c r="AF79" s="12">
        <v>0</v>
      </c>
      <c r="AG79" s="12">
        <v>11</v>
      </c>
      <c r="AH79" s="12">
        <v>0</v>
      </c>
      <c r="AI79" s="12">
        <v>0</v>
      </c>
      <c r="AJ79" s="10">
        <v>6186828</v>
      </c>
      <c r="AK79" s="10" t="s">
        <v>47</v>
      </c>
      <c r="AL79" s="14" t="s">
        <v>142</v>
      </c>
      <c r="AM79" s="10" t="s">
        <v>97</v>
      </c>
      <c r="AN79" s="15">
        <v>202000290075</v>
      </c>
      <c r="AO79" s="16" t="s">
        <v>143</v>
      </c>
      <c r="AP79" s="17">
        <v>52243.91</v>
      </c>
      <c r="AQ79" s="10" t="s">
        <v>51</v>
      </c>
      <c r="AR79" s="10" t="s">
        <v>105</v>
      </c>
      <c r="AS79" s="12">
        <v>1782</v>
      </c>
      <c r="AT79" s="10" t="s">
        <v>53</v>
      </c>
      <c r="AU79" s="10">
        <v>26101200</v>
      </c>
      <c r="AV79" s="10" t="s">
        <v>78</v>
      </c>
      <c r="AW79" s="10" t="s">
        <v>55</v>
      </c>
      <c r="AX79" s="10" t="s">
        <v>56</v>
      </c>
      <c r="AY79" s="10" t="s">
        <v>102</v>
      </c>
      <c r="AZ79" s="10" t="s">
        <v>103</v>
      </c>
      <c r="BG79" t="str">
        <v>Outbound</v>
      </c>
      <c r="BH79" t="str">
        <v>Land</v>
      </c>
      <c r="BI79" t="str">
        <v>FG-R-2188LE26</v>
      </c>
      <c r="BJ79" t="str">
        <v>JOHNSON ELECTRIC NORTH AMERICA, INC.</v>
      </c>
      <c r="BK79" t="str">
        <v xml:space="preserve">Memphis Distribution Services 3893 Crowfarn    </v>
      </c>
      <c r="BL79" t="str">
        <v>M46</v>
      </c>
      <c r="BM79" t="str">
        <v>1651-EQH0040EN</v>
      </c>
      <c r="BN79" s="24">
        <v>200</v>
      </c>
      <c r="BO79" s="23">
        <v>122.44</v>
      </c>
      <c r="BP79" s="26">
        <f t="shared" si="4"/>
        <v>1.3124188621611485E-2</v>
      </c>
      <c r="BQ79" s="21">
        <f t="shared" si="5"/>
        <v>59.649437285224195</v>
      </c>
    </row>
    <row r="80" spans="2:69" x14ac:dyDescent="0.35">
      <c r="B80" t="s">
        <v>261</v>
      </c>
      <c r="C80" t="s">
        <v>262</v>
      </c>
      <c r="D80" t="str" cm="1">
        <f t="array" ref="D80">_xlfn.REGEXEXTRACT(G80,"FG-R-\d{4}LE\d{2}")</f>
        <v>FG-R-2187LE26</v>
      </c>
      <c r="E80" t="s">
        <v>299</v>
      </c>
      <c r="F80" s="23" cm="1">
        <f t="array" ref="F80">_xlfn.SWITCH(TRUE,T80&gt;0,T80,Z80)</f>
        <v>937.10400000000004</v>
      </c>
      <c r="G80" s="10" t="s">
        <v>146</v>
      </c>
      <c r="H80" s="10" t="s">
        <v>38</v>
      </c>
      <c r="I80" s="10" t="s">
        <v>147</v>
      </c>
      <c r="J80" s="11" t="s">
        <v>140</v>
      </c>
      <c r="K80" s="11" t="s">
        <v>140</v>
      </c>
      <c r="L80" s="10" t="s">
        <v>146</v>
      </c>
      <c r="M80" s="10" t="s">
        <v>148</v>
      </c>
      <c r="N80" s="10" t="s">
        <v>93</v>
      </c>
      <c r="O80" s="10" t="s">
        <v>94</v>
      </c>
      <c r="P80" s="10" t="s">
        <v>95</v>
      </c>
      <c r="Q80" s="10" t="s">
        <v>96</v>
      </c>
      <c r="R80" s="12">
        <v>2</v>
      </c>
      <c r="S80" s="13">
        <v>895.10400000000004</v>
      </c>
      <c r="T80" s="13">
        <v>937.10400000000004</v>
      </c>
      <c r="U80" s="12">
        <v>108</v>
      </c>
      <c r="V80" s="13">
        <v>840.24</v>
      </c>
      <c r="W80" s="13">
        <v>895.10400000000004</v>
      </c>
      <c r="X80" s="12">
        <v>0</v>
      </c>
      <c r="Y80" s="13">
        <v>0</v>
      </c>
      <c r="Z80" s="13">
        <v>0</v>
      </c>
      <c r="AA80" s="12">
        <v>0</v>
      </c>
      <c r="AB80" s="13">
        <v>0</v>
      </c>
      <c r="AC80" s="13">
        <v>0</v>
      </c>
      <c r="AD80" s="12">
        <v>2</v>
      </c>
      <c r="AE80" s="12">
        <v>0</v>
      </c>
      <c r="AF80" s="12">
        <v>0</v>
      </c>
      <c r="AG80" s="12">
        <v>2</v>
      </c>
      <c r="AH80" s="12">
        <v>0</v>
      </c>
      <c r="AI80" s="12">
        <v>0</v>
      </c>
      <c r="AJ80" s="10">
        <v>6186825</v>
      </c>
      <c r="AK80" s="10" t="s">
        <v>47</v>
      </c>
      <c r="AL80" s="14" t="s">
        <v>142</v>
      </c>
      <c r="AM80" s="10" t="s">
        <v>97</v>
      </c>
      <c r="AN80" s="15">
        <v>202000290070</v>
      </c>
      <c r="AO80" s="16" t="s">
        <v>143</v>
      </c>
      <c r="AP80" s="17">
        <v>17558.03</v>
      </c>
      <c r="AQ80" s="10" t="s">
        <v>51</v>
      </c>
      <c r="AR80" s="10" t="s">
        <v>149</v>
      </c>
      <c r="AS80" s="12">
        <v>432</v>
      </c>
      <c r="AT80" s="10" t="s">
        <v>53</v>
      </c>
      <c r="AU80" s="10">
        <v>26101200</v>
      </c>
      <c r="AV80" s="10" t="s">
        <v>78</v>
      </c>
      <c r="AW80" s="10" t="s">
        <v>55</v>
      </c>
      <c r="AX80" s="10" t="s">
        <v>56</v>
      </c>
      <c r="AY80" s="10" t="s">
        <v>99</v>
      </c>
      <c r="AZ80" s="10" t="s">
        <v>100</v>
      </c>
      <c r="BG80" t="str">
        <v>Outbound</v>
      </c>
      <c r="BH80" t="str">
        <v>Land</v>
      </c>
      <c r="BI80" t="str">
        <v>FG-R-2188LE26</v>
      </c>
      <c r="BJ80" t="str">
        <v>JOHNSON ELECTRIC NORTH AMERICA, INC.</v>
      </c>
      <c r="BK80" t="str">
        <v xml:space="preserve">Memphis Distribution Services 3893 Crowfarn    </v>
      </c>
      <c r="BL80" t="str">
        <v>M46</v>
      </c>
      <c r="BM80" t="str">
        <v>1651-EQH0059EN</v>
      </c>
      <c r="BN80" s="24">
        <v>200</v>
      </c>
      <c r="BO80" s="23">
        <v>122.44</v>
      </c>
      <c r="BP80" s="26">
        <f t="shared" si="4"/>
        <v>1.3124188621611485E-2</v>
      </c>
      <c r="BQ80" s="21">
        <f t="shared" si="5"/>
        <v>59.649437285224195</v>
      </c>
    </row>
    <row r="81" spans="2:69" x14ac:dyDescent="0.35">
      <c r="B81" t="s">
        <v>261</v>
      </c>
      <c r="C81" t="s">
        <v>262</v>
      </c>
      <c r="D81" t="str" cm="1">
        <f t="array" ref="D81">_xlfn.REGEXEXTRACT(G81,"FG-R-\d{4}LE\d{2}")</f>
        <v>FG-R-2187LE26</v>
      </c>
      <c r="E81" t="s">
        <v>299</v>
      </c>
      <c r="F81" s="23" cm="1">
        <f t="array" ref="F81">_xlfn.SWITCH(TRUE,T81&gt;0,T81,Z81)</f>
        <v>261.35199999999998</v>
      </c>
      <c r="G81" s="10" t="s">
        <v>146</v>
      </c>
      <c r="H81" s="10" t="s">
        <v>38</v>
      </c>
      <c r="I81" s="10" t="s">
        <v>147</v>
      </c>
      <c r="J81" s="11" t="s">
        <v>140</v>
      </c>
      <c r="K81" s="11" t="s">
        <v>140</v>
      </c>
      <c r="L81" s="10" t="s">
        <v>146</v>
      </c>
      <c r="M81" s="10" t="s">
        <v>148</v>
      </c>
      <c r="N81" s="10" t="s">
        <v>93</v>
      </c>
      <c r="O81" s="10" t="s">
        <v>94</v>
      </c>
      <c r="P81" s="10" t="s">
        <v>95</v>
      </c>
      <c r="Q81" s="10" t="s">
        <v>96</v>
      </c>
      <c r="R81" s="12">
        <v>0</v>
      </c>
      <c r="S81" s="13">
        <v>0</v>
      </c>
      <c r="T81" s="13">
        <v>0</v>
      </c>
      <c r="U81" s="12">
        <v>0</v>
      </c>
      <c r="V81" s="13">
        <v>0</v>
      </c>
      <c r="W81" s="13">
        <v>0</v>
      </c>
      <c r="X81" s="12">
        <v>1</v>
      </c>
      <c r="Y81" s="13">
        <v>240.352</v>
      </c>
      <c r="Z81" s="13">
        <v>261.35199999999998</v>
      </c>
      <c r="AA81" s="12">
        <v>29</v>
      </c>
      <c r="AB81" s="13">
        <v>225.62</v>
      </c>
      <c r="AC81" s="13">
        <v>240.352</v>
      </c>
      <c r="AD81" s="12">
        <v>1</v>
      </c>
      <c r="AE81" s="12">
        <v>0</v>
      </c>
      <c r="AF81" s="12">
        <v>0</v>
      </c>
      <c r="AG81" s="12">
        <v>1</v>
      </c>
      <c r="AH81" s="12">
        <v>0</v>
      </c>
      <c r="AI81" s="12">
        <v>0</v>
      </c>
      <c r="AJ81" s="10">
        <v>6186827</v>
      </c>
      <c r="AK81" s="10" t="s">
        <v>47</v>
      </c>
      <c r="AL81" s="14" t="s">
        <v>142</v>
      </c>
      <c r="AM81" s="10" t="s">
        <v>97</v>
      </c>
      <c r="AN81" s="15">
        <v>202000290073</v>
      </c>
      <c r="AO81" s="16" t="s">
        <v>143</v>
      </c>
      <c r="AP81" s="17">
        <v>4814.88</v>
      </c>
      <c r="AQ81" s="10" t="s">
        <v>51</v>
      </c>
      <c r="AR81" s="10" t="s">
        <v>104</v>
      </c>
      <c r="AS81" s="12">
        <v>116</v>
      </c>
      <c r="AT81" s="10" t="s">
        <v>53</v>
      </c>
      <c r="AU81" s="10">
        <v>26101200</v>
      </c>
      <c r="AV81" s="10" t="s">
        <v>78</v>
      </c>
      <c r="AW81" s="10" t="s">
        <v>55</v>
      </c>
      <c r="AX81" s="10" t="s">
        <v>56</v>
      </c>
      <c r="AY81" s="10" t="s">
        <v>99</v>
      </c>
      <c r="AZ81" s="10" t="s">
        <v>100</v>
      </c>
      <c r="BG81" t="str">
        <v>Outbound</v>
      </c>
      <c r="BH81" t="str">
        <v>Land</v>
      </c>
      <c r="BI81" t="str">
        <v>FG-R-2188LE26</v>
      </c>
      <c r="BJ81" t="str">
        <v>JOHNSON ELECTRIC NORTH AMERICA, INC.</v>
      </c>
      <c r="BK81" t="str">
        <v xml:space="preserve">Memphis Distribution Services 3893 Crowfarn    </v>
      </c>
      <c r="BL81" t="str">
        <v>M46</v>
      </c>
      <c r="BM81" t="str">
        <v>1651-EQH0021EN</v>
      </c>
      <c r="BN81" s="24">
        <v>200</v>
      </c>
      <c r="BO81" s="23">
        <v>62.46</v>
      </c>
      <c r="BP81" s="26">
        <f t="shared" si="4"/>
        <v>6.6950083412761624E-3</v>
      </c>
      <c r="BQ81" s="21">
        <f t="shared" si="5"/>
        <v>30.42881291110016</v>
      </c>
    </row>
    <row r="82" spans="2:69" x14ac:dyDescent="0.35">
      <c r="B82" t="s">
        <v>261</v>
      </c>
      <c r="C82" t="s">
        <v>262</v>
      </c>
      <c r="D82" t="str" cm="1">
        <f t="array" ref="D82">_xlfn.REGEXEXTRACT(G82,"FG-R-\d{4}LE\d{2}")</f>
        <v>FG-R-2189LE26</v>
      </c>
      <c r="E82" t="s">
        <v>295</v>
      </c>
      <c r="F82" s="23" cm="1">
        <f t="array" ref="F82">_xlfn.SWITCH(TRUE,T82&gt;0,T82,Z82)</f>
        <v>879.04</v>
      </c>
      <c r="G82" s="10" t="s">
        <v>150</v>
      </c>
      <c r="H82" s="10" t="s">
        <v>38</v>
      </c>
      <c r="I82" s="10" t="s">
        <v>151</v>
      </c>
      <c r="J82" s="11" t="s">
        <v>152</v>
      </c>
      <c r="K82" s="11" t="s">
        <v>152</v>
      </c>
      <c r="L82" s="10" t="s">
        <v>150</v>
      </c>
      <c r="M82" s="10" t="s">
        <v>153</v>
      </c>
      <c r="N82" s="10" t="s">
        <v>43</v>
      </c>
      <c r="O82" s="10" t="s">
        <v>44</v>
      </c>
      <c r="P82" s="10" t="s">
        <v>45</v>
      </c>
      <c r="Q82" s="10" t="s">
        <v>46</v>
      </c>
      <c r="R82" s="12">
        <v>4</v>
      </c>
      <c r="S82" s="13">
        <v>795.04</v>
      </c>
      <c r="T82" s="13">
        <v>879.04</v>
      </c>
      <c r="U82" s="12">
        <v>80</v>
      </c>
      <c r="V82" s="13">
        <v>696.48</v>
      </c>
      <c r="W82" s="13">
        <v>795.04</v>
      </c>
      <c r="X82" s="12">
        <v>0</v>
      </c>
      <c r="Y82" s="13">
        <v>0</v>
      </c>
      <c r="Z82" s="13">
        <v>0</v>
      </c>
      <c r="AA82" s="12">
        <v>0</v>
      </c>
      <c r="AB82" s="13">
        <v>0</v>
      </c>
      <c r="AC82" s="13">
        <v>0</v>
      </c>
      <c r="AD82" s="12">
        <v>4</v>
      </c>
      <c r="AE82" s="12">
        <v>0</v>
      </c>
      <c r="AF82" s="12">
        <v>0</v>
      </c>
      <c r="AG82" s="12">
        <v>0</v>
      </c>
      <c r="AH82" s="12">
        <v>4</v>
      </c>
      <c r="AI82" s="12">
        <v>0</v>
      </c>
      <c r="AJ82" s="10">
        <v>6188179</v>
      </c>
      <c r="AK82" s="10" t="s">
        <v>47</v>
      </c>
      <c r="AL82" s="14" t="s">
        <v>142</v>
      </c>
      <c r="AM82" s="10" t="s">
        <v>49</v>
      </c>
      <c r="AN82" s="15">
        <v>202300058730</v>
      </c>
      <c r="AO82" s="16" t="s">
        <v>154</v>
      </c>
      <c r="AP82" s="17">
        <v>18152.080000000002</v>
      </c>
      <c r="AQ82" s="10" t="s">
        <v>51</v>
      </c>
      <c r="AR82" s="10" t="s">
        <v>52</v>
      </c>
      <c r="AS82" s="12">
        <v>480</v>
      </c>
      <c r="AT82" s="10" t="s">
        <v>53</v>
      </c>
      <c r="AU82" s="10">
        <v>40151503</v>
      </c>
      <c r="AV82" s="10" t="s">
        <v>54</v>
      </c>
      <c r="AW82" s="10" t="s">
        <v>55</v>
      </c>
      <c r="AX82" s="10" t="s">
        <v>56</v>
      </c>
      <c r="AY82" s="10" t="s">
        <v>57</v>
      </c>
      <c r="AZ82" s="10" t="s">
        <v>58</v>
      </c>
      <c r="BG82" t="str">
        <v>Outbound</v>
      </c>
      <c r="BH82" t="str">
        <v>Land</v>
      </c>
      <c r="BI82" t="str">
        <v>FG-R-2188LE26</v>
      </c>
      <c r="BJ82" t="str">
        <v>JOHNSON ELECTRIC NORTH AMERICA, INC.</v>
      </c>
      <c r="BK82" t="str">
        <v xml:space="preserve">Memphis Distribution Services 3893 Crowfarn    </v>
      </c>
      <c r="BL82" t="str">
        <v>M46</v>
      </c>
      <c r="BM82" t="str">
        <v>1410-EQH0041EN</v>
      </c>
      <c r="BN82" s="24">
        <v>750</v>
      </c>
      <c r="BO82" s="23">
        <v>357</v>
      </c>
      <c r="BP82" s="26">
        <f t="shared" si="4"/>
        <v>3.8266378127370958E-2</v>
      </c>
      <c r="BQ82" s="21">
        <f t="shared" si="5"/>
        <v>173.92068858890102</v>
      </c>
    </row>
    <row r="83" spans="2:69" x14ac:dyDescent="0.35">
      <c r="B83" t="s">
        <v>261</v>
      </c>
      <c r="C83" t="s">
        <v>262</v>
      </c>
      <c r="D83" t="str" cm="1">
        <f t="array" ref="D83">_xlfn.REGEXEXTRACT(G83,"FG-R-\d{4}LE\d{2}")</f>
        <v>FG-R-2189LE26</v>
      </c>
      <c r="E83" t="s">
        <v>295</v>
      </c>
      <c r="F83" s="23" cm="1">
        <f t="array" ref="F83">_xlfn.SWITCH(TRUE,T83&gt;0,T83,Z83)</f>
        <v>1977.84</v>
      </c>
      <c r="G83" s="10" t="s">
        <v>150</v>
      </c>
      <c r="H83" s="10" t="s">
        <v>38</v>
      </c>
      <c r="I83" s="10" t="s">
        <v>151</v>
      </c>
      <c r="J83" s="11" t="s">
        <v>152</v>
      </c>
      <c r="K83" s="11" t="s">
        <v>152</v>
      </c>
      <c r="L83" s="10" t="s">
        <v>150</v>
      </c>
      <c r="M83" s="10" t="s">
        <v>153</v>
      </c>
      <c r="N83" s="10" t="s">
        <v>43</v>
      </c>
      <c r="O83" s="10" t="s">
        <v>44</v>
      </c>
      <c r="P83" s="10" t="s">
        <v>45</v>
      </c>
      <c r="Q83" s="10" t="s">
        <v>46</v>
      </c>
      <c r="R83" s="12">
        <v>9</v>
      </c>
      <c r="S83" s="13">
        <v>1788.84</v>
      </c>
      <c r="T83" s="13">
        <v>1977.84</v>
      </c>
      <c r="U83" s="12">
        <v>180</v>
      </c>
      <c r="V83" s="13">
        <v>1567.08</v>
      </c>
      <c r="W83" s="13">
        <v>1788.84</v>
      </c>
      <c r="X83" s="12">
        <v>0</v>
      </c>
      <c r="Y83" s="13">
        <v>0</v>
      </c>
      <c r="Z83" s="13">
        <v>0</v>
      </c>
      <c r="AA83" s="12">
        <v>0</v>
      </c>
      <c r="AB83" s="13">
        <v>0</v>
      </c>
      <c r="AC83" s="13">
        <v>0</v>
      </c>
      <c r="AD83" s="12">
        <v>9</v>
      </c>
      <c r="AE83" s="12">
        <v>0</v>
      </c>
      <c r="AF83" s="12">
        <v>0</v>
      </c>
      <c r="AG83" s="12">
        <v>0</v>
      </c>
      <c r="AH83" s="12">
        <v>9</v>
      </c>
      <c r="AI83" s="12">
        <v>0</v>
      </c>
      <c r="AJ83" s="10">
        <v>6188180</v>
      </c>
      <c r="AK83" s="10" t="s">
        <v>47</v>
      </c>
      <c r="AL83" s="14" t="s">
        <v>142</v>
      </c>
      <c r="AM83" s="10" t="s">
        <v>49</v>
      </c>
      <c r="AN83" s="15">
        <v>202300058731</v>
      </c>
      <c r="AO83" s="16" t="s">
        <v>154</v>
      </c>
      <c r="AP83" s="17">
        <v>40842.18</v>
      </c>
      <c r="AQ83" s="10" t="s">
        <v>51</v>
      </c>
      <c r="AR83" s="10" t="s">
        <v>52</v>
      </c>
      <c r="AS83" s="12">
        <v>1080</v>
      </c>
      <c r="AT83" s="10" t="s">
        <v>53</v>
      </c>
      <c r="AU83" s="10">
        <v>40151503</v>
      </c>
      <c r="AV83" s="10" t="s">
        <v>54</v>
      </c>
      <c r="AW83" s="10" t="s">
        <v>55</v>
      </c>
      <c r="AX83" s="10" t="s">
        <v>56</v>
      </c>
      <c r="AY83" s="10" t="s">
        <v>57</v>
      </c>
      <c r="AZ83" s="10" t="s">
        <v>58</v>
      </c>
      <c r="BG83" t="str">
        <v>Outbound</v>
      </c>
      <c r="BH83" t="str">
        <v>Land</v>
      </c>
      <c r="BI83" t="str">
        <v>FG-R-2189LE26</v>
      </c>
      <c r="BJ83" t="str">
        <v>JOHNSON ELECTRIC NORTH AMERICA, INC.</v>
      </c>
      <c r="BK83" t="str">
        <v xml:space="preserve">(TDS) Transcontinental Distribution Services, Inc 14213 Transportation Ave    </v>
      </c>
      <c r="BL83" t="str">
        <v>M23</v>
      </c>
      <c r="BM83" t="str">
        <v>1908-1E90003RN</v>
      </c>
      <c r="BN83" s="24">
        <v>480</v>
      </c>
      <c r="BO83" s="23">
        <v>879.04</v>
      </c>
      <c r="BP83" s="26">
        <f t="shared" si="4"/>
        <v>9.4446639861802573E-2</v>
      </c>
      <c r="BQ83" s="21">
        <f t="shared" si="5"/>
        <v>569.04100516736048</v>
      </c>
    </row>
    <row r="84" spans="2:69" x14ac:dyDescent="0.35">
      <c r="B84" t="s">
        <v>261</v>
      </c>
      <c r="C84" t="s">
        <v>262</v>
      </c>
      <c r="D84" t="str" cm="1">
        <f t="array" ref="D84">_xlfn.REGEXEXTRACT(G84,"FG-R-\d{4}LE\d{2}")</f>
        <v>FG-R-2189LE26</v>
      </c>
      <c r="E84" t="s">
        <v>298</v>
      </c>
      <c r="F84" s="23" cm="1">
        <f t="array" ref="F84">_xlfn.SWITCH(TRUE,T84&gt;0,T84,Z84)</f>
        <v>99.792000000000002</v>
      </c>
      <c r="G84" s="10" t="s">
        <v>150</v>
      </c>
      <c r="H84" s="10" t="s">
        <v>38</v>
      </c>
      <c r="I84" s="10" t="s">
        <v>151</v>
      </c>
      <c r="J84" s="11" t="s">
        <v>152</v>
      </c>
      <c r="K84" s="11" t="s">
        <v>152</v>
      </c>
      <c r="L84" s="10" t="s">
        <v>150</v>
      </c>
      <c r="M84" s="10" t="s">
        <v>153</v>
      </c>
      <c r="N84" s="10" t="s">
        <v>43</v>
      </c>
      <c r="O84" s="10" t="s">
        <v>44</v>
      </c>
      <c r="P84" s="10" t="s">
        <v>45</v>
      </c>
      <c r="Q84" s="10" t="s">
        <v>46</v>
      </c>
      <c r="R84" s="12">
        <v>0</v>
      </c>
      <c r="S84" s="13">
        <v>0</v>
      </c>
      <c r="T84" s="13">
        <v>0</v>
      </c>
      <c r="U84" s="12">
        <v>0</v>
      </c>
      <c r="V84" s="13">
        <v>0</v>
      </c>
      <c r="W84" s="13">
        <v>0</v>
      </c>
      <c r="X84" s="12">
        <v>1</v>
      </c>
      <c r="Y84" s="13">
        <v>78.792000000000002</v>
      </c>
      <c r="Z84" s="13">
        <v>99.792000000000002</v>
      </c>
      <c r="AA84" s="12">
        <v>10</v>
      </c>
      <c r="AB84" s="13">
        <v>63.792000000000002</v>
      </c>
      <c r="AC84" s="13">
        <v>78.792000000000002</v>
      </c>
      <c r="AD84" s="12">
        <v>1</v>
      </c>
      <c r="AE84" s="12">
        <v>0</v>
      </c>
      <c r="AF84" s="12">
        <v>0</v>
      </c>
      <c r="AG84" s="12">
        <v>1</v>
      </c>
      <c r="AH84" s="12">
        <v>0</v>
      </c>
      <c r="AI84" s="12">
        <v>0</v>
      </c>
      <c r="AJ84" s="10">
        <v>6187412</v>
      </c>
      <c r="AK84" s="10" t="s">
        <v>47</v>
      </c>
      <c r="AL84" s="14" t="s">
        <v>142</v>
      </c>
      <c r="AM84" s="10" t="s">
        <v>49</v>
      </c>
      <c r="AN84" s="15">
        <v>202300058721</v>
      </c>
      <c r="AO84" s="16" t="s">
        <v>143</v>
      </c>
      <c r="AP84" s="17">
        <v>1768.27</v>
      </c>
      <c r="AQ84" s="10" t="s">
        <v>51</v>
      </c>
      <c r="AR84" s="10" t="s">
        <v>155</v>
      </c>
      <c r="AS84" s="12">
        <v>480</v>
      </c>
      <c r="AT84" s="10" t="s">
        <v>53</v>
      </c>
      <c r="AU84" s="10">
        <v>26101100</v>
      </c>
      <c r="AV84" s="10" t="s">
        <v>87</v>
      </c>
      <c r="AW84" s="10" t="s">
        <v>55</v>
      </c>
      <c r="AX84" s="10" t="s">
        <v>56</v>
      </c>
      <c r="AY84" s="10" t="s">
        <v>79</v>
      </c>
      <c r="AZ84" s="10" t="s">
        <v>80</v>
      </c>
      <c r="BG84" t="str">
        <v>Outbound</v>
      </c>
      <c r="BH84" t="str">
        <v>Land</v>
      </c>
      <c r="BI84" t="str">
        <v>FG-R-2189LE26</v>
      </c>
      <c r="BJ84" t="str">
        <v>JOHNSON ELECTRIC NORTH AMERICA, INC.</v>
      </c>
      <c r="BK84" t="str">
        <v xml:space="preserve">(TDS) Transcontinental Distribution Services, Inc 14213 Transportation Ave    </v>
      </c>
      <c r="BL84" t="str">
        <v>M23</v>
      </c>
      <c r="BM84" t="str">
        <v>1908-1E90003RN</v>
      </c>
      <c r="BN84" s="24">
        <v>1080</v>
      </c>
      <c r="BO84" s="23">
        <v>1977.84</v>
      </c>
      <c r="BP84" s="26">
        <f t="shared" si="4"/>
        <v>0.21250493968905579</v>
      </c>
      <c r="BQ84" s="21">
        <f t="shared" si="5"/>
        <v>1280.3422616265611</v>
      </c>
    </row>
    <row r="85" spans="2:69" x14ac:dyDescent="0.35">
      <c r="B85" t="s">
        <v>261</v>
      </c>
      <c r="C85" t="s">
        <v>262</v>
      </c>
      <c r="D85" t="str" cm="1">
        <f t="array" ref="D85">_xlfn.REGEXEXTRACT(G85,"FG-R-\d{4}LE\d{2}")</f>
        <v>FG-R-2189LE26</v>
      </c>
      <c r="E85" t="s">
        <v>298</v>
      </c>
      <c r="F85" s="23" cm="1">
        <f t="array" ref="F85">_xlfn.SWITCH(TRUE,T85&gt;0,T85,Z85)</f>
        <v>338.84800000000001</v>
      </c>
      <c r="G85" s="10" t="s">
        <v>150</v>
      </c>
      <c r="H85" s="10" t="s">
        <v>38</v>
      </c>
      <c r="I85" s="10" t="s">
        <v>151</v>
      </c>
      <c r="J85" s="11" t="s">
        <v>152</v>
      </c>
      <c r="K85" s="11" t="s">
        <v>152</v>
      </c>
      <c r="L85" s="10" t="s">
        <v>150</v>
      </c>
      <c r="M85" s="10" t="s">
        <v>153</v>
      </c>
      <c r="N85" s="10" t="s">
        <v>43</v>
      </c>
      <c r="O85" s="10" t="s">
        <v>44</v>
      </c>
      <c r="P85" s="10" t="s">
        <v>45</v>
      </c>
      <c r="Q85" s="10" t="s">
        <v>46</v>
      </c>
      <c r="R85" s="12">
        <v>1</v>
      </c>
      <c r="S85" s="13">
        <v>310.84800000000001</v>
      </c>
      <c r="T85" s="13">
        <v>338.84800000000001</v>
      </c>
      <c r="U85" s="12">
        <v>48</v>
      </c>
      <c r="V85" s="13">
        <v>205.63200000000001</v>
      </c>
      <c r="W85" s="13">
        <v>310.84800000000001</v>
      </c>
      <c r="X85" s="12">
        <v>0</v>
      </c>
      <c r="Y85" s="13">
        <v>0</v>
      </c>
      <c r="Z85" s="13">
        <v>0</v>
      </c>
      <c r="AA85" s="12">
        <v>0</v>
      </c>
      <c r="AB85" s="13">
        <v>0</v>
      </c>
      <c r="AC85" s="13">
        <v>0</v>
      </c>
      <c r="AD85" s="12">
        <v>1</v>
      </c>
      <c r="AE85" s="12">
        <v>0</v>
      </c>
      <c r="AF85" s="12">
        <v>0</v>
      </c>
      <c r="AG85" s="12">
        <v>1</v>
      </c>
      <c r="AH85" s="12">
        <v>0</v>
      </c>
      <c r="AI85" s="12">
        <v>0</v>
      </c>
      <c r="AJ85" s="10">
        <v>6188170</v>
      </c>
      <c r="AK85" s="10" t="s">
        <v>47</v>
      </c>
      <c r="AL85" s="14" t="s">
        <v>142</v>
      </c>
      <c r="AM85" s="10" t="s">
        <v>49</v>
      </c>
      <c r="AN85" s="15">
        <v>202300058729</v>
      </c>
      <c r="AO85" s="16" t="s">
        <v>154</v>
      </c>
      <c r="AP85" s="17">
        <v>13660.82</v>
      </c>
      <c r="AQ85" s="10" t="s">
        <v>51</v>
      </c>
      <c r="AR85" s="10" t="s">
        <v>156</v>
      </c>
      <c r="AS85" s="12">
        <v>1344</v>
      </c>
      <c r="AT85" s="10" t="s">
        <v>53</v>
      </c>
      <c r="AU85" s="10">
        <v>26101100</v>
      </c>
      <c r="AV85" s="10" t="s">
        <v>87</v>
      </c>
      <c r="AW85" s="10" t="s">
        <v>55</v>
      </c>
      <c r="AX85" s="10" t="s">
        <v>56</v>
      </c>
      <c r="AY85" s="10" t="s">
        <v>79</v>
      </c>
      <c r="AZ85" s="10" t="s">
        <v>80</v>
      </c>
      <c r="BG85" t="str">
        <v>Outbound</v>
      </c>
      <c r="BH85" t="str">
        <v>Land</v>
      </c>
      <c r="BI85" t="str">
        <v>FG-R-2189LE26</v>
      </c>
      <c r="BJ85" t="str">
        <v>JOHNSON ELECTRIC NORTH AMERICA, INC.</v>
      </c>
      <c r="BK85" t="str">
        <v xml:space="preserve">(TDS) Transcontinental Distribution Services, Inc 14213 Transportation Ave    </v>
      </c>
      <c r="BL85" t="str">
        <v>M46</v>
      </c>
      <c r="BM85" t="str">
        <v>1651-EQH0065EN</v>
      </c>
      <c r="BN85" s="24">
        <v>480</v>
      </c>
      <c r="BO85" s="23">
        <v>99.792000000000002</v>
      </c>
      <c r="BP85" s="26">
        <f t="shared" si="4"/>
        <v>1.0721945628286544E-2</v>
      </c>
      <c r="BQ85" s="21">
        <f t="shared" si="5"/>
        <v>64.599722410426423</v>
      </c>
    </row>
    <row r="86" spans="2:69" x14ac:dyDescent="0.35">
      <c r="B86" t="s">
        <v>261</v>
      </c>
      <c r="C86" t="s">
        <v>262</v>
      </c>
      <c r="D86" t="str" cm="1">
        <f t="array" ref="D86">_xlfn.REGEXEXTRACT(G86,"FG-R-\d{4}LE\d{2}")</f>
        <v>FG-R-2189LE26</v>
      </c>
      <c r="E86" t="s">
        <v>298</v>
      </c>
      <c r="F86" s="23" cm="1">
        <f t="array" ref="F86">_xlfn.SWITCH(TRUE,T86&gt;0,T86,Z86)</f>
        <v>101.01600000000001</v>
      </c>
      <c r="G86" s="10" t="s">
        <v>150</v>
      </c>
      <c r="H86" s="10" t="s">
        <v>38</v>
      </c>
      <c r="I86" s="10" t="s">
        <v>151</v>
      </c>
      <c r="J86" s="11" t="s">
        <v>152</v>
      </c>
      <c r="K86" s="11" t="s">
        <v>152</v>
      </c>
      <c r="L86" s="10" t="s">
        <v>150</v>
      </c>
      <c r="M86" s="10" t="s">
        <v>153</v>
      </c>
      <c r="N86" s="10" t="s">
        <v>43</v>
      </c>
      <c r="O86" s="10" t="s">
        <v>44</v>
      </c>
      <c r="P86" s="10" t="s">
        <v>45</v>
      </c>
      <c r="Q86" s="10" t="s">
        <v>46</v>
      </c>
      <c r="R86" s="12">
        <v>0</v>
      </c>
      <c r="S86" s="13">
        <v>0</v>
      </c>
      <c r="T86" s="13">
        <v>0</v>
      </c>
      <c r="U86" s="12">
        <v>0</v>
      </c>
      <c r="V86" s="13">
        <v>0</v>
      </c>
      <c r="W86" s="13">
        <v>0</v>
      </c>
      <c r="X86" s="12">
        <v>1</v>
      </c>
      <c r="Y86" s="13">
        <v>80.016000000000005</v>
      </c>
      <c r="Z86" s="13">
        <v>101.01600000000001</v>
      </c>
      <c r="AA86" s="12">
        <v>12</v>
      </c>
      <c r="AB86" s="13">
        <v>62.015999999999998</v>
      </c>
      <c r="AC86" s="13">
        <v>80.016000000000005</v>
      </c>
      <c r="AD86" s="12">
        <v>1</v>
      </c>
      <c r="AE86" s="12">
        <v>0</v>
      </c>
      <c r="AF86" s="12">
        <v>0</v>
      </c>
      <c r="AG86" s="12">
        <v>1</v>
      </c>
      <c r="AH86" s="12">
        <v>0</v>
      </c>
      <c r="AI86" s="12">
        <v>0</v>
      </c>
      <c r="AJ86" s="10">
        <v>6187417</v>
      </c>
      <c r="AK86" s="10" t="s">
        <v>47</v>
      </c>
      <c r="AL86" s="14" t="s">
        <v>142</v>
      </c>
      <c r="AM86" s="10" t="s">
        <v>49</v>
      </c>
      <c r="AN86" s="15">
        <v>202300058722</v>
      </c>
      <c r="AO86" s="16" t="s">
        <v>143</v>
      </c>
      <c r="AP86" s="17">
        <v>1736.4</v>
      </c>
      <c r="AQ86" s="10" t="s">
        <v>51</v>
      </c>
      <c r="AR86" s="10" t="s">
        <v>157</v>
      </c>
      <c r="AS86" s="12">
        <v>480</v>
      </c>
      <c r="AT86" s="10" t="s">
        <v>53</v>
      </c>
      <c r="AU86" s="10">
        <v>26101100</v>
      </c>
      <c r="AV86" s="10" t="s">
        <v>87</v>
      </c>
      <c r="AW86" s="10" t="s">
        <v>55</v>
      </c>
      <c r="AX86" s="10" t="s">
        <v>56</v>
      </c>
      <c r="AY86" s="10" t="s">
        <v>79</v>
      </c>
      <c r="AZ86" s="10" t="s">
        <v>80</v>
      </c>
      <c r="BG86" t="str">
        <v>Outbound</v>
      </c>
      <c r="BH86" t="str">
        <v>Land</v>
      </c>
      <c r="BI86" t="str">
        <v>FG-R-2189LE26</v>
      </c>
      <c r="BJ86" t="str">
        <v>JOHNSON ELECTRIC NORTH AMERICA, INC.</v>
      </c>
      <c r="BK86" t="str">
        <v xml:space="preserve">(TDS) Transcontinental Distribution Services, Inc 14213 Transportation Ave    </v>
      </c>
      <c r="BL86" t="str">
        <v>M46</v>
      </c>
      <c r="BM86" t="str">
        <v>1651-MYY0021EN</v>
      </c>
      <c r="BN86" s="24">
        <v>1344</v>
      </c>
      <c r="BO86" s="23">
        <v>338.84800000000001</v>
      </c>
      <c r="BP86" s="26">
        <f t="shared" si="4"/>
        <v>3.6406824517532854E-2</v>
      </c>
      <c r="BQ86" s="21">
        <f t="shared" si="5"/>
        <v>219.35111771813544</v>
      </c>
    </row>
    <row r="87" spans="2:69" x14ac:dyDescent="0.35">
      <c r="B87" t="s">
        <v>261</v>
      </c>
      <c r="C87" t="s">
        <v>262</v>
      </c>
      <c r="D87" t="str" cm="1">
        <f t="array" ref="D87">_xlfn.REGEXEXTRACT(G87,"FG-R-\d{4}LE\d{2}")</f>
        <v>FG-R-2189LE26</v>
      </c>
      <c r="E87" t="s">
        <v>298</v>
      </c>
      <c r="F87" s="23" cm="1">
        <f t="array" ref="F87">_xlfn.SWITCH(TRUE,T87&gt;0,T87,Z87)</f>
        <v>62.42</v>
      </c>
      <c r="G87" s="10" t="s">
        <v>150</v>
      </c>
      <c r="H87" s="10" t="s">
        <v>38</v>
      </c>
      <c r="I87" s="10" t="s">
        <v>151</v>
      </c>
      <c r="J87" s="11" t="s">
        <v>152</v>
      </c>
      <c r="K87" s="11" t="s">
        <v>152</v>
      </c>
      <c r="L87" s="10" t="s">
        <v>150</v>
      </c>
      <c r="M87" s="10" t="s">
        <v>153</v>
      </c>
      <c r="N87" s="10" t="s">
        <v>43</v>
      </c>
      <c r="O87" s="10" t="s">
        <v>44</v>
      </c>
      <c r="P87" s="10" t="s">
        <v>45</v>
      </c>
      <c r="Q87" s="10" t="s">
        <v>46</v>
      </c>
      <c r="R87" s="12">
        <v>0</v>
      </c>
      <c r="S87" s="13">
        <v>0</v>
      </c>
      <c r="T87" s="13">
        <v>0</v>
      </c>
      <c r="U87" s="12">
        <v>0</v>
      </c>
      <c r="V87" s="13">
        <v>0</v>
      </c>
      <c r="W87" s="13">
        <v>0</v>
      </c>
      <c r="X87" s="12">
        <v>1</v>
      </c>
      <c r="Y87" s="13">
        <v>41.42</v>
      </c>
      <c r="Z87" s="13">
        <v>62.42</v>
      </c>
      <c r="AA87" s="12">
        <v>10</v>
      </c>
      <c r="AB87" s="13">
        <v>26.42</v>
      </c>
      <c r="AC87" s="13">
        <v>41.42</v>
      </c>
      <c r="AD87" s="12">
        <v>1</v>
      </c>
      <c r="AE87" s="12">
        <v>0</v>
      </c>
      <c r="AF87" s="12">
        <v>0</v>
      </c>
      <c r="AG87" s="12">
        <v>1</v>
      </c>
      <c r="AH87" s="12">
        <v>0</v>
      </c>
      <c r="AI87" s="12">
        <v>0</v>
      </c>
      <c r="AJ87" s="10">
        <v>6187415</v>
      </c>
      <c r="AK87" s="10" t="s">
        <v>47</v>
      </c>
      <c r="AL87" s="14" t="s">
        <v>142</v>
      </c>
      <c r="AM87" s="10" t="s">
        <v>49</v>
      </c>
      <c r="AN87" s="15">
        <v>202300058720</v>
      </c>
      <c r="AO87" s="16" t="s">
        <v>143</v>
      </c>
      <c r="AP87" s="17">
        <v>1335.28</v>
      </c>
      <c r="AQ87" s="10" t="s">
        <v>51</v>
      </c>
      <c r="AR87" s="10" t="s">
        <v>158</v>
      </c>
      <c r="AS87" s="12">
        <v>200</v>
      </c>
      <c r="AT87" s="10" t="s">
        <v>53</v>
      </c>
      <c r="AU87" s="10">
        <v>26101100</v>
      </c>
      <c r="AV87" s="10" t="s">
        <v>87</v>
      </c>
      <c r="AW87" s="10" t="s">
        <v>55</v>
      </c>
      <c r="AX87" s="10" t="s">
        <v>56</v>
      </c>
      <c r="AY87" s="10" t="s">
        <v>79</v>
      </c>
      <c r="AZ87" s="10" t="s">
        <v>80</v>
      </c>
      <c r="BG87" t="str">
        <v>Outbound</v>
      </c>
      <c r="BH87" t="str">
        <v>Land</v>
      </c>
      <c r="BI87" t="str">
        <v>FG-R-2189LE26</v>
      </c>
      <c r="BJ87" t="str">
        <v>JOHNSON ELECTRIC NORTH AMERICA, INC.</v>
      </c>
      <c r="BK87" t="str">
        <v xml:space="preserve">(TDS) Transcontinental Distribution Services, Inc 14213 Transportation Ave    </v>
      </c>
      <c r="BL87" t="str">
        <v>M46</v>
      </c>
      <c r="BM87" t="str">
        <v>1651-EQH0067EN</v>
      </c>
      <c r="BN87" s="24">
        <v>480</v>
      </c>
      <c r="BO87" s="23">
        <v>101.01600000000001</v>
      </c>
      <c r="BP87" s="26">
        <f t="shared" si="4"/>
        <v>1.0853455783900448E-2</v>
      </c>
      <c r="BQ87" s="21">
        <f t="shared" si="5"/>
        <v>65.392071098000201</v>
      </c>
    </row>
    <row r="88" spans="2:69" x14ac:dyDescent="0.35">
      <c r="B88" t="s">
        <v>261</v>
      </c>
      <c r="C88" t="s">
        <v>262</v>
      </c>
      <c r="D88" t="str" cm="1">
        <f t="array" ref="D88">_xlfn.REGEXEXTRACT(G88,"FG-R-\d{4}LE\d{2}")</f>
        <v>FG-R-2189LE26</v>
      </c>
      <c r="E88" t="s">
        <v>296</v>
      </c>
      <c r="F88" s="23" cm="1">
        <f t="array" ref="F88">_xlfn.SWITCH(TRUE,T88&gt;0,T88,Z88)</f>
        <v>449.87</v>
      </c>
      <c r="G88" s="10" t="s">
        <v>150</v>
      </c>
      <c r="H88" s="10" t="s">
        <v>38</v>
      </c>
      <c r="I88" s="10" t="s">
        <v>151</v>
      </c>
      <c r="J88" s="11" t="s">
        <v>152</v>
      </c>
      <c r="K88" s="11" t="s">
        <v>152</v>
      </c>
      <c r="L88" s="10" t="s">
        <v>150</v>
      </c>
      <c r="M88" s="10" t="s">
        <v>153</v>
      </c>
      <c r="N88" s="10" t="s">
        <v>43</v>
      </c>
      <c r="O88" s="10" t="s">
        <v>60</v>
      </c>
      <c r="P88" s="10" t="s">
        <v>45</v>
      </c>
      <c r="Q88" s="10" t="s">
        <v>46</v>
      </c>
      <c r="R88" s="12">
        <v>1</v>
      </c>
      <c r="S88" s="13">
        <v>431.37</v>
      </c>
      <c r="T88" s="13">
        <v>449.87</v>
      </c>
      <c r="U88" s="12">
        <v>45</v>
      </c>
      <c r="V88" s="13">
        <v>407.25</v>
      </c>
      <c r="W88" s="13">
        <v>431.37</v>
      </c>
      <c r="X88" s="12">
        <v>0</v>
      </c>
      <c r="Y88" s="13">
        <v>0</v>
      </c>
      <c r="Z88" s="13">
        <v>0</v>
      </c>
      <c r="AA88" s="12">
        <v>0</v>
      </c>
      <c r="AB88" s="13">
        <v>0</v>
      </c>
      <c r="AC88" s="13">
        <v>0</v>
      </c>
      <c r="AD88" s="12">
        <v>1</v>
      </c>
      <c r="AE88" s="12">
        <v>0</v>
      </c>
      <c r="AF88" s="12">
        <v>0</v>
      </c>
      <c r="AG88" s="12">
        <v>1</v>
      </c>
      <c r="AH88" s="12">
        <v>0</v>
      </c>
      <c r="AI88" s="12">
        <v>0</v>
      </c>
      <c r="AJ88" s="10">
        <v>6188166</v>
      </c>
      <c r="AK88" s="10" t="s">
        <v>47</v>
      </c>
      <c r="AL88" s="14" t="s">
        <v>142</v>
      </c>
      <c r="AM88" s="10" t="s">
        <v>49</v>
      </c>
      <c r="AN88" s="15">
        <v>202300058726</v>
      </c>
      <c r="AO88" s="16" t="s">
        <v>154</v>
      </c>
      <c r="AP88" s="17">
        <v>3360.39</v>
      </c>
      <c r="AQ88" s="10" t="s">
        <v>51</v>
      </c>
      <c r="AR88" s="10" t="s">
        <v>159</v>
      </c>
      <c r="AS88" s="12">
        <v>1125</v>
      </c>
      <c r="AT88" s="10" t="s">
        <v>53</v>
      </c>
      <c r="AU88" s="10">
        <v>40151500</v>
      </c>
      <c r="AV88" s="10" t="s">
        <v>62</v>
      </c>
      <c r="AW88" s="10" t="s">
        <v>55</v>
      </c>
      <c r="AX88" s="10" t="s">
        <v>56</v>
      </c>
      <c r="AY88" s="10" t="s">
        <v>63</v>
      </c>
      <c r="AZ88" s="10" t="s">
        <v>64</v>
      </c>
      <c r="BG88" t="str">
        <v>Outbound</v>
      </c>
      <c r="BH88" t="str">
        <v>Land</v>
      </c>
      <c r="BI88" t="str">
        <v>FG-R-2189LE26</v>
      </c>
      <c r="BJ88" t="str">
        <v>JOHNSON ELECTRIC NORTH AMERICA, INC.</v>
      </c>
      <c r="BK88" t="str">
        <v xml:space="preserve">(TDS) Transcontinental Distribution Services, Inc 14213 Transportation Ave    </v>
      </c>
      <c r="BL88" t="str">
        <v>M46</v>
      </c>
      <c r="BM88" t="str">
        <v>1651-EQH0019EN</v>
      </c>
      <c r="BN88" s="24">
        <v>200</v>
      </c>
      <c r="BO88" s="23">
        <v>62.42</v>
      </c>
      <c r="BP88" s="26">
        <f t="shared" si="4"/>
        <v>6.7065881645587428E-3</v>
      </c>
      <c r="BQ88" s="21">
        <f t="shared" si="5"/>
        <v>40.407193691466425</v>
      </c>
    </row>
    <row r="89" spans="2:69" x14ac:dyDescent="0.35">
      <c r="B89" t="s">
        <v>261</v>
      </c>
      <c r="C89" t="s">
        <v>262</v>
      </c>
      <c r="D89" t="str" cm="1">
        <f t="array" ref="D89">_xlfn.REGEXEXTRACT(G89,"FG-R-\d{4}LE\d{2}")</f>
        <v>FG-R-2189LE26</v>
      </c>
      <c r="E89" t="s">
        <v>296</v>
      </c>
      <c r="F89" s="23" cm="1">
        <f t="array" ref="F89">_xlfn.SWITCH(TRUE,T89&gt;0,T89,Z89)</f>
        <v>899.74</v>
      </c>
      <c r="G89" s="10" t="s">
        <v>150</v>
      </c>
      <c r="H89" s="10" t="s">
        <v>38</v>
      </c>
      <c r="I89" s="10" t="s">
        <v>151</v>
      </c>
      <c r="J89" s="11" t="s">
        <v>152</v>
      </c>
      <c r="K89" s="11" t="s">
        <v>152</v>
      </c>
      <c r="L89" s="10" t="s">
        <v>150</v>
      </c>
      <c r="M89" s="10" t="s">
        <v>153</v>
      </c>
      <c r="N89" s="10" t="s">
        <v>43</v>
      </c>
      <c r="O89" s="10" t="s">
        <v>60</v>
      </c>
      <c r="P89" s="10" t="s">
        <v>45</v>
      </c>
      <c r="Q89" s="10" t="s">
        <v>46</v>
      </c>
      <c r="R89" s="12">
        <v>2</v>
      </c>
      <c r="S89" s="13">
        <v>862.74</v>
      </c>
      <c r="T89" s="13">
        <v>899.74</v>
      </c>
      <c r="U89" s="12">
        <v>90</v>
      </c>
      <c r="V89" s="13">
        <v>814.5</v>
      </c>
      <c r="W89" s="13">
        <v>862.74</v>
      </c>
      <c r="X89" s="12">
        <v>0</v>
      </c>
      <c r="Y89" s="13">
        <v>0</v>
      </c>
      <c r="Z89" s="13">
        <v>0</v>
      </c>
      <c r="AA89" s="12">
        <v>0</v>
      </c>
      <c r="AB89" s="13">
        <v>0</v>
      </c>
      <c r="AC89" s="13">
        <v>0</v>
      </c>
      <c r="AD89" s="12">
        <v>2</v>
      </c>
      <c r="AE89" s="12">
        <v>0</v>
      </c>
      <c r="AF89" s="12">
        <v>0</v>
      </c>
      <c r="AG89" s="12">
        <v>2</v>
      </c>
      <c r="AH89" s="12">
        <v>0</v>
      </c>
      <c r="AI89" s="12">
        <v>0</v>
      </c>
      <c r="AJ89" s="10">
        <v>6188167</v>
      </c>
      <c r="AK89" s="10" t="s">
        <v>47</v>
      </c>
      <c r="AL89" s="14" t="s">
        <v>142</v>
      </c>
      <c r="AM89" s="10" t="s">
        <v>49</v>
      </c>
      <c r="AN89" s="15">
        <v>202300058727</v>
      </c>
      <c r="AO89" s="16" t="s">
        <v>154</v>
      </c>
      <c r="AP89" s="17">
        <v>6720.78</v>
      </c>
      <c r="AQ89" s="10" t="s">
        <v>51</v>
      </c>
      <c r="AR89" s="10" t="s">
        <v>159</v>
      </c>
      <c r="AS89" s="12">
        <v>2250</v>
      </c>
      <c r="AT89" s="10" t="s">
        <v>53</v>
      </c>
      <c r="AU89" s="10">
        <v>40151500</v>
      </c>
      <c r="AV89" s="10" t="s">
        <v>62</v>
      </c>
      <c r="AW89" s="10" t="s">
        <v>55</v>
      </c>
      <c r="AX89" s="10" t="s">
        <v>56</v>
      </c>
      <c r="AY89" s="10" t="s">
        <v>63</v>
      </c>
      <c r="AZ89" s="10" t="s">
        <v>64</v>
      </c>
      <c r="BG89" t="str">
        <v>Outbound</v>
      </c>
      <c r="BH89" t="str">
        <v>Land</v>
      </c>
      <c r="BI89" t="str">
        <v>FG-R-2189LE26</v>
      </c>
      <c r="BJ89" t="str">
        <v>JOHNSON ELECTRIC NORTH AMERICA, INC.</v>
      </c>
      <c r="BK89" t="str">
        <v xml:space="preserve">APX WH  6001 GLOBAL DISTRIBUTION WAY LOUISVILLE, KY 40228    </v>
      </c>
      <c r="BL89" t="str">
        <v>M45</v>
      </c>
      <c r="BM89" t="str">
        <v>1999-1E30015EN</v>
      </c>
      <c r="BN89" s="24">
        <v>1125</v>
      </c>
      <c r="BO89" s="23">
        <v>449.87</v>
      </c>
      <c r="BP89" s="26">
        <f t="shared" si="4"/>
        <v>4.833535433498945E-2</v>
      </c>
      <c r="BQ89" s="21">
        <f t="shared" si="5"/>
        <v>291.22050986831141</v>
      </c>
    </row>
    <row r="90" spans="2:69" x14ac:dyDescent="0.35">
      <c r="B90" t="s">
        <v>261</v>
      </c>
      <c r="C90" t="s">
        <v>262</v>
      </c>
      <c r="D90" t="str" cm="1">
        <f t="array" ref="D90">_xlfn.REGEXEXTRACT(G90,"FG-R-\d{4}LE\d{2}")</f>
        <v>FG-R-2189LE26</v>
      </c>
      <c r="E90" t="s">
        <v>296</v>
      </c>
      <c r="F90" s="23" cm="1">
        <f t="array" ref="F90">_xlfn.SWITCH(TRUE,T90&gt;0,T90,Z90)</f>
        <v>4048.83</v>
      </c>
      <c r="G90" s="10" t="s">
        <v>150</v>
      </c>
      <c r="H90" s="10" t="s">
        <v>38</v>
      </c>
      <c r="I90" s="10" t="s">
        <v>151</v>
      </c>
      <c r="J90" s="11" t="s">
        <v>152</v>
      </c>
      <c r="K90" s="11" t="s">
        <v>152</v>
      </c>
      <c r="L90" s="10" t="s">
        <v>150</v>
      </c>
      <c r="M90" s="10" t="s">
        <v>153</v>
      </c>
      <c r="N90" s="10" t="s">
        <v>43</v>
      </c>
      <c r="O90" s="10" t="s">
        <v>60</v>
      </c>
      <c r="P90" s="10" t="s">
        <v>45</v>
      </c>
      <c r="Q90" s="10" t="s">
        <v>46</v>
      </c>
      <c r="R90" s="12">
        <v>9</v>
      </c>
      <c r="S90" s="13">
        <v>3882.33</v>
      </c>
      <c r="T90" s="13">
        <v>4048.83</v>
      </c>
      <c r="U90" s="12">
        <v>405</v>
      </c>
      <c r="V90" s="13">
        <v>3665.25</v>
      </c>
      <c r="W90" s="13">
        <v>3882.33</v>
      </c>
      <c r="X90" s="12">
        <v>0</v>
      </c>
      <c r="Y90" s="13">
        <v>0</v>
      </c>
      <c r="Z90" s="13">
        <v>0</v>
      </c>
      <c r="AA90" s="12">
        <v>0</v>
      </c>
      <c r="AB90" s="13">
        <v>0</v>
      </c>
      <c r="AC90" s="13">
        <v>0</v>
      </c>
      <c r="AD90" s="12">
        <v>9</v>
      </c>
      <c r="AE90" s="12">
        <v>0</v>
      </c>
      <c r="AF90" s="12">
        <v>0</v>
      </c>
      <c r="AG90" s="12">
        <v>9</v>
      </c>
      <c r="AH90" s="12">
        <v>0</v>
      </c>
      <c r="AI90" s="12">
        <v>0</v>
      </c>
      <c r="AJ90" s="10">
        <v>6188169</v>
      </c>
      <c r="AK90" s="10" t="s">
        <v>47</v>
      </c>
      <c r="AL90" s="14" t="s">
        <v>142</v>
      </c>
      <c r="AM90" s="10" t="s">
        <v>49</v>
      </c>
      <c r="AN90" s="15">
        <v>202300058728</v>
      </c>
      <c r="AO90" s="16" t="s">
        <v>154</v>
      </c>
      <c r="AP90" s="17">
        <v>30243.51</v>
      </c>
      <c r="AQ90" s="10" t="s">
        <v>51</v>
      </c>
      <c r="AR90" s="10" t="s">
        <v>159</v>
      </c>
      <c r="AS90" s="12">
        <v>10125</v>
      </c>
      <c r="AT90" s="10" t="s">
        <v>53</v>
      </c>
      <c r="AU90" s="10">
        <v>40151500</v>
      </c>
      <c r="AV90" s="10" t="s">
        <v>62</v>
      </c>
      <c r="AW90" s="10" t="s">
        <v>55</v>
      </c>
      <c r="AX90" s="10" t="s">
        <v>56</v>
      </c>
      <c r="AY90" s="10" t="s">
        <v>63</v>
      </c>
      <c r="AZ90" s="10" t="s">
        <v>64</v>
      </c>
      <c r="BG90" t="str">
        <v>Outbound</v>
      </c>
      <c r="BH90" t="str">
        <v>Land</v>
      </c>
      <c r="BI90" t="str">
        <v>FG-R-2189LE26</v>
      </c>
      <c r="BJ90" t="str">
        <v>JOHNSON ELECTRIC NORTH AMERICA, INC.</v>
      </c>
      <c r="BK90" t="str">
        <v xml:space="preserve">APX WH  6001 GLOBAL DISTRIBUTION WAY LOUISVILLE, KY 40228    </v>
      </c>
      <c r="BL90" t="str">
        <v>M45</v>
      </c>
      <c r="BM90" t="str">
        <v>1999-1E30015EN</v>
      </c>
      <c r="BN90" s="24">
        <v>2250</v>
      </c>
      <c r="BO90" s="23">
        <v>899.74</v>
      </c>
      <c r="BP90" s="26">
        <f t="shared" si="4"/>
        <v>9.66707086699789E-2</v>
      </c>
      <c r="BQ90" s="21">
        <f t="shared" si="5"/>
        <v>582.44101973662282</v>
      </c>
    </row>
    <row r="91" spans="2:69" x14ac:dyDescent="0.35">
      <c r="B91" t="s">
        <v>261</v>
      </c>
      <c r="C91" t="s">
        <v>262</v>
      </c>
      <c r="D91" t="str" cm="1">
        <f t="array" ref="D91">_xlfn.REGEXEXTRACT(G91,"FG-R-\d{4}LE\d{2}")</f>
        <v>FG-R-2189LE26</v>
      </c>
      <c r="E91" t="s">
        <v>296</v>
      </c>
      <c r="F91" s="23" cm="1">
        <f t="array" ref="F91">_xlfn.SWITCH(TRUE,T91&gt;0,T91,Z91)</f>
        <v>449.87</v>
      </c>
      <c r="G91" s="10" t="s">
        <v>150</v>
      </c>
      <c r="H91" s="10" t="s">
        <v>38</v>
      </c>
      <c r="I91" s="10" t="s">
        <v>151</v>
      </c>
      <c r="J91" s="11" t="s">
        <v>152</v>
      </c>
      <c r="K91" s="11" t="s">
        <v>152</v>
      </c>
      <c r="L91" s="10" t="s">
        <v>150</v>
      </c>
      <c r="M91" s="10" t="s">
        <v>153</v>
      </c>
      <c r="N91" s="10" t="s">
        <v>43</v>
      </c>
      <c r="O91" s="10" t="s">
        <v>60</v>
      </c>
      <c r="P91" s="10" t="s">
        <v>45</v>
      </c>
      <c r="Q91" s="10" t="s">
        <v>46</v>
      </c>
      <c r="R91" s="12">
        <v>1</v>
      </c>
      <c r="S91" s="13">
        <v>431.37</v>
      </c>
      <c r="T91" s="13">
        <v>449.87</v>
      </c>
      <c r="U91" s="12">
        <v>45</v>
      </c>
      <c r="V91" s="13">
        <v>407.25</v>
      </c>
      <c r="W91" s="13">
        <v>431.37</v>
      </c>
      <c r="X91" s="12">
        <v>0</v>
      </c>
      <c r="Y91" s="13">
        <v>0</v>
      </c>
      <c r="Z91" s="13">
        <v>0</v>
      </c>
      <c r="AA91" s="12">
        <v>0</v>
      </c>
      <c r="AB91" s="13">
        <v>0</v>
      </c>
      <c r="AC91" s="13">
        <v>0</v>
      </c>
      <c r="AD91" s="12">
        <v>1</v>
      </c>
      <c r="AE91" s="12">
        <v>0</v>
      </c>
      <c r="AF91" s="12">
        <v>0</v>
      </c>
      <c r="AG91" s="12">
        <v>1</v>
      </c>
      <c r="AH91" s="12">
        <v>0</v>
      </c>
      <c r="AI91" s="12">
        <v>0</v>
      </c>
      <c r="AJ91" s="10">
        <v>6188181</v>
      </c>
      <c r="AK91" s="10" t="s">
        <v>47</v>
      </c>
      <c r="AL91" s="14" t="s">
        <v>142</v>
      </c>
      <c r="AM91" s="10" t="s">
        <v>49</v>
      </c>
      <c r="AN91" s="15">
        <v>202300058732</v>
      </c>
      <c r="AO91" s="16" t="s">
        <v>154</v>
      </c>
      <c r="AP91" s="17">
        <v>3360.39</v>
      </c>
      <c r="AQ91" s="10" t="s">
        <v>51</v>
      </c>
      <c r="AR91" s="10" t="s">
        <v>159</v>
      </c>
      <c r="AS91" s="12">
        <v>1125</v>
      </c>
      <c r="AT91" s="10" t="s">
        <v>53</v>
      </c>
      <c r="AU91" s="10">
        <v>40151500</v>
      </c>
      <c r="AV91" s="10" t="s">
        <v>62</v>
      </c>
      <c r="AW91" s="10" t="s">
        <v>55</v>
      </c>
      <c r="AX91" s="10" t="s">
        <v>56</v>
      </c>
      <c r="AY91" s="10" t="s">
        <v>63</v>
      </c>
      <c r="AZ91" s="10" t="s">
        <v>64</v>
      </c>
      <c r="BG91" t="str">
        <v>Outbound</v>
      </c>
      <c r="BH91" t="str">
        <v>Land</v>
      </c>
      <c r="BI91" t="str">
        <v>FG-R-2189LE26</v>
      </c>
      <c r="BJ91" t="str">
        <v>JOHNSON ELECTRIC NORTH AMERICA, INC.</v>
      </c>
      <c r="BK91" t="str">
        <v xml:space="preserve">APX WH  6001 GLOBAL DISTRIBUTION WAY LOUISVILLE, KY 40228    </v>
      </c>
      <c r="BL91" t="str">
        <v>M45</v>
      </c>
      <c r="BM91" t="str">
        <v>1999-1E30015EN</v>
      </c>
      <c r="BN91" s="24">
        <v>10125</v>
      </c>
      <c r="BO91" s="23">
        <v>4048.83</v>
      </c>
      <c r="BP91" s="26">
        <f t="shared" si="4"/>
        <v>0.43501818901490508</v>
      </c>
      <c r="BQ91" s="21">
        <f t="shared" si="5"/>
        <v>2620.9845888148029</v>
      </c>
    </row>
    <row r="92" spans="2:69" x14ac:dyDescent="0.35">
      <c r="B92" t="s">
        <v>261</v>
      </c>
      <c r="C92" t="s">
        <v>262</v>
      </c>
      <c r="D92" t="str" cm="1">
        <f t="array" ref="D92">_xlfn.REGEXEXTRACT(G92,"FG-R-\d{4}LE\d{2}")</f>
        <v>FG-R-2194LE26</v>
      </c>
      <c r="E92" t="s">
        <v>296</v>
      </c>
      <c r="F92" s="23" cm="1">
        <f t="array" ref="F92">_xlfn.SWITCH(TRUE,T92&gt;0,T92,Z92)</f>
        <v>449.87</v>
      </c>
      <c r="G92" s="10" t="s">
        <v>160</v>
      </c>
      <c r="H92" s="10" t="s">
        <v>38</v>
      </c>
      <c r="I92" s="10" t="s">
        <v>161</v>
      </c>
      <c r="J92" s="11" t="s">
        <v>162</v>
      </c>
      <c r="K92" s="11" t="s">
        <v>162</v>
      </c>
      <c r="L92" s="10" t="s">
        <v>160</v>
      </c>
      <c r="M92" s="10" t="s">
        <v>163</v>
      </c>
      <c r="N92" s="10" t="s">
        <v>43</v>
      </c>
      <c r="O92" s="10" t="s">
        <v>60</v>
      </c>
      <c r="P92" s="10" t="s">
        <v>45</v>
      </c>
      <c r="Q92" s="10" t="s">
        <v>46</v>
      </c>
      <c r="R92" s="12">
        <v>1</v>
      </c>
      <c r="S92" s="13">
        <v>431.37</v>
      </c>
      <c r="T92" s="13">
        <v>449.87</v>
      </c>
      <c r="U92" s="12">
        <v>45</v>
      </c>
      <c r="V92" s="13">
        <v>407.25</v>
      </c>
      <c r="W92" s="13">
        <v>431.37</v>
      </c>
      <c r="X92" s="12">
        <v>0</v>
      </c>
      <c r="Y92" s="13">
        <v>0</v>
      </c>
      <c r="Z92" s="13">
        <v>0</v>
      </c>
      <c r="AA92" s="12">
        <v>0</v>
      </c>
      <c r="AB92" s="13">
        <v>0</v>
      </c>
      <c r="AC92" s="13">
        <v>0</v>
      </c>
      <c r="AD92" s="12">
        <v>1</v>
      </c>
      <c r="AE92" s="12">
        <v>0</v>
      </c>
      <c r="AF92" s="12">
        <v>0</v>
      </c>
      <c r="AG92" s="12">
        <v>1</v>
      </c>
      <c r="AH92" s="12">
        <v>0</v>
      </c>
      <c r="AI92" s="12">
        <v>0</v>
      </c>
      <c r="AJ92" s="10">
        <v>6188168</v>
      </c>
      <c r="AK92" s="10" t="s">
        <v>47</v>
      </c>
      <c r="AL92" s="14" t="s">
        <v>142</v>
      </c>
      <c r="AM92" s="10" t="s">
        <v>49</v>
      </c>
      <c r="AN92" s="15">
        <v>202300058756</v>
      </c>
      <c r="AO92" s="16" t="s">
        <v>154</v>
      </c>
      <c r="AP92" s="17">
        <v>3360.39</v>
      </c>
      <c r="AQ92" s="10" t="s">
        <v>51</v>
      </c>
      <c r="AR92" s="10" t="s">
        <v>159</v>
      </c>
      <c r="AS92" s="12">
        <v>1125</v>
      </c>
      <c r="AT92" s="10" t="s">
        <v>53</v>
      </c>
      <c r="AU92" s="10">
        <v>40151500</v>
      </c>
      <c r="AV92" s="10" t="s">
        <v>62</v>
      </c>
      <c r="AW92" s="10" t="s">
        <v>55</v>
      </c>
      <c r="AX92" s="10" t="s">
        <v>56</v>
      </c>
      <c r="AY92" s="10" t="s">
        <v>63</v>
      </c>
      <c r="AZ92" s="10" t="s">
        <v>64</v>
      </c>
      <c r="BG92" t="str">
        <v>Outbound</v>
      </c>
      <c r="BH92" t="str">
        <v>Land</v>
      </c>
      <c r="BI92" t="str">
        <v>FG-R-2189LE26</v>
      </c>
      <c r="BJ92" t="str">
        <v>JOHNSON ELECTRIC NORTH AMERICA, INC.</v>
      </c>
      <c r="BK92" t="str">
        <v xml:space="preserve">APX WH  6001 GLOBAL DISTRIBUTION WAY LOUISVILLE, KY 40228    </v>
      </c>
      <c r="BL92" t="str">
        <v>M45</v>
      </c>
      <c r="BM92" t="str">
        <v>1999-1E30015EN</v>
      </c>
      <c r="BN92" s="24">
        <v>1125</v>
      </c>
      <c r="BO92" s="23">
        <v>449.87</v>
      </c>
      <c r="BP92" s="26">
        <f t="shared" si="4"/>
        <v>4.833535433498945E-2</v>
      </c>
      <c r="BQ92" s="21">
        <f t="shared" si="5"/>
        <v>291.22050986831141</v>
      </c>
    </row>
    <row r="93" spans="2:69" x14ac:dyDescent="0.35">
      <c r="B93" t="s">
        <v>261</v>
      </c>
      <c r="C93" t="s">
        <v>262</v>
      </c>
      <c r="D93" t="str" cm="1">
        <f t="array" ref="D93">_xlfn.REGEXEXTRACT(G93,"FG-R-\d{4}LE\d{2}")</f>
        <v>FG-R-2188LE26</v>
      </c>
      <c r="E93" t="s">
        <v>297</v>
      </c>
      <c r="F93" s="23" cm="1">
        <f t="array" ref="F93">_xlfn.SWITCH(TRUE,T93&gt;0,T93,Z93)</f>
        <v>412.86200000000002</v>
      </c>
      <c r="G93" s="10" t="s">
        <v>164</v>
      </c>
      <c r="H93" s="10" t="s">
        <v>38</v>
      </c>
      <c r="I93" s="10" t="s">
        <v>165</v>
      </c>
      <c r="J93" s="11" t="s">
        <v>152</v>
      </c>
      <c r="K93" s="11" t="s">
        <v>152</v>
      </c>
      <c r="L93" s="10" t="s">
        <v>164</v>
      </c>
      <c r="M93" s="10" t="s">
        <v>166</v>
      </c>
      <c r="N93" s="10" t="s">
        <v>43</v>
      </c>
      <c r="O93" s="10" t="s">
        <v>69</v>
      </c>
      <c r="P93" s="10" t="s">
        <v>45</v>
      </c>
      <c r="Q93" s="10" t="s">
        <v>46</v>
      </c>
      <c r="R93" s="12">
        <v>1</v>
      </c>
      <c r="S93" s="13">
        <v>394.36200000000002</v>
      </c>
      <c r="T93" s="13">
        <v>412.86200000000002</v>
      </c>
      <c r="U93" s="12">
        <v>90</v>
      </c>
      <c r="V93" s="13">
        <v>367.2</v>
      </c>
      <c r="W93" s="13">
        <v>394.36200000000002</v>
      </c>
      <c r="X93" s="12">
        <v>0</v>
      </c>
      <c r="Y93" s="13">
        <v>0</v>
      </c>
      <c r="Z93" s="13">
        <v>0</v>
      </c>
      <c r="AA93" s="12">
        <v>0</v>
      </c>
      <c r="AB93" s="13">
        <v>0</v>
      </c>
      <c r="AC93" s="13">
        <v>0</v>
      </c>
      <c r="AD93" s="12">
        <v>1</v>
      </c>
      <c r="AE93" s="12">
        <v>0</v>
      </c>
      <c r="AF93" s="12">
        <v>0</v>
      </c>
      <c r="AG93" s="12">
        <v>1</v>
      </c>
      <c r="AH93" s="12">
        <v>0</v>
      </c>
      <c r="AI93" s="12">
        <v>0</v>
      </c>
      <c r="AJ93" s="10">
        <v>6186774</v>
      </c>
      <c r="AK93" s="10" t="s">
        <v>47</v>
      </c>
      <c r="AL93" s="14" t="s">
        <v>142</v>
      </c>
      <c r="AM93" s="10" t="s">
        <v>49</v>
      </c>
      <c r="AN93" s="15">
        <v>202300058711</v>
      </c>
      <c r="AO93" s="16" t="s">
        <v>143</v>
      </c>
      <c r="AP93" s="17">
        <v>5955.19</v>
      </c>
      <c r="AQ93" s="10" t="s">
        <v>51</v>
      </c>
      <c r="AR93" s="10" t="s">
        <v>167</v>
      </c>
      <c r="AS93" s="12">
        <v>3600</v>
      </c>
      <c r="AT93" s="10" t="s">
        <v>53</v>
      </c>
      <c r="AU93" s="10">
        <v>40151500</v>
      </c>
      <c r="AV93" s="10" t="s">
        <v>62</v>
      </c>
      <c r="AW93" s="10" t="s">
        <v>55</v>
      </c>
      <c r="AX93" s="10" t="s">
        <v>56</v>
      </c>
      <c r="AY93" s="10" t="s">
        <v>73</v>
      </c>
      <c r="AZ93" s="10" t="s">
        <v>74</v>
      </c>
      <c r="BG93" t="str">
        <v>Outbound</v>
      </c>
      <c r="BH93" t="str">
        <v>Land</v>
      </c>
      <c r="BI93" t="str">
        <v>FG-R-2190LE26</v>
      </c>
      <c r="BJ93" t="str">
        <v>SAIA-BURGESS AUTOMOTIVE ACTUATORS, LLC</v>
      </c>
      <c r="BK93" t="str">
        <v xml:space="preserve">755 Bill Jones Drive      </v>
      </c>
      <c r="BL93" t="str">
        <v>M19</v>
      </c>
      <c r="BM93" t="str">
        <v>1999-5YY1255EN</v>
      </c>
      <c r="BN93" s="24">
        <v>4536</v>
      </c>
      <c r="BO93" s="23">
        <v>9839.5920000000006</v>
      </c>
      <c r="BP93" s="26">
        <f t="shared" si="4"/>
        <v>0.35050778715258751</v>
      </c>
      <c r="BQ93" s="21">
        <f t="shared" si="5"/>
        <v>1821.5889698319972</v>
      </c>
    </row>
    <row r="94" spans="2:69" x14ac:dyDescent="0.35">
      <c r="B94" t="s">
        <v>261</v>
      </c>
      <c r="C94" t="s">
        <v>262</v>
      </c>
      <c r="D94" t="str" cm="1">
        <f t="array" ref="D94">_xlfn.REGEXEXTRACT(G94,"FG-R-\d{4}LE\d{2}")</f>
        <v>FG-R-2188LE26</v>
      </c>
      <c r="E94" t="s">
        <v>297</v>
      </c>
      <c r="F94" s="23" cm="1">
        <f t="array" ref="F94">_xlfn.SWITCH(TRUE,T94&gt;0,T94,Z94)</f>
        <v>1742.04</v>
      </c>
      <c r="G94" s="10" t="s">
        <v>164</v>
      </c>
      <c r="H94" s="10" t="s">
        <v>38</v>
      </c>
      <c r="I94" s="10" t="s">
        <v>165</v>
      </c>
      <c r="J94" s="11" t="s">
        <v>152</v>
      </c>
      <c r="K94" s="11" t="s">
        <v>152</v>
      </c>
      <c r="L94" s="10" t="s">
        <v>164</v>
      </c>
      <c r="M94" s="10" t="s">
        <v>166</v>
      </c>
      <c r="N94" s="10" t="s">
        <v>43</v>
      </c>
      <c r="O94" s="10" t="s">
        <v>69</v>
      </c>
      <c r="P94" s="10" t="s">
        <v>45</v>
      </c>
      <c r="Q94" s="10" t="s">
        <v>46</v>
      </c>
      <c r="R94" s="12">
        <v>3</v>
      </c>
      <c r="S94" s="13">
        <v>1661.04</v>
      </c>
      <c r="T94" s="13">
        <v>1742.04</v>
      </c>
      <c r="U94" s="12">
        <v>240</v>
      </c>
      <c r="V94" s="13">
        <v>648</v>
      </c>
      <c r="W94" s="13">
        <v>1661.04</v>
      </c>
      <c r="X94" s="12">
        <v>0</v>
      </c>
      <c r="Y94" s="13">
        <v>0</v>
      </c>
      <c r="Z94" s="13">
        <v>0</v>
      </c>
      <c r="AA94" s="12">
        <v>0</v>
      </c>
      <c r="AB94" s="13">
        <v>0</v>
      </c>
      <c r="AC94" s="13">
        <v>0</v>
      </c>
      <c r="AD94" s="12">
        <v>3</v>
      </c>
      <c r="AE94" s="12">
        <v>0</v>
      </c>
      <c r="AF94" s="12">
        <v>0</v>
      </c>
      <c r="AG94" s="12">
        <v>3</v>
      </c>
      <c r="AH94" s="12">
        <v>0</v>
      </c>
      <c r="AI94" s="12">
        <v>0</v>
      </c>
      <c r="AJ94" s="10">
        <v>6186773</v>
      </c>
      <c r="AK94" s="10" t="s">
        <v>47</v>
      </c>
      <c r="AL94" s="14" t="s">
        <v>142</v>
      </c>
      <c r="AM94" s="10" t="s">
        <v>49</v>
      </c>
      <c r="AN94" s="15">
        <v>202300058710</v>
      </c>
      <c r="AO94" s="16" t="s">
        <v>143</v>
      </c>
      <c r="AP94" s="17">
        <v>11052.42</v>
      </c>
      <c r="AQ94" s="10" t="s">
        <v>51</v>
      </c>
      <c r="AR94" s="10" t="s">
        <v>72</v>
      </c>
      <c r="AS94" s="12">
        <v>6000</v>
      </c>
      <c r="AT94" s="10" t="s">
        <v>53</v>
      </c>
      <c r="AU94" s="10">
        <v>40151500</v>
      </c>
      <c r="AV94" s="10" t="s">
        <v>62</v>
      </c>
      <c r="AW94" s="10" t="s">
        <v>55</v>
      </c>
      <c r="AX94" s="10" t="s">
        <v>56</v>
      </c>
      <c r="AY94" s="10" t="s">
        <v>73</v>
      </c>
      <c r="AZ94" s="10" t="s">
        <v>74</v>
      </c>
      <c r="BG94" t="str">
        <v>Outbound</v>
      </c>
      <c r="BH94" t="str">
        <v>Land</v>
      </c>
      <c r="BI94" t="str">
        <v>FG-R-2190LE26</v>
      </c>
      <c r="BJ94" t="str">
        <v>SAIA-BURGESS AUTOMOTIVE ACTUATORS, LLC</v>
      </c>
      <c r="BK94" t="str">
        <v xml:space="preserve">755 Bill Jones Drive      </v>
      </c>
      <c r="BL94" t="str">
        <v>M19</v>
      </c>
      <c r="BM94" t="str">
        <v>1999-5YY1255EN</v>
      </c>
      <c r="BN94" s="24">
        <v>4536</v>
      </c>
      <c r="BO94" s="23">
        <v>9839.5920000000006</v>
      </c>
      <c r="BP94" s="26">
        <f t="shared" si="4"/>
        <v>0.35050778715258751</v>
      </c>
      <c r="BQ94" s="21">
        <f t="shared" si="5"/>
        <v>1821.5889698319972</v>
      </c>
    </row>
    <row r="95" spans="2:69" x14ac:dyDescent="0.35">
      <c r="B95" t="s">
        <v>261</v>
      </c>
      <c r="C95" t="s">
        <v>262</v>
      </c>
      <c r="D95" t="str" cm="1">
        <f t="array" ref="D95">_xlfn.REGEXEXTRACT(G95,"FG-R-\d{4}LE\d{2}")</f>
        <v>FG-R-2188LE26</v>
      </c>
      <c r="E95" t="s">
        <v>297</v>
      </c>
      <c r="F95" s="23" cm="1">
        <f t="array" ref="F95">_xlfn.SWITCH(TRUE,T95&gt;0,T95,Z95)</f>
        <v>1651.4480000000001</v>
      </c>
      <c r="G95" s="10" t="s">
        <v>164</v>
      </c>
      <c r="H95" s="10" t="s">
        <v>38</v>
      </c>
      <c r="I95" s="10" t="s">
        <v>165</v>
      </c>
      <c r="J95" s="11" t="s">
        <v>152</v>
      </c>
      <c r="K95" s="11" t="s">
        <v>152</v>
      </c>
      <c r="L95" s="10" t="s">
        <v>164</v>
      </c>
      <c r="M95" s="10" t="s">
        <v>166</v>
      </c>
      <c r="N95" s="10" t="s">
        <v>43</v>
      </c>
      <c r="O95" s="10" t="s">
        <v>69</v>
      </c>
      <c r="P95" s="10" t="s">
        <v>45</v>
      </c>
      <c r="Q95" s="10" t="s">
        <v>46</v>
      </c>
      <c r="R95" s="12">
        <v>4</v>
      </c>
      <c r="S95" s="13">
        <v>1577.4480000000001</v>
      </c>
      <c r="T95" s="13">
        <v>1651.4480000000001</v>
      </c>
      <c r="U95" s="12">
        <v>360</v>
      </c>
      <c r="V95" s="13">
        <v>1468.8</v>
      </c>
      <c r="W95" s="13">
        <v>1577.4480000000001</v>
      </c>
      <c r="X95" s="12">
        <v>0</v>
      </c>
      <c r="Y95" s="13">
        <v>0</v>
      </c>
      <c r="Z95" s="13">
        <v>0</v>
      </c>
      <c r="AA95" s="12">
        <v>0</v>
      </c>
      <c r="AB95" s="13">
        <v>0</v>
      </c>
      <c r="AC95" s="13">
        <v>0</v>
      </c>
      <c r="AD95" s="12">
        <v>4</v>
      </c>
      <c r="AE95" s="12">
        <v>0</v>
      </c>
      <c r="AF95" s="12">
        <v>0</v>
      </c>
      <c r="AG95" s="12">
        <v>4</v>
      </c>
      <c r="AH95" s="12">
        <v>0</v>
      </c>
      <c r="AI95" s="12">
        <v>0</v>
      </c>
      <c r="AJ95" s="10">
        <v>6186771</v>
      </c>
      <c r="AK95" s="10" t="s">
        <v>47</v>
      </c>
      <c r="AL95" s="14" t="s">
        <v>142</v>
      </c>
      <c r="AM95" s="10" t="s">
        <v>49</v>
      </c>
      <c r="AN95" s="15">
        <v>202300058707</v>
      </c>
      <c r="AO95" s="16" t="s">
        <v>143</v>
      </c>
      <c r="AP95" s="17">
        <v>22900.04</v>
      </c>
      <c r="AQ95" s="10" t="s">
        <v>51</v>
      </c>
      <c r="AR95" s="10" t="s">
        <v>75</v>
      </c>
      <c r="AS95" s="12">
        <v>14400</v>
      </c>
      <c r="AT95" s="10" t="s">
        <v>53</v>
      </c>
      <c r="AU95" s="10">
        <v>40151500</v>
      </c>
      <c r="AV95" s="10" t="s">
        <v>62</v>
      </c>
      <c r="AW95" s="10" t="s">
        <v>55</v>
      </c>
      <c r="AX95" s="10" t="s">
        <v>56</v>
      </c>
      <c r="AY95" s="10" t="s">
        <v>73</v>
      </c>
      <c r="AZ95" s="10" t="s">
        <v>74</v>
      </c>
      <c r="BG95" t="str">
        <v>Outbound</v>
      </c>
      <c r="BH95" t="str">
        <v>Land</v>
      </c>
      <c r="BI95" t="str">
        <v>FG-R-2190LE26</v>
      </c>
      <c r="BJ95" t="str">
        <v>SAIA-BURGESS AUTOMOTIVE ACTUATORS, LLC</v>
      </c>
      <c r="BK95" t="str">
        <v xml:space="preserve">755 Bill Jones Drive      </v>
      </c>
      <c r="BL95" t="str">
        <v>M19</v>
      </c>
      <c r="BM95" t="str">
        <v>1999-5YY1445EN</v>
      </c>
      <c r="BN95" s="24">
        <v>1080</v>
      </c>
      <c r="BO95" s="23">
        <v>2376.2399999999998</v>
      </c>
      <c r="BP95" s="26">
        <f t="shared" si="4"/>
        <v>8.4646865860237341E-2</v>
      </c>
      <c r="BQ95" s="21">
        <f t="shared" si="5"/>
        <v>439.90976187565349</v>
      </c>
    </row>
    <row r="96" spans="2:69" x14ac:dyDescent="0.35">
      <c r="B96" t="s">
        <v>261</v>
      </c>
      <c r="C96" t="s">
        <v>262</v>
      </c>
      <c r="D96" t="str" cm="1">
        <f t="array" ref="D96">_xlfn.REGEXEXTRACT(G96,"FG-R-\d{4}LE\d{2}")</f>
        <v>FG-R-2188LE26</v>
      </c>
      <c r="E96" t="s">
        <v>297</v>
      </c>
      <c r="F96" s="23" cm="1">
        <f t="array" ref="F96">_xlfn.SWITCH(TRUE,T96&gt;0,T96,Z96)</f>
        <v>595.82463800000005</v>
      </c>
      <c r="G96" s="10" t="s">
        <v>164</v>
      </c>
      <c r="H96" s="10" t="s">
        <v>38</v>
      </c>
      <c r="I96" s="10" t="s">
        <v>165</v>
      </c>
      <c r="J96" s="11" t="s">
        <v>152</v>
      </c>
      <c r="K96" s="11" t="s">
        <v>152</v>
      </c>
      <c r="L96" s="10" t="s">
        <v>164</v>
      </c>
      <c r="M96" s="10" t="s">
        <v>166</v>
      </c>
      <c r="N96" s="10" t="s">
        <v>43</v>
      </c>
      <c r="O96" s="10" t="s">
        <v>69</v>
      </c>
      <c r="P96" s="10" t="s">
        <v>45</v>
      </c>
      <c r="Q96" s="10" t="s">
        <v>46</v>
      </c>
      <c r="R96" s="12">
        <v>2</v>
      </c>
      <c r="S96" s="13">
        <v>557.82463800000005</v>
      </c>
      <c r="T96" s="13">
        <v>595.82463800000005</v>
      </c>
      <c r="U96" s="12">
        <v>140</v>
      </c>
      <c r="V96" s="13">
        <v>557.76</v>
      </c>
      <c r="W96" s="13">
        <v>557.82463800000005</v>
      </c>
      <c r="X96" s="12">
        <v>0</v>
      </c>
      <c r="Y96" s="13">
        <v>0</v>
      </c>
      <c r="Z96" s="13">
        <v>0</v>
      </c>
      <c r="AA96" s="12">
        <v>0</v>
      </c>
      <c r="AB96" s="13">
        <v>0</v>
      </c>
      <c r="AC96" s="13">
        <v>0</v>
      </c>
      <c r="AD96" s="12">
        <v>2</v>
      </c>
      <c r="AE96" s="12">
        <v>0</v>
      </c>
      <c r="AF96" s="12">
        <v>0</v>
      </c>
      <c r="AG96" s="12">
        <v>2</v>
      </c>
      <c r="AH96" s="12">
        <v>0</v>
      </c>
      <c r="AI96" s="12">
        <v>0</v>
      </c>
      <c r="AJ96" s="10">
        <v>6186776</v>
      </c>
      <c r="AK96" s="10" t="s">
        <v>47</v>
      </c>
      <c r="AL96" s="14" t="s">
        <v>142</v>
      </c>
      <c r="AM96" s="10" t="s">
        <v>49</v>
      </c>
      <c r="AN96" s="15">
        <v>202300058713</v>
      </c>
      <c r="AO96" s="16" t="s">
        <v>143</v>
      </c>
      <c r="AP96" s="17">
        <v>10752.22</v>
      </c>
      <c r="AQ96" s="10" t="s">
        <v>51</v>
      </c>
      <c r="AR96" s="10" t="s">
        <v>81</v>
      </c>
      <c r="AS96" s="12">
        <v>4200</v>
      </c>
      <c r="AT96" s="10" t="s">
        <v>53</v>
      </c>
      <c r="AU96" s="10">
        <v>25171506</v>
      </c>
      <c r="AV96" s="10" t="s">
        <v>82</v>
      </c>
      <c r="AW96" s="10" t="s">
        <v>55</v>
      </c>
      <c r="AX96" s="10" t="s">
        <v>56</v>
      </c>
      <c r="AY96" s="10" t="s">
        <v>73</v>
      </c>
      <c r="AZ96" s="10" t="s">
        <v>74</v>
      </c>
      <c r="BG96" t="str">
        <v>Outbound</v>
      </c>
      <c r="BH96" t="str">
        <v>Land</v>
      </c>
      <c r="BI96" t="str">
        <v>FG-R-2190LE26</v>
      </c>
      <c r="BJ96" t="str">
        <v>SAIA-BURGESS AUTOMOTIVE ACTUATORS, LLC</v>
      </c>
      <c r="BK96" t="str">
        <v xml:space="preserve">755 Bill Jones Drive      </v>
      </c>
      <c r="BL96" t="str">
        <v>M19</v>
      </c>
      <c r="BM96" t="str">
        <v>1999-5YY1171EN</v>
      </c>
      <c r="BN96" s="24">
        <v>128</v>
      </c>
      <c r="BO96" s="23">
        <v>313.99200000000002</v>
      </c>
      <c r="BP96" s="26">
        <f t="shared" si="4"/>
        <v>1.1185081770018031E-2</v>
      </c>
      <c r="BQ96" s="21">
        <f t="shared" si="5"/>
        <v>58.12886995878371</v>
      </c>
    </row>
    <row r="97" spans="2:69" x14ac:dyDescent="0.35">
      <c r="B97" t="s">
        <v>261</v>
      </c>
      <c r="C97" t="s">
        <v>262</v>
      </c>
      <c r="D97" t="str" cm="1">
        <f t="array" ref="D97">_xlfn.REGEXEXTRACT(G97,"FG-R-\d{4}LE\d{2}")</f>
        <v>FG-R-2188LE26</v>
      </c>
      <c r="E97" t="s">
        <v>297</v>
      </c>
      <c r="F97" s="23" cm="1">
        <f t="array" ref="F97">_xlfn.SWITCH(TRUE,T97&gt;0,T97,Z97)</f>
        <v>633.24</v>
      </c>
      <c r="G97" s="10" t="s">
        <v>164</v>
      </c>
      <c r="H97" s="10" t="s">
        <v>38</v>
      </c>
      <c r="I97" s="10" t="s">
        <v>165</v>
      </c>
      <c r="J97" s="11" t="s">
        <v>152</v>
      </c>
      <c r="K97" s="11" t="s">
        <v>152</v>
      </c>
      <c r="L97" s="10" t="s">
        <v>164</v>
      </c>
      <c r="M97" s="10" t="s">
        <v>166</v>
      </c>
      <c r="N97" s="10" t="s">
        <v>43</v>
      </c>
      <c r="O97" s="10" t="s">
        <v>69</v>
      </c>
      <c r="P97" s="10" t="s">
        <v>45</v>
      </c>
      <c r="Q97" s="10" t="s">
        <v>46</v>
      </c>
      <c r="R97" s="12">
        <v>1</v>
      </c>
      <c r="S97" s="13">
        <v>606.24</v>
      </c>
      <c r="T97" s="13">
        <v>633.24</v>
      </c>
      <c r="U97" s="12">
        <v>60</v>
      </c>
      <c r="V97" s="13">
        <v>570.24</v>
      </c>
      <c r="W97" s="13">
        <v>606.24</v>
      </c>
      <c r="X97" s="12">
        <v>0</v>
      </c>
      <c r="Y97" s="13">
        <v>0</v>
      </c>
      <c r="Z97" s="13">
        <v>0</v>
      </c>
      <c r="AA97" s="12">
        <v>0</v>
      </c>
      <c r="AB97" s="13">
        <v>0</v>
      </c>
      <c r="AC97" s="13">
        <v>0</v>
      </c>
      <c r="AD97" s="12">
        <v>1</v>
      </c>
      <c r="AE97" s="12">
        <v>0</v>
      </c>
      <c r="AF97" s="12">
        <v>0</v>
      </c>
      <c r="AG97" s="12">
        <v>1</v>
      </c>
      <c r="AH97" s="12">
        <v>0</v>
      </c>
      <c r="AI97" s="12">
        <v>0</v>
      </c>
      <c r="AJ97" s="10">
        <v>6186777</v>
      </c>
      <c r="AK97" s="10" t="s">
        <v>47</v>
      </c>
      <c r="AL97" s="14" t="s">
        <v>142</v>
      </c>
      <c r="AM97" s="10" t="s">
        <v>49</v>
      </c>
      <c r="AN97" s="15">
        <v>202300058714</v>
      </c>
      <c r="AO97" s="16" t="s">
        <v>143</v>
      </c>
      <c r="AP97" s="17">
        <v>10192.9</v>
      </c>
      <c r="AQ97" s="10" t="s">
        <v>51</v>
      </c>
      <c r="AR97" s="10" t="s">
        <v>168</v>
      </c>
      <c r="AS97" s="12">
        <v>4800</v>
      </c>
      <c r="AT97" s="10" t="s">
        <v>53</v>
      </c>
      <c r="AU97" s="10">
        <v>25171506</v>
      </c>
      <c r="AV97" s="10" t="s">
        <v>82</v>
      </c>
      <c r="AW97" s="10" t="s">
        <v>55</v>
      </c>
      <c r="AX97" s="10" t="s">
        <v>56</v>
      </c>
      <c r="AY97" s="10" t="s">
        <v>73</v>
      </c>
      <c r="AZ97" s="10" t="s">
        <v>74</v>
      </c>
      <c r="BG97" t="str">
        <v>Outbound</v>
      </c>
      <c r="BH97" t="str">
        <v>Land</v>
      </c>
      <c r="BI97" t="str">
        <v>FG-R-2190LE26</v>
      </c>
      <c r="BJ97" t="str">
        <v>SAIA-BURGESS AUTOMOTIVE ACTUATORS, LLC</v>
      </c>
      <c r="BK97" t="str">
        <v xml:space="preserve">755 Bill Jones Drive      </v>
      </c>
      <c r="BL97" t="str">
        <v>M19</v>
      </c>
      <c r="BM97" t="str">
        <v>1999-5YY1145EN</v>
      </c>
      <c r="BN97" s="24">
        <v>1296</v>
      </c>
      <c r="BO97" s="23">
        <v>2851.4879999999998</v>
      </c>
      <c r="BP97" s="26">
        <f t="shared" si="4"/>
        <v>0.10157623903228481</v>
      </c>
      <c r="BQ97" s="21">
        <f t="shared" si="5"/>
        <v>527.89171425078416</v>
      </c>
    </row>
    <row r="98" spans="2:69" x14ac:dyDescent="0.35">
      <c r="B98" t="s">
        <v>261</v>
      </c>
      <c r="C98" t="s">
        <v>262</v>
      </c>
      <c r="D98" t="str" cm="1">
        <f t="array" ref="D98">_xlfn.REGEXEXTRACT(G98,"FG-R-\d{4}LE\d{2}")</f>
        <v>FG-R-2188LE26</v>
      </c>
      <c r="E98" t="s">
        <v>297</v>
      </c>
      <c r="F98" s="23" cm="1">
        <f t="array" ref="F98">_xlfn.SWITCH(TRUE,T98&gt;0,T98,Z98)</f>
        <v>412.86200000000002</v>
      </c>
      <c r="G98" s="10" t="s">
        <v>164</v>
      </c>
      <c r="H98" s="10" t="s">
        <v>38</v>
      </c>
      <c r="I98" s="10" t="s">
        <v>165</v>
      </c>
      <c r="J98" s="11" t="s">
        <v>152</v>
      </c>
      <c r="K98" s="11" t="s">
        <v>152</v>
      </c>
      <c r="L98" s="10" t="s">
        <v>164</v>
      </c>
      <c r="M98" s="10" t="s">
        <v>166</v>
      </c>
      <c r="N98" s="10" t="s">
        <v>43</v>
      </c>
      <c r="O98" s="10" t="s">
        <v>69</v>
      </c>
      <c r="P98" s="10" t="s">
        <v>45</v>
      </c>
      <c r="Q98" s="10" t="s">
        <v>46</v>
      </c>
      <c r="R98" s="12">
        <v>1</v>
      </c>
      <c r="S98" s="13">
        <v>394.36200000000002</v>
      </c>
      <c r="T98" s="13">
        <v>412.86200000000002</v>
      </c>
      <c r="U98" s="12">
        <v>90</v>
      </c>
      <c r="V98" s="13">
        <v>367.2</v>
      </c>
      <c r="W98" s="13">
        <v>394.36200000000002</v>
      </c>
      <c r="X98" s="12">
        <v>0</v>
      </c>
      <c r="Y98" s="13">
        <v>0</v>
      </c>
      <c r="Z98" s="13">
        <v>0</v>
      </c>
      <c r="AA98" s="12">
        <v>0</v>
      </c>
      <c r="AB98" s="13">
        <v>0</v>
      </c>
      <c r="AC98" s="13">
        <v>0</v>
      </c>
      <c r="AD98" s="12">
        <v>1</v>
      </c>
      <c r="AE98" s="12">
        <v>0</v>
      </c>
      <c r="AF98" s="12">
        <v>0</v>
      </c>
      <c r="AG98" s="12">
        <v>1</v>
      </c>
      <c r="AH98" s="12">
        <v>0</v>
      </c>
      <c r="AI98" s="12">
        <v>0</v>
      </c>
      <c r="AJ98" s="10">
        <v>6186775</v>
      </c>
      <c r="AK98" s="10" t="s">
        <v>47</v>
      </c>
      <c r="AL98" s="14" t="s">
        <v>142</v>
      </c>
      <c r="AM98" s="10" t="s">
        <v>49</v>
      </c>
      <c r="AN98" s="15">
        <v>202300058712</v>
      </c>
      <c r="AO98" s="16" t="s">
        <v>143</v>
      </c>
      <c r="AP98" s="17">
        <v>5955.19</v>
      </c>
      <c r="AQ98" s="10" t="s">
        <v>51</v>
      </c>
      <c r="AR98" s="10" t="s">
        <v>167</v>
      </c>
      <c r="AS98" s="12">
        <v>3600</v>
      </c>
      <c r="AT98" s="10" t="s">
        <v>53</v>
      </c>
      <c r="AU98" s="10">
        <v>40151500</v>
      </c>
      <c r="AV98" s="10" t="s">
        <v>62</v>
      </c>
      <c r="AW98" s="10" t="s">
        <v>55</v>
      </c>
      <c r="AX98" s="10" t="s">
        <v>56</v>
      </c>
      <c r="AY98" s="10" t="s">
        <v>73</v>
      </c>
      <c r="AZ98" s="10" t="s">
        <v>74</v>
      </c>
      <c r="BG98" t="str">
        <v>Outbound</v>
      </c>
      <c r="BH98" t="str">
        <v>Land</v>
      </c>
      <c r="BI98" t="str">
        <v>FG-R-2190LE26</v>
      </c>
      <c r="BJ98" t="str">
        <v>SAIA-BURGESS AUTOMOTIVE ACTUATORS, LLC</v>
      </c>
      <c r="BK98" t="str">
        <v xml:space="preserve">755 Bill Jones Drive      </v>
      </c>
      <c r="BL98" t="str">
        <v>M19</v>
      </c>
      <c r="BM98" t="str">
        <v>1999-5YY1145EN</v>
      </c>
      <c r="BN98" s="24">
        <v>1296</v>
      </c>
      <c r="BO98" s="23">
        <v>2851.4879999999998</v>
      </c>
      <c r="BP98" s="26">
        <f t="shared" si="4"/>
        <v>0.10157623903228481</v>
      </c>
      <c r="BQ98" s="21">
        <f t="shared" si="5"/>
        <v>527.89171425078416</v>
      </c>
    </row>
    <row r="99" spans="2:69" x14ac:dyDescent="0.35">
      <c r="B99" t="s">
        <v>261</v>
      </c>
      <c r="C99" t="s">
        <v>262</v>
      </c>
      <c r="D99" t="str" cm="1">
        <f t="array" ref="D99">_xlfn.REGEXEXTRACT(G99,"FG-R-\d{4}LE\d{2}")</f>
        <v>FG-R-2188LE26</v>
      </c>
      <c r="E99" t="s">
        <v>297</v>
      </c>
      <c r="F99" s="23" cm="1">
        <f t="array" ref="F99">_xlfn.SWITCH(TRUE,T99&gt;0,T99,Z99)</f>
        <v>549.79999999999995</v>
      </c>
      <c r="G99" s="10" t="s">
        <v>164</v>
      </c>
      <c r="H99" s="10" t="s">
        <v>38</v>
      </c>
      <c r="I99" s="10" t="s">
        <v>165</v>
      </c>
      <c r="J99" s="11" t="s">
        <v>152</v>
      </c>
      <c r="K99" s="11" t="s">
        <v>152</v>
      </c>
      <c r="L99" s="10" t="s">
        <v>164</v>
      </c>
      <c r="M99" s="10" t="s">
        <v>166</v>
      </c>
      <c r="N99" s="10" t="s">
        <v>43</v>
      </c>
      <c r="O99" s="10" t="s">
        <v>69</v>
      </c>
      <c r="P99" s="10" t="s">
        <v>45</v>
      </c>
      <c r="Q99" s="10" t="s">
        <v>46</v>
      </c>
      <c r="R99" s="12">
        <v>5</v>
      </c>
      <c r="S99" s="13">
        <v>424.8</v>
      </c>
      <c r="T99" s="13">
        <v>549.79999999999995</v>
      </c>
      <c r="U99" s="12">
        <v>0</v>
      </c>
      <c r="V99" s="13">
        <v>424.8</v>
      </c>
      <c r="W99" s="13">
        <v>424.8</v>
      </c>
      <c r="X99" s="12">
        <v>0</v>
      </c>
      <c r="Y99" s="13">
        <v>0</v>
      </c>
      <c r="Z99" s="13">
        <v>0</v>
      </c>
      <c r="AA99" s="12">
        <v>0</v>
      </c>
      <c r="AB99" s="13">
        <v>0</v>
      </c>
      <c r="AC99" s="13">
        <v>0</v>
      </c>
      <c r="AD99" s="12">
        <v>5</v>
      </c>
      <c r="AE99" s="12">
        <v>0</v>
      </c>
      <c r="AF99" s="12">
        <v>0</v>
      </c>
      <c r="AG99" s="12">
        <v>5</v>
      </c>
      <c r="AH99" s="12">
        <v>0</v>
      </c>
      <c r="AI99" s="12">
        <v>0</v>
      </c>
      <c r="AJ99" s="10">
        <v>6186745</v>
      </c>
      <c r="AK99" s="10" t="s">
        <v>47</v>
      </c>
      <c r="AL99" s="14" t="s">
        <v>142</v>
      </c>
      <c r="AM99" s="10" t="s">
        <v>49</v>
      </c>
      <c r="AN99" s="15">
        <v>202300058716</v>
      </c>
      <c r="AO99" s="16" t="s">
        <v>143</v>
      </c>
      <c r="AP99" s="17">
        <v>19258.8</v>
      </c>
      <c r="AQ99" s="10" t="s">
        <v>51</v>
      </c>
      <c r="AR99" s="10" t="s">
        <v>77</v>
      </c>
      <c r="AS99" s="12">
        <v>7200</v>
      </c>
      <c r="AT99" s="10" t="s">
        <v>53</v>
      </c>
      <c r="AU99" s="10">
        <v>26101200</v>
      </c>
      <c r="AV99" s="10" t="s">
        <v>78</v>
      </c>
      <c r="AW99" s="10" t="s">
        <v>55</v>
      </c>
      <c r="AX99" s="10" t="s">
        <v>56</v>
      </c>
      <c r="AY99" s="10" t="s">
        <v>79</v>
      </c>
      <c r="AZ99" s="10" t="s">
        <v>80</v>
      </c>
      <c r="BG99" t="str">
        <v>Outbound</v>
      </c>
      <c r="BH99" t="str">
        <v>Land</v>
      </c>
      <c r="BI99" t="str">
        <v>FG-R-2191LE26</v>
      </c>
      <c r="BJ99" t="str">
        <v>SAIA-BURGESS AUTOMOTIVE ACTUATORS, LLC</v>
      </c>
      <c r="BK99" t="str">
        <v xml:space="preserve">755 BILL JONES DRIVE      </v>
      </c>
      <c r="BL99" t="str">
        <v>M19</v>
      </c>
      <c r="BM99" t="str">
        <v>1999-5YY1117EN</v>
      </c>
      <c r="BN99" s="24">
        <v>972</v>
      </c>
      <c r="BO99" s="23">
        <v>2832.3719999999998</v>
      </c>
      <c r="BP99" s="26">
        <f t="shared" si="4"/>
        <v>7.1713565026849557E-2</v>
      </c>
      <c r="BQ99" s="21">
        <f t="shared" si="5"/>
        <v>352.74183498589565</v>
      </c>
    </row>
    <row r="100" spans="2:69" x14ac:dyDescent="0.35">
      <c r="B100" t="s">
        <v>261</v>
      </c>
      <c r="C100" t="s">
        <v>262</v>
      </c>
      <c r="D100" t="str" cm="1">
        <f t="array" ref="D100">_xlfn.REGEXEXTRACT(G100,"FG-R-\d{4}LE\d{2}")</f>
        <v>FG-R-2188LE26</v>
      </c>
      <c r="E100" t="s">
        <v>297</v>
      </c>
      <c r="F100" s="23" cm="1">
        <f t="array" ref="F100">_xlfn.SWITCH(TRUE,T100&gt;0,T100,Z100)</f>
        <v>769.72</v>
      </c>
      <c r="G100" s="10" t="s">
        <v>164</v>
      </c>
      <c r="H100" s="10" t="s">
        <v>38</v>
      </c>
      <c r="I100" s="10" t="s">
        <v>165</v>
      </c>
      <c r="J100" s="11" t="s">
        <v>152</v>
      </c>
      <c r="K100" s="11" t="s">
        <v>152</v>
      </c>
      <c r="L100" s="10" t="s">
        <v>164</v>
      </c>
      <c r="M100" s="10" t="s">
        <v>166</v>
      </c>
      <c r="N100" s="10" t="s">
        <v>43</v>
      </c>
      <c r="O100" s="10" t="s">
        <v>69</v>
      </c>
      <c r="P100" s="10" t="s">
        <v>45</v>
      </c>
      <c r="Q100" s="10" t="s">
        <v>46</v>
      </c>
      <c r="R100" s="12">
        <v>7</v>
      </c>
      <c r="S100" s="13">
        <v>594.72</v>
      </c>
      <c r="T100" s="13">
        <v>769.72</v>
      </c>
      <c r="U100" s="12">
        <v>0</v>
      </c>
      <c r="V100" s="13">
        <v>594.72</v>
      </c>
      <c r="W100" s="13">
        <v>594.72</v>
      </c>
      <c r="X100" s="12">
        <v>0</v>
      </c>
      <c r="Y100" s="13">
        <v>0</v>
      </c>
      <c r="Z100" s="13">
        <v>0</v>
      </c>
      <c r="AA100" s="12">
        <v>0</v>
      </c>
      <c r="AB100" s="13">
        <v>0</v>
      </c>
      <c r="AC100" s="13">
        <v>0</v>
      </c>
      <c r="AD100" s="12">
        <v>7</v>
      </c>
      <c r="AE100" s="12">
        <v>0</v>
      </c>
      <c r="AF100" s="12">
        <v>0</v>
      </c>
      <c r="AG100" s="12">
        <v>7</v>
      </c>
      <c r="AH100" s="12">
        <v>0</v>
      </c>
      <c r="AI100" s="12">
        <v>0</v>
      </c>
      <c r="AJ100" s="10">
        <v>6186747</v>
      </c>
      <c r="AK100" s="10" t="s">
        <v>47</v>
      </c>
      <c r="AL100" s="14" t="s">
        <v>142</v>
      </c>
      <c r="AM100" s="10" t="s">
        <v>49</v>
      </c>
      <c r="AN100" s="15">
        <v>202300058717</v>
      </c>
      <c r="AO100" s="16" t="s">
        <v>143</v>
      </c>
      <c r="AP100" s="17">
        <v>26962.32</v>
      </c>
      <c r="AQ100" s="10" t="s">
        <v>51</v>
      </c>
      <c r="AR100" s="10" t="s">
        <v>77</v>
      </c>
      <c r="AS100" s="12">
        <v>10080</v>
      </c>
      <c r="AT100" s="10" t="s">
        <v>53</v>
      </c>
      <c r="AU100" s="10">
        <v>26101200</v>
      </c>
      <c r="AV100" s="10" t="s">
        <v>78</v>
      </c>
      <c r="AW100" s="10" t="s">
        <v>55</v>
      </c>
      <c r="AX100" s="10" t="s">
        <v>56</v>
      </c>
      <c r="AY100" s="10" t="s">
        <v>79</v>
      </c>
      <c r="AZ100" s="10" t="s">
        <v>80</v>
      </c>
      <c r="BG100" t="str">
        <v>Outbound</v>
      </c>
      <c r="BH100" t="str">
        <v>Land</v>
      </c>
      <c r="BI100" t="str">
        <v>FG-R-2191LE26</v>
      </c>
      <c r="BJ100" t="str">
        <v>SAIA-BURGESS AUTOMOTIVE ACTUATORS, LLC</v>
      </c>
      <c r="BK100" t="str">
        <v xml:space="preserve">755 BILL JONES DRIVE      </v>
      </c>
      <c r="BL100" t="str">
        <v>M19</v>
      </c>
      <c r="BM100" t="str">
        <v>1999-5YY1117EN</v>
      </c>
      <c r="BN100" s="24">
        <v>972</v>
      </c>
      <c r="BO100" s="23">
        <v>2832.3719999999998</v>
      </c>
      <c r="BP100" s="26">
        <f t="shared" si="4"/>
        <v>7.1713565026849557E-2</v>
      </c>
      <c r="BQ100" s="21">
        <f t="shared" si="5"/>
        <v>352.74183498589565</v>
      </c>
    </row>
    <row r="101" spans="2:69" x14ac:dyDescent="0.35">
      <c r="B101" t="s">
        <v>261</v>
      </c>
      <c r="C101" t="s">
        <v>262</v>
      </c>
      <c r="D101" t="str" cm="1">
        <f t="array" ref="D101">_xlfn.REGEXEXTRACT(G101,"FG-R-\d{4}LE\d{2}")</f>
        <v>FG-R-2188LE26</v>
      </c>
      <c r="E101" t="s">
        <v>297</v>
      </c>
      <c r="F101" s="23" cm="1">
        <f t="array" ref="F101">_xlfn.SWITCH(TRUE,T101&gt;0,T101,Z101)</f>
        <v>439.84</v>
      </c>
      <c r="G101" s="10" t="s">
        <v>164</v>
      </c>
      <c r="H101" s="10" t="s">
        <v>38</v>
      </c>
      <c r="I101" s="10" t="s">
        <v>165</v>
      </c>
      <c r="J101" s="11" t="s">
        <v>152</v>
      </c>
      <c r="K101" s="11" t="s">
        <v>152</v>
      </c>
      <c r="L101" s="10" t="s">
        <v>164</v>
      </c>
      <c r="M101" s="10" t="s">
        <v>166</v>
      </c>
      <c r="N101" s="10" t="s">
        <v>43</v>
      </c>
      <c r="O101" s="10" t="s">
        <v>69</v>
      </c>
      <c r="P101" s="10" t="s">
        <v>45</v>
      </c>
      <c r="Q101" s="10" t="s">
        <v>46</v>
      </c>
      <c r="R101" s="12">
        <v>4</v>
      </c>
      <c r="S101" s="13">
        <v>339.84</v>
      </c>
      <c r="T101" s="13">
        <v>439.84</v>
      </c>
      <c r="U101" s="12">
        <v>0</v>
      </c>
      <c r="V101" s="13">
        <v>339.84</v>
      </c>
      <c r="W101" s="13">
        <v>339.84</v>
      </c>
      <c r="X101" s="12">
        <v>0</v>
      </c>
      <c r="Y101" s="13">
        <v>0</v>
      </c>
      <c r="Z101" s="13">
        <v>0</v>
      </c>
      <c r="AA101" s="12">
        <v>0</v>
      </c>
      <c r="AB101" s="13">
        <v>0</v>
      </c>
      <c r="AC101" s="13">
        <v>0</v>
      </c>
      <c r="AD101" s="12">
        <v>4</v>
      </c>
      <c r="AE101" s="12">
        <v>0</v>
      </c>
      <c r="AF101" s="12">
        <v>0</v>
      </c>
      <c r="AG101" s="12">
        <v>4</v>
      </c>
      <c r="AH101" s="12">
        <v>0</v>
      </c>
      <c r="AI101" s="12">
        <v>0</v>
      </c>
      <c r="AJ101" s="10">
        <v>6186748</v>
      </c>
      <c r="AK101" s="10" t="s">
        <v>47</v>
      </c>
      <c r="AL101" s="14" t="s">
        <v>142</v>
      </c>
      <c r="AM101" s="10" t="s">
        <v>49</v>
      </c>
      <c r="AN101" s="15">
        <v>202300058718</v>
      </c>
      <c r="AO101" s="16" t="s">
        <v>143</v>
      </c>
      <c r="AP101" s="17">
        <v>15407.04</v>
      </c>
      <c r="AQ101" s="10" t="s">
        <v>51</v>
      </c>
      <c r="AR101" s="10" t="s">
        <v>77</v>
      </c>
      <c r="AS101" s="12">
        <v>5760</v>
      </c>
      <c r="AT101" s="10" t="s">
        <v>53</v>
      </c>
      <c r="AU101" s="10">
        <v>26101200</v>
      </c>
      <c r="AV101" s="10" t="s">
        <v>78</v>
      </c>
      <c r="AW101" s="10" t="s">
        <v>55</v>
      </c>
      <c r="AX101" s="10" t="s">
        <v>56</v>
      </c>
      <c r="AY101" s="10" t="s">
        <v>79</v>
      </c>
      <c r="AZ101" s="10" t="s">
        <v>80</v>
      </c>
      <c r="BG101" t="str">
        <v>Outbound</v>
      </c>
      <c r="BH101" t="str">
        <v>Land</v>
      </c>
      <c r="BI101" t="str">
        <v>FG-R-2191LE26</v>
      </c>
      <c r="BJ101" t="str">
        <v>SAIA-BURGESS AUTOMOTIVE ACTUATORS, LLC</v>
      </c>
      <c r="BK101" t="str">
        <v xml:space="preserve">755 BILL JONES DRIVE      </v>
      </c>
      <c r="BL101" t="str">
        <v>M19</v>
      </c>
      <c r="BM101" t="str">
        <v>1999-5YY1149EN</v>
      </c>
      <c r="BN101" s="24">
        <v>324</v>
      </c>
      <c r="BO101" s="23">
        <v>932.13599999999997</v>
      </c>
      <c r="BP101" s="26">
        <f t="shared" si="4"/>
        <v>2.3600994378516468E-2</v>
      </c>
      <c r="BQ101" s="21">
        <f t="shared" si="5"/>
        <v>116.08763364996295</v>
      </c>
    </row>
    <row r="102" spans="2:69" x14ac:dyDescent="0.35">
      <c r="B102" t="s">
        <v>261</v>
      </c>
      <c r="C102" t="s">
        <v>262</v>
      </c>
      <c r="D102" t="str" cm="1">
        <f t="array" ref="D102">_xlfn.REGEXEXTRACT(G102,"FG-R-\d{4}LE\d{2}")</f>
        <v>FG-R-2188LE26</v>
      </c>
      <c r="E102" t="s">
        <v>297</v>
      </c>
      <c r="F102" s="23" cm="1">
        <f t="array" ref="F102">_xlfn.SWITCH(TRUE,T102&gt;0,T102,Z102)</f>
        <v>366.96199999999999</v>
      </c>
      <c r="G102" s="10" t="s">
        <v>164</v>
      </c>
      <c r="H102" s="10" t="s">
        <v>38</v>
      </c>
      <c r="I102" s="10" t="s">
        <v>165</v>
      </c>
      <c r="J102" s="11" t="s">
        <v>152</v>
      </c>
      <c r="K102" s="11" t="s">
        <v>152</v>
      </c>
      <c r="L102" s="10" t="s">
        <v>164</v>
      </c>
      <c r="M102" s="10" t="s">
        <v>166</v>
      </c>
      <c r="N102" s="10" t="s">
        <v>43</v>
      </c>
      <c r="O102" s="10" t="s">
        <v>69</v>
      </c>
      <c r="P102" s="10" t="s">
        <v>45</v>
      </c>
      <c r="Q102" s="10" t="s">
        <v>46</v>
      </c>
      <c r="R102" s="12">
        <v>1</v>
      </c>
      <c r="S102" s="13">
        <v>348.46199999999999</v>
      </c>
      <c r="T102" s="13">
        <v>366.96199999999999</v>
      </c>
      <c r="U102" s="12">
        <v>90</v>
      </c>
      <c r="V102" s="13">
        <v>321.3</v>
      </c>
      <c r="W102" s="13">
        <v>348.46199999999999</v>
      </c>
      <c r="X102" s="12">
        <v>0</v>
      </c>
      <c r="Y102" s="13">
        <v>0</v>
      </c>
      <c r="Z102" s="13">
        <v>0</v>
      </c>
      <c r="AA102" s="12">
        <v>0</v>
      </c>
      <c r="AB102" s="13">
        <v>0</v>
      </c>
      <c r="AC102" s="13">
        <v>0</v>
      </c>
      <c r="AD102" s="12">
        <v>1</v>
      </c>
      <c r="AE102" s="12">
        <v>0</v>
      </c>
      <c r="AF102" s="12">
        <v>0</v>
      </c>
      <c r="AG102" s="12">
        <v>1</v>
      </c>
      <c r="AH102" s="12">
        <v>0</v>
      </c>
      <c r="AI102" s="12">
        <v>0</v>
      </c>
      <c r="AJ102" s="10">
        <v>6186778</v>
      </c>
      <c r="AK102" s="10" t="s">
        <v>47</v>
      </c>
      <c r="AL102" s="14" t="s">
        <v>142</v>
      </c>
      <c r="AM102" s="10" t="s">
        <v>49</v>
      </c>
      <c r="AN102" s="15">
        <v>202300058715</v>
      </c>
      <c r="AO102" s="16" t="s">
        <v>143</v>
      </c>
      <c r="AP102" s="17">
        <v>6935.8</v>
      </c>
      <c r="AQ102" s="10" t="s">
        <v>51</v>
      </c>
      <c r="AR102" s="10" t="s">
        <v>169</v>
      </c>
      <c r="AS102" s="12">
        <v>3150</v>
      </c>
      <c r="AT102" s="10" t="s">
        <v>53</v>
      </c>
      <c r="AU102" s="10">
        <v>25171506</v>
      </c>
      <c r="AV102" s="10" t="s">
        <v>82</v>
      </c>
      <c r="AW102" s="10" t="s">
        <v>55</v>
      </c>
      <c r="AX102" s="10" t="s">
        <v>56</v>
      </c>
      <c r="AY102" s="10" t="s">
        <v>73</v>
      </c>
      <c r="AZ102" s="10" t="s">
        <v>74</v>
      </c>
      <c r="BG102" t="str">
        <v>Outbound</v>
      </c>
      <c r="BH102" t="str">
        <v>Land</v>
      </c>
      <c r="BI102" t="str">
        <v>FG-R-2191LE26</v>
      </c>
      <c r="BJ102" t="str">
        <v>SAIA-BURGESS AUTOMOTIVE ACTUATORS, LLC</v>
      </c>
      <c r="BK102" t="str">
        <v xml:space="preserve">755 Bill Jones Drive      </v>
      </c>
      <c r="BL102" t="str">
        <v>M19</v>
      </c>
      <c r="BM102" t="str">
        <v>1999-5YY1445EN</v>
      </c>
      <c r="BN102" s="24">
        <v>648</v>
      </c>
      <c r="BO102" s="23">
        <v>1425.7439999999999</v>
      </c>
      <c r="BP102" s="26">
        <f t="shared" si="4"/>
        <v>3.6098784007058606E-2</v>
      </c>
      <c r="BQ102" s="21">
        <f t="shared" si="5"/>
        <v>177.56126482684155</v>
      </c>
    </row>
    <row r="103" spans="2:69" x14ac:dyDescent="0.35">
      <c r="B103" t="s">
        <v>261</v>
      </c>
      <c r="C103" t="s">
        <v>262</v>
      </c>
      <c r="D103" t="str" cm="1">
        <f t="array" ref="D103">_xlfn.REGEXEXTRACT(G103,"FG-R-\d{4}LE\d{2}")</f>
        <v>FG-R-2188LE26</v>
      </c>
      <c r="E103" t="s">
        <v>297</v>
      </c>
      <c r="F103" s="23" cm="1">
        <f t="array" ref="F103">_xlfn.SWITCH(TRUE,T103&gt;0,T103,Z103)</f>
        <v>585.79999999999995</v>
      </c>
      <c r="G103" s="10" t="s">
        <v>164</v>
      </c>
      <c r="H103" s="10" t="s">
        <v>38</v>
      </c>
      <c r="I103" s="10" t="s">
        <v>165</v>
      </c>
      <c r="J103" s="11" t="s">
        <v>152</v>
      </c>
      <c r="K103" s="11" t="s">
        <v>152</v>
      </c>
      <c r="L103" s="10" t="s">
        <v>164</v>
      </c>
      <c r="M103" s="10" t="s">
        <v>166</v>
      </c>
      <c r="N103" s="10" t="s">
        <v>43</v>
      </c>
      <c r="O103" s="10" t="s">
        <v>69</v>
      </c>
      <c r="P103" s="10" t="s">
        <v>45</v>
      </c>
      <c r="Q103" s="10" t="s">
        <v>46</v>
      </c>
      <c r="R103" s="12">
        <v>5</v>
      </c>
      <c r="S103" s="13">
        <v>460.8</v>
      </c>
      <c r="T103" s="13">
        <v>585.79999999999995</v>
      </c>
      <c r="U103" s="12">
        <v>0</v>
      </c>
      <c r="V103" s="13">
        <v>460.8</v>
      </c>
      <c r="W103" s="13">
        <v>460.8</v>
      </c>
      <c r="X103" s="12">
        <v>0</v>
      </c>
      <c r="Y103" s="13">
        <v>0</v>
      </c>
      <c r="Z103" s="13">
        <v>0</v>
      </c>
      <c r="AA103" s="12">
        <v>0</v>
      </c>
      <c r="AB103" s="13">
        <v>0</v>
      </c>
      <c r="AC103" s="13">
        <v>0</v>
      </c>
      <c r="AD103" s="12">
        <v>5</v>
      </c>
      <c r="AE103" s="12">
        <v>0</v>
      </c>
      <c r="AF103" s="12">
        <v>0</v>
      </c>
      <c r="AG103" s="12">
        <v>5</v>
      </c>
      <c r="AH103" s="12">
        <v>0</v>
      </c>
      <c r="AI103" s="12">
        <v>0</v>
      </c>
      <c r="AJ103" s="10">
        <v>6186762</v>
      </c>
      <c r="AK103" s="10" t="s">
        <v>47</v>
      </c>
      <c r="AL103" s="14" t="s">
        <v>142</v>
      </c>
      <c r="AM103" s="10" t="s">
        <v>49</v>
      </c>
      <c r="AN103" s="15">
        <v>202300058719</v>
      </c>
      <c r="AO103" s="16" t="s">
        <v>143</v>
      </c>
      <c r="AP103" s="17">
        <v>19993.05</v>
      </c>
      <c r="AQ103" s="10" t="s">
        <v>51</v>
      </c>
      <c r="AR103" s="10" t="s">
        <v>83</v>
      </c>
      <c r="AS103" s="12">
        <v>7200</v>
      </c>
      <c r="AT103" s="10" t="s">
        <v>53</v>
      </c>
      <c r="AU103" s="10">
        <v>26101200</v>
      </c>
      <c r="AV103" s="10" t="s">
        <v>78</v>
      </c>
      <c r="AW103" s="10" t="s">
        <v>55</v>
      </c>
      <c r="AX103" s="10" t="s">
        <v>56</v>
      </c>
      <c r="AY103" s="10" t="s">
        <v>79</v>
      </c>
      <c r="AZ103" s="10" t="s">
        <v>80</v>
      </c>
      <c r="BG103" t="str">
        <v>Outbound</v>
      </c>
      <c r="BH103" t="str">
        <v>Land</v>
      </c>
      <c r="BI103" t="str">
        <v>FG-R-2191LE26</v>
      </c>
      <c r="BJ103" t="str">
        <v>SAIA-BURGESS AUTOMOTIVE ACTUATORS, LLC</v>
      </c>
      <c r="BK103" t="str">
        <v xml:space="preserve">755 Bill Jones Drive      </v>
      </c>
      <c r="BL103" t="str">
        <v>M19</v>
      </c>
      <c r="BM103" t="str">
        <v>1999-5YY0898EN</v>
      </c>
      <c r="BN103" s="24">
        <v>320</v>
      </c>
      <c r="BO103" s="23">
        <v>414.64800000000002</v>
      </c>
      <c r="BP103" s="26">
        <f t="shared" si="4"/>
        <v>1.0498580804800048E-2</v>
      </c>
      <c r="BQ103" s="21">
        <f t="shared" si="5"/>
        <v>51.640002228955694</v>
      </c>
    </row>
    <row r="104" spans="2:69" x14ac:dyDescent="0.35">
      <c r="B104" t="s">
        <v>261</v>
      </c>
      <c r="C104" t="s">
        <v>262</v>
      </c>
      <c r="D104" t="str" cm="1">
        <f t="array" ref="D104">_xlfn.REGEXEXTRACT(G104,"FG-R-\d{4}LE\d{2}")</f>
        <v>FG-R-2188LE26</v>
      </c>
      <c r="E104" t="s">
        <v>297</v>
      </c>
      <c r="F104" s="23" cm="1">
        <f t="array" ref="F104">_xlfn.SWITCH(TRUE,T104&gt;0,T104,Z104)</f>
        <v>504.6</v>
      </c>
      <c r="G104" s="10" t="s">
        <v>164</v>
      </c>
      <c r="H104" s="10" t="s">
        <v>38</v>
      </c>
      <c r="I104" s="10" t="s">
        <v>165</v>
      </c>
      <c r="J104" s="11" t="s">
        <v>152</v>
      </c>
      <c r="K104" s="11" t="s">
        <v>152</v>
      </c>
      <c r="L104" s="10" t="s">
        <v>164</v>
      </c>
      <c r="M104" s="10" t="s">
        <v>166</v>
      </c>
      <c r="N104" s="10" t="s">
        <v>43</v>
      </c>
      <c r="O104" s="10" t="s">
        <v>69</v>
      </c>
      <c r="P104" s="10" t="s">
        <v>45</v>
      </c>
      <c r="Q104" s="10" t="s">
        <v>46</v>
      </c>
      <c r="R104" s="12">
        <v>1</v>
      </c>
      <c r="S104" s="13">
        <v>477.6</v>
      </c>
      <c r="T104" s="13">
        <v>504.6</v>
      </c>
      <c r="U104" s="12">
        <v>60</v>
      </c>
      <c r="V104" s="13">
        <v>441.6</v>
      </c>
      <c r="W104" s="13">
        <v>477.6</v>
      </c>
      <c r="X104" s="12">
        <v>0</v>
      </c>
      <c r="Y104" s="13">
        <v>0</v>
      </c>
      <c r="Z104" s="13">
        <v>0</v>
      </c>
      <c r="AA104" s="12">
        <v>0</v>
      </c>
      <c r="AB104" s="13">
        <v>0</v>
      </c>
      <c r="AC104" s="13">
        <v>0</v>
      </c>
      <c r="AD104" s="12">
        <v>1</v>
      </c>
      <c r="AE104" s="12">
        <v>0</v>
      </c>
      <c r="AF104" s="12">
        <v>0</v>
      </c>
      <c r="AG104" s="12">
        <v>1</v>
      </c>
      <c r="AH104" s="12">
        <v>0</v>
      </c>
      <c r="AI104" s="12">
        <v>0</v>
      </c>
      <c r="AJ104" s="10">
        <v>6186772</v>
      </c>
      <c r="AK104" s="10" t="s">
        <v>47</v>
      </c>
      <c r="AL104" s="14" t="s">
        <v>142</v>
      </c>
      <c r="AM104" s="10" t="s">
        <v>49</v>
      </c>
      <c r="AN104" s="15">
        <v>202300058709</v>
      </c>
      <c r="AO104" s="16" t="s">
        <v>143</v>
      </c>
      <c r="AP104" s="17">
        <v>7290.29</v>
      </c>
      <c r="AQ104" s="10" t="s">
        <v>51</v>
      </c>
      <c r="AR104" s="10" t="s">
        <v>84</v>
      </c>
      <c r="AS104" s="12">
        <v>4800</v>
      </c>
      <c r="AT104" s="10" t="s">
        <v>53</v>
      </c>
      <c r="AU104" s="10">
        <v>40151500</v>
      </c>
      <c r="AV104" s="10" t="s">
        <v>62</v>
      </c>
      <c r="AW104" s="10" t="s">
        <v>55</v>
      </c>
      <c r="AX104" s="10" t="s">
        <v>56</v>
      </c>
      <c r="AY104" s="10" t="s">
        <v>73</v>
      </c>
      <c r="AZ104" s="10" t="s">
        <v>74</v>
      </c>
      <c r="BG104" t="str">
        <v>Outbound</v>
      </c>
      <c r="BH104" t="str">
        <v>Land</v>
      </c>
      <c r="BI104" t="str">
        <v>FG-R-2191LE26</v>
      </c>
      <c r="BJ104" t="str">
        <v>SAIA-BURGESS AUTOMOTIVE ACTUATORS, LLC</v>
      </c>
      <c r="BK104" t="str">
        <v xml:space="preserve">755 Bill Jones Drive      </v>
      </c>
      <c r="BL104" t="str">
        <v>M19</v>
      </c>
      <c r="BM104" t="str">
        <v>1999-5YY1256EN</v>
      </c>
      <c r="BN104" s="24">
        <v>3024</v>
      </c>
      <c r="BO104" s="23">
        <v>6559.7280000000001</v>
      </c>
      <c r="BP104" s="26">
        <f t="shared" si="4"/>
        <v>0.16608746325922083</v>
      </c>
      <c r="BQ104" s="21">
        <f t="shared" si="5"/>
        <v>816.94441680978332</v>
      </c>
    </row>
    <row r="105" spans="2:69" x14ac:dyDescent="0.35">
      <c r="B105" t="s">
        <v>261</v>
      </c>
      <c r="C105" t="s">
        <v>262</v>
      </c>
      <c r="D105" t="str" cm="1">
        <f t="array" ref="D105">_xlfn.REGEXEXTRACT(G105,"FG-R-\d{4}LE\d{2}")</f>
        <v>FG-R-2188LE26</v>
      </c>
      <c r="E105" t="s">
        <v>298</v>
      </c>
      <c r="F105" s="23" cm="1">
        <f t="array" ref="F105">_xlfn.SWITCH(TRUE,T105&gt;0,T105,Z105)</f>
        <v>122.44</v>
      </c>
      <c r="G105" s="10" t="s">
        <v>164</v>
      </c>
      <c r="H105" s="10" t="s">
        <v>38</v>
      </c>
      <c r="I105" s="10" t="s">
        <v>165</v>
      </c>
      <c r="J105" s="11" t="s">
        <v>152</v>
      </c>
      <c r="K105" s="11" t="s">
        <v>152</v>
      </c>
      <c r="L105" s="10" t="s">
        <v>164</v>
      </c>
      <c r="M105" s="10" t="s">
        <v>166</v>
      </c>
      <c r="N105" s="10" t="s">
        <v>43</v>
      </c>
      <c r="O105" s="10" t="s">
        <v>69</v>
      </c>
      <c r="P105" s="10" t="s">
        <v>45</v>
      </c>
      <c r="Q105" s="10" t="s">
        <v>46</v>
      </c>
      <c r="R105" s="12">
        <v>1</v>
      </c>
      <c r="S105" s="13">
        <v>101.44</v>
      </c>
      <c r="T105" s="13">
        <v>122.44</v>
      </c>
      <c r="U105" s="12">
        <v>50</v>
      </c>
      <c r="V105" s="13">
        <v>26.44</v>
      </c>
      <c r="W105" s="13">
        <v>101.44</v>
      </c>
      <c r="X105" s="12">
        <v>0</v>
      </c>
      <c r="Y105" s="13">
        <v>0</v>
      </c>
      <c r="Z105" s="13">
        <v>0</v>
      </c>
      <c r="AA105" s="12">
        <v>0</v>
      </c>
      <c r="AB105" s="13">
        <v>0</v>
      </c>
      <c r="AC105" s="13">
        <v>0</v>
      </c>
      <c r="AD105" s="12">
        <v>1</v>
      </c>
      <c r="AE105" s="12">
        <v>0</v>
      </c>
      <c r="AF105" s="12">
        <v>0</v>
      </c>
      <c r="AG105" s="12">
        <v>1</v>
      </c>
      <c r="AH105" s="12">
        <v>0</v>
      </c>
      <c r="AI105" s="12">
        <v>0</v>
      </c>
      <c r="AJ105" s="10">
        <v>6186767</v>
      </c>
      <c r="AK105" s="10" t="s">
        <v>47</v>
      </c>
      <c r="AL105" s="14" t="s">
        <v>142</v>
      </c>
      <c r="AM105" s="10" t="s">
        <v>49</v>
      </c>
      <c r="AN105" s="15">
        <v>202300058705</v>
      </c>
      <c r="AO105" s="16" t="s">
        <v>143</v>
      </c>
      <c r="AP105" s="17">
        <v>1346.81</v>
      </c>
      <c r="AQ105" s="10" t="s">
        <v>51</v>
      </c>
      <c r="AR105" s="10" t="s">
        <v>86</v>
      </c>
      <c r="AS105" s="12">
        <v>200</v>
      </c>
      <c r="AT105" s="10" t="s">
        <v>53</v>
      </c>
      <c r="AU105" s="10">
        <v>26101100</v>
      </c>
      <c r="AV105" s="10" t="s">
        <v>87</v>
      </c>
      <c r="AW105" s="10" t="s">
        <v>55</v>
      </c>
      <c r="AX105" s="10" t="s">
        <v>56</v>
      </c>
      <c r="AY105" s="10" t="s">
        <v>79</v>
      </c>
      <c r="AZ105" s="10" t="s">
        <v>80</v>
      </c>
      <c r="BG105" t="str">
        <v>Outbound</v>
      </c>
      <c r="BH105" t="str">
        <v>Land</v>
      </c>
      <c r="BI105" t="str">
        <v>FG-R-2191LE26</v>
      </c>
      <c r="BJ105" t="str">
        <v>SAIA-BURGESS AUTOMOTIVE ACTUATORS, LLC</v>
      </c>
      <c r="BK105" t="str">
        <v xml:space="preserve">755 Bill Jones Drive      </v>
      </c>
      <c r="BL105" t="str">
        <v>M19</v>
      </c>
      <c r="BM105" t="str">
        <v>1999-5YY1256EN</v>
      </c>
      <c r="BN105" s="24">
        <v>3024</v>
      </c>
      <c r="BO105" s="23">
        <v>6559.7280000000001</v>
      </c>
      <c r="BP105" s="26">
        <f t="shared" si="4"/>
        <v>0.16608746325922083</v>
      </c>
      <c r="BQ105" s="21">
        <f t="shared" si="5"/>
        <v>816.94441680978332</v>
      </c>
    </row>
    <row r="106" spans="2:69" x14ac:dyDescent="0.35">
      <c r="B106" t="s">
        <v>261</v>
      </c>
      <c r="C106" t="s">
        <v>262</v>
      </c>
      <c r="D106" t="str" cm="1">
        <f t="array" ref="D106">_xlfn.REGEXEXTRACT(G106,"FG-R-\d{4}LE\d{2}")</f>
        <v>FG-R-2188LE26</v>
      </c>
      <c r="E106" t="s">
        <v>298</v>
      </c>
      <c r="F106" s="23" cm="1">
        <f t="array" ref="F106">_xlfn.SWITCH(TRUE,T106&gt;0,T106,Z106)</f>
        <v>122.44</v>
      </c>
      <c r="G106" s="10" t="s">
        <v>164</v>
      </c>
      <c r="H106" s="10" t="s">
        <v>38</v>
      </c>
      <c r="I106" s="10" t="s">
        <v>165</v>
      </c>
      <c r="J106" s="11" t="s">
        <v>152</v>
      </c>
      <c r="K106" s="11" t="s">
        <v>152</v>
      </c>
      <c r="L106" s="10" t="s">
        <v>164</v>
      </c>
      <c r="M106" s="10" t="s">
        <v>166</v>
      </c>
      <c r="N106" s="10" t="s">
        <v>43</v>
      </c>
      <c r="O106" s="10" t="s">
        <v>69</v>
      </c>
      <c r="P106" s="10" t="s">
        <v>45</v>
      </c>
      <c r="Q106" s="10" t="s">
        <v>46</v>
      </c>
      <c r="R106" s="12">
        <v>1</v>
      </c>
      <c r="S106" s="13">
        <v>101.44</v>
      </c>
      <c r="T106" s="13">
        <v>122.44</v>
      </c>
      <c r="U106" s="12">
        <v>50</v>
      </c>
      <c r="V106" s="13">
        <v>26.44</v>
      </c>
      <c r="W106" s="13">
        <v>101.44</v>
      </c>
      <c r="X106" s="12">
        <v>0</v>
      </c>
      <c r="Y106" s="13">
        <v>0</v>
      </c>
      <c r="Z106" s="13">
        <v>0</v>
      </c>
      <c r="AA106" s="12">
        <v>0</v>
      </c>
      <c r="AB106" s="13">
        <v>0</v>
      </c>
      <c r="AC106" s="13">
        <v>0</v>
      </c>
      <c r="AD106" s="12">
        <v>1</v>
      </c>
      <c r="AE106" s="12">
        <v>0</v>
      </c>
      <c r="AF106" s="12">
        <v>0</v>
      </c>
      <c r="AG106" s="12">
        <v>1</v>
      </c>
      <c r="AH106" s="12">
        <v>0</v>
      </c>
      <c r="AI106" s="12">
        <v>0</v>
      </c>
      <c r="AJ106" s="10">
        <v>6186769</v>
      </c>
      <c r="AK106" s="10" t="s">
        <v>47</v>
      </c>
      <c r="AL106" s="14" t="s">
        <v>142</v>
      </c>
      <c r="AM106" s="10" t="s">
        <v>49</v>
      </c>
      <c r="AN106" s="15">
        <v>202300058708</v>
      </c>
      <c r="AO106" s="16" t="s">
        <v>143</v>
      </c>
      <c r="AP106" s="17">
        <v>1339.05</v>
      </c>
      <c r="AQ106" s="10" t="s">
        <v>51</v>
      </c>
      <c r="AR106" s="10" t="s">
        <v>170</v>
      </c>
      <c r="AS106" s="12">
        <v>200</v>
      </c>
      <c r="AT106" s="10" t="s">
        <v>53</v>
      </c>
      <c r="AU106" s="10">
        <v>26101100</v>
      </c>
      <c r="AV106" s="10" t="s">
        <v>87</v>
      </c>
      <c r="AW106" s="10" t="s">
        <v>55</v>
      </c>
      <c r="AX106" s="10" t="s">
        <v>56</v>
      </c>
      <c r="AY106" s="10" t="s">
        <v>79</v>
      </c>
      <c r="AZ106" s="10" t="s">
        <v>80</v>
      </c>
      <c r="BG106" t="str">
        <v>Outbound</v>
      </c>
      <c r="BH106" t="str">
        <v>Land</v>
      </c>
      <c r="BI106" t="str">
        <v>FG-R-2191LE26</v>
      </c>
      <c r="BJ106" t="str">
        <v>SAIA-BURGESS AUTOMOTIVE ACTUATORS, LLC</v>
      </c>
      <c r="BK106" t="str">
        <v xml:space="preserve">755 Bill Jones Drive      </v>
      </c>
      <c r="BL106" t="str">
        <v>M19</v>
      </c>
      <c r="BM106" t="str">
        <v>1999-5YY1256EN</v>
      </c>
      <c r="BN106" s="24">
        <v>3024</v>
      </c>
      <c r="BO106" s="23">
        <v>6559.7280000000001</v>
      </c>
      <c r="BP106" s="26">
        <f t="shared" si="4"/>
        <v>0.16608746325922083</v>
      </c>
      <c r="BQ106" s="21">
        <f t="shared" si="5"/>
        <v>816.94441680978332</v>
      </c>
    </row>
    <row r="107" spans="2:69" x14ac:dyDescent="0.35">
      <c r="B107" t="s">
        <v>261</v>
      </c>
      <c r="C107" t="s">
        <v>262</v>
      </c>
      <c r="D107" t="str" cm="1">
        <f t="array" ref="D107">_xlfn.REGEXEXTRACT(G107,"FG-R-\d{4}LE\d{2}")</f>
        <v>FG-R-2188LE26</v>
      </c>
      <c r="E107" t="s">
        <v>298</v>
      </c>
      <c r="F107" s="23" cm="1">
        <f t="array" ref="F107">_xlfn.SWITCH(TRUE,T107&gt;0,T107,Z107)</f>
        <v>62.46</v>
      </c>
      <c r="G107" s="10" t="s">
        <v>164</v>
      </c>
      <c r="H107" s="10" t="s">
        <v>38</v>
      </c>
      <c r="I107" s="10" t="s">
        <v>165</v>
      </c>
      <c r="J107" s="11" t="s">
        <v>152</v>
      </c>
      <c r="K107" s="11" t="s">
        <v>152</v>
      </c>
      <c r="L107" s="10" t="s">
        <v>164</v>
      </c>
      <c r="M107" s="10" t="s">
        <v>166</v>
      </c>
      <c r="N107" s="10" t="s">
        <v>43</v>
      </c>
      <c r="O107" s="10" t="s">
        <v>69</v>
      </c>
      <c r="P107" s="10" t="s">
        <v>45</v>
      </c>
      <c r="Q107" s="10" t="s">
        <v>46</v>
      </c>
      <c r="R107" s="12">
        <v>0</v>
      </c>
      <c r="S107" s="13">
        <v>0</v>
      </c>
      <c r="T107" s="13">
        <v>0</v>
      </c>
      <c r="U107" s="12">
        <v>0</v>
      </c>
      <c r="V107" s="13">
        <v>0</v>
      </c>
      <c r="W107" s="13">
        <v>0</v>
      </c>
      <c r="X107" s="12">
        <v>1</v>
      </c>
      <c r="Y107" s="13">
        <v>41.46</v>
      </c>
      <c r="Z107" s="13">
        <v>62.46</v>
      </c>
      <c r="AA107" s="12">
        <v>10</v>
      </c>
      <c r="AB107" s="13">
        <v>26.46</v>
      </c>
      <c r="AC107" s="13">
        <v>41.46</v>
      </c>
      <c r="AD107" s="12">
        <v>1</v>
      </c>
      <c r="AE107" s="12">
        <v>0</v>
      </c>
      <c r="AF107" s="12">
        <v>0</v>
      </c>
      <c r="AG107" s="12">
        <v>1</v>
      </c>
      <c r="AH107" s="12">
        <v>0</v>
      </c>
      <c r="AI107" s="12">
        <v>0</v>
      </c>
      <c r="AJ107" s="10">
        <v>6186763</v>
      </c>
      <c r="AK107" s="10" t="s">
        <v>47</v>
      </c>
      <c r="AL107" s="14" t="s">
        <v>142</v>
      </c>
      <c r="AM107" s="10" t="s">
        <v>49</v>
      </c>
      <c r="AN107" s="15">
        <v>202300058706</v>
      </c>
      <c r="AO107" s="16" t="s">
        <v>143</v>
      </c>
      <c r="AP107" s="17">
        <v>1328.25</v>
      </c>
      <c r="AQ107" s="10" t="s">
        <v>51</v>
      </c>
      <c r="AR107" s="10" t="s">
        <v>89</v>
      </c>
      <c r="AS107" s="12">
        <v>200</v>
      </c>
      <c r="AT107" s="10" t="s">
        <v>53</v>
      </c>
      <c r="AU107" s="10">
        <v>26101100</v>
      </c>
      <c r="AV107" s="10" t="s">
        <v>87</v>
      </c>
      <c r="AW107" s="10" t="s">
        <v>55</v>
      </c>
      <c r="AX107" s="10" t="s">
        <v>56</v>
      </c>
      <c r="AY107" s="10" t="s">
        <v>79</v>
      </c>
      <c r="AZ107" s="10" t="s">
        <v>80</v>
      </c>
      <c r="BG107" t="str">
        <v>Outbound</v>
      </c>
      <c r="BH107" t="str">
        <v>Land</v>
      </c>
      <c r="BI107" t="str">
        <v>FG-R-2191LE26</v>
      </c>
      <c r="BJ107" t="str">
        <v>SAIA-BURGESS AUTOMOTIVE ACTUATORS, LLC</v>
      </c>
      <c r="BK107" t="str">
        <v xml:space="preserve">755 Bill Jones Drive      </v>
      </c>
      <c r="BL107" t="str">
        <v>M19</v>
      </c>
      <c r="BM107" t="str">
        <v>1999-5YY1148EN</v>
      </c>
      <c r="BN107" s="24">
        <v>432</v>
      </c>
      <c r="BO107" s="23">
        <v>937.10400000000004</v>
      </c>
      <c r="BP107" s="26">
        <f t="shared" si="4"/>
        <v>2.3726780465602979E-2</v>
      </c>
      <c r="BQ107" s="21">
        <f t="shared" si="5"/>
        <v>116.70634525854048</v>
      </c>
    </row>
    <row r="108" spans="2:69" x14ac:dyDescent="0.35">
      <c r="B108" t="s">
        <v>261</v>
      </c>
      <c r="C108" t="s">
        <v>262</v>
      </c>
      <c r="D108" t="str" cm="1">
        <f t="array" ref="D108">_xlfn.REGEXEXTRACT(G108,"FG-R-\d{4}LE\d{2}")</f>
        <v>FG-R-2188LE26</v>
      </c>
      <c r="E108" t="s">
        <v>298</v>
      </c>
      <c r="F108" s="23" cm="1">
        <f t="array" ref="F108">_xlfn.SWITCH(TRUE,T108&gt;0,T108,Z108)</f>
        <v>357</v>
      </c>
      <c r="G108" s="10" t="s">
        <v>164</v>
      </c>
      <c r="H108" s="10" t="s">
        <v>38</v>
      </c>
      <c r="I108" s="10" t="s">
        <v>165</v>
      </c>
      <c r="J108" s="11" t="s">
        <v>152</v>
      </c>
      <c r="K108" s="11" t="s">
        <v>152</v>
      </c>
      <c r="L108" s="10" t="s">
        <v>164</v>
      </c>
      <c r="M108" s="10" t="s">
        <v>166</v>
      </c>
      <c r="N108" s="10" t="s">
        <v>43</v>
      </c>
      <c r="O108" s="10" t="s">
        <v>69</v>
      </c>
      <c r="P108" s="10" t="s">
        <v>45</v>
      </c>
      <c r="Q108" s="10" t="s">
        <v>46</v>
      </c>
      <c r="R108" s="12">
        <v>1</v>
      </c>
      <c r="S108" s="13">
        <v>336</v>
      </c>
      <c r="T108" s="13">
        <v>357</v>
      </c>
      <c r="U108" s="12">
        <v>125</v>
      </c>
      <c r="V108" s="13">
        <v>148.5</v>
      </c>
      <c r="W108" s="13">
        <v>336</v>
      </c>
      <c r="X108" s="12">
        <v>0</v>
      </c>
      <c r="Y108" s="13">
        <v>0</v>
      </c>
      <c r="Z108" s="13">
        <v>0</v>
      </c>
      <c r="AA108" s="12">
        <v>0</v>
      </c>
      <c r="AB108" s="13">
        <v>0</v>
      </c>
      <c r="AC108" s="13">
        <v>0</v>
      </c>
      <c r="AD108" s="12">
        <v>1</v>
      </c>
      <c r="AE108" s="12">
        <v>0</v>
      </c>
      <c r="AF108" s="12">
        <v>0</v>
      </c>
      <c r="AG108" s="12">
        <v>1</v>
      </c>
      <c r="AH108" s="12">
        <v>0</v>
      </c>
      <c r="AI108" s="12">
        <v>0</v>
      </c>
      <c r="AJ108" s="10">
        <v>6186766</v>
      </c>
      <c r="AK108" s="10" t="s">
        <v>47</v>
      </c>
      <c r="AL108" s="14" t="s">
        <v>142</v>
      </c>
      <c r="AM108" s="10" t="s">
        <v>49</v>
      </c>
      <c r="AN108" s="15">
        <v>202300058704</v>
      </c>
      <c r="AO108" s="16" t="s">
        <v>143</v>
      </c>
      <c r="AP108" s="17">
        <v>5451.74</v>
      </c>
      <c r="AQ108" s="10" t="s">
        <v>51</v>
      </c>
      <c r="AR108" s="10" t="s">
        <v>130</v>
      </c>
      <c r="AS108" s="12">
        <v>750</v>
      </c>
      <c r="AT108" s="10" t="s">
        <v>53</v>
      </c>
      <c r="AU108" s="10">
        <v>26101100</v>
      </c>
      <c r="AV108" s="10" t="s">
        <v>87</v>
      </c>
      <c r="AW108" s="10" t="s">
        <v>55</v>
      </c>
      <c r="AX108" s="10" t="s">
        <v>56</v>
      </c>
      <c r="AY108" s="10" t="s">
        <v>79</v>
      </c>
      <c r="AZ108" s="10" t="s">
        <v>80</v>
      </c>
      <c r="BG108" t="str">
        <v>Outbound</v>
      </c>
      <c r="BH108" t="str">
        <v>Land</v>
      </c>
      <c r="BI108" t="str">
        <v>FG-R-2191LE26</v>
      </c>
      <c r="BJ108" t="str">
        <v>SAIA-BURGESS AUTOMOTIVE ACTUATORS, LLC</v>
      </c>
      <c r="BK108" t="str">
        <v xml:space="preserve">755 Bill Jones Drive      </v>
      </c>
      <c r="BL108" t="str">
        <v>M19</v>
      </c>
      <c r="BM108" t="str">
        <v>1999-5YY1148EN</v>
      </c>
      <c r="BN108" s="24">
        <v>432</v>
      </c>
      <c r="BO108" s="23">
        <v>937.10400000000004</v>
      </c>
      <c r="BP108" s="26">
        <f t="shared" si="4"/>
        <v>2.3726780465602979E-2</v>
      </c>
      <c r="BQ108" s="21">
        <f t="shared" si="5"/>
        <v>116.70634525854048</v>
      </c>
    </row>
    <row r="109" spans="2:69" x14ac:dyDescent="0.35">
      <c r="B109" t="s">
        <v>261</v>
      </c>
      <c r="C109" t="s">
        <v>262</v>
      </c>
      <c r="D109" t="str" cm="1">
        <f t="array" ref="D109">_xlfn.REGEXEXTRACT(G109,"FG-R-\d{4}LE\d{2}")</f>
        <v>FG-R-2191LE26</v>
      </c>
      <c r="E109" t="s">
        <v>299</v>
      </c>
      <c r="F109" s="23" cm="1">
        <f t="array" ref="F109">_xlfn.SWITCH(TRUE,T109&gt;0,T109,Z109)</f>
        <v>2832.3719999999998</v>
      </c>
      <c r="G109" s="10" t="s">
        <v>171</v>
      </c>
      <c r="H109" s="10" t="s">
        <v>172</v>
      </c>
      <c r="I109" s="10" t="s">
        <v>173</v>
      </c>
      <c r="J109" s="11" t="s">
        <v>174</v>
      </c>
      <c r="K109" s="11" t="s">
        <v>174</v>
      </c>
      <c r="L109" s="10" t="s">
        <v>171</v>
      </c>
      <c r="M109" s="10" t="s">
        <v>175</v>
      </c>
      <c r="N109" s="10" t="s">
        <v>93</v>
      </c>
      <c r="O109" s="10" t="s">
        <v>115</v>
      </c>
      <c r="P109" s="10" t="s">
        <v>95</v>
      </c>
      <c r="Q109" s="10" t="s">
        <v>96</v>
      </c>
      <c r="R109" s="12">
        <v>6</v>
      </c>
      <c r="S109" s="13">
        <v>2706.3719999999998</v>
      </c>
      <c r="T109" s="13">
        <v>2832.3719999999998</v>
      </c>
      <c r="U109" s="12">
        <v>324</v>
      </c>
      <c r="V109" s="13">
        <v>2541.7800000000002</v>
      </c>
      <c r="W109" s="13">
        <v>2706.3719999999998</v>
      </c>
      <c r="X109" s="12">
        <v>0</v>
      </c>
      <c r="Y109" s="13">
        <v>0</v>
      </c>
      <c r="Z109" s="13">
        <v>0</v>
      </c>
      <c r="AA109" s="12">
        <v>0</v>
      </c>
      <c r="AB109" s="13">
        <v>0</v>
      </c>
      <c r="AC109" s="13">
        <v>0</v>
      </c>
      <c r="AD109" s="12">
        <v>6</v>
      </c>
      <c r="AE109" s="12">
        <v>0</v>
      </c>
      <c r="AF109" s="12">
        <v>0</v>
      </c>
      <c r="AG109" s="12">
        <v>6</v>
      </c>
      <c r="AH109" s="12">
        <v>0</v>
      </c>
      <c r="AI109" s="12">
        <v>0</v>
      </c>
      <c r="AJ109" s="10">
        <v>6186528</v>
      </c>
      <c r="AK109" s="10" t="s">
        <v>47</v>
      </c>
      <c r="AL109" s="14" t="s">
        <v>142</v>
      </c>
      <c r="AM109" s="10" t="s">
        <v>97</v>
      </c>
      <c r="AN109" s="15">
        <v>202000290028</v>
      </c>
      <c r="AO109" s="16" t="s">
        <v>143</v>
      </c>
      <c r="AP109" s="17">
        <v>52813.45</v>
      </c>
      <c r="AQ109" s="10" t="s">
        <v>51</v>
      </c>
      <c r="AR109" s="10" t="s">
        <v>176</v>
      </c>
      <c r="AS109" s="12">
        <v>972</v>
      </c>
      <c r="AT109" s="10" t="s">
        <v>53</v>
      </c>
      <c r="AU109" s="10">
        <v>26101200</v>
      </c>
      <c r="AV109" s="10" t="s">
        <v>78</v>
      </c>
      <c r="AW109" s="10" t="s">
        <v>55</v>
      </c>
      <c r="AX109" s="10" t="s">
        <v>56</v>
      </c>
      <c r="AY109" s="10" t="s">
        <v>102</v>
      </c>
      <c r="AZ109" s="10" t="s">
        <v>103</v>
      </c>
      <c r="BG109" t="str">
        <v>Outbound</v>
      </c>
      <c r="BH109" t="str">
        <v>Land</v>
      </c>
      <c r="BI109" t="str">
        <v>FG-R-2191LE26</v>
      </c>
      <c r="BJ109" t="str">
        <v>SAIA-BURGESS AUTOMOTIVE ACTUATORS, LLC</v>
      </c>
      <c r="BK109" t="str">
        <v xml:space="preserve">755 Bill Jones Drive      </v>
      </c>
      <c r="BL109" t="str">
        <v>M19</v>
      </c>
      <c r="BM109" t="str">
        <v>1999-5YY1145EN</v>
      </c>
      <c r="BN109" s="24">
        <v>2160</v>
      </c>
      <c r="BO109" s="23">
        <v>4752.4799999999996</v>
      </c>
      <c r="BP109" s="26">
        <f t="shared" si="4"/>
        <v>0.12032928002352869</v>
      </c>
      <c r="BQ109" s="21">
        <f t="shared" si="5"/>
        <v>591.87088275613849</v>
      </c>
    </row>
    <row r="110" spans="2:69" x14ac:dyDescent="0.35">
      <c r="B110" t="s">
        <v>261</v>
      </c>
      <c r="C110" t="s">
        <v>262</v>
      </c>
      <c r="D110" t="str" cm="1">
        <f t="array" ref="D110">_xlfn.REGEXEXTRACT(G110,"FG-R-\d{4}LE\d{2}")</f>
        <v>FG-R-2191LE26</v>
      </c>
      <c r="E110" t="s">
        <v>299</v>
      </c>
      <c r="F110" s="23" cm="1">
        <f t="array" ref="F110">_xlfn.SWITCH(TRUE,T110&gt;0,T110,Z110)</f>
        <v>2832.3719999999998</v>
      </c>
      <c r="G110" s="10" t="s">
        <v>171</v>
      </c>
      <c r="H110" s="10" t="s">
        <v>172</v>
      </c>
      <c r="I110" s="10" t="s">
        <v>173</v>
      </c>
      <c r="J110" s="11" t="s">
        <v>174</v>
      </c>
      <c r="K110" s="11" t="s">
        <v>174</v>
      </c>
      <c r="L110" s="10" t="s">
        <v>171</v>
      </c>
      <c r="M110" s="10" t="s">
        <v>175</v>
      </c>
      <c r="N110" s="10" t="s">
        <v>93</v>
      </c>
      <c r="O110" s="10" t="s">
        <v>115</v>
      </c>
      <c r="P110" s="10" t="s">
        <v>95</v>
      </c>
      <c r="Q110" s="10" t="s">
        <v>96</v>
      </c>
      <c r="R110" s="12">
        <v>6</v>
      </c>
      <c r="S110" s="13">
        <v>2706.3719999999998</v>
      </c>
      <c r="T110" s="13">
        <v>2832.3719999999998</v>
      </c>
      <c r="U110" s="12">
        <v>324</v>
      </c>
      <c r="V110" s="13">
        <v>2541.7800000000002</v>
      </c>
      <c r="W110" s="13">
        <v>2706.3719999999998</v>
      </c>
      <c r="X110" s="12">
        <v>0</v>
      </c>
      <c r="Y110" s="13">
        <v>0</v>
      </c>
      <c r="Z110" s="13">
        <v>0</v>
      </c>
      <c r="AA110" s="12">
        <v>0</v>
      </c>
      <c r="AB110" s="13">
        <v>0</v>
      </c>
      <c r="AC110" s="13">
        <v>0</v>
      </c>
      <c r="AD110" s="12">
        <v>6</v>
      </c>
      <c r="AE110" s="12">
        <v>0</v>
      </c>
      <c r="AF110" s="12">
        <v>0</v>
      </c>
      <c r="AG110" s="12">
        <v>6</v>
      </c>
      <c r="AH110" s="12">
        <v>0</v>
      </c>
      <c r="AI110" s="12">
        <v>0</v>
      </c>
      <c r="AJ110" s="10">
        <v>6186528</v>
      </c>
      <c r="AK110" s="10" t="s">
        <v>47</v>
      </c>
      <c r="AL110" s="14" t="s">
        <v>142</v>
      </c>
      <c r="AM110" s="10" t="s">
        <v>97</v>
      </c>
      <c r="AN110" s="15">
        <v>202000290029</v>
      </c>
      <c r="AO110" s="16" t="s">
        <v>143</v>
      </c>
      <c r="AP110" s="17">
        <v>10562.69</v>
      </c>
      <c r="AQ110" s="10" t="s">
        <v>51</v>
      </c>
      <c r="AR110" s="10" t="s">
        <v>176</v>
      </c>
      <c r="AS110" s="12">
        <v>972</v>
      </c>
      <c r="AT110" s="10" t="s">
        <v>53</v>
      </c>
      <c r="AU110" s="10">
        <v>26101200</v>
      </c>
      <c r="AV110" s="10" t="s">
        <v>78</v>
      </c>
      <c r="AW110" s="10" t="s">
        <v>55</v>
      </c>
      <c r="AX110" s="10" t="s">
        <v>56</v>
      </c>
      <c r="AY110" s="10" t="s">
        <v>102</v>
      </c>
      <c r="AZ110" s="10" t="s">
        <v>103</v>
      </c>
      <c r="BG110" t="str">
        <v>Outbound</v>
      </c>
      <c r="BH110" t="str">
        <v>Land</v>
      </c>
      <c r="BI110" t="str">
        <v>FG-R-2191LE26</v>
      </c>
      <c r="BJ110" t="str">
        <v>SAIA-BURGESS AUTOMOTIVE ACTUATORS, LLC</v>
      </c>
      <c r="BK110" t="str">
        <v xml:space="preserve">755 Bill Jones Drive      </v>
      </c>
      <c r="BL110" t="str">
        <v>M19</v>
      </c>
      <c r="BM110" t="str">
        <v>1999-5YY1145EN</v>
      </c>
      <c r="BN110" s="24">
        <v>2160</v>
      </c>
      <c r="BO110" s="23">
        <v>4752.4799999999996</v>
      </c>
      <c r="BP110" s="26">
        <f t="shared" si="4"/>
        <v>0.12032928002352869</v>
      </c>
      <c r="BQ110" s="21">
        <f t="shared" si="5"/>
        <v>591.87088275613849</v>
      </c>
    </row>
    <row r="111" spans="2:69" x14ac:dyDescent="0.35">
      <c r="B111" t="s">
        <v>261</v>
      </c>
      <c r="C111" t="s">
        <v>262</v>
      </c>
      <c r="D111" t="str" cm="1">
        <f t="array" ref="D111">_xlfn.REGEXEXTRACT(G111,"FG-R-\d{4}LE\d{2}")</f>
        <v>FG-R-2191LE26</v>
      </c>
      <c r="E111" t="s">
        <v>299</v>
      </c>
      <c r="F111" s="23" cm="1">
        <f t="array" ref="F111">_xlfn.SWITCH(TRUE,T111&gt;0,T111,Z111)</f>
        <v>932.13599999999997</v>
      </c>
      <c r="G111" s="10" t="s">
        <v>171</v>
      </c>
      <c r="H111" s="10" t="s">
        <v>172</v>
      </c>
      <c r="I111" s="10" t="s">
        <v>173</v>
      </c>
      <c r="J111" s="11" t="s">
        <v>174</v>
      </c>
      <c r="K111" s="11" t="s">
        <v>174</v>
      </c>
      <c r="L111" s="10" t="s">
        <v>171</v>
      </c>
      <c r="M111" s="10" t="s">
        <v>175</v>
      </c>
      <c r="N111" s="10" t="s">
        <v>93</v>
      </c>
      <c r="O111" s="10" t="s">
        <v>115</v>
      </c>
      <c r="P111" s="10" t="s">
        <v>95</v>
      </c>
      <c r="Q111" s="10" t="s">
        <v>96</v>
      </c>
      <c r="R111" s="12">
        <v>2</v>
      </c>
      <c r="S111" s="13">
        <v>890.13599999999997</v>
      </c>
      <c r="T111" s="13">
        <v>932.13599999999997</v>
      </c>
      <c r="U111" s="12">
        <v>108</v>
      </c>
      <c r="V111" s="13">
        <v>835.27200000000005</v>
      </c>
      <c r="W111" s="13">
        <v>890.13599999999997</v>
      </c>
      <c r="X111" s="12">
        <v>0</v>
      </c>
      <c r="Y111" s="13">
        <v>0</v>
      </c>
      <c r="Z111" s="13">
        <v>0</v>
      </c>
      <c r="AA111" s="12">
        <v>0</v>
      </c>
      <c r="AB111" s="13">
        <v>0</v>
      </c>
      <c r="AC111" s="13">
        <v>0</v>
      </c>
      <c r="AD111" s="12">
        <v>2</v>
      </c>
      <c r="AE111" s="12">
        <v>0</v>
      </c>
      <c r="AF111" s="12">
        <v>0</v>
      </c>
      <c r="AG111" s="12">
        <v>2</v>
      </c>
      <c r="AH111" s="12">
        <v>0</v>
      </c>
      <c r="AI111" s="12">
        <v>0</v>
      </c>
      <c r="AJ111" s="10">
        <v>6186531</v>
      </c>
      <c r="AK111" s="10" t="s">
        <v>47</v>
      </c>
      <c r="AL111" s="14" t="s">
        <v>142</v>
      </c>
      <c r="AM111" s="10" t="s">
        <v>97</v>
      </c>
      <c r="AN111" s="15">
        <v>202000290034</v>
      </c>
      <c r="AO111" s="16" t="s">
        <v>143</v>
      </c>
      <c r="AP111" s="17">
        <v>17950.810000000001</v>
      </c>
      <c r="AQ111" s="10" t="s">
        <v>51</v>
      </c>
      <c r="AR111" s="10" t="s">
        <v>177</v>
      </c>
      <c r="AS111" s="12">
        <v>324</v>
      </c>
      <c r="AT111" s="10" t="s">
        <v>53</v>
      </c>
      <c r="AU111" s="10">
        <v>26101200</v>
      </c>
      <c r="AV111" s="10" t="s">
        <v>78</v>
      </c>
      <c r="AW111" s="10" t="s">
        <v>55</v>
      </c>
      <c r="AX111" s="10" t="s">
        <v>56</v>
      </c>
      <c r="AY111" s="10" t="s">
        <v>99</v>
      </c>
      <c r="AZ111" s="10" t="s">
        <v>100</v>
      </c>
      <c r="BG111" t="str">
        <v>Outbound</v>
      </c>
      <c r="BH111" t="str">
        <v>Land</v>
      </c>
      <c r="BI111" t="str">
        <v>FG-R-2192LE26</v>
      </c>
      <c r="BJ111" t="str">
        <v>JOHNSON ELECTRIC NORTH AMERICA, INC.</v>
      </c>
      <c r="BK111" t="str">
        <v xml:space="preserve">Memphis Distribution Services 3893 Crowfarn    </v>
      </c>
      <c r="BL111" t="str">
        <v>M01</v>
      </c>
      <c r="BM111" t="str">
        <v>1999-1WP0045AN</v>
      </c>
      <c r="BN111" s="24">
        <v>3600</v>
      </c>
      <c r="BO111" s="23">
        <v>412.86200000000002</v>
      </c>
      <c r="BP111" s="26">
        <f t="shared" si="4"/>
        <v>8.4565883079711315E-2</v>
      </c>
      <c r="BQ111" s="21">
        <f t="shared" si="5"/>
        <v>415.9593064934333</v>
      </c>
    </row>
    <row r="112" spans="2:69" x14ac:dyDescent="0.35">
      <c r="B112" t="s">
        <v>261</v>
      </c>
      <c r="C112" t="s">
        <v>262</v>
      </c>
      <c r="D112" t="str" cm="1">
        <f t="array" ref="D112">_xlfn.REGEXEXTRACT(G112,"FG-R-\d{4}LE\d{2}")</f>
        <v>FG-R-2191LE26</v>
      </c>
      <c r="E112" t="s">
        <v>299</v>
      </c>
      <c r="F112" s="23" cm="1">
        <f t="array" ref="F112">_xlfn.SWITCH(TRUE,T112&gt;0,T112,Z112)</f>
        <v>1425.7439999999999</v>
      </c>
      <c r="G112" s="10" t="s">
        <v>171</v>
      </c>
      <c r="H112" s="10" t="s">
        <v>172</v>
      </c>
      <c r="I112" s="10" t="s">
        <v>173</v>
      </c>
      <c r="J112" s="11" t="s">
        <v>174</v>
      </c>
      <c r="K112" s="11" t="s">
        <v>174</v>
      </c>
      <c r="L112" s="10" t="s">
        <v>171</v>
      </c>
      <c r="M112" s="10" t="s">
        <v>175</v>
      </c>
      <c r="N112" s="10" t="s">
        <v>93</v>
      </c>
      <c r="O112" s="10" t="s">
        <v>94</v>
      </c>
      <c r="P112" s="10" t="s">
        <v>95</v>
      </c>
      <c r="Q112" s="10" t="s">
        <v>96</v>
      </c>
      <c r="R112" s="12">
        <v>3</v>
      </c>
      <c r="S112" s="13">
        <v>1362.7439999999999</v>
      </c>
      <c r="T112" s="13">
        <v>1425.7439999999999</v>
      </c>
      <c r="U112" s="12">
        <v>162</v>
      </c>
      <c r="V112" s="13">
        <v>1280.4480000000001</v>
      </c>
      <c r="W112" s="13">
        <v>1362.7439999999999</v>
      </c>
      <c r="X112" s="12">
        <v>0</v>
      </c>
      <c r="Y112" s="13">
        <v>0</v>
      </c>
      <c r="Z112" s="13">
        <v>0</v>
      </c>
      <c r="AA112" s="12">
        <v>0</v>
      </c>
      <c r="AB112" s="13">
        <v>0</v>
      </c>
      <c r="AC112" s="13">
        <v>0</v>
      </c>
      <c r="AD112" s="12">
        <v>3</v>
      </c>
      <c r="AE112" s="12">
        <v>0</v>
      </c>
      <c r="AF112" s="12">
        <v>0</v>
      </c>
      <c r="AG112" s="12">
        <v>3</v>
      </c>
      <c r="AH112" s="12">
        <v>0</v>
      </c>
      <c r="AI112" s="12">
        <v>0</v>
      </c>
      <c r="AJ112" s="10">
        <v>6186532</v>
      </c>
      <c r="AK112" s="10" t="s">
        <v>47</v>
      </c>
      <c r="AL112" s="14" t="s">
        <v>142</v>
      </c>
      <c r="AM112" s="10" t="s">
        <v>97</v>
      </c>
      <c r="AN112" s="15">
        <v>202000290035</v>
      </c>
      <c r="AO112" s="16" t="s">
        <v>143</v>
      </c>
      <c r="AP112" s="17">
        <v>27009.48</v>
      </c>
      <c r="AQ112" s="10" t="s">
        <v>51</v>
      </c>
      <c r="AR112" s="10" t="s">
        <v>118</v>
      </c>
      <c r="AS112" s="12">
        <v>648</v>
      </c>
      <c r="AT112" s="10" t="s">
        <v>53</v>
      </c>
      <c r="AU112" s="10">
        <v>26101200</v>
      </c>
      <c r="AV112" s="10" t="s">
        <v>78</v>
      </c>
      <c r="AW112" s="10" t="s">
        <v>55</v>
      </c>
      <c r="AX112" s="10" t="s">
        <v>56</v>
      </c>
      <c r="AY112" s="10" t="s">
        <v>99</v>
      </c>
      <c r="AZ112" s="10" t="s">
        <v>100</v>
      </c>
      <c r="BG112" t="str">
        <v>Outbound</v>
      </c>
      <c r="BH112" t="str">
        <v>Land</v>
      </c>
      <c r="BI112" t="str">
        <v>FG-R-2192LE26</v>
      </c>
      <c r="BJ112" t="str">
        <v>JOHNSON ELECTRIC NORTH AMERICA, INC.</v>
      </c>
      <c r="BK112" t="str">
        <v xml:space="preserve">Memphis Distribution Services 3893 Crowfarn    </v>
      </c>
      <c r="BL112" t="str">
        <v>M01</v>
      </c>
      <c r="BM112" t="str">
        <v>1999-1WP0105EN</v>
      </c>
      <c r="BN112" s="24">
        <v>2100</v>
      </c>
      <c r="BO112" s="23">
        <v>297.91231900000002</v>
      </c>
      <c r="BP112" s="26">
        <f t="shared" si="4"/>
        <v>6.1020918216158578E-2</v>
      </c>
      <c r="BQ112" s="21">
        <f t="shared" si="5"/>
        <v>300.14726859602115</v>
      </c>
    </row>
    <row r="113" spans="2:69" x14ac:dyDescent="0.35">
      <c r="B113" t="s">
        <v>261</v>
      </c>
      <c r="C113" t="s">
        <v>262</v>
      </c>
      <c r="D113" t="str" cm="1">
        <f t="array" ref="D113">_xlfn.REGEXEXTRACT(G113,"FG-R-\d{4}LE\d{2}")</f>
        <v>FG-R-2191LE26</v>
      </c>
      <c r="E113" t="s">
        <v>299</v>
      </c>
      <c r="F113" s="23" cm="1">
        <f t="array" ref="F113">_xlfn.SWITCH(TRUE,T113&gt;0,T113,Z113)</f>
        <v>414.64800000000002</v>
      </c>
      <c r="G113" s="10" t="s">
        <v>171</v>
      </c>
      <c r="H113" s="10" t="s">
        <v>172</v>
      </c>
      <c r="I113" s="10" t="s">
        <v>173</v>
      </c>
      <c r="J113" s="11" t="s">
        <v>174</v>
      </c>
      <c r="K113" s="11" t="s">
        <v>174</v>
      </c>
      <c r="L113" s="10" t="s">
        <v>171</v>
      </c>
      <c r="M113" s="10" t="s">
        <v>175</v>
      </c>
      <c r="N113" s="10" t="s">
        <v>93</v>
      </c>
      <c r="O113" s="10" t="s">
        <v>94</v>
      </c>
      <c r="P113" s="10" t="s">
        <v>95</v>
      </c>
      <c r="Q113" s="10" t="s">
        <v>96</v>
      </c>
      <c r="R113" s="12">
        <v>1</v>
      </c>
      <c r="S113" s="13">
        <v>382.84800000000001</v>
      </c>
      <c r="T113" s="13">
        <v>414.64800000000002</v>
      </c>
      <c r="U113" s="12">
        <v>64</v>
      </c>
      <c r="V113" s="13">
        <v>360.96</v>
      </c>
      <c r="W113" s="13">
        <v>382.84800000000001</v>
      </c>
      <c r="X113" s="12">
        <v>0</v>
      </c>
      <c r="Y113" s="13">
        <v>0</v>
      </c>
      <c r="Z113" s="13">
        <v>0</v>
      </c>
      <c r="AA113" s="12">
        <v>0</v>
      </c>
      <c r="AB113" s="13">
        <v>0</v>
      </c>
      <c r="AC113" s="13">
        <v>0</v>
      </c>
      <c r="AD113" s="12">
        <v>1</v>
      </c>
      <c r="AE113" s="12">
        <v>0</v>
      </c>
      <c r="AF113" s="12">
        <v>0</v>
      </c>
      <c r="AG113" s="12">
        <v>1</v>
      </c>
      <c r="AH113" s="12">
        <v>0</v>
      </c>
      <c r="AI113" s="12">
        <v>0</v>
      </c>
      <c r="AJ113" s="10">
        <v>6186527</v>
      </c>
      <c r="AK113" s="10" t="s">
        <v>47</v>
      </c>
      <c r="AL113" s="14" t="s">
        <v>142</v>
      </c>
      <c r="AM113" s="10" t="s">
        <v>97</v>
      </c>
      <c r="AN113" s="15">
        <v>202000290026</v>
      </c>
      <c r="AO113" s="16" t="s">
        <v>143</v>
      </c>
      <c r="AP113" s="17">
        <v>5176.49</v>
      </c>
      <c r="AQ113" s="10" t="s">
        <v>51</v>
      </c>
      <c r="AR113" s="10" t="s">
        <v>101</v>
      </c>
      <c r="AS113" s="12">
        <v>320</v>
      </c>
      <c r="AT113" s="10" t="s">
        <v>53</v>
      </c>
      <c r="AU113" s="10">
        <v>26101200</v>
      </c>
      <c r="AV113" s="10" t="s">
        <v>78</v>
      </c>
      <c r="AW113" s="10" t="s">
        <v>55</v>
      </c>
      <c r="AX113" s="10" t="s">
        <v>56</v>
      </c>
      <c r="AY113" s="10" t="s">
        <v>102</v>
      </c>
      <c r="AZ113" s="10" t="s">
        <v>103</v>
      </c>
      <c r="BG113" t="str">
        <v>Outbound</v>
      </c>
      <c r="BH113" t="str">
        <v>Land</v>
      </c>
      <c r="BI113" t="str">
        <v>FG-R-2192LE26</v>
      </c>
      <c r="BJ113" t="str">
        <v>JOHNSON ELECTRIC NORTH AMERICA, INC.</v>
      </c>
      <c r="BK113" t="str">
        <v xml:space="preserve">Memphis Distribution Services 3893 Crowfarn    </v>
      </c>
      <c r="BL113" t="str">
        <v>M01</v>
      </c>
      <c r="BM113" t="str">
        <v>1999-1WP0055AN</v>
      </c>
      <c r="BN113" s="24">
        <v>19200</v>
      </c>
      <c r="BO113" s="23">
        <v>2018.4</v>
      </c>
      <c r="BP113" s="26">
        <f t="shared" si="4"/>
        <v>0.41342574130845011</v>
      </c>
      <c r="BQ113" s="21">
        <f t="shared" si="5"/>
        <v>2033.5421138936154</v>
      </c>
    </row>
    <row r="114" spans="2:69" x14ac:dyDescent="0.35">
      <c r="B114" t="s">
        <v>261</v>
      </c>
      <c r="C114" t="s">
        <v>262</v>
      </c>
      <c r="D114" t="str" cm="1">
        <f t="array" ref="D114">_xlfn.REGEXEXTRACT(G114,"FG-R-\d{4}LE\d{2}")</f>
        <v>FG-R-2191LE26</v>
      </c>
      <c r="E114" t="s">
        <v>299</v>
      </c>
      <c r="F114" s="23" cm="1">
        <f t="array" ref="F114">_xlfn.SWITCH(TRUE,T114&gt;0,T114,Z114)</f>
        <v>6559.7280000000001</v>
      </c>
      <c r="G114" s="10" t="s">
        <v>171</v>
      </c>
      <c r="H114" s="10" t="s">
        <v>172</v>
      </c>
      <c r="I114" s="10" t="s">
        <v>173</v>
      </c>
      <c r="J114" s="11" t="s">
        <v>174</v>
      </c>
      <c r="K114" s="11" t="s">
        <v>174</v>
      </c>
      <c r="L114" s="10" t="s">
        <v>171</v>
      </c>
      <c r="M114" s="10" t="s">
        <v>175</v>
      </c>
      <c r="N114" s="10" t="s">
        <v>93</v>
      </c>
      <c r="O114" s="10" t="s">
        <v>94</v>
      </c>
      <c r="P114" s="10" t="s">
        <v>95</v>
      </c>
      <c r="Q114" s="10" t="s">
        <v>96</v>
      </c>
      <c r="R114" s="12">
        <v>14</v>
      </c>
      <c r="S114" s="13">
        <v>6265.7280000000001</v>
      </c>
      <c r="T114" s="13">
        <v>6559.7280000000001</v>
      </c>
      <c r="U114" s="12">
        <v>756</v>
      </c>
      <c r="V114" s="13">
        <v>5881.68</v>
      </c>
      <c r="W114" s="13">
        <v>6265.7280000000001</v>
      </c>
      <c r="X114" s="12">
        <v>0</v>
      </c>
      <c r="Y114" s="13">
        <v>0</v>
      </c>
      <c r="Z114" s="13">
        <v>0</v>
      </c>
      <c r="AA114" s="12">
        <v>0</v>
      </c>
      <c r="AB114" s="13">
        <v>0</v>
      </c>
      <c r="AC114" s="13">
        <v>0</v>
      </c>
      <c r="AD114" s="12">
        <v>14</v>
      </c>
      <c r="AE114" s="12">
        <v>0</v>
      </c>
      <c r="AF114" s="12">
        <v>0</v>
      </c>
      <c r="AG114" s="12">
        <v>14</v>
      </c>
      <c r="AH114" s="12">
        <v>0</v>
      </c>
      <c r="AI114" s="12">
        <v>0</v>
      </c>
      <c r="AJ114" s="10">
        <v>6186533</v>
      </c>
      <c r="AK114" s="10" t="s">
        <v>47</v>
      </c>
      <c r="AL114" s="14" t="s">
        <v>142</v>
      </c>
      <c r="AM114" s="10" t="s">
        <v>97</v>
      </c>
      <c r="AN114" s="15">
        <v>202000290036</v>
      </c>
      <c r="AO114" s="16" t="s">
        <v>143</v>
      </c>
      <c r="AP114" s="17">
        <v>71725.17</v>
      </c>
      <c r="AQ114" s="10" t="s">
        <v>51</v>
      </c>
      <c r="AR114" s="10" t="s">
        <v>104</v>
      </c>
      <c r="AS114" s="12">
        <v>3024</v>
      </c>
      <c r="AT114" s="10" t="s">
        <v>53</v>
      </c>
      <c r="AU114" s="10">
        <v>26101200</v>
      </c>
      <c r="AV114" s="10" t="s">
        <v>78</v>
      </c>
      <c r="AW114" s="10" t="s">
        <v>55</v>
      </c>
      <c r="AX114" s="10" t="s">
        <v>56</v>
      </c>
      <c r="AY114" s="10" t="s">
        <v>99</v>
      </c>
      <c r="AZ114" s="10" t="s">
        <v>100</v>
      </c>
      <c r="BG114" t="str">
        <v>Outbound</v>
      </c>
      <c r="BH114" t="str">
        <v>Land</v>
      </c>
      <c r="BI114" t="str">
        <v>FG-R-2192LE26</v>
      </c>
      <c r="BJ114" t="str">
        <v>JOHNSON ELECTRIC NORTH AMERICA, INC.</v>
      </c>
      <c r="BK114" t="str">
        <v xml:space="preserve">Memphis Distribution Services 3893 Crowfarn    </v>
      </c>
      <c r="BL114" t="str">
        <v>M01</v>
      </c>
      <c r="BM114" t="str">
        <v>1916-1010002EP/MX</v>
      </c>
      <c r="BN114" s="24">
        <v>1440</v>
      </c>
      <c r="BO114" s="23">
        <v>109.96</v>
      </c>
      <c r="BP114" s="26">
        <f t="shared" si="4"/>
        <v>2.2522936243696577E-2</v>
      </c>
      <c r="BQ114" s="21">
        <f t="shared" si="5"/>
        <v>110.78492411996727</v>
      </c>
    </row>
    <row r="115" spans="2:69" x14ac:dyDescent="0.35">
      <c r="B115" t="s">
        <v>261</v>
      </c>
      <c r="C115" t="s">
        <v>262</v>
      </c>
      <c r="D115" t="str" cm="1">
        <f t="array" ref="D115">_xlfn.REGEXEXTRACT(G115,"FG-R-\d{4}LE\d{2}")</f>
        <v>FG-R-2191LE26</v>
      </c>
      <c r="E115" t="s">
        <v>299</v>
      </c>
      <c r="F115" s="23" cm="1">
        <f t="array" ref="F115">_xlfn.SWITCH(TRUE,T115&gt;0,T115,Z115)</f>
        <v>6559.7280000000001</v>
      </c>
      <c r="G115" s="10" t="s">
        <v>171</v>
      </c>
      <c r="H115" s="10" t="s">
        <v>172</v>
      </c>
      <c r="I115" s="10" t="s">
        <v>173</v>
      </c>
      <c r="J115" s="11" t="s">
        <v>174</v>
      </c>
      <c r="K115" s="11" t="s">
        <v>174</v>
      </c>
      <c r="L115" s="10" t="s">
        <v>171</v>
      </c>
      <c r="M115" s="10" t="s">
        <v>175</v>
      </c>
      <c r="N115" s="10" t="s">
        <v>93</v>
      </c>
      <c r="O115" s="10" t="s">
        <v>94</v>
      </c>
      <c r="P115" s="10" t="s">
        <v>95</v>
      </c>
      <c r="Q115" s="10" t="s">
        <v>96</v>
      </c>
      <c r="R115" s="12">
        <v>14</v>
      </c>
      <c r="S115" s="13">
        <v>6265.7280000000001</v>
      </c>
      <c r="T115" s="13">
        <v>6559.7280000000001</v>
      </c>
      <c r="U115" s="12">
        <v>756</v>
      </c>
      <c r="V115" s="13">
        <v>5881.68</v>
      </c>
      <c r="W115" s="13">
        <v>6265.7280000000001</v>
      </c>
      <c r="X115" s="12">
        <v>0</v>
      </c>
      <c r="Y115" s="13">
        <v>0</v>
      </c>
      <c r="Z115" s="13">
        <v>0</v>
      </c>
      <c r="AA115" s="12">
        <v>0</v>
      </c>
      <c r="AB115" s="13">
        <v>0</v>
      </c>
      <c r="AC115" s="13">
        <v>0</v>
      </c>
      <c r="AD115" s="12">
        <v>14</v>
      </c>
      <c r="AE115" s="12">
        <v>0</v>
      </c>
      <c r="AF115" s="12">
        <v>0</v>
      </c>
      <c r="AG115" s="12">
        <v>14</v>
      </c>
      <c r="AH115" s="12">
        <v>0</v>
      </c>
      <c r="AI115" s="12">
        <v>0</v>
      </c>
      <c r="AJ115" s="10">
        <v>6186533</v>
      </c>
      <c r="AK115" s="10" t="s">
        <v>47</v>
      </c>
      <c r="AL115" s="14" t="s">
        <v>142</v>
      </c>
      <c r="AM115" s="10" t="s">
        <v>97</v>
      </c>
      <c r="AN115" s="15">
        <v>202000290037</v>
      </c>
      <c r="AO115" s="16" t="s">
        <v>143</v>
      </c>
      <c r="AP115" s="17">
        <v>22082.05</v>
      </c>
      <c r="AQ115" s="10" t="s">
        <v>51</v>
      </c>
      <c r="AR115" s="10" t="s">
        <v>104</v>
      </c>
      <c r="AS115" s="12">
        <v>3024</v>
      </c>
      <c r="AT115" s="10" t="s">
        <v>53</v>
      </c>
      <c r="AU115" s="10">
        <v>26101200</v>
      </c>
      <c r="AV115" s="10" t="s">
        <v>78</v>
      </c>
      <c r="AW115" s="10" t="s">
        <v>55</v>
      </c>
      <c r="AX115" s="10" t="s">
        <v>56</v>
      </c>
      <c r="AY115" s="10" t="s">
        <v>99</v>
      </c>
      <c r="AZ115" s="10" t="s">
        <v>100</v>
      </c>
      <c r="BG115" t="str">
        <v>Outbound</v>
      </c>
      <c r="BH115" t="str">
        <v>Land</v>
      </c>
      <c r="BI115" t="str">
        <v>FG-R-2192LE26</v>
      </c>
      <c r="BJ115" t="str">
        <v>JOHNSON ELECTRIC NORTH AMERICA, INC.</v>
      </c>
      <c r="BK115" t="str">
        <v xml:space="preserve">Memphis Distribution Services 3893 Crowfarn    </v>
      </c>
      <c r="BL115" t="str">
        <v>M01</v>
      </c>
      <c r="BM115" t="str">
        <v>1916-1010002EP/MX</v>
      </c>
      <c r="BN115" s="24">
        <v>1440</v>
      </c>
      <c r="BO115" s="23">
        <v>109.96</v>
      </c>
      <c r="BP115" s="26">
        <f t="shared" si="4"/>
        <v>2.2522936243696577E-2</v>
      </c>
      <c r="BQ115" s="21">
        <f t="shared" si="5"/>
        <v>110.78492411996727</v>
      </c>
    </row>
    <row r="116" spans="2:69" x14ac:dyDescent="0.35">
      <c r="B116" t="s">
        <v>261</v>
      </c>
      <c r="C116" t="s">
        <v>262</v>
      </c>
      <c r="D116" t="str" cm="1">
        <f t="array" ref="D116">_xlfn.REGEXEXTRACT(G116,"FG-R-\d{4}LE\d{2}")</f>
        <v>FG-R-2191LE26</v>
      </c>
      <c r="E116" t="s">
        <v>299</v>
      </c>
      <c r="F116" s="23" cm="1">
        <f t="array" ref="F116">_xlfn.SWITCH(TRUE,T116&gt;0,T116,Z116)</f>
        <v>6559.7280000000001</v>
      </c>
      <c r="G116" s="10" t="s">
        <v>171</v>
      </c>
      <c r="H116" s="10" t="s">
        <v>172</v>
      </c>
      <c r="I116" s="10" t="s">
        <v>173</v>
      </c>
      <c r="J116" s="11" t="s">
        <v>174</v>
      </c>
      <c r="K116" s="11" t="s">
        <v>174</v>
      </c>
      <c r="L116" s="10" t="s">
        <v>171</v>
      </c>
      <c r="M116" s="10" t="s">
        <v>175</v>
      </c>
      <c r="N116" s="10" t="s">
        <v>93</v>
      </c>
      <c r="O116" s="10" t="s">
        <v>94</v>
      </c>
      <c r="P116" s="10" t="s">
        <v>95</v>
      </c>
      <c r="Q116" s="10" t="s">
        <v>96</v>
      </c>
      <c r="R116" s="12">
        <v>14</v>
      </c>
      <c r="S116" s="13">
        <v>6265.7280000000001</v>
      </c>
      <c r="T116" s="13">
        <v>6559.7280000000001</v>
      </c>
      <c r="U116" s="12">
        <v>756</v>
      </c>
      <c r="V116" s="13">
        <v>5881.68</v>
      </c>
      <c r="W116" s="13">
        <v>6265.7280000000001</v>
      </c>
      <c r="X116" s="12">
        <v>0</v>
      </c>
      <c r="Y116" s="13">
        <v>0</v>
      </c>
      <c r="Z116" s="13">
        <v>0</v>
      </c>
      <c r="AA116" s="12">
        <v>0</v>
      </c>
      <c r="AB116" s="13">
        <v>0</v>
      </c>
      <c r="AC116" s="13">
        <v>0</v>
      </c>
      <c r="AD116" s="12">
        <v>14</v>
      </c>
      <c r="AE116" s="12">
        <v>0</v>
      </c>
      <c r="AF116" s="12">
        <v>0</v>
      </c>
      <c r="AG116" s="12">
        <v>14</v>
      </c>
      <c r="AH116" s="12">
        <v>0</v>
      </c>
      <c r="AI116" s="12">
        <v>0</v>
      </c>
      <c r="AJ116" s="10">
        <v>6186533</v>
      </c>
      <c r="AK116" s="10" t="s">
        <v>47</v>
      </c>
      <c r="AL116" s="14" t="s">
        <v>142</v>
      </c>
      <c r="AM116" s="10" t="s">
        <v>97</v>
      </c>
      <c r="AN116" s="15">
        <v>202000290038</v>
      </c>
      <c r="AO116" s="16" t="s">
        <v>143</v>
      </c>
      <c r="AP116" s="17">
        <v>31711.82</v>
      </c>
      <c r="AQ116" s="10" t="s">
        <v>51</v>
      </c>
      <c r="AR116" s="10" t="s">
        <v>104</v>
      </c>
      <c r="AS116" s="12">
        <v>3024</v>
      </c>
      <c r="AT116" s="10" t="s">
        <v>53</v>
      </c>
      <c r="AU116" s="10">
        <v>26101200</v>
      </c>
      <c r="AV116" s="10" t="s">
        <v>78</v>
      </c>
      <c r="AW116" s="10" t="s">
        <v>55</v>
      </c>
      <c r="AX116" s="10" t="s">
        <v>56</v>
      </c>
      <c r="AY116" s="10" t="s">
        <v>99</v>
      </c>
      <c r="AZ116" s="10" t="s">
        <v>100</v>
      </c>
      <c r="BG116" t="str">
        <v>Outbound</v>
      </c>
      <c r="BH116" t="str">
        <v>Land</v>
      </c>
      <c r="BI116" t="str">
        <v>FG-R-2192LE26</v>
      </c>
      <c r="BJ116" t="str">
        <v>JOHNSON ELECTRIC NORTH AMERICA, INC.</v>
      </c>
      <c r="BK116" t="str">
        <v xml:space="preserve">Memphis Distribution Services 3893 Crowfarn    </v>
      </c>
      <c r="BL116" t="str">
        <v>M01</v>
      </c>
      <c r="BM116" t="str">
        <v>1916-1010004EN</v>
      </c>
      <c r="BN116" s="24">
        <v>1440</v>
      </c>
      <c r="BO116" s="23">
        <v>117.16</v>
      </c>
      <c r="BP116" s="26">
        <f t="shared" si="4"/>
        <v>2.3997701075950263E-2</v>
      </c>
      <c r="BQ116" s="21">
        <f t="shared" si="5"/>
        <v>118.03893879497421</v>
      </c>
    </row>
    <row r="117" spans="2:69" x14ac:dyDescent="0.35">
      <c r="B117" t="s">
        <v>261</v>
      </c>
      <c r="C117" t="s">
        <v>262</v>
      </c>
      <c r="D117" t="str" cm="1">
        <f t="array" ref="D117">_xlfn.REGEXEXTRACT(G117,"FG-R-\d{4}LE\d{2}")</f>
        <v>FG-R-2191LE26</v>
      </c>
      <c r="E117" t="s">
        <v>299</v>
      </c>
      <c r="F117" s="23" cm="1">
        <f t="array" ref="F117">_xlfn.SWITCH(TRUE,T117&gt;0,T117,Z117)</f>
        <v>937.10400000000004</v>
      </c>
      <c r="G117" s="10" t="s">
        <v>171</v>
      </c>
      <c r="H117" s="10" t="s">
        <v>172</v>
      </c>
      <c r="I117" s="10" t="s">
        <v>173</v>
      </c>
      <c r="J117" s="11" t="s">
        <v>174</v>
      </c>
      <c r="K117" s="11" t="s">
        <v>174</v>
      </c>
      <c r="L117" s="10" t="s">
        <v>171</v>
      </c>
      <c r="M117" s="10" t="s">
        <v>175</v>
      </c>
      <c r="N117" s="10" t="s">
        <v>93</v>
      </c>
      <c r="O117" s="10" t="s">
        <v>94</v>
      </c>
      <c r="P117" s="10" t="s">
        <v>95</v>
      </c>
      <c r="Q117" s="10" t="s">
        <v>96</v>
      </c>
      <c r="R117" s="12">
        <v>2</v>
      </c>
      <c r="S117" s="13">
        <v>895.10400000000004</v>
      </c>
      <c r="T117" s="13">
        <v>937.10400000000004</v>
      </c>
      <c r="U117" s="12">
        <v>108</v>
      </c>
      <c r="V117" s="13">
        <v>840.24</v>
      </c>
      <c r="W117" s="13">
        <v>895.10400000000004</v>
      </c>
      <c r="X117" s="12">
        <v>0</v>
      </c>
      <c r="Y117" s="13">
        <v>0</v>
      </c>
      <c r="Z117" s="13">
        <v>0</v>
      </c>
      <c r="AA117" s="12">
        <v>0</v>
      </c>
      <c r="AB117" s="13">
        <v>0</v>
      </c>
      <c r="AC117" s="13">
        <v>0</v>
      </c>
      <c r="AD117" s="12">
        <v>2</v>
      </c>
      <c r="AE117" s="12">
        <v>0</v>
      </c>
      <c r="AF117" s="12">
        <v>0</v>
      </c>
      <c r="AG117" s="12">
        <v>2</v>
      </c>
      <c r="AH117" s="12">
        <v>0</v>
      </c>
      <c r="AI117" s="12">
        <v>0</v>
      </c>
      <c r="AJ117" s="10">
        <v>6186530</v>
      </c>
      <c r="AK117" s="10" t="s">
        <v>47</v>
      </c>
      <c r="AL117" s="14" t="s">
        <v>142</v>
      </c>
      <c r="AM117" s="10" t="s">
        <v>97</v>
      </c>
      <c r="AN117" s="15">
        <v>202000290032</v>
      </c>
      <c r="AO117" s="16" t="s">
        <v>143</v>
      </c>
      <c r="AP117" s="17">
        <v>14794.27</v>
      </c>
      <c r="AQ117" s="10" t="s">
        <v>51</v>
      </c>
      <c r="AR117" s="10" t="s">
        <v>149</v>
      </c>
      <c r="AS117" s="12">
        <v>432</v>
      </c>
      <c r="AT117" s="10" t="s">
        <v>53</v>
      </c>
      <c r="AU117" s="10">
        <v>26101200</v>
      </c>
      <c r="AV117" s="10" t="s">
        <v>78</v>
      </c>
      <c r="AW117" s="10" t="s">
        <v>55</v>
      </c>
      <c r="AX117" s="10" t="s">
        <v>56</v>
      </c>
      <c r="AY117" s="10" t="s">
        <v>99</v>
      </c>
      <c r="AZ117" s="10" t="s">
        <v>100</v>
      </c>
      <c r="BG117" t="str">
        <v>Outbound</v>
      </c>
      <c r="BH117" t="str">
        <v>Land</v>
      </c>
      <c r="BI117" t="str">
        <v>FG-R-2192LE26</v>
      </c>
      <c r="BJ117" t="str">
        <v>JOHNSON ELECTRIC NORTH AMERICA, INC.</v>
      </c>
      <c r="BK117" t="str">
        <v xml:space="preserve">Memphis Distribution Services 3893 Crowfarn    </v>
      </c>
      <c r="BL117" t="str">
        <v>M01</v>
      </c>
      <c r="BM117" t="str">
        <v>1916-1010004EN</v>
      </c>
      <c r="BN117" s="24">
        <v>5760</v>
      </c>
      <c r="BO117" s="23">
        <v>468.64</v>
      </c>
      <c r="BP117" s="26">
        <f t="shared" si="4"/>
        <v>9.5990804303801053E-2</v>
      </c>
      <c r="BQ117" s="21">
        <f t="shared" si="5"/>
        <v>472.15575517989686</v>
      </c>
    </row>
    <row r="118" spans="2:69" x14ac:dyDescent="0.35">
      <c r="B118" t="s">
        <v>261</v>
      </c>
      <c r="C118" t="s">
        <v>262</v>
      </c>
      <c r="D118" t="str" cm="1">
        <f t="array" ref="D118">_xlfn.REGEXEXTRACT(G118,"FG-R-\d{4}LE\d{2}")</f>
        <v>FG-R-2191LE26</v>
      </c>
      <c r="E118" t="s">
        <v>299</v>
      </c>
      <c r="F118" s="23" cm="1">
        <f t="array" ref="F118">_xlfn.SWITCH(TRUE,T118&gt;0,T118,Z118)</f>
        <v>937.10400000000004</v>
      </c>
      <c r="G118" s="10" t="s">
        <v>171</v>
      </c>
      <c r="H118" s="10" t="s">
        <v>172</v>
      </c>
      <c r="I118" s="10" t="s">
        <v>173</v>
      </c>
      <c r="J118" s="11" t="s">
        <v>174</v>
      </c>
      <c r="K118" s="11" t="s">
        <v>174</v>
      </c>
      <c r="L118" s="10" t="s">
        <v>171</v>
      </c>
      <c r="M118" s="10" t="s">
        <v>175</v>
      </c>
      <c r="N118" s="10" t="s">
        <v>93</v>
      </c>
      <c r="O118" s="10" t="s">
        <v>94</v>
      </c>
      <c r="P118" s="10" t="s">
        <v>95</v>
      </c>
      <c r="Q118" s="10" t="s">
        <v>96</v>
      </c>
      <c r="R118" s="12">
        <v>2</v>
      </c>
      <c r="S118" s="13">
        <v>895.10400000000004</v>
      </c>
      <c r="T118" s="13">
        <v>937.10400000000004</v>
      </c>
      <c r="U118" s="12">
        <v>108</v>
      </c>
      <c r="V118" s="13">
        <v>840.24</v>
      </c>
      <c r="W118" s="13">
        <v>895.10400000000004</v>
      </c>
      <c r="X118" s="12">
        <v>0</v>
      </c>
      <c r="Y118" s="13">
        <v>0</v>
      </c>
      <c r="Z118" s="13">
        <v>0</v>
      </c>
      <c r="AA118" s="12">
        <v>0</v>
      </c>
      <c r="AB118" s="13">
        <v>0</v>
      </c>
      <c r="AC118" s="13">
        <v>0</v>
      </c>
      <c r="AD118" s="12">
        <v>2</v>
      </c>
      <c r="AE118" s="12">
        <v>0</v>
      </c>
      <c r="AF118" s="12">
        <v>0</v>
      </c>
      <c r="AG118" s="12">
        <v>2</v>
      </c>
      <c r="AH118" s="12">
        <v>0</v>
      </c>
      <c r="AI118" s="12">
        <v>0</v>
      </c>
      <c r="AJ118" s="10">
        <v>6186530</v>
      </c>
      <c r="AK118" s="10" t="s">
        <v>47</v>
      </c>
      <c r="AL118" s="14" t="s">
        <v>142</v>
      </c>
      <c r="AM118" s="10" t="s">
        <v>97</v>
      </c>
      <c r="AN118" s="15">
        <v>202000290033</v>
      </c>
      <c r="AO118" s="16" t="s">
        <v>143</v>
      </c>
      <c r="AP118" s="17">
        <v>2763.76</v>
      </c>
      <c r="AQ118" s="10" t="s">
        <v>51</v>
      </c>
      <c r="AR118" s="10" t="s">
        <v>149</v>
      </c>
      <c r="AS118" s="12">
        <v>432</v>
      </c>
      <c r="AT118" s="10" t="s">
        <v>53</v>
      </c>
      <c r="AU118" s="10">
        <v>26101200</v>
      </c>
      <c r="AV118" s="10" t="s">
        <v>78</v>
      </c>
      <c r="AW118" s="10" t="s">
        <v>55</v>
      </c>
      <c r="AX118" s="10" t="s">
        <v>56</v>
      </c>
      <c r="AY118" s="10" t="s">
        <v>99</v>
      </c>
      <c r="AZ118" s="10" t="s">
        <v>100</v>
      </c>
      <c r="BG118" t="str">
        <v>Outbound</v>
      </c>
      <c r="BH118" t="str">
        <v>Land</v>
      </c>
      <c r="BI118" t="str">
        <v>FG-R-2192LE26</v>
      </c>
      <c r="BJ118" t="str">
        <v>JOHNSON ELECTRIC NORTH AMERICA, INC.</v>
      </c>
      <c r="BK118" t="str">
        <v xml:space="preserve">Memphis Distribution Services 3893 Crowfarn    </v>
      </c>
      <c r="BL118" t="str">
        <v>M01</v>
      </c>
      <c r="BM118" t="str">
        <v>1999-1WP0113EN</v>
      </c>
      <c r="BN118" s="24">
        <v>4800</v>
      </c>
      <c r="BO118" s="23">
        <v>633.24</v>
      </c>
      <c r="BP118" s="26">
        <f t="shared" si="4"/>
        <v>0.12970556699671171</v>
      </c>
      <c r="BQ118" s="21">
        <f t="shared" si="5"/>
        <v>637.99059066686129</v>
      </c>
    </row>
    <row r="119" spans="2:69" x14ac:dyDescent="0.35">
      <c r="B119" t="s">
        <v>261</v>
      </c>
      <c r="C119" t="s">
        <v>262</v>
      </c>
      <c r="D119" t="str" cm="1">
        <f t="array" ref="D119">_xlfn.REGEXEXTRACT(G119,"FG-R-\d{4}LE\d{2}")</f>
        <v>FG-R-2191LE26</v>
      </c>
      <c r="E119" t="s">
        <v>299</v>
      </c>
      <c r="F119" s="23" cm="1">
        <f t="array" ref="F119">_xlfn.SWITCH(TRUE,T119&gt;0,T119,Z119)</f>
        <v>4752.4799999999996</v>
      </c>
      <c r="G119" s="10" t="s">
        <v>171</v>
      </c>
      <c r="H119" s="10" t="s">
        <v>172</v>
      </c>
      <c r="I119" s="10" t="s">
        <v>173</v>
      </c>
      <c r="J119" s="11" t="s">
        <v>174</v>
      </c>
      <c r="K119" s="11" t="s">
        <v>174</v>
      </c>
      <c r="L119" s="10" t="s">
        <v>171</v>
      </c>
      <c r="M119" s="10" t="s">
        <v>175</v>
      </c>
      <c r="N119" s="10" t="s">
        <v>93</v>
      </c>
      <c r="O119" s="10" t="s">
        <v>94</v>
      </c>
      <c r="P119" s="10" t="s">
        <v>95</v>
      </c>
      <c r="Q119" s="10" t="s">
        <v>96</v>
      </c>
      <c r="R119" s="12">
        <v>10</v>
      </c>
      <c r="S119" s="13">
        <v>4542.4799999999996</v>
      </c>
      <c r="T119" s="13">
        <v>4752.4799999999996</v>
      </c>
      <c r="U119" s="12">
        <v>540</v>
      </c>
      <c r="V119" s="13">
        <v>4268.16</v>
      </c>
      <c r="W119" s="13">
        <v>4542.4799999999996</v>
      </c>
      <c r="X119" s="12">
        <v>0</v>
      </c>
      <c r="Y119" s="13">
        <v>0</v>
      </c>
      <c r="Z119" s="13">
        <v>0</v>
      </c>
      <c r="AA119" s="12">
        <v>0</v>
      </c>
      <c r="AB119" s="13">
        <v>0</v>
      </c>
      <c r="AC119" s="13">
        <v>0</v>
      </c>
      <c r="AD119" s="12">
        <v>10</v>
      </c>
      <c r="AE119" s="12">
        <v>0</v>
      </c>
      <c r="AF119" s="12">
        <v>0</v>
      </c>
      <c r="AG119" s="12">
        <v>10</v>
      </c>
      <c r="AH119" s="12">
        <v>0</v>
      </c>
      <c r="AI119" s="12">
        <v>0</v>
      </c>
      <c r="AJ119" s="10">
        <v>6186529</v>
      </c>
      <c r="AK119" s="10" t="s">
        <v>47</v>
      </c>
      <c r="AL119" s="14" t="s">
        <v>142</v>
      </c>
      <c r="AM119" s="10" t="s">
        <v>97</v>
      </c>
      <c r="AN119" s="15">
        <v>202000290030</v>
      </c>
      <c r="AO119" s="16" t="s">
        <v>143</v>
      </c>
      <c r="AP119" s="17">
        <v>52121.89</v>
      </c>
      <c r="AQ119" s="10" t="s">
        <v>51</v>
      </c>
      <c r="AR119" s="10" t="s">
        <v>145</v>
      </c>
      <c r="AS119" s="12">
        <v>2160</v>
      </c>
      <c r="AT119" s="10" t="s">
        <v>53</v>
      </c>
      <c r="AU119" s="10">
        <v>26101200</v>
      </c>
      <c r="AV119" s="10" t="s">
        <v>78</v>
      </c>
      <c r="AW119" s="10" t="s">
        <v>55</v>
      </c>
      <c r="AX119" s="10" t="s">
        <v>56</v>
      </c>
      <c r="AY119" s="10" t="s">
        <v>99</v>
      </c>
      <c r="AZ119" s="10" t="s">
        <v>100</v>
      </c>
      <c r="BG119" t="str">
        <v>Outbound</v>
      </c>
      <c r="BH119" t="str">
        <v>Land</v>
      </c>
      <c r="BI119" t="str">
        <v>FG-R-2192LE26</v>
      </c>
      <c r="BJ119" t="str">
        <v>JOHNSON ELECTRIC NORTH AMERICA, INC.</v>
      </c>
      <c r="BK119" t="str">
        <v xml:space="preserve">Memphis Distribution Services 3893 Crowfarn    </v>
      </c>
      <c r="BL119" t="str">
        <v>M46</v>
      </c>
      <c r="BM119" t="str">
        <v>1410-EQH0041EN</v>
      </c>
      <c r="BN119" s="24">
        <v>1500</v>
      </c>
      <c r="BO119" s="23">
        <v>714</v>
      </c>
      <c r="BP119" s="26">
        <f t="shared" si="4"/>
        <v>0.14624751253182389</v>
      </c>
      <c r="BQ119" s="21">
        <f t="shared" si="5"/>
        <v>719.35645527152258</v>
      </c>
    </row>
    <row r="120" spans="2:69" x14ac:dyDescent="0.35">
      <c r="B120" t="s">
        <v>261</v>
      </c>
      <c r="C120" t="s">
        <v>262</v>
      </c>
      <c r="D120" t="str" cm="1">
        <f t="array" ref="D120">_xlfn.REGEXEXTRACT(G120,"FG-R-\d{4}LE\d{2}")</f>
        <v>FG-R-2191LE26</v>
      </c>
      <c r="E120" t="s">
        <v>299</v>
      </c>
      <c r="F120" s="23" cm="1">
        <f t="array" ref="F120">_xlfn.SWITCH(TRUE,T120&gt;0,T120,Z120)</f>
        <v>4752.4799999999996</v>
      </c>
      <c r="G120" s="10" t="s">
        <v>171</v>
      </c>
      <c r="H120" s="10" t="s">
        <v>172</v>
      </c>
      <c r="I120" s="10" t="s">
        <v>173</v>
      </c>
      <c r="J120" s="11" t="s">
        <v>174</v>
      </c>
      <c r="K120" s="11" t="s">
        <v>174</v>
      </c>
      <c r="L120" s="10" t="s">
        <v>171</v>
      </c>
      <c r="M120" s="10" t="s">
        <v>175</v>
      </c>
      <c r="N120" s="10" t="s">
        <v>93</v>
      </c>
      <c r="O120" s="10" t="s">
        <v>94</v>
      </c>
      <c r="P120" s="10" t="s">
        <v>95</v>
      </c>
      <c r="Q120" s="10" t="s">
        <v>96</v>
      </c>
      <c r="R120" s="12">
        <v>10</v>
      </c>
      <c r="S120" s="13">
        <v>4542.4799999999996</v>
      </c>
      <c r="T120" s="13">
        <v>4752.4799999999996</v>
      </c>
      <c r="U120" s="12">
        <v>540</v>
      </c>
      <c r="V120" s="13">
        <v>4268.16</v>
      </c>
      <c r="W120" s="13">
        <v>4542.4799999999996</v>
      </c>
      <c r="X120" s="12">
        <v>0</v>
      </c>
      <c r="Y120" s="13">
        <v>0</v>
      </c>
      <c r="Z120" s="13">
        <v>0</v>
      </c>
      <c r="AA120" s="12">
        <v>0</v>
      </c>
      <c r="AB120" s="13">
        <v>0</v>
      </c>
      <c r="AC120" s="13">
        <v>0</v>
      </c>
      <c r="AD120" s="12">
        <v>10</v>
      </c>
      <c r="AE120" s="12">
        <v>0</v>
      </c>
      <c r="AF120" s="12">
        <v>0</v>
      </c>
      <c r="AG120" s="12">
        <v>10</v>
      </c>
      <c r="AH120" s="12">
        <v>0</v>
      </c>
      <c r="AI120" s="12">
        <v>0</v>
      </c>
      <c r="AJ120" s="10">
        <v>6186529</v>
      </c>
      <c r="AK120" s="10" t="s">
        <v>47</v>
      </c>
      <c r="AL120" s="14" t="s">
        <v>142</v>
      </c>
      <c r="AM120" s="10" t="s">
        <v>97</v>
      </c>
      <c r="AN120" s="15">
        <v>202000290031</v>
      </c>
      <c r="AO120" s="16" t="s">
        <v>143</v>
      </c>
      <c r="AP120" s="17">
        <v>34747.93</v>
      </c>
      <c r="AQ120" s="10" t="s">
        <v>51</v>
      </c>
      <c r="AR120" s="10" t="s">
        <v>145</v>
      </c>
      <c r="AS120" s="12">
        <v>2160</v>
      </c>
      <c r="AT120" s="10" t="s">
        <v>53</v>
      </c>
      <c r="AU120" s="10">
        <v>26101200</v>
      </c>
      <c r="AV120" s="10" t="s">
        <v>78</v>
      </c>
      <c r="AW120" s="10" t="s">
        <v>55</v>
      </c>
      <c r="AX120" s="10" t="s">
        <v>56</v>
      </c>
      <c r="AY120" s="10" t="s">
        <v>99</v>
      </c>
      <c r="AZ120" s="10" t="s">
        <v>100</v>
      </c>
      <c r="BG120" t="str">
        <v>Outbound</v>
      </c>
      <c r="BH120" t="str">
        <v>Land</v>
      </c>
      <c r="BI120" t="str">
        <v>FG-R-2193LE26</v>
      </c>
      <c r="BJ120" t="str">
        <v>JOHNSON ELECTRIC NORTH AMERICA, INC.</v>
      </c>
      <c r="BK120" t="str">
        <v xml:space="preserve">Memphis Distribution Services 3893 Crowfarn    </v>
      </c>
      <c r="BL120" t="str">
        <v>M01</v>
      </c>
      <c r="BM120" t="str">
        <v>1999-1WP0063AN</v>
      </c>
      <c r="BN120" s="24">
        <v>4000</v>
      </c>
      <c r="BO120" s="23">
        <v>1161.3599999999999</v>
      </c>
      <c r="BP120" s="26">
        <f t="shared" si="4"/>
        <v>0.17985984652835085</v>
      </c>
      <c r="BQ120" s="21">
        <f t="shared" si="5"/>
        <v>884.68746855547602</v>
      </c>
    </row>
    <row r="121" spans="2:69" x14ac:dyDescent="0.35">
      <c r="B121" t="s">
        <v>261</v>
      </c>
      <c r="C121" t="s">
        <v>262</v>
      </c>
      <c r="D121" t="str" cm="1">
        <f t="array" ref="D121">_xlfn.REGEXEXTRACT(G121,"FG-R-\d{4}LE\d{2}")</f>
        <v>FG-R-2193LE26</v>
      </c>
      <c r="E121" t="s">
        <v>297</v>
      </c>
      <c r="F121" s="23" cm="1">
        <f t="array" ref="F121">_xlfn.SWITCH(TRUE,T121&gt;0,T121,Z121)</f>
        <v>1161.3599999999999</v>
      </c>
      <c r="G121" s="10" t="s">
        <v>178</v>
      </c>
      <c r="H121" s="10" t="s">
        <v>38</v>
      </c>
      <c r="I121" s="10" t="s">
        <v>179</v>
      </c>
      <c r="J121" s="11" t="s">
        <v>180</v>
      </c>
      <c r="K121" s="11" t="s">
        <v>180</v>
      </c>
      <c r="L121" s="10" t="s">
        <v>178</v>
      </c>
      <c r="M121" s="10" t="s">
        <v>181</v>
      </c>
      <c r="N121" s="10" t="s">
        <v>43</v>
      </c>
      <c r="O121" s="10" t="s">
        <v>69</v>
      </c>
      <c r="P121" s="10" t="s">
        <v>45</v>
      </c>
      <c r="Q121" s="10" t="s">
        <v>46</v>
      </c>
      <c r="R121" s="12">
        <v>2</v>
      </c>
      <c r="S121" s="13">
        <v>1107.3599999999999</v>
      </c>
      <c r="T121" s="13">
        <v>1161.3599999999999</v>
      </c>
      <c r="U121" s="12">
        <v>160</v>
      </c>
      <c r="V121" s="13">
        <v>432</v>
      </c>
      <c r="W121" s="13">
        <v>1107.3599999999999</v>
      </c>
      <c r="X121" s="12">
        <v>0</v>
      </c>
      <c r="Y121" s="13">
        <v>0</v>
      </c>
      <c r="Z121" s="13">
        <v>0</v>
      </c>
      <c r="AA121" s="12">
        <v>0</v>
      </c>
      <c r="AB121" s="13">
        <v>0</v>
      </c>
      <c r="AC121" s="13">
        <v>0</v>
      </c>
      <c r="AD121" s="12">
        <v>2</v>
      </c>
      <c r="AE121" s="12">
        <v>0</v>
      </c>
      <c r="AF121" s="12">
        <v>0</v>
      </c>
      <c r="AG121" s="12">
        <v>2</v>
      </c>
      <c r="AH121" s="12">
        <v>0</v>
      </c>
      <c r="AI121" s="12">
        <v>0</v>
      </c>
      <c r="AJ121" s="10">
        <v>6193193</v>
      </c>
      <c r="AK121" s="10" t="s">
        <v>47</v>
      </c>
      <c r="AL121" s="14" t="s">
        <v>182</v>
      </c>
      <c r="AM121" s="10" t="s">
        <v>49</v>
      </c>
      <c r="AN121" s="15">
        <v>202300058766</v>
      </c>
      <c r="AO121" s="16" t="s">
        <v>183</v>
      </c>
      <c r="AP121" s="17">
        <v>7368.28</v>
      </c>
      <c r="AQ121" s="10" t="s">
        <v>51</v>
      </c>
      <c r="AR121" s="10" t="s">
        <v>72</v>
      </c>
      <c r="AS121" s="12">
        <v>4000</v>
      </c>
      <c r="AT121" s="10" t="s">
        <v>53</v>
      </c>
      <c r="AU121" s="10">
        <v>40151500</v>
      </c>
      <c r="AV121" s="10" t="s">
        <v>62</v>
      </c>
      <c r="AW121" s="10" t="s">
        <v>55</v>
      </c>
      <c r="AX121" s="10" t="s">
        <v>56</v>
      </c>
      <c r="AY121" s="10" t="s">
        <v>73</v>
      </c>
      <c r="AZ121" s="10" t="s">
        <v>74</v>
      </c>
      <c r="BG121" t="str">
        <v>Outbound</v>
      </c>
      <c r="BH121" t="str">
        <v>Land</v>
      </c>
      <c r="BI121" t="str">
        <v>FG-R-2193LE26</v>
      </c>
      <c r="BJ121" t="str">
        <v>JOHNSON ELECTRIC NORTH AMERICA, INC.</v>
      </c>
      <c r="BK121" t="str">
        <v xml:space="preserve">Memphis Distribution Services 3893 Crowfarn    </v>
      </c>
      <c r="BL121" t="str">
        <v>M01</v>
      </c>
      <c r="BM121" t="str">
        <v>1916-1010002EP/MX</v>
      </c>
      <c r="BN121" s="24">
        <v>1440</v>
      </c>
      <c r="BO121" s="23">
        <v>109.96</v>
      </c>
      <c r="BP121" s="26">
        <f t="shared" si="4"/>
        <v>1.7029507408777175E-2</v>
      </c>
      <c r="BQ121" s="21">
        <f t="shared" si="5"/>
        <v>83.764064581490786</v>
      </c>
    </row>
    <row r="122" spans="2:69" x14ac:dyDescent="0.35">
      <c r="B122" t="s">
        <v>261</v>
      </c>
      <c r="C122" t="s">
        <v>262</v>
      </c>
      <c r="D122" t="str" cm="1">
        <f t="array" ref="D122">_xlfn.REGEXEXTRACT(G122,"FG-R-\d{4}LE\d{2}")</f>
        <v>FG-R-2193LE26</v>
      </c>
      <c r="E122" t="s">
        <v>297</v>
      </c>
      <c r="F122" s="23" cm="1">
        <f t="array" ref="F122">_xlfn.SWITCH(TRUE,T122&gt;0,T122,Z122)</f>
        <v>109.96</v>
      </c>
      <c r="G122" s="10" t="s">
        <v>178</v>
      </c>
      <c r="H122" s="10" t="s">
        <v>38</v>
      </c>
      <c r="I122" s="10" t="s">
        <v>179</v>
      </c>
      <c r="J122" s="11" t="s">
        <v>180</v>
      </c>
      <c r="K122" s="11" t="s">
        <v>180</v>
      </c>
      <c r="L122" s="10" t="s">
        <v>178</v>
      </c>
      <c r="M122" s="10" t="s">
        <v>181</v>
      </c>
      <c r="N122" s="10" t="s">
        <v>43</v>
      </c>
      <c r="O122" s="10" t="s">
        <v>69</v>
      </c>
      <c r="P122" s="10" t="s">
        <v>45</v>
      </c>
      <c r="Q122" s="10" t="s">
        <v>46</v>
      </c>
      <c r="R122" s="12">
        <v>1</v>
      </c>
      <c r="S122" s="13">
        <v>84.96</v>
      </c>
      <c r="T122" s="13">
        <v>109.96</v>
      </c>
      <c r="U122" s="12">
        <v>0</v>
      </c>
      <c r="V122" s="13">
        <v>84.96</v>
      </c>
      <c r="W122" s="13">
        <v>84.96</v>
      </c>
      <c r="X122" s="12">
        <v>0</v>
      </c>
      <c r="Y122" s="13">
        <v>0</v>
      </c>
      <c r="Z122" s="13">
        <v>0</v>
      </c>
      <c r="AA122" s="12">
        <v>0</v>
      </c>
      <c r="AB122" s="13">
        <v>0</v>
      </c>
      <c r="AC122" s="13">
        <v>0</v>
      </c>
      <c r="AD122" s="12">
        <v>1</v>
      </c>
      <c r="AE122" s="12">
        <v>0</v>
      </c>
      <c r="AF122" s="12">
        <v>0</v>
      </c>
      <c r="AG122" s="12">
        <v>1</v>
      </c>
      <c r="AH122" s="12">
        <v>0</v>
      </c>
      <c r="AI122" s="12">
        <v>0</v>
      </c>
      <c r="AJ122" s="10">
        <v>6193169</v>
      </c>
      <c r="AK122" s="10" t="s">
        <v>47</v>
      </c>
      <c r="AL122" s="14" t="s">
        <v>182</v>
      </c>
      <c r="AM122" s="10" t="s">
        <v>49</v>
      </c>
      <c r="AN122" s="15">
        <v>202300058757</v>
      </c>
      <c r="AO122" s="16" t="s">
        <v>183</v>
      </c>
      <c r="AP122" s="17">
        <v>3851.76</v>
      </c>
      <c r="AQ122" s="10" t="s">
        <v>51</v>
      </c>
      <c r="AR122" s="10" t="s">
        <v>77</v>
      </c>
      <c r="AS122" s="12">
        <v>1440</v>
      </c>
      <c r="AT122" s="10" t="s">
        <v>53</v>
      </c>
      <c r="AU122" s="10">
        <v>26101200</v>
      </c>
      <c r="AV122" s="10" t="s">
        <v>78</v>
      </c>
      <c r="AW122" s="10" t="s">
        <v>55</v>
      </c>
      <c r="AX122" s="10" t="s">
        <v>56</v>
      </c>
      <c r="AY122" s="10" t="s">
        <v>79</v>
      </c>
      <c r="AZ122" s="10" t="s">
        <v>80</v>
      </c>
      <c r="BG122" t="str">
        <v>Outbound</v>
      </c>
      <c r="BH122" t="str">
        <v>Land</v>
      </c>
      <c r="BI122" t="str">
        <v>FG-R-2193LE26</v>
      </c>
      <c r="BJ122" t="str">
        <v>JOHNSON ELECTRIC NORTH AMERICA, INC.</v>
      </c>
      <c r="BK122" t="str">
        <v xml:space="preserve">Memphis Distribution Services 3893 Crowfarn    </v>
      </c>
      <c r="BL122" t="str">
        <v>M01</v>
      </c>
      <c r="BM122" t="str">
        <v>1999-1WP0044AN</v>
      </c>
      <c r="BN122" s="24">
        <v>3600</v>
      </c>
      <c r="BO122" s="23">
        <v>398.46199999999999</v>
      </c>
      <c r="BP122" s="26">
        <f t="shared" si="4"/>
        <v>6.1709817943944811E-2</v>
      </c>
      <c r="BQ122" s="21">
        <f t="shared" si="5"/>
        <v>303.53580121198604</v>
      </c>
    </row>
    <row r="123" spans="2:69" x14ac:dyDescent="0.35">
      <c r="B123" t="s">
        <v>261</v>
      </c>
      <c r="C123" t="s">
        <v>262</v>
      </c>
      <c r="D123" t="str" cm="1">
        <f t="array" ref="D123">_xlfn.REGEXEXTRACT(G123,"FG-R-\d{4}LE\d{2}")</f>
        <v>FG-R-2193LE26</v>
      </c>
      <c r="E123" t="s">
        <v>297</v>
      </c>
      <c r="F123" s="23" cm="1">
        <f t="array" ref="F123">_xlfn.SWITCH(TRUE,T123&gt;0,T123,Z123)</f>
        <v>398.46199999999999</v>
      </c>
      <c r="G123" s="10" t="s">
        <v>178</v>
      </c>
      <c r="H123" s="10" t="s">
        <v>38</v>
      </c>
      <c r="I123" s="10" t="s">
        <v>179</v>
      </c>
      <c r="J123" s="11" t="s">
        <v>180</v>
      </c>
      <c r="K123" s="11" t="s">
        <v>180</v>
      </c>
      <c r="L123" s="10" t="s">
        <v>178</v>
      </c>
      <c r="M123" s="10" t="s">
        <v>181</v>
      </c>
      <c r="N123" s="10" t="s">
        <v>43</v>
      </c>
      <c r="O123" s="10" t="s">
        <v>69</v>
      </c>
      <c r="P123" s="10" t="s">
        <v>45</v>
      </c>
      <c r="Q123" s="10" t="s">
        <v>46</v>
      </c>
      <c r="R123" s="12">
        <v>1</v>
      </c>
      <c r="S123" s="13">
        <v>379.96199999999999</v>
      </c>
      <c r="T123" s="13">
        <v>398.46199999999999</v>
      </c>
      <c r="U123" s="12">
        <v>90</v>
      </c>
      <c r="V123" s="13">
        <v>352.8</v>
      </c>
      <c r="W123" s="13">
        <v>379.96199999999999</v>
      </c>
      <c r="X123" s="12">
        <v>0</v>
      </c>
      <c r="Y123" s="13">
        <v>0</v>
      </c>
      <c r="Z123" s="13">
        <v>0</v>
      </c>
      <c r="AA123" s="12">
        <v>0</v>
      </c>
      <c r="AB123" s="13">
        <v>0</v>
      </c>
      <c r="AC123" s="13">
        <v>0</v>
      </c>
      <c r="AD123" s="12">
        <v>1</v>
      </c>
      <c r="AE123" s="12">
        <v>0</v>
      </c>
      <c r="AF123" s="12">
        <v>0</v>
      </c>
      <c r="AG123" s="12">
        <v>1</v>
      </c>
      <c r="AH123" s="12">
        <v>0</v>
      </c>
      <c r="AI123" s="12">
        <v>0</v>
      </c>
      <c r="AJ123" s="10">
        <v>6193184</v>
      </c>
      <c r="AK123" s="10" t="s">
        <v>47</v>
      </c>
      <c r="AL123" s="14" t="s">
        <v>182</v>
      </c>
      <c r="AM123" s="10" t="s">
        <v>49</v>
      </c>
      <c r="AN123" s="15">
        <v>202300058762</v>
      </c>
      <c r="AO123" s="16" t="s">
        <v>183</v>
      </c>
      <c r="AP123" s="17">
        <v>5993.68</v>
      </c>
      <c r="AQ123" s="10" t="s">
        <v>51</v>
      </c>
      <c r="AR123" s="10" t="s">
        <v>184</v>
      </c>
      <c r="AS123" s="12">
        <v>3600</v>
      </c>
      <c r="AT123" s="10" t="s">
        <v>53</v>
      </c>
      <c r="AU123" s="10">
        <v>40151500</v>
      </c>
      <c r="AV123" s="10" t="s">
        <v>62</v>
      </c>
      <c r="AW123" s="10" t="s">
        <v>55</v>
      </c>
      <c r="AX123" s="10" t="s">
        <v>56</v>
      </c>
      <c r="AY123" s="10" t="s">
        <v>73</v>
      </c>
      <c r="AZ123" s="10" t="s">
        <v>74</v>
      </c>
      <c r="BG123" t="str">
        <v>Outbound</v>
      </c>
      <c r="BH123" t="str">
        <v>Land</v>
      </c>
      <c r="BI123" t="str">
        <v>FG-R-2193LE26</v>
      </c>
      <c r="BJ123" t="str">
        <v>JOHNSON ELECTRIC NORTH AMERICA, INC.</v>
      </c>
      <c r="BK123" t="str">
        <v xml:space="preserve">Memphis Distribution Services 3893 Crowfarn    </v>
      </c>
      <c r="BL123" t="str">
        <v>M01</v>
      </c>
      <c r="BM123" t="str">
        <v>1999-1WP0045AN</v>
      </c>
      <c r="BN123" s="24">
        <v>14400</v>
      </c>
      <c r="BO123" s="23">
        <v>1651.4480000000001</v>
      </c>
      <c r="BP123" s="26">
        <f t="shared" si="4"/>
        <v>0.25575978493279605</v>
      </c>
      <c r="BQ123" s="21">
        <f t="shared" si="5"/>
        <v>1258.02107061635</v>
      </c>
    </row>
    <row r="124" spans="2:69" x14ac:dyDescent="0.35">
      <c r="B124" t="s">
        <v>261</v>
      </c>
      <c r="C124" t="s">
        <v>262</v>
      </c>
      <c r="D124" t="str" cm="1">
        <f t="array" ref="D124">_xlfn.REGEXEXTRACT(G124,"FG-R-\d{4}LE\d{2}")</f>
        <v>FG-R-2193LE26</v>
      </c>
      <c r="E124" t="s">
        <v>297</v>
      </c>
      <c r="F124" s="23" cm="1">
        <f t="array" ref="F124">_xlfn.SWITCH(TRUE,T124&gt;0,T124,Z124)</f>
        <v>1651.4480000000001</v>
      </c>
      <c r="G124" s="10" t="s">
        <v>178</v>
      </c>
      <c r="H124" s="10" t="s">
        <v>38</v>
      </c>
      <c r="I124" s="10" t="s">
        <v>179</v>
      </c>
      <c r="J124" s="11" t="s">
        <v>180</v>
      </c>
      <c r="K124" s="11" t="s">
        <v>180</v>
      </c>
      <c r="L124" s="10" t="s">
        <v>178</v>
      </c>
      <c r="M124" s="10" t="s">
        <v>181</v>
      </c>
      <c r="N124" s="10" t="s">
        <v>43</v>
      </c>
      <c r="O124" s="10" t="s">
        <v>69</v>
      </c>
      <c r="P124" s="10" t="s">
        <v>45</v>
      </c>
      <c r="Q124" s="10" t="s">
        <v>46</v>
      </c>
      <c r="R124" s="12">
        <v>4</v>
      </c>
      <c r="S124" s="13">
        <v>1577.4480000000001</v>
      </c>
      <c r="T124" s="13">
        <v>1651.4480000000001</v>
      </c>
      <c r="U124" s="12">
        <v>360</v>
      </c>
      <c r="V124" s="13">
        <v>1468.8</v>
      </c>
      <c r="W124" s="13">
        <v>1577.4480000000001</v>
      </c>
      <c r="X124" s="12">
        <v>0</v>
      </c>
      <c r="Y124" s="13">
        <v>0</v>
      </c>
      <c r="Z124" s="13">
        <v>0</v>
      </c>
      <c r="AA124" s="12">
        <v>0</v>
      </c>
      <c r="AB124" s="13">
        <v>0</v>
      </c>
      <c r="AC124" s="13">
        <v>0</v>
      </c>
      <c r="AD124" s="12">
        <v>4</v>
      </c>
      <c r="AE124" s="12">
        <v>0</v>
      </c>
      <c r="AF124" s="12">
        <v>0</v>
      </c>
      <c r="AG124" s="12">
        <v>4</v>
      </c>
      <c r="AH124" s="12">
        <v>0</v>
      </c>
      <c r="AI124" s="12">
        <v>0</v>
      </c>
      <c r="AJ124" s="10">
        <v>6193189</v>
      </c>
      <c r="AK124" s="10" t="s">
        <v>47</v>
      </c>
      <c r="AL124" s="14" t="s">
        <v>182</v>
      </c>
      <c r="AM124" s="10" t="s">
        <v>49</v>
      </c>
      <c r="AN124" s="15">
        <v>202300058763</v>
      </c>
      <c r="AO124" s="16" t="s">
        <v>183</v>
      </c>
      <c r="AP124" s="17">
        <v>22900.04</v>
      </c>
      <c r="AQ124" s="10" t="s">
        <v>51</v>
      </c>
      <c r="AR124" s="10" t="s">
        <v>75</v>
      </c>
      <c r="AS124" s="12">
        <v>14400</v>
      </c>
      <c r="AT124" s="10" t="s">
        <v>53</v>
      </c>
      <c r="AU124" s="10">
        <v>40151500</v>
      </c>
      <c r="AV124" s="10" t="s">
        <v>62</v>
      </c>
      <c r="AW124" s="10" t="s">
        <v>55</v>
      </c>
      <c r="AX124" s="10" t="s">
        <v>56</v>
      </c>
      <c r="AY124" s="10" t="s">
        <v>73</v>
      </c>
      <c r="AZ124" s="10" t="s">
        <v>74</v>
      </c>
      <c r="BG124" t="str">
        <v>Outbound</v>
      </c>
      <c r="BH124" t="str">
        <v>Land</v>
      </c>
      <c r="BI124" t="str">
        <v>FG-R-2193LE26</v>
      </c>
      <c r="BJ124" t="str">
        <v>JOHNSON ELECTRIC NORTH AMERICA, INC.</v>
      </c>
      <c r="BK124" t="str">
        <v xml:space="preserve">Memphis Distribution Services 3893 Crowfarn    </v>
      </c>
      <c r="BL124" t="str">
        <v>M01</v>
      </c>
      <c r="BM124" t="str">
        <v>1916-1010002EP/MX</v>
      </c>
      <c r="BN124" s="24">
        <v>2880</v>
      </c>
      <c r="BO124" s="23">
        <v>219.92</v>
      </c>
      <c r="BP124" s="26">
        <f t="shared" si="4"/>
        <v>3.4059014817554349E-2</v>
      </c>
      <c r="BQ124" s="21">
        <f t="shared" si="5"/>
        <v>167.52812916298157</v>
      </c>
    </row>
    <row r="125" spans="2:69" x14ac:dyDescent="0.35">
      <c r="B125" t="s">
        <v>261</v>
      </c>
      <c r="C125" t="s">
        <v>262</v>
      </c>
      <c r="D125" t="str" cm="1">
        <f t="array" ref="D125">_xlfn.REGEXEXTRACT(G125,"FG-R-\d{4}LE\d{2}")</f>
        <v>FG-R-2193LE26</v>
      </c>
      <c r="E125" t="s">
        <v>297</v>
      </c>
      <c r="F125" s="23" cm="1">
        <f t="array" ref="F125">_xlfn.SWITCH(TRUE,T125&gt;0,T125,Z125)</f>
        <v>219.92</v>
      </c>
      <c r="G125" s="10" t="s">
        <v>178</v>
      </c>
      <c r="H125" s="10" t="s">
        <v>38</v>
      </c>
      <c r="I125" s="10" t="s">
        <v>179</v>
      </c>
      <c r="J125" s="11" t="s">
        <v>180</v>
      </c>
      <c r="K125" s="11" t="s">
        <v>180</v>
      </c>
      <c r="L125" s="10" t="s">
        <v>178</v>
      </c>
      <c r="M125" s="10" t="s">
        <v>181</v>
      </c>
      <c r="N125" s="10" t="s">
        <v>43</v>
      </c>
      <c r="O125" s="10" t="s">
        <v>69</v>
      </c>
      <c r="P125" s="10" t="s">
        <v>45</v>
      </c>
      <c r="Q125" s="10" t="s">
        <v>46</v>
      </c>
      <c r="R125" s="12">
        <v>2</v>
      </c>
      <c r="S125" s="13">
        <v>169.92</v>
      </c>
      <c r="T125" s="13">
        <v>219.92</v>
      </c>
      <c r="U125" s="12">
        <v>0</v>
      </c>
      <c r="V125" s="13">
        <v>169.92</v>
      </c>
      <c r="W125" s="13">
        <v>169.92</v>
      </c>
      <c r="X125" s="12">
        <v>0</v>
      </c>
      <c r="Y125" s="13">
        <v>0</v>
      </c>
      <c r="Z125" s="13">
        <v>0</v>
      </c>
      <c r="AA125" s="12">
        <v>0</v>
      </c>
      <c r="AB125" s="13">
        <v>0</v>
      </c>
      <c r="AC125" s="13">
        <v>0</v>
      </c>
      <c r="AD125" s="12">
        <v>2</v>
      </c>
      <c r="AE125" s="12">
        <v>0</v>
      </c>
      <c r="AF125" s="12">
        <v>0</v>
      </c>
      <c r="AG125" s="12">
        <v>2</v>
      </c>
      <c r="AH125" s="12">
        <v>0</v>
      </c>
      <c r="AI125" s="12">
        <v>0</v>
      </c>
      <c r="AJ125" s="10">
        <v>6193171</v>
      </c>
      <c r="AK125" s="10" t="s">
        <v>47</v>
      </c>
      <c r="AL125" s="14" t="s">
        <v>182</v>
      </c>
      <c r="AM125" s="10" t="s">
        <v>49</v>
      </c>
      <c r="AN125" s="15">
        <v>202300058758</v>
      </c>
      <c r="AO125" s="16" t="s">
        <v>183</v>
      </c>
      <c r="AP125" s="17">
        <v>7703.52</v>
      </c>
      <c r="AQ125" s="10" t="s">
        <v>51</v>
      </c>
      <c r="AR125" s="10" t="s">
        <v>77</v>
      </c>
      <c r="AS125" s="12">
        <v>2880</v>
      </c>
      <c r="AT125" s="10" t="s">
        <v>53</v>
      </c>
      <c r="AU125" s="10">
        <v>26101200</v>
      </c>
      <c r="AV125" s="10" t="s">
        <v>78</v>
      </c>
      <c r="AW125" s="10" t="s">
        <v>55</v>
      </c>
      <c r="AX125" s="10" t="s">
        <v>56</v>
      </c>
      <c r="AY125" s="10" t="s">
        <v>79</v>
      </c>
      <c r="AZ125" s="10" t="s">
        <v>80</v>
      </c>
      <c r="BG125" t="str">
        <v>Outbound</v>
      </c>
      <c r="BH125" t="str">
        <v>Land</v>
      </c>
      <c r="BI125" t="str">
        <v>FG-R-2193LE26</v>
      </c>
      <c r="BJ125" t="str">
        <v>JOHNSON ELECTRIC NORTH AMERICA, INC.</v>
      </c>
      <c r="BK125" t="str">
        <v xml:space="preserve">Memphis Distribution Services 3893 Crowfarn    </v>
      </c>
      <c r="BL125" t="str">
        <v>M01</v>
      </c>
      <c r="BM125" t="str">
        <v>1916-1010004EN</v>
      </c>
      <c r="BN125" s="24">
        <v>2880</v>
      </c>
      <c r="BO125" s="23">
        <v>234.32</v>
      </c>
      <c r="BP125" s="26">
        <f t="shared" si="4"/>
        <v>3.6289143106808544E-2</v>
      </c>
      <c r="BQ125" s="21">
        <f t="shared" si="5"/>
        <v>178.49759560508295</v>
      </c>
    </row>
    <row r="126" spans="2:69" x14ac:dyDescent="0.35">
      <c r="B126" t="s">
        <v>261</v>
      </c>
      <c r="C126" t="s">
        <v>262</v>
      </c>
      <c r="D126" t="str" cm="1">
        <f t="array" ref="D126">_xlfn.REGEXEXTRACT(G126,"FG-R-\d{4}LE\d{2}")</f>
        <v>FG-R-2193LE26</v>
      </c>
      <c r="E126" t="s">
        <v>297</v>
      </c>
      <c r="F126" s="23" cm="1">
        <f t="array" ref="F126">_xlfn.SWITCH(TRUE,T126&gt;0,T126,Z126)</f>
        <v>234.32</v>
      </c>
      <c r="G126" s="10" t="s">
        <v>178</v>
      </c>
      <c r="H126" s="10" t="s">
        <v>38</v>
      </c>
      <c r="I126" s="10" t="s">
        <v>179</v>
      </c>
      <c r="J126" s="11" t="s">
        <v>180</v>
      </c>
      <c r="K126" s="11" t="s">
        <v>180</v>
      </c>
      <c r="L126" s="10" t="s">
        <v>178</v>
      </c>
      <c r="M126" s="10" t="s">
        <v>181</v>
      </c>
      <c r="N126" s="10" t="s">
        <v>43</v>
      </c>
      <c r="O126" s="10" t="s">
        <v>69</v>
      </c>
      <c r="P126" s="10" t="s">
        <v>45</v>
      </c>
      <c r="Q126" s="10" t="s">
        <v>46</v>
      </c>
      <c r="R126" s="12">
        <v>2</v>
      </c>
      <c r="S126" s="13">
        <v>184.32</v>
      </c>
      <c r="T126" s="13">
        <v>234.32</v>
      </c>
      <c r="U126" s="12">
        <v>0</v>
      </c>
      <c r="V126" s="13">
        <v>184.32</v>
      </c>
      <c r="W126" s="13">
        <v>184.32</v>
      </c>
      <c r="X126" s="12">
        <v>0</v>
      </c>
      <c r="Y126" s="13">
        <v>0</v>
      </c>
      <c r="Z126" s="13">
        <v>0</v>
      </c>
      <c r="AA126" s="12">
        <v>0</v>
      </c>
      <c r="AB126" s="13">
        <v>0</v>
      </c>
      <c r="AC126" s="13">
        <v>0</v>
      </c>
      <c r="AD126" s="12">
        <v>2</v>
      </c>
      <c r="AE126" s="12">
        <v>0</v>
      </c>
      <c r="AF126" s="12">
        <v>0</v>
      </c>
      <c r="AG126" s="12">
        <v>2</v>
      </c>
      <c r="AH126" s="12">
        <v>0</v>
      </c>
      <c r="AI126" s="12">
        <v>0</v>
      </c>
      <c r="AJ126" s="10">
        <v>6193180</v>
      </c>
      <c r="AK126" s="10" t="s">
        <v>47</v>
      </c>
      <c r="AL126" s="14" t="s">
        <v>182</v>
      </c>
      <c r="AM126" s="10" t="s">
        <v>49</v>
      </c>
      <c r="AN126" s="15">
        <v>202300058761</v>
      </c>
      <c r="AO126" s="16" t="s">
        <v>183</v>
      </c>
      <c r="AP126" s="17">
        <v>7997.22</v>
      </c>
      <c r="AQ126" s="10" t="s">
        <v>51</v>
      </c>
      <c r="AR126" s="10" t="s">
        <v>83</v>
      </c>
      <c r="AS126" s="12">
        <v>2880</v>
      </c>
      <c r="AT126" s="10" t="s">
        <v>53</v>
      </c>
      <c r="AU126" s="10">
        <v>26101200</v>
      </c>
      <c r="AV126" s="10" t="s">
        <v>78</v>
      </c>
      <c r="AW126" s="10" t="s">
        <v>55</v>
      </c>
      <c r="AX126" s="10" t="s">
        <v>56</v>
      </c>
      <c r="AY126" s="10" t="s">
        <v>79</v>
      </c>
      <c r="AZ126" s="10" t="s">
        <v>80</v>
      </c>
      <c r="BG126" t="str">
        <v>Outbound</v>
      </c>
      <c r="BH126" t="str">
        <v>Land</v>
      </c>
      <c r="BI126" t="str">
        <v>FG-R-2193LE26</v>
      </c>
      <c r="BJ126" t="str">
        <v>JOHNSON ELECTRIC NORTH AMERICA, INC.</v>
      </c>
      <c r="BK126" t="str">
        <v xml:space="preserve">Memphis Distribution Services 3893 Crowfarn    </v>
      </c>
      <c r="BL126" t="str">
        <v>M01</v>
      </c>
      <c r="BM126" t="str">
        <v>1916-1010004EN</v>
      </c>
      <c r="BN126" s="24">
        <v>2880</v>
      </c>
      <c r="BO126" s="23">
        <v>234.32</v>
      </c>
      <c r="BP126" s="26">
        <f t="shared" si="4"/>
        <v>3.6289143106808544E-2</v>
      </c>
      <c r="BQ126" s="21">
        <f t="shared" si="5"/>
        <v>178.49759560508295</v>
      </c>
    </row>
    <row r="127" spans="2:69" x14ac:dyDescent="0.35">
      <c r="B127" t="s">
        <v>261</v>
      </c>
      <c r="C127" t="s">
        <v>262</v>
      </c>
      <c r="D127" t="str" cm="1">
        <f t="array" ref="D127">_xlfn.REGEXEXTRACT(G127,"FG-R-\d{4}LE\d{2}")</f>
        <v>FG-R-2193LE26</v>
      </c>
      <c r="E127" t="s">
        <v>297</v>
      </c>
      <c r="F127" s="23" cm="1">
        <f t="array" ref="F127">_xlfn.SWITCH(TRUE,T127&gt;0,T127,Z127)</f>
        <v>234.32</v>
      </c>
      <c r="G127" s="10" t="s">
        <v>178</v>
      </c>
      <c r="H127" s="10" t="s">
        <v>38</v>
      </c>
      <c r="I127" s="10" t="s">
        <v>179</v>
      </c>
      <c r="J127" s="11" t="s">
        <v>180</v>
      </c>
      <c r="K127" s="11" t="s">
        <v>180</v>
      </c>
      <c r="L127" s="10" t="s">
        <v>178</v>
      </c>
      <c r="M127" s="10" t="s">
        <v>181</v>
      </c>
      <c r="N127" s="10" t="s">
        <v>43</v>
      </c>
      <c r="O127" s="10" t="s">
        <v>69</v>
      </c>
      <c r="P127" s="10" t="s">
        <v>45</v>
      </c>
      <c r="Q127" s="10" t="s">
        <v>46</v>
      </c>
      <c r="R127" s="12">
        <v>2</v>
      </c>
      <c r="S127" s="13">
        <v>184.32</v>
      </c>
      <c r="T127" s="13">
        <v>234.32</v>
      </c>
      <c r="U127" s="12">
        <v>0</v>
      </c>
      <c r="V127" s="13">
        <v>184.32</v>
      </c>
      <c r="W127" s="13">
        <v>184.32</v>
      </c>
      <c r="X127" s="12">
        <v>0</v>
      </c>
      <c r="Y127" s="13">
        <v>0</v>
      </c>
      <c r="Z127" s="13">
        <v>0</v>
      </c>
      <c r="AA127" s="12">
        <v>0</v>
      </c>
      <c r="AB127" s="13">
        <v>0</v>
      </c>
      <c r="AC127" s="13">
        <v>0</v>
      </c>
      <c r="AD127" s="12">
        <v>2</v>
      </c>
      <c r="AE127" s="12">
        <v>0</v>
      </c>
      <c r="AF127" s="12">
        <v>0</v>
      </c>
      <c r="AG127" s="12">
        <v>2</v>
      </c>
      <c r="AH127" s="12">
        <v>0</v>
      </c>
      <c r="AI127" s="12">
        <v>0</v>
      </c>
      <c r="AJ127" s="10">
        <v>6193176</v>
      </c>
      <c r="AK127" s="10" t="s">
        <v>47</v>
      </c>
      <c r="AL127" s="14" t="s">
        <v>182</v>
      </c>
      <c r="AM127" s="10" t="s">
        <v>49</v>
      </c>
      <c r="AN127" s="15">
        <v>202300058759</v>
      </c>
      <c r="AO127" s="16" t="s">
        <v>183</v>
      </c>
      <c r="AP127" s="17">
        <v>7997.22</v>
      </c>
      <c r="AQ127" s="10" t="s">
        <v>51</v>
      </c>
      <c r="AR127" s="10" t="s">
        <v>83</v>
      </c>
      <c r="AS127" s="12">
        <v>2880</v>
      </c>
      <c r="AT127" s="10" t="s">
        <v>53</v>
      </c>
      <c r="AU127" s="10">
        <v>26101200</v>
      </c>
      <c r="AV127" s="10" t="s">
        <v>78</v>
      </c>
      <c r="AW127" s="10" t="s">
        <v>55</v>
      </c>
      <c r="AX127" s="10" t="s">
        <v>56</v>
      </c>
      <c r="AY127" s="10" t="s">
        <v>79</v>
      </c>
      <c r="AZ127" s="10" t="s">
        <v>80</v>
      </c>
      <c r="BG127" t="str">
        <v>Outbound</v>
      </c>
      <c r="BH127" t="str">
        <v>Land</v>
      </c>
      <c r="BI127" t="str">
        <v>FG-R-2193LE26</v>
      </c>
      <c r="BJ127" t="str">
        <v>JOHNSON ELECTRIC NORTH AMERICA, INC.</v>
      </c>
      <c r="BK127" t="str">
        <v xml:space="preserve">Memphis Distribution Services 3893 Crowfarn    </v>
      </c>
      <c r="BL127" t="str">
        <v>M01</v>
      </c>
      <c r="BM127" t="str">
        <v>1916-1010004EN</v>
      </c>
      <c r="BN127" s="24">
        <v>5760</v>
      </c>
      <c r="BO127" s="23">
        <v>468.64</v>
      </c>
      <c r="BP127" s="26">
        <f t="shared" si="4"/>
        <v>7.2578286213617088E-2</v>
      </c>
      <c r="BQ127" s="21">
        <f t="shared" si="5"/>
        <v>356.9951912101659</v>
      </c>
    </row>
    <row r="128" spans="2:69" x14ac:dyDescent="0.35">
      <c r="B128" t="s">
        <v>261</v>
      </c>
      <c r="C128" t="s">
        <v>262</v>
      </c>
      <c r="D128" t="str" cm="1">
        <f t="array" ref="D128">_xlfn.REGEXEXTRACT(G128,"FG-R-\d{4}LE\d{2}")</f>
        <v>FG-R-2193LE26</v>
      </c>
      <c r="E128" t="s">
        <v>297</v>
      </c>
      <c r="F128" s="23" cm="1">
        <f t="array" ref="F128">_xlfn.SWITCH(TRUE,T128&gt;0,T128,Z128)</f>
        <v>468.64</v>
      </c>
      <c r="G128" s="10" t="s">
        <v>178</v>
      </c>
      <c r="H128" s="10" t="s">
        <v>38</v>
      </c>
      <c r="I128" s="10" t="s">
        <v>179</v>
      </c>
      <c r="J128" s="11" t="s">
        <v>180</v>
      </c>
      <c r="K128" s="11" t="s">
        <v>180</v>
      </c>
      <c r="L128" s="10" t="s">
        <v>178</v>
      </c>
      <c r="M128" s="10" t="s">
        <v>181</v>
      </c>
      <c r="N128" s="10" t="s">
        <v>43</v>
      </c>
      <c r="O128" s="10" t="s">
        <v>69</v>
      </c>
      <c r="P128" s="10" t="s">
        <v>45</v>
      </c>
      <c r="Q128" s="10" t="s">
        <v>46</v>
      </c>
      <c r="R128" s="12">
        <v>4</v>
      </c>
      <c r="S128" s="13">
        <v>368.64</v>
      </c>
      <c r="T128" s="13">
        <v>468.64</v>
      </c>
      <c r="U128" s="12">
        <v>0</v>
      </c>
      <c r="V128" s="13">
        <v>368.64</v>
      </c>
      <c r="W128" s="13">
        <v>368.64</v>
      </c>
      <c r="X128" s="12">
        <v>0</v>
      </c>
      <c r="Y128" s="13">
        <v>0</v>
      </c>
      <c r="Z128" s="13">
        <v>0</v>
      </c>
      <c r="AA128" s="12">
        <v>0</v>
      </c>
      <c r="AB128" s="13">
        <v>0</v>
      </c>
      <c r="AC128" s="13">
        <v>0</v>
      </c>
      <c r="AD128" s="12">
        <v>4</v>
      </c>
      <c r="AE128" s="12">
        <v>0</v>
      </c>
      <c r="AF128" s="12">
        <v>0</v>
      </c>
      <c r="AG128" s="12">
        <v>4</v>
      </c>
      <c r="AH128" s="12">
        <v>0</v>
      </c>
      <c r="AI128" s="12">
        <v>0</v>
      </c>
      <c r="AJ128" s="10">
        <v>6193178</v>
      </c>
      <c r="AK128" s="10" t="s">
        <v>47</v>
      </c>
      <c r="AL128" s="14" t="s">
        <v>182</v>
      </c>
      <c r="AM128" s="10" t="s">
        <v>49</v>
      </c>
      <c r="AN128" s="15">
        <v>202300058760</v>
      </c>
      <c r="AO128" s="16" t="s">
        <v>183</v>
      </c>
      <c r="AP128" s="17">
        <v>15994.44</v>
      </c>
      <c r="AQ128" s="10" t="s">
        <v>51</v>
      </c>
      <c r="AR128" s="10" t="s">
        <v>83</v>
      </c>
      <c r="AS128" s="12">
        <v>5760</v>
      </c>
      <c r="AT128" s="10" t="s">
        <v>53</v>
      </c>
      <c r="AU128" s="10">
        <v>26101200</v>
      </c>
      <c r="AV128" s="10" t="s">
        <v>78</v>
      </c>
      <c r="AW128" s="10" t="s">
        <v>55</v>
      </c>
      <c r="AX128" s="10" t="s">
        <v>56</v>
      </c>
      <c r="AY128" s="10" t="s">
        <v>79</v>
      </c>
      <c r="AZ128" s="10" t="s">
        <v>80</v>
      </c>
      <c r="BG128" t="str">
        <v>Outbound</v>
      </c>
      <c r="BH128" t="str">
        <v>Land</v>
      </c>
      <c r="BI128" t="str">
        <v>FG-R-2193LE26</v>
      </c>
      <c r="BJ128" t="str">
        <v>JOHNSON ELECTRIC NORTH AMERICA, INC.</v>
      </c>
      <c r="BK128" t="str">
        <v xml:space="preserve">Memphis Distribution Services 3893 Crowfarn    </v>
      </c>
      <c r="BL128" t="str">
        <v>M01</v>
      </c>
      <c r="BM128" t="str">
        <v>1999-1WP0046AN</v>
      </c>
      <c r="BN128" s="24">
        <v>2160</v>
      </c>
      <c r="BO128" s="23">
        <v>311.113</v>
      </c>
      <c r="BP128" s="26">
        <f t="shared" si="4"/>
        <v>4.8182076559356982E-2</v>
      </c>
      <c r="BQ128" s="21">
        <f t="shared" si="5"/>
        <v>236.99608425010319</v>
      </c>
    </row>
    <row r="129" spans="2:69" x14ac:dyDescent="0.35">
      <c r="B129" t="s">
        <v>261</v>
      </c>
      <c r="C129" t="s">
        <v>262</v>
      </c>
      <c r="D129" t="str" cm="1">
        <f t="array" ref="D129">_xlfn.REGEXEXTRACT(G129,"FG-R-\d{4}LE\d{2}")</f>
        <v>FG-R-2193LE26</v>
      </c>
      <c r="E129" t="s">
        <v>297</v>
      </c>
      <c r="F129" s="23" cm="1">
        <f t="array" ref="F129">_xlfn.SWITCH(TRUE,T129&gt;0,T129,Z129)</f>
        <v>311.113</v>
      </c>
      <c r="G129" s="10" t="s">
        <v>178</v>
      </c>
      <c r="H129" s="10" t="s">
        <v>38</v>
      </c>
      <c r="I129" s="10" t="s">
        <v>179</v>
      </c>
      <c r="J129" s="11" t="s">
        <v>180</v>
      </c>
      <c r="K129" s="11" t="s">
        <v>180</v>
      </c>
      <c r="L129" s="10" t="s">
        <v>178</v>
      </c>
      <c r="M129" s="10" t="s">
        <v>181</v>
      </c>
      <c r="N129" s="10" t="s">
        <v>43</v>
      </c>
      <c r="O129" s="10" t="s">
        <v>69</v>
      </c>
      <c r="P129" s="10" t="s">
        <v>45</v>
      </c>
      <c r="Q129" s="10" t="s">
        <v>46</v>
      </c>
      <c r="R129" s="12">
        <v>1</v>
      </c>
      <c r="S129" s="13">
        <v>292.113</v>
      </c>
      <c r="T129" s="13">
        <v>311.113</v>
      </c>
      <c r="U129" s="12">
        <v>90</v>
      </c>
      <c r="V129" s="13">
        <v>250.56</v>
      </c>
      <c r="W129" s="13">
        <v>292.113</v>
      </c>
      <c r="X129" s="12">
        <v>0</v>
      </c>
      <c r="Y129" s="13">
        <v>0</v>
      </c>
      <c r="Z129" s="13">
        <v>0</v>
      </c>
      <c r="AA129" s="12">
        <v>0</v>
      </c>
      <c r="AB129" s="13">
        <v>0</v>
      </c>
      <c r="AC129" s="13">
        <v>0</v>
      </c>
      <c r="AD129" s="12">
        <v>1</v>
      </c>
      <c r="AE129" s="12">
        <v>0</v>
      </c>
      <c r="AF129" s="12">
        <v>0</v>
      </c>
      <c r="AG129" s="12">
        <v>1</v>
      </c>
      <c r="AH129" s="12">
        <v>0</v>
      </c>
      <c r="AI129" s="12">
        <v>0</v>
      </c>
      <c r="AJ129" s="10">
        <v>6193190</v>
      </c>
      <c r="AK129" s="10" t="s">
        <v>47</v>
      </c>
      <c r="AL129" s="14" t="s">
        <v>182</v>
      </c>
      <c r="AM129" s="10" t="s">
        <v>49</v>
      </c>
      <c r="AN129" s="15">
        <v>202300058764</v>
      </c>
      <c r="AO129" s="16" t="s">
        <v>183</v>
      </c>
      <c r="AP129" s="17">
        <v>4034.34</v>
      </c>
      <c r="AQ129" s="10" t="s">
        <v>51</v>
      </c>
      <c r="AR129" s="10" t="s">
        <v>76</v>
      </c>
      <c r="AS129" s="12">
        <v>2160</v>
      </c>
      <c r="AT129" s="10" t="s">
        <v>53</v>
      </c>
      <c r="AU129" s="10">
        <v>40151500</v>
      </c>
      <c r="AV129" s="10" t="s">
        <v>62</v>
      </c>
      <c r="AW129" s="10" t="s">
        <v>55</v>
      </c>
      <c r="AX129" s="10" t="s">
        <v>56</v>
      </c>
      <c r="AY129" s="10" t="s">
        <v>73</v>
      </c>
      <c r="AZ129" s="10" t="s">
        <v>74</v>
      </c>
      <c r="BG129" t="str">
        <v>Outbound</v>
      </c>
      <c r="BH129" t="str">
        <v>Land</v>
      </c>
      <c r="BI129" t="str">
        <v>FG-R-2193LE26</v>
      </c>
      <c r="BJ129" t="str">
        <v>JOHNSON ELECTRIC NORTH AMERICA, INC.</v>
      </c>
      <c r="BK129" t="str">
        <v xml:space="preserve">Memphis Distribution Services 3893 Crowfarn    </v>
      </c>
      <c r="BL129" t="str">
        <v>M01</v>
      </c>
      <c r="BM129" t="str">
        <v>1999-1WP0055AN</v>
      </c>
      <c r="BN129" s="24">
        <v>9600</v>
      </c>
      <c r="BO129" s="23">
        <v>1009.2</v>
      </c>
      <c r="BP129" s="26">
        <f t="shared" si="4"/>
        <v>0.1562948242718982</v>
      </c>
      <c r="BQ129" s="21">
        <f t="shared" si="5"/>
        <v>768.77677315060487</v>
      </c>
    </row>
    <row r="130" spans="2:69" x14ac:dyDescent="0.35">
      <c r="B130" t="s">
        <v>261</v>
      </c>
      <c r="C130" t="s">
        <v>262</v>
      </c>
      <c r="D130" t="str" cm="1">
        <f t="array" ref="D130">_xlfn.REGEXEXTRACT(G130,"FG-R-\d{4}LE\d{2}")</f>
        <v>FG-R-2193LE26</v>
      </c>
      <c r="E130" t="s">
        <v>297</v>
      </c>
      <c r="F130" s="23" cm="1">
        <f t="array" ref="F130">_xlfn.SWITCH(TRUE,T130&gt;0,T130,Z130)</f>
        <v>1009.2</v>
      </c>
      <c r="G130" s="10" t="s">
        <v>178</v>
      </c>
      <c r="H130" s="10" t="s">
        <v>38</v>
      </c>
      <c r="I130" s="10" t="s">
        <v>179</v>
      </c>
      <c r="J130" s="11" t="s">
        <v>180</v>
      </c>
      <c r="K130" s="11" t="s">
        <v>180</v>
      </c>
      <c r="L130" s="10" t="s">
        <v>178</v>
      </c>
      <c r="M130" s="10" t="s">
        <v>181</v>
      </c>
      <c r="N130" s="10" t="s">
        <v>43</v>
      </c>
      <c r="O130" s="10" t="s">
        <v>69</v>
      </c>
      <c r="P130" s="10" t="s">
        <v>45</v>
      </c>
      <c r="Q130" s="10" t="s">
        <v>46</v>
      </c>
      <c r="R130" s="12">
        <v>2</v>
      </c>
      <c r="S130" s="13">
        <v>955.2</v>
      </c>
      <c r="T130" s="13">
        <v>1009.2</v>
      </c>
      <c r="U130" s="12">
        <v>120</v>
      </c>
      <c r="V130" s="13">
        <v>883.2</v>
      </c>
      <c r="W130" s="13">
        <v>955.2</v>
      </c>
      <c r="X130" s="12">
        <v>0</v>
      </c>
      <c r="Y130" s="13">
        <v>0</v>
      </c>
      <c r="Z130" s="13">
        <v>0</v>
      </c>
      <c r="AA130" s="12">
        <v>0</v>
      </c>
      <c r="AB130" s="13">
        <v>0</v>
      </c>
      <c r="AC130" s="13">
        <v>0</v>
      </c>
      <c r="AD130" s="12">
        <v>2</v>
      </c>
      <c r="AE130" s="12">
        <v>0</v>
      </c>
      <c r="AF130" s="12">
        <v>0</v>
      </c>
      <c r="AG130" s="12">
        <v>2</v>
      </c>
      <c r="AH130" s="12">
        <v>0</v>
      </c>
      <c r="AI130" s="12">
        <v>0</v>
      </c>
      <c r="AJ130" s="10">
        <v>6193191</v>
      </c>
      <c r="AK130" s="10" t="s">
        <v>47</v>
      </c>
      <c r="AL130" s="14" t="s">
        <v>182</v>
      </c>
      <c r="AM130" s="10" t="s">
        <v>49</v>
      </c>
      <c r="AN130" s="15">
        <v>202300058765</v>
      </c>
      <c r="AO130" s="16" t="s">
        <v>183</v>
      </c>
      <c r="AP130" s="17">
        <v>14580.58</v>
      </c>
      <c r="AQ130" s="10" t="s">
        <v>51</v>
      </c>
      <c r="AR130" s="10" t="s">
        <v>84</v>
      </c>
      <c r="AS130" s="12">
        <v>9600</v>
      </c>
      <c r="AT130" s="10" t="s">
        <v>53</v>
      </c>
      <c r="AU130" s="10">
        <v>40151500</v>
      </c>
      <c r="AV130" s="10" t="s">
        <v>62</v>
      </c>
      <c r="AW130" s="10" t="s">
        <v>55</v>
      </c>
      <c r="AX130" s="10" t="s">
        <v>56</v>
      </c>
      <c r="AY130" s="10" t="s">
        <v>73</v>
      </c>
      <c r="AZ130" s="10" t="s">
        <v>74</v>
      </c>
      <c r="BG130" t="str">
        <v>Outbound</v>
      </c>
      <c r="BH130" t="str">
        <v>Land</v>
      </c>
      <c r="BI130" t="str">
        <v>FG-R-2193LE26</v>
      </c>
      <c r="BJ130" t="str">
        <v>JOHNSON ELECTRIC NORTH AMERICA, INC.</v>
      </c>
      <c r="BK130" t="str">
        <v xml:space="preserve">Memphis Distribution Services 3893 Crowfarn    </v>
      </c>
      <c r="BL130" t="str">
        <v>M01</v>
      </c>
      <c r="BM130" t="str">
        <v>1999-1WP0105EN</v>
      </c>
      <c r="BN130" s="24">
        <v>4200</v>
      </c>
      <c r="BO130" s="23">
        <v>595.82463800000005</v>
      </c>
      <c r="BP130" s="26">
        <f t="shared" si="4"/>
        <v>9.227537365544726E-2</v>
      </c>
      <c r="BQ130" s="21">
        <f t="shared" si="5"/>
        <v>453.8804424943196</v>
      </c>
    </row>
    <row r="131" spans="2:69" x14ac:dyDescent="0.35">
      <c r="B131" t="s">
        <v>261</v>
      </c>
      <c r="C131" t="s">
        <v>262</v>
      </c>
      <c r="D131" t="str" cm="1">
        <f t="array" ref="D131">_xlfn.REGEXEXTRACT(G131,"FG-R-\d{4}LE\d{2}")</f>
        <v>FG-R-2193LE26</v>
      </c>
      <c r="E131" t="s">
        <v>297</v>
      </c>
      <c r="F131" s="23" cm="1">
        <f t="array" ref="F131">_xlfn.SWITCH(TRUE,T131&gt;0,T131,Z131)</f>
        <v>595.82463800000005</v>
      </c>
      <c r="G131" s="10" t="s">
        <v>178</v>
      </c>
      <c r="H131" s="10" t="s">
        <v>38</v>
      </c>
      <c r="I131" s="10" t="s">
        <v>179</v>
      </c>
      <c r="J131" s="11" t="s">
        <v>180</v>
      </c>
      <c r="K131" s="11" t="s">
        <v>180</v>
      </c>
      <c r="L131" s="10" t="s">
        <v>178</v>
      </c>
      <c r="M131" s="10" t="s">
        <v>181</v>
      </c>
      <c r="N131" s="10" t="s">
        <v>43</v>
      </c>
      <c r="O131" s="10" t="s">
        <v>69</v>
      </c>
      <c r="P131" s="10" t="s">
        <v>45</v>
      </c>
      <c r="Q131" s="10" t="s">
        <v>46</v>
      </c>
      <c r="R131" s="12">
        <v>2</v>
      </c>
      <c r="S131" s="13">
        <v>557.82463800000005</v>
      </c>
      <c r="T131" s="13">
        <v>595.82463800000005</v>
      </c>
      <c r="U131" s="12">
        <v>140</v>
      </c>
      <c r="V131" s="13">
        <v>557.76</v>
      </c>
      <c r="W131" s="13">
        <v>557.82463800000005</v>
      </c>
      <c r="X131" s="12">
        <v>0</v>
      </c>
      <c r="Y131" s="13">
        <v>0</v>
      </c>
      <c r="Z131" s="13">
        <v>0</v>
      </c>
      <c r="AA131" s="12">
        <v>0</v>
      </c>
      <c r="AB131" s="13">
        <v>0</v>
      </c>
      <c r="AC131" s="13">
        <v>0</v>
      </c>
      <c r="AD131" s="12">
        <v>2</v>
      </c>
      <c r="AE131" s="12">
        <v>0</v>
      </c>
      <c r="AF131" s="12">
        <v>0</v>
      </c>
      <c r="AG131" s="12">
        <v>2</v>
      </c>
      <c r="AH131" s="12">
        <v>0</v>
      </c>
      <c r="AI131" s="12">
        <v>0</v>
      </c>
      <c r="AJ131" s="10">
        <v>6193217</v>
      </c>
      <c r="AK131" s="10" t="s">
        <v>47</v>
      </c>
      <c r="AL131" s="14" t="s">
        <v>182</v>
      </c>
      <c r="AM131" s="10" t="s">
        <v>49</v>
      </c>
      <c r="AN131" s="15">
        <v>202300058767</v>
      </c>
      <c r="AO131" s="16" t="s">
        <v>183</v>
      </c>
      <c r="AP131" s="17">
        <v>10752.22</v>
      </c>
      <c r="AQ131" s="10" t="s">
        <v>51</v>
      </c>
      <c r="AR131" s="10" t="s">
        <v>81</v>
      </c>
      <c r="AS131" s="12">
        <v>4200</v>
      </c>
      <c r="AT131" s="10" t="s">
        <v>53</v>
      </c>
      <c r="AU131" s="10">
        <v>25171506</v>
      </c>
      <c r="AV131" s="10" t="s">
        <v>82</v>
      </c>
      <c r="AW131" s="10" t="s">
        <v>55</v>
      </c>
      <c r="AX131" s="10" t="s">
        <v>56</v>
      </c>
      <c r="AY131" s="10" t="s">
        <v>73</v>
      </c>
      <c r="AZ131" s="10" t="s">
        <v>74</v>
      </c>
      <c r="BG131" t="str">
        <v>Outbound</v>
      </c>
      <c r="BH131" t="str">
        <v>Land</v>
      </c>
      <c r="BI131" t="str">
        <v>FG-R-2193LE26</v>
      </c>
      <c r="BJ131" t="str">
        <v>JOHNSON ELECTRIC NORTH AMERICA, INC.</v>
      </c>
      <c r="BK131" t="str">
        <v xml:space="preserve">Memphis Distribution Services 3893 Crowfarn    </v>
      </c>
      <c r="BL131" t="str">
        <v>M46</v>
      </c>
      <c r="BM131" t="str">
        <v>1651-EQH0021EN</v>
      </c>
      <c r="BN131" s="24">
        <v>200</v>
      </c>
      <c r="BO131" s="23">
        <v>62.46</v>
      </c>
      <c r="BP131" s="26">
        <f t="shared" si="4"/>
        <v>9.6731814546400733E-3</v>
      </c>
      <c r="BQ131" s="21">
        <f t="shared" si="5"/>
        <v>47.58006069261473</v>
      </c>
    </row>
    <row r="132" spans="2:69" x14ac:dyDescent="0.35">
      <c r="B132" t="s">
        <v>261</v>
      </c>
      <c r="C132" t="s">
        <v>262</v>
      </c>
      <c r="D132" t="str" cm="1">
        <f t="array" ref="D132">_xlfn.REGEXEXTRACT(G132,"FG-R-\d{4}LE\d{2}")</f>
        <v>FG-R-2193LE26</v>
      </c>
      <c r="E132" t="s">
        <v>298</v>
      </c>
      <c r="F132" s="23" cm="1">
        <f t="array" ref="F132">_xlfn.SWITCH(TRUE,T132&gt;0,T132,Z132)</f>
        <v>62.46</v>
      </c>
      <c r="G132" s="10" t="s">
        <v>178</v>
      </c>
      <c r="H132" s="10" t="s">
        <v>38</v>
      </c>
      <c r="I132" s="10" t="s">
        <v>179</v>
      </c>
      <c r="J132" s="11" t="s">
        <v>180</v>
      </c>
      <c r="K132" s="11" t="s">
        <v>180</v>
      </c>
      <c r="L132" s="10" t="s">
        <v>178</v>
      </c>
      <c r="M132" s="10" t="s">
        <v>181</v>
      </c>
      <c r="N132" s="10" t="s">
        <v>43</v>
      </c>
      <c r="O132" s="10" t="s">
        <v>69</v>
      </c>
      <c r="P132" s="10" t="s">
        <v>45</v>
      </c>
      <c r="Q132" s="10" t="s">
        <v>46</v>
      </c>
      <c r="R132" s="12">
        <v>0</v>
      </c>
      <c r="S132" s="13">
        <v>0</v>
      </c>
      <c r="T132" s="13">
        <v>0</v>
      </c>
      <c r="U132" s="12">
        <v>0</v>
      </c>
      <c r="V132" s="13">
        <v>0</v>
      </c>
      <c r="W132" s="13">
        <v>0</v>
      </c>
      <c r="X132" s="12">
        <v>1</v>
      </c>
      <c r="Y132" s="13">
        <v>41.46</v>
      </c>
      <c r="Z132" s="13">
        <v>62.46</v>
      </c>
      <c r="AA132" s="12">
        <v>10</v>
      </c>
      <c r="AB132" s="13">
        <v>26.46</v>
      </c>
      <c r="AC132" s="13">
        <v>41.46</v>
      </c>
      <c r="AD132" s="12">
        <v>1</v>
      </c>
      <c r="AE132" s="12">
        <v>0</v>
      </c>
      <c r="AF132" s="12">
        <v>0</v>
      </c>
      <c r="AG132" s="12">
        <v>1</v>
      </c>
      <c r="AH132" s="12">
        <v>0</v>
      </c>
      <c r="AI132" s="12">
        <v>0</v>
      </c>
      <c r="AJ132" s="10">
        <v>6193216</v>
      </c>
      <c r="AK132" s="10" t="s">
        <v>47</v>
      </c>
      <c r="AL132" s="14" t="s">
        <v>182</v>
      </c>
      <c r="AM132" s="10" t="s">
        <v>49</v>
      </c>
      <c r="AN132" s="15">
        <v>202300058768</v>
      </c>
      <c r="AO132" s="16" t="s">
        <v>183</v>
      </c>
      <c r="AP132" s="17">
        <v>1328.26</v>
      </c>
      <c r="AQ132" s="10" t="s">
        <v>51</v>
      </c>
      <c r="AR132" s="10" t="s">
        <v>89</v>
      </c>
      <c r="AS132" s="12">
        <v>200</v>
      </c>
      <c r="AT132" s="10" t="s">
        <v>53</v>
      </c>
      <c r="AU132" s="10">
        <v>26101100</v>
      </c>
      <c r="AV132" s="10" t="s">
        <v>87</v>
      </c>
      <c r="AW132" s="10" t="s">
        <v>55</v>
      </c>
      <c r="AX132" s="10" t="s">
        <v>56</v>
      </c>
      <c r="AY132" s="10" t="s">
        <v>79</v>
      </c>
      <c r="AZ132" s="10" t="s">
        <v>80</v>
      </c>
      <c r="BG132" t="str">
        <v>Outbound</v>
      </c>
      <c r="BH132" t="str">
        <v>Land</v>
      </c>
      <c r="BI132" t="str">
        <v>FG-R-2194LE26</v>
      </c>
      <c r="BJ132" t="str">
        <v>JOHNSON ELECTRIC NORTH AMERICA, INC.</v>
      </c>
      <c r="BK132" t="str">
        <v xml:space="preserve">APX WH  6001 GLOBAL DISTRIBUTION WAY LOUISVILLE, KY 40228    </v>
      </c>
      <c r="BL132" t="str">
        <v>M45</v>
      </c>
      <c r="BM132" t="str">
        <v>1999-1E30015EN</v>
      </c>
      <c r="BN132" s="24">
        <v>1125</v>
      </c>
      <c r="BO132" s="23">
        <v>449.87</v>
      </c>
      <c r="BP132" s="26">
        <f t="shared" si="4"/>
        <v>2.6536830796437202E-2</v>
      </c>
      <c r="BQ132" s="21">
        <f t="shared" si="5"/>
        <v>130.52830920260146</v>
      </c>
    </row>
    <row r="133" spans="2:69" x14ac:dyDescent="0.35">
      <c r="B133" t="s">
        <v>261</v>
      </c>
      <c r="C133" t="s">
        <v>262</v>
      </c>
      <c r="D133" t="str" cm="1">
        <f t="array" ref="D133">_xlfn.REGEXEXTRACT(G133,"FG-R-\d{4}LE\d{2}")</f>
        <v>FG-R-2198LE26</v>
      </c>
      <c r="E133" t="s">
        <v>295</v>
      </c>
      <c r="F133" s="23" cm="1">
        <f t="array" ref="F133">_xlfn.SWITCH(TRUE,T133&gt;0,T133,Z133)</f>
        <v>49.638750000000002</v>
      </c>
      <c r="G133" s="10" t="s">
        <v>185</v>
      </c>
      <c r="H133" s="10" t="s">
        <v>38</v>
      </c>
      <c r="I133" s="10" t="s">
        <v>186</v>
      </c>
      <c r="J133" s="11" t="s">
        <v>187</v>
      </c>
      <c r="K133" s="11" t="s">
        <v>187</v>
      </c>
      <c r="L133" s="10" t="s">
        <v>185</v>
      </c>
      <c r="M133" s="10" t="s">
        <v>188</v>
      </c>
      <c r="N133" s="10" t="s">
        <v>43</v>
      </c>
      <c r="O133" s="10" t="s">
        <v>44</v>
      </c>
      <c r="P133" s="10" t="s">
        <v>45</v>
      </c>
      <c r="Q133" s="10" t="s">
        <v>46</v>
      </c>
      <c r="R133" s="12">
        <v>0</v>
      </c>
      <c r="S133" s="13">
        <v>0</v>
      </c>
      <c r="T133" s="13">
        <v>0</v>
      </c>
      <c r="U133" s="12">
        <v>0</v>
      </c>
      <c r="V133" s="13">
        <v>0</v>
      </c>
      <c r="W133" s="13">
        <v>0</v>
      </c>
      <c r="X133" s="12">
        <v>1</v>
      </c>
      <c r="Y133" s="13">
        <v>28.638750000000002</v>
      </c>
      <c r="Z133" s="13">
        <v>49.638750000000002</v>
      </c>
      <c r="AA133" s="12">
        <v>3</v>
      </c>
      <c r="AB133" s="13">
        <v>22.380749999999999</v>
      </c>
      <c r="AC133" s="13">
        <v>28.638750000000002</v>
      </c>
      <c r="AD133" s="12">
        <v>1</v>
      </c>
      <c r="AE133" s="12">
        <v>0</v>
      </c>
      <c r="AF133" s="12">
        <v>0</v>
      </c>
      <c r="AG133" s="12">
        <v>0</v>
      </c>
      <c r="AH133" s="12">
        <v>0</v>
      </c>
      <c r="AI133" s="12">
        <v>1</v>
      </c>
      <c r="AJ133" s="10">
        <v>6195263</v>
      </c>
      <c r="AK133" s="10" t="s">
        <v>47</v>
      </c>
      <c r="AL133" s="14" t="s">
        <v>189</v>
      </c>
      <c r="AM133" s="10" t="s">
        <v>49</v>
      </c>
      <c r="AN133" s="15">
        <v>202300058782</v>
      </c>
      <c r="AO133" s="16" t="s">
        <v>190</v>
      </c>
      <c r="AP133" s="17">
        <v>487.96</v>
      </c>
      <c r="AQ133" s="10" t="s">
        <v>51</v>
      </c>
      <c r="AR133" s="10" t="s">
        <v>191</v>
      </c>
      <c r="AS133" s="12">
        <v>21</v>
      </c>
      <c r="AT133" s="10" t="s">
        <v>53</v>
      </c>
      <c r="AU133" s="10">
        <v>40151503</v>
      </c>
      <c r="AV133" s="10" t="s">
        <v>54</v>
      </c>
      <c r="AW133" s="10" t="s">
        <v>55</v>
      </c>
      <c r="AX133" s="10" t="s">
        <v>56</v>
      </c>
      <c r="AY133" s="10" t="s">
        <v>57</v>
      </c>
      <c r="AZ133" s="10" t="s">
        <v>58</v>
      </c>
      <c r="BG133" t="str">
        <v>Outbound</v>
      </c>
      <c r="BH133" t="str">
        <v>Land</v>
      </c>
      <c r="BI133" t="str">
        <v>FG-R-2194LE26</v>
      </c>
      <c r="BJ133" t="str">
        <v>JOHNSON ELECTRIC NORTH AMERICA, INC.</v>
      </c>
      <c r="BK133" t="str">
        <v xml:space="preserve">(TDS) Transcontinental Distribution Services, Inc 14213 Transportation Ave    </v>
      </c>
      <c r="BL133" t="str">
        <v>M23</v>
      </c>
      <c r="BM133" t="str">
        <v>1908-3120006E1</v>
      </c>
      <c r="BN133" s="24">
        <v>6</v>
      </c>
      <c r="BO133" s="23">
        <v>29.480499999999999</v>
      </c>
      <c r="BP133" s="26">
        <f t="shared" si="4"/>
        <v>1.7389891308475047E-3</v>
      </c>
      <c r="BQ133" s="21">
        <f t="shared" si="5"/>
        <v>8.553670659184414</v>
      </c>
    </row>
    <row r="134" spans="2:69" x14ac:dyDescent="0.35">
      <c r="B134" t="s">
        <v>261</v>
      </c>
      <c r="C134" t="s">
        <v>262</v>
      </c>
      <c r="D134" t="str" cm="1">
        <f t="array" ref="D134">_xlfn.REGEXEXTRACT(G134,"FG-R-\d{4}LE\d{2}")</f>
        <v>FG-R-2198LE26</v>
      </c>
      <c r="E134" t="s">
        <v>295</v>
      </c>
      <c r="F134" s="23" cm="1">
        <f t="array" ref="F134">_xlfn.SWITCH(TRUE,T134&gt;0,T134,Z134)</f>
        <v>28.414750000000002</v>
      </c>
      <c r="G134" s="10" t="s">
        <v>185</v>
      </c>
      <c r="H134" s="10" t="s">
        <v>38</v>
      </c>
      <c r="I134" s="10" t="s">
        <v>186</v>
      </c>
      <c r="J134" s="11" t="s">
        <v>187</v>
      </c>
      <c r="K134" s="11" t="s">
        <v>187</v>
      </c>
      <c r="L134" s="10" t="s">
        <v>185</v>
      </c>
      <c r="M134" s="10" t="s">
        <v>188</v>
      </c>
      <c r="N134" s="10" t="s">
        <v>43</v>
      </c>
      <c r="O134" s="10" t="s">
        <v>44</v>
      </c>
      <c r="P134" s="10" t="s">
        <v>45</v>
      </c>
      <c r="Q134" s="10" t="s">
        <v>46</v>
      </c>
      <c r="R134" s="12">
        <v>0</v>
      </c>
      <c r="S134" s="13">
        <v>0</v>
      </c>
      <c r="T134" s="13">
        <v>0</v>
      </c>
      <c r="U134" s="12">
        <v>0</v>
      </c>
      <c r="V134" s="13">
        <v>0</v>
      </c>
      <c r="W134" s="13">
        <v>0</v>
      </c>
      <c r="X134" s="12">
        <v>1</v>
      </c>
      <c r="Y134" s="13">
        <v>7.4147499999999997</v>
      </c>
      <c r="Z134" s="13">
        <v>28.414750000000002</v>
      </c>
      <c r="AA134" s="12">
        <v>1</v>
      </c>
      <c r="AB134" s="13">
        <v>5.3287500000000003</v>
      </c>
      <c r="AC134" s="13">
        <v>7.4147499999999997</v>
      </c>
      <c r="AD134" s="12">
        <v>1</v>
      </c>
      <c r="AE134" s="12">
        <v>0</v>
      </c>
      <c r="AF134" s="12">
        <v>0</v>
      </c>
      <c r="AG134" s="12">
        <v>0</v>
      </c>
      <c r="AH134" s="12">
        <v>0</v>
      </c>
      <c r="AI134" s="12">
        <v>1</v>
      </c>
      <c r="AJ134" s="10">
        <v>6195265</v>
      </c>
      <c r="AK134" s="10" t="s">
        <v>47</v>
      </c>
      <c r="AL134" s="14" t="s">
        <v>189</v>
      </c>
      <c r="AM134" s="10" t="s">
        <v>49</v>
      </c>
      <c r="AN134" s="15">
        <v>202300058783</v>
      </c>
      <c r="AO134" s="16" t="s">
        <v>190</v>
      </c>
      <c r="AP134" s="17">
        <v>121.89</v>
      </c>
      <c r="AQ134" s="10" t="s">
        <v>51</v>
      </c>
      <c r="AR134" s="10" t="s">
        <v>192</v>
      </c>
      <c r="AS134" s="12">
        <v>5</v>
      </c>
      <c r="AT134" s="10" t="s">
        <v>53</v>
      </c>
      <c r="AU134" s="10">
        <v>40151503</v>
      </c>
      <c r="AV134" s="10" t="s">
        <v>54</v>
      </c>
      <c r="AW134" s="10" t="s">
        <v>55</v>
      </c>
      <c r="AX134" s="10" t="s">
        <v>56</v>
      </c>
      <c r="AY134" s="10" t="s">
        <v>57</v>
      </c>
      <c r="AZ134" s="10" t="s">
        <v>58</v>
      </c>
      <c r="BG134" t="str">
        <v>Outbound</v>
      </c>
      <c r="BH134" t="str">
        <v>Land</v>
      </c>
      <c r="BI134" t="str">
        <v>FG-R-2194LE26</v>
      </c>
      <c r="BJ134" t="str">
        <v>JOHNSON ELECTRIC NORTH AMERICA, INC.</v>
      </c>
      <c r="BK134" t="str">
        <v xml:space="preserve">(TDS) Transcontinental Distribution Services, Inc 14213 Transportation Ave    </v>
      </c>
      <c r="BL134" t="str">
        <v>M23</v>
      </c>
      <c r="BM134" t="str">
        <v>1908-1E90003RN</v>
      </c>
      <c r="BN134" s="24">
        <v>600</v>
      </c>
      <c r="BO134" s="23">
        <v>1098.8</v>
      </c>
      <c r="BP134" s="26">
        <f t="shared" si="4"/>
        <v>6.481576828667214E-2</v>
      </c>
      <c r="BQ134" s="21">
        <f t="shared" si="5"/>
        <v>318.81322638055099</v>
      </c>
    </row>
    <row r="135" spans="2:69" x14ac:dyDescent="0.35">
      <c r="B135" t="s">
        <v>261</v>
      </c>
      <c r="C135" t="s">
        <v>262</v>
      </c>
      <c r="D135" t="str" cm="1">
        <f t="array" ref="D135">_xlfn.REGEXEXTRACT(G135,"FG-R-\d{4}LE\d{2}")</f>
        <v>FG-R-2194LE26</v>
      </c>
      <c r="E135" t="s">
        <v>295</v>
      </c>
      <c r="F135" s="23" cm="1">
        <f t="array" ref="F135">_xlfn.SWITCH(TRUE,T135&gt;0,T135,Z135)</f>
        <v>29.480499999999999</v>
      </c>
      <c r="G135" s="10" t="s">
        <v>193</v>
      </c>
      <c r="H135" s="10" t="s">
        <v>38</v>
      </c>
      <c r="I135" s="10" t="s">
        <v>161</v>
      </c>
      <c r="J135" s="11" t="s">
        <v>162</v>
      </c>
      <c r="K135" s="11" t="s">
        <v>162</v>
      </c>
      <c r="L135" s="10" t="s">
        <v>160</v>
      </c>
      <c r="M135" s="10" t="s">
        <v>163</v>
      </c>
      <c r="N135" s="10" t="s">
        <v>43</v>
      </c>
      <c r="O135" s="10" t="s">
        <v>44</v>
      </c>
      <c r="P135" s="10" t="s">
        <v>45</v>
      </c>
      <c r="Q135" s="10" t="s">
        <v>46</v>
      </c>
      <c r="R135" s="12">
        <v>0</v>
      </c>
      <c r="S135" s="13">
        <v>0</v>
      </c>
      <c r="T135" s="13">
        <v>0</v>
      </c>
      <c r="U135" s="12">
        <v>0</v>
      </c>
      <c r="V135" s="13">
        <v>0</v>
      </c>
      <c r="W135" s="13">
        <v>0</v>
      </c>
      <c r="X135" s="12">
        <v>1</v>
      </c>
      <c r="Y135" s="13">
        <v>8.4804999999999993</v>
      </c>
      <c r="Z135" s="13">
        <v>29.480499999999999</v>
      </c>
      <c r="AA135" s="12">
        <v>1</v>
      </c>
      <c r="AB135" s="13">
        <v>6.3944999999999999</v>
      </c>
      <c r="AC135" s="13">
        <v>8.4804999999999993</v>
      </c>
      <c r="AD135" s="12">
        <v>1</v>
      </c>
      <c r="AE135" s="12">
        <v>0</v>
      </c>
      <c r="AF135" s="12">
        <v>0</v>
      </c>
      <c r="AG135" s="12">
        <v>0</v>
      </c>
      <c r="AH135" s="12">
        <v>0</v>
      </c>
      <c r="AI135" s="12">
        <v>1</v>
      </c>
      <c r="AJ135" s="10">
        <v>6195264</v>
      </c>
      <c r="AK135" s="10" t="s">
        <v>47</v>
      </c>
      <c r="AL135" s="14" t="s">
        <v>189</v>
      </c>
      <c r="AM135" s="10" t="s">
        <v>49</v>
      </c>
      <c r="AN135" s="15">
        <v>202300058781</v>
      </c>
      <c r="AO135" s="16" t="s">
        <v>190</v>
      </c>
      <c r="AP135" s="17">
        <v>164.02</v>
      </c>
      <c r="AQ135" s="10" t="s">
        <v>51</v>
      </c>
      <c r="AR135" s="10" t="s">
        <v>194</v>
      </c>
      <c r="AS135" s="12">
        <v>6</v>
      </c>
      <c r="AT135" s="10" t="s">
        <v>53</v>
      </c>
      <c r="AU135" s="10">
        <v>40151503</v>
      </c>
      <c r="AV135" s="10" t="s">
        <v>54</v>
      </c>
      <c r="AW135" s="10" t="s">
        <v>55</v>
      </c>
      <c r="AX135" s="10" t="s">
        <v>56</v>
      </c>
      <c r="AY135" s="10" t="s">
        <v>57</v>
      </c>
      <c r="AZ135" s="10" t="s">
        <v>58</v>
      </c>
      <c r="BG135" t="str">
        <v>Outbound</v>
      </c>
      <c r="BH135" t="str">
        <v>Land</v>
      </c>
      <c r="BI135" t="str">
        <v>FG-R-2194LE26</v>
      </c>
      <c r="BJ135" t="str">
        <v>JOHNSON ELECTRIC NORTH AMERICA, INC.</v>
      </c>
      <c r="BK135" t="str">
        <v xml:space="preserve">(TDS) Transcontinental Distribution Services, Inc 14213 Transportation Ave    </v>
      </c>
      <c r="BL135" t="str">
        <v>M46</v>
      </c>
      <c r="BM135" t="str">
        <v>1651-MYY0069EN</v>
      </c>
      <c r="BN135" s="24">
        <v>714</v>
      </c>
      <c r="BO135" s="23">
        <v>106.41840000000001</v>
      </c>
      <c r="BP135" s="26">
        <f t="shared" si="4"/>
        <v>6.2773847432093114E-3</v>
      </c>
      <c r="BQ135" s="21">
        <f t="shared" si="5"/>
        <v>30.876950719199158</v>
      </c>
    </row>
    <row r="136" spans="2:69" x14ac:dyDescent="0.35">
      <c r="B136" t="s">
        <v>261</v>
      </c>
      <c r="C136" t="s">
        <v>262</v>
      </c>
      <c r="D136" t="str" cm="1">
        <f t="array" ref="D136">_xlfn.REGEXEXTRACT(G136,"FG-R-\d{4}LE\d{2}")</f>
        <v>FG-R-2194LE26</v>
      </c>
      <c r="E136" t="s">
        <v>295</v>
      </c>
      <c r="F136" s="23" cm="1">
        <f t="array" ref="F136">_xlfn.SWITCH(TRUE,T136&gt;0,T136,Z136)</f>
        <v>1098.8</v>
      </c>
      <c r="G136" s="10" t="s">
        <v>193</v>
      </c>
      <c r="H136" s="10" t="s">
        <v>38</v>
      </c>
      <c r="I136" s="10" t="s">
        <v>161</v>
      </c>
      <c r="J136" s="11" t="s">
        <v>162</v>
      </c>
      <c r="K136" s="11" t="s">
        <v>162</v>
      </c>
      <c r="L136" s="10" t="s">
        <v>160</v>
      </c>
      <c r="M136" s="10" t="s">
        <v>163</v>
      </c>
      <c r="N136" s="10" t="s">
        <v>43</v>
      </c>
      <c r="O136" s="10" t="s">
        <v>44</v>
      </c>
      <c r="P136" s="10" t="s">
        <v>45</v>
      </c>
      <c r="Q136" s="10" t="s">
        <v>46</v>
      </c>
      <c r="R136" s="12">
        <v>5</v>
      </c>
      <c r="S136" s="13">
        <v>993.8</v>
      </c>
      <c r="T136" s="13">
        <v>1098.8</v>
      </c>
      <c r="U136" s="12">
        <v>100</v>
      </c>
      <c r="V136" s="13">
        <v>870.6</v>
      </c>
      <c r="W136" s="13">
        <v>993.8</v>
      </c>
      <c r="X136" s="12">
        <v>0</v>
      </c>
      <c r="Y136" s="13">
        <v>0</v>
      </c>
      <c r="Z136" s="13">
        <v>0</v>
      </c>
      <c r="AA136" s="12">
        <v>0</v>
      </c>
      <c r="AB136" s="13">
        <v>0</v>
      </c>
      <c r="AC136" s="13">
        <v>0</v>
      </c>
      <c r="AD136" s="12">
        <v>0</v>
      </c>
      <c r="AE136" s="12">
        <v>5</v>
      </c>
      <c r="AF136" s="12">
        <v>0</v>
      </c>
      <c r="AG136" s="12">
        <v>0</v>
      </c>
      <c r="AH136" s="12">
        <v>5</v>
      </c>
      <c r="AI136" s="12">
        <v>0</v>
      </c>
      <c r="AJ136" s="10">
        <v>6195278</v>
      </c>
      <c r="AK136" s="10" t="s">
        <v>47</v>
      </c>
      <c r="AL136" s="14" t="s">
        <v>189</v>
      </c>
      <c r="AM136" s="10" t="s">
        <v>49</v>
      </c>
      <c r="AN136" s="15">
        <v>202300058787</v>
      </c>
      <c r="AO136" s="16" t="s">
        <v>190</v>
      </c>
      <c r="AP136" s="17">
        <v>22690.1</v>
      </c>
      <c r="AQ136" s="10" t="s">
        <v>51</v>
      </c>
      <c r="AR136" s="10" t="s">
        <v>52</v>
      </c>
      <c r="AS136" s="12">
        <v>600</v>
      </c>
      <c r="AT136" s="10" t="s">
        <v>53</v>
      </c>
      <c r="AU136" s="10">
        <v>40151503</v>
      </c>
      <c r="AV136" s="10" t="s">
        <v>54</v>
      </c>
      <c r="AW136" s="10" t="s">
        <v>55</v>
      </c>
      <c r="AX136" s="10" t="s">
        <v>56</v>
      </c>
      <c r="AY136" s="10" t="s">
        <v>57</v>
      </c>
      <c r="AZ136" s="10" t="s">
        <v>58</v>
      </c>
      <c r="BG136" t="str">
        <v>Outbound</v>
      </c>
      <c r="BH136" t="str">
        <v>Land</v>
      </c>
      <c r="BI136" t="str">
        <v>FG-R-2194LE26</v>
      </c>
      <c r="BJ136" t="str">
        <v>JOHNSON ELECTRIC NORTH AMERICA, INC.</v>
      </c>
      <c r="BK136" t="str">
        <v xml:space="preserve">(TDS) Transcontinental Distribution Services, Inc 14213 Transportation Ave    </v>
      </c>
      <c r="BL136" t="str">
        <v>M46</v>
      </c>
      <c r="BM136" t="str">
        <v>1651-EGN0004LN</v>
      </c>
      <c r="BN136" s="24">
        <v>400</v>
      </c>
      <c r="BO136" s="23">
        <v>80</v>
      </c>
      <c r="BP136" s="26">
        <f t="shared" si="4"/>
        <v>4.7190220813012121E-3</v>
      </c>
      <c r="BQ136" s="21">
        <f t="shared" si="5"/>
        <v>23.211738360433277</v>
      </c>
    </row>
    <row r="137" spans="2:69" x14ac:dyDescent="0.35">
      <c r="B137" t="s">
        <v>261</v>
      </c>
      <c r="C137" t="s">
        <v>262</v>
      </c>
      <c r="D137" t="str" cm="1">
        <f t="array" ref="D137">_xlfn.REGEXEXTRACT(G137,"FG-R-\d{4}LE\d{2}")</f>
        <v>FG-R-2194LE26</v>
      </c>
      <c r="E137" t="s">
        <v>298</v>
      </c>
      <c r="F137" s="23" cm="1">
        <f t="array" ref="F137">_xlfn.SWITCH(TRUE,T137&gt;0,T137,Z137)</f>
        <v>106.41840000000001</v>
      </c>
      <c r="G137" s="10" t="s">
        <v>160</v>
      </c>
      <c r="H137" s="10" t="s">
        <v>38</v>
      </c>
      <c r="I137" s="10" t="s">
        <v>161</v>
      </c>
      <c r="J137" s="11" t="s">
        <v>162</v>
      </c>
      <c r="K137" s="11" t="s">
        <v>162</v>
      </c>
      <c r="L137" s="10" t="s">
        <v>160</v>
      </c>
      <c r="M137" s="10" t="s">
        <v>163</v>
      </c>
      <c r="N137" s="10" t="s">
        <v>43</v>
      </c>
      <c r="O137" s="10" t="s">
        <v>44</v>
      </c>
      <c r="P137" s="10" t="s">
        <v>45</v>
      </c>
      <c r="Q137" s="10" t="s">
        <v>46</v>
      </c>
      <c r="R137" s="12">
        <v>0</v>
      </c>
      <c r="S137" s="13">
        <v>0</v>
      </c>
      <c r="T137" s="13">
        <v>0</v>
      </c>
      <c r="U137" s="12">
        <v>0</v>
      </c>
      <c r="V137" s="13">
        <v>0</v>
      </c>
      <c r="W137" s="13">
        <v>0</v>
      </c>
      <c r="X137" s="12">
        <v>1</v>
      </c>
      <c r="Y137" s="13">
        <v>81.418400000000005</v>
      </c>
      <c r="Z137" s="13">
        <v>106.41840000000001</v>
      </c>
      <c r="AA137" s="12">
        <v>40</v>
      </c>
      <c r="AB137" s="13">
        <v>81.396000000000001</v>
      </c>
      <c r="AC137" s="13">
        <v>81.418400000000005</v>
      </c>
      <c r="AD137" s="12">
        <v>1</v>
      </c>
      <c r="AE137" s="12">
        <v>0</v>
      </c>
      <c r="AF137" s="12">
        <v>0</v>
      </c>
      <c r="AG137" s="12">
        <v>1</v>
      </c>
      <c r="AH137" s="12">
        <v>0</v>
      </c>
      <c r="AI137" s="12">
        <v>0</v>
      </c>
      <c r="AJ137" s="10">
        <v>6195308</v>
      </c>
      <c r="AK137" s="10" t="s">
        <v>47</v>
      </c>
      <c r="AL137" s="14" t="s">
        <v>189</v>
      </c>
      <c r="AM137" s="10" t="s">
        <v>49</v>
      </c>
      <c r="AN137" s="15">
        <v>202300058793</v>
      </c>
      <c r="AO137" s="16" t="s">
        <v>190</v>
      </c>
      <c r="AP137" s="17">
        <v>2368.39</v>
      </c>
      <c r="AQ137" s="10" t="s">
        <v>51</v>
      </c>
      <c r="AR137" s="10" t="s">
        <v>195</v>
      </c>
      <c r="AS137" s="12">
        <v>714</v>
      </c>
      <c r="AT137" s="10" t="s">
        <v>53</v>
      </c>
      <c r="AU137" s="10">
        <v>26101100</v>
      </c>
      <c r="AV137" s="10" t="s">
        <v>87</v>
      </c>
      <c r="AW137" s="10" t="s">
        <v>55</v>
      </c>
      <c r="AX137" s="10" t="s">
        <v>56</v>
      </c>
      <c r="AY137" s="10" t="s">
        <v>79</v>
      </c>
      <c r="AZ137" s="10" t="s">
        <v>80</v>
      </c>
      <c r="BG137" t="str">
        <v>Outbound</v>
      </c>
      <c r="BH137" t="str">
        <v>Land</v>
      </c>
      <c r="BI137" t="str">
        <v>FG-R-2194LE26</v>
      </c>
      <c r="BJ137" t="str">
        <v>JOHNSON ELECTRIC NORTH AMERICA, INC.</v>
      </c>
      <c r="BK137" t="str">
        <v xml:space="preserve">(TDS) Transcontinental Distribution Services, Inc 14213 Transportation Ave    </v>
      </c>
      <c r="BL137" t="str">
        <v>M46</v>
      </c>
      <c r="BM137" t="str">
        <v>1651-MYY0060EN</v>
      </c>
      <c r="BN137" s="24">
        <v>600</v>
      </c>
      <c r="BO137" s="23">
        <v>106.65600000000001</v>
      </c>
      <c r="BP137" s="26">
        <f t="shared" si="4"/>
        <v>6.2914002387907762E-3</v>
      </c>
      <c r="BQ137" s="21">
        <f t="shared" si="5"/>
        <v>30.945889582129645</v>
      </c>
    </row>
    <row r="138" spans="2:69" x14ac:dyDescent="0.35">
      <c r="B138" t="s">
        <v>261</v>
      </c>
      <c r="C138" t="s">
        <v>262</v>
      </c>
      <c r="D138" t="str" cm="1">
        <f t="array" ref="D138">_xlfn.REGEXEXTRACT(G138,"FG-R-\d{4}LE\d{2}")</f>
        <v>FG-R-2194LE26</v>
      </c>
      <c r="E138" t="s">
        <v>298</v>
      </c>
      <c r="F138" s="23" cm="1">
        <f t="array" ref="F138">_xlfn.SWITCH(TRUE,T138&gt;0,T138,Z138)</f>
        <v>80</v>
      </c>
      <c r="G138" s="10" t="s">
        <v>193</v>
      </c>
      <c r="H138" s="10" t="s">
        <v>38</v>
      </c>
      <c r="I138" s="10" t="s">
        <v>161</v>
      </c>
      <c r="J138" s="11" t="s">
        <v>162</v>
      </c>
      <c r="K138" s="11" t="s">
        <v>162</v>
      </c>
      <c r="L138" s="10" t="s">
        <v>160</v>
      </c>
      <c r="M138" s="10" t="s">
        <v>163</v>
      </c>
      <c r="N138" s="10" t="s">
        <v>43</v>
      </c>
      <c r="O138" s="10" t="s">
        <v>44</v>
      </c>
      <c r="P138" s="10" t="s">
        <v>45</v>
      </c>
      <c r="Q138" s="10" t="s">
        <v>46</v>
      </c>
      <c r="R138" s="12">
        <v>0</v>
      </c>
      <c r="S138" s="13">
        <v>0</v>
      </c>
      <c r="T138" s="13">
        <v>0</v>
      </c>
      <c r="U138" s="12">
        <v>0</v>
      </c>
      <c r="V138" s="13">
        <v>0</v>
      </c>
      <c r="W138" s="13">
        <v>0</v>
      </c>
      <c r="X138" s="12">
        <v>1</v>
      </c>
      <c r="Y138" s="13">
        <v>55.98</v>
      </c>
      <c r="Z138" s="13">
        <v>80</v>
      </c>
      <c r="AA138" s="12">
        <v>9</v>
      </c>
      <c r="AB138" s="13">
        <v>36</v>
      </c>
      <c r="AC138" s="13">
        <v>55.98</v>
      </c>
      <c r="AD138" s="12">
        <v>1</v>
      </c>
      <c r="AE138" s="12">
        <v>0</v>
      </c>
      <c r="AF138" s="12">
        <v>0</v>
      </c>
      <c r="AG138" s="12">
        <v>0</v>
      </c>
      <c r="AH138" s="12">
        <v>1</v>
      </c>
      <c r="AI138" s="12">
        <v>0</v>
      </c>
      <c r="AJ138" s="10">
        <v>6195375</v>
      </c>
      <c r="AK138" s="10" t="s">
        <v>47</v>
      </c>
      <c r="AL138" s="14" t="s">
        <v>189</v>
      </c>
      <c r="AM138" s="10" t="s">
        <v>49</v>
      </c>
      <c r="AN138" s="15">
        <v>202300058796</v>
      </c>
      <c r="AO138" s="16" t="s">
        <v>190</v>
      </c>
      <c r="AP138" s="17">
        <v>810.5</v>
      </c>
      <c r="AQ138" s="10" t="s">
        <v>51</v>
      </c>
      <c r="AR138" s="10" t="s">
        <v>122</v>
      </c>
      <c r="AS138" s="12">
        <v>400</v>
      </c>
      <c r="AT138" s="10" t="s">
        <v>53</v>
      </c>
      <c r="AU138" s="10">
        <v>26101200</v>
      </c>
      <c r="AV138" s="10" t="s">
        <v>78</v>
      </c>
      <c r="AW138" s="10" t="s">
        <v>55</v>
      </c>
      <c r="AX138" s="10" t="s">
        <v>56</v>
      </c>
      <c r="AY138" s="10" t="s">
        <v>79</v>
      </c>
      <c r="AZ138" s="10" t="s">
        <v>80</v>
      </c>
      <c r="BG138" t="str">
        <v>Outbound</v>
      </c>
      <c r="BH138" t="str">
        <v>Land</v>
      </c>
      <c r="BI138" t="str">
        <v>FG-R-2194LE26</v>
      </c>
      <c r="BJ138" t="str">
        <v>JOHNSON ELECTRIC NORTH AMERICA, INC.</v>
      </c>
      <c r="BK138" t="str">
        <v xml:space="preserve">APX WH  6001 GLOBAL DISTRIBUTION WAY LOUISVILLE, KY 40228    </v>
      </c>
      <c r="BL138" t="str">
        <v>M45</v>
      </c>
      <c r="BM138" t="str">
        <v>1999-1E30015EN</v>
      </c>
      <c r="BN138" s="24">
        <v>1125</v>
      </c>
      <c r="BO138" s="23">
        <v>449.87</v>
      </c>
      <c r="BP138" s="26">
        <f t="shared" ref="BP138:BP201" si="6">BO138/SUMIFS($BO:$BO,$BI:$BI,BI138)</f>
        <v>2.6536830796437202E-2</v>
      </c>
      <c r="BQ138" s="21">
        <f t="shared" ref="BQ138:BQ201" si="7">_xlfn.XLOOKUP(BI138,$BC:$BC,$BE:$BE)*BP138</f>
        <v>130.52830920260146</v>
      </c>
    </row>
    <row r="139" spans="2:69" x14ac:dyDescent="0.35">
      <c r="B139" t="s">
        <v>261</v>
      </c>
      <c r="C139" t="s">
        <v>262</v>
      </c>
      <c r="D139" t="str" cm="1">
        <f t="array" ref="D139">_xlfn.REGEXEXTRACT(G139,"FG-R-\d{4}LE\d{2}")</f>
        <v>FG-R-2194LE26</v>
      </c>
      <c r="E139" t="s">
        <v>298</v>
      </c>
      <c r="F139" s="23" cm="1">
        <f t="array" ref="F139">_xlfn.SWITCH(TRUE,T139&gt;0,T139,Z139)</f>
        <v>106.65600000000001</v>
      </c>
      <c r="G139" s="10" t="s">
        <v>160</v>
      </c>
      <c r="H139" s="10" t="s">
        <v>38</v>
      </c>
      <c r="I139" s="10" t="s">
        <v>161</v>
      </c>
      <c r="J139" s="11" t="s">
        <v>162</v>
      </c>
      <c r="K139" s="11" t="s">
        <v>162</v>
      </c>
      <c r="L139" s="10" t="s">
        <v>160</v>
      </c>
      <c r="M139" s="10" t="s">
        <v>163</v>
      </c>
      <c r="N139" s="10" t="s">
        <v>43</v>
      </c>
      <c r="O139" s="10" t="s">
        <v>44</v>
      </c>
      <c r="P139" s="10" t="s">
        <v>45</v>
      </c>
      <c r="Q139" s="10" t="s">
        <v>46</v>
      </c>
      <c r="R139" s="12">
        <v>1</v>
      </c>
      <c r="S139" s="13">
        <v>94.656000000000006</v>
      </c>
      <c r="T139" s="13">
        <v>106.65600000000001</v>
      </c>
      <c r="U139" s="12">
        <v>32</v>
      </c>
      <c r="V139" s="13">
        <v>58.88</v>
      </c>
      <c r="W139" s="13">
        <v>94.656000000000006</v>
      </c>
      <c r="X139" s="12">
        <v>1</v>
      </c>
      <c r="Y139" s="13">
        <v>16.827999999999999</v>
      </c>
      <c r="Z139" s="13">
        <v>28.827999999999999</v>
      </c>
      <c r="AA139" s="12">
        <v>6</v>
      </c>
      <c r="AB139" s="13">
        <v>10.119999999999999</v>
      </c>
      <c r="AC139" s="13">
        <v>16.827999999999999</v>
      </c>
      <c r="AD139" s="12">
        <v>2</v>
      </c>
      <c r="AE139" s="12">
        <v>0</v>
      </c>
      <c r="AF139" s="12">
        <v>0</v>
      </c>
      <c r="AG139" s="12">
        <v>2</v>
      </c>
      <c r="AH139" s="12">
        <v>0</v>
      </c>
      <c r="AI139" s="12">
        <v>0</v>
      </c>
      <c r="AJ139" s="10">
        <v>6195307</v>
      </c>
      <c r="AK139" s="10" t="s">
        <v>47</v>
      </c>
      <c r="AL139" s="14" t="s">
        <v>189</v>
      </c>
      <c r="AM139" s="10" t="s">
        <v>49</v>
      </c>
      <c r="AN139" s="15">
        <v>202300058792</v>
      </c>
      <c r="AO139" s="16" t="s">
        <v>190</v>
      </c>
      <c r="AP139" s="17">
        <v>6741.24</v>
      </c>
      <c r="AQ139" s="10" t="s">
        <v>51</v>
      </c>
      <c r="AR139" s="10" t="s">
        <v>196</v>
      </c>
      <c r="AS139" s="12">
        <v>600</v>
      </c>
      <c r="AT139" s="10" t="s">
        <v>53</v>
      </c>
      <c r="AU139" s="10">
        <v>26101200</v>
      </c>
      <c r="AV139" s="10" t="s">
        <v>78</v>
      </c>
      <c r="AW139" s="10" t="s">
        <v>55</v>
      </c>
      <c r="AX139" s="10" t="s">
        <v>56</v>
      </c>
      <c r="AY139" s="10" t="s">
        <v>79</v>
      </c>
      <c r="AZ139" s="10" t="s">
        <v>80</v>
      </c>
      <c r="BG139" t="str">
        <v>Outbound</v>
      </c>
      <c r="BH139" t="str">
        <v>Land</v>
      </c>
      <c r="BI139" t="str">
        <v>FG-R-2194LE26</v>
      </c>
      <c r="BJ139" t="str">
        <v>JOHNSON ELECTRIC NORTH AMERICA, INC.</v>
      </c>
      <c r="BK139" t="str">
        <v xml:space="preserve">APX WH  6001 GLOBAL DISTRIBUTION WAY LOUISVILLE, KY 40228    </v>
      </c>
      <c r="BL139" t="str">
        <v>M45</v>
      </c>
      <c r="BM139" t="str">
        <v>1999-1E30015EN</v>
      </c>
      <c r="BN139" s="24">
        <v>1125</v>
      </c>
      <c r="BO139" s="23">
        <v>449.87</v>
      </c>
      <c r="BP139" s="26">
        <f t="shared" si="6"/>
        <v>2.6536830796437202E-2</v>
      </c>
      <c r="BQ139" s="21">
        <f t="shared" si="7"/>
        <v>130.52830920260146</v>
      </c>
    </row>
    <row r="140" spans="2:69" x14ac:dyDescent="0.35">
      <c r="B140" t="s">
        <v>261</v>
      </c>
      <c r="C140" t="s">
        <v>262</v>
      </c>
      <c r="D140" t="str" cm="1">
        <f t="array" ref="D140">_xlfn.REGEXEXTRACT(G140,"FG-R-\d{4}LE\d{2}")</f>
        <v>FG-R-2194LE26</v>
      </c>
      <c r="E140" t="s">
        <v>296</v>
      </c>
      <c r="F140" s="23" cm="1">
        <f t="array" ref="F140">_xlfn.SWITCH(TRUE,T140&gt;0,T140,Z140)</f>
        <v>449.87</v>
      </c>
      <c r="G140" s="10" t="s">
        <v>160</v>
      </c>
      <c r="H140" s="10" t="s">
        <v>38</v>
      </c>
      <c r="I140" s="10" t="s">
        <v>161</v>
      </c>
      <c r="J140" s="11" t="s">
        <v>162</v>
      </c>
      <c r="K140" s="11" t="s">
        <v>162</v>
      </c>
      <c r="L140" s="10" t="s">
        <v>160</v>
      </c>
      <c r="M140" s="10" t="s">
        <v>163</v>
      </c>
      <c r="N140" s="10" t="s">
        <v>43</v>
      </c>
      <c r="O140" s="10" t="s">
        <v>60</v>
      </c>
      <c r="P140" s="10" t="s">
        <v>45</v>
      </c>
      <c r="Q140" s="10" t="s">
        <v>46</v>
      </c>
      <c r="R140" s="12">
        <v>1</v>
      </c>
      <c r="S140" s="13">
        <v>431.37</v>
      </c>
      <c r="T140" s="13">
        <v>449.87</v>
      </c>
      <c r="U140" s="12">
        <v>45</v>
      </c>
      <c r="V140" s="13">
        <v>407.25</v>
      </c>
      <c r="W140" s="13">
        <v>431.37</v>
      </c>
      <c r="X140" s="12">
        <v>0</v>
      </c>
      <c r="Y140" s="13">
        <v>0</v>
      </c>
      <c r="Z140" s="13">
        <v>0</v>
      </c>
      <c r="AA140" s="12">
        <v>0</v>
      </c>
      <c r="AB140" s="13">
        <v>0</v>
      </c>
      <c r="AC140" s="13">
        <v>0</v>
      </c>
      <c r="AD140" s="12">
        <v>1</v>
      </c>
      <c r="AE140" s="12">
        <v>0</v>
      </c>
      <c r="AF140" s="12">
        <v>0</v>
      </c>
      <c r="AG140" s="12">
        <v>1</v>
      </c>
      <c r="AH140" s="12">
        <v>0</v>
      </c>
      <c r="AI140" s="12">
        <v>0</v>
      </c>
      <c r="AJ140" s="10">
        <v>6195255</v>
      </c>
      <c r="AK140" s="10" t="s">
        <v>47</v>
      </c>
      <c r="AL140" s="14" t="s">
        <v>189</v>
      </c>
      <c r="AM140" s="10" t="s">
        <v>49</v>
      </c>
      <c r="AN140" s="15">
        <v>202300058784</v>
      </c>
      <c r="AO140" s="16" t="s">
        <v>190</v>
      </c>
      <c r="AP140" s="17">
        <v>3360.39</v>
      </c>
      <c r="AQ140" s="10" t="s">
        <v>51</v>
      </c>
      <c r="AR140" s="10" t="s">
        <v>159</v>
      </c>
      <c r="AS140" s="12">
        <v>1125</v>
      </c>
      <c r="AT140" s="10" t="s">
        <v>53</v>
      </c>
      <c r="AU140" s="10">
        <v>40151500</v>
      </c>
      <c r="AV140" s="10" t="s">
        <v>62</v>
      </c>
      <c r="AW140" s="10" t="s">
        <v>55</v>
      </c>
      <c r="AX140" s="10" t="s">
        <v>56</v>
      </c>
      <c r="AY140" s="10" t="s">
        <v>63</v>
      </c>
      <c r="AZ140" s="10" t="s">
        <v>64</v>
      </c>
      <c r="BG140" t="str">
        <v>Outbound</v>
      </c>
      <c r="BH140" t="str">
        <v>Land</v>
      </c>
      <c r="BI140" t="str">
        <v>FG-R-2194LE26</v>
      </c>
      <c r="BJ140" t="str">
        <v>JOHNSON ELECTRIC NORTH AMERICA, INC.</v>
      </c>
      <c r="BK140" t="str">
        <v xml:space="preserve">APX WH  6001 GLOBAL DISTRIBUTION WAY LOUISVILLE, KY 40228    </v>
      </c>
      <c r="BL140" t="str">
        <v>M45</v>
      </c>
      <c r="BM140" t="str">
        <v>1999-1E30015EN</v>
      </c>
      <c r="BN140" s="24">
        <v>7875</v>
      </c>
      <c r="BO140" s="23">
        <v>3149.09</v>
      </c>
      <c r="BP140" s="26">
        <f t="shared" si="6"/>
        <v>0.18575781557506044</v>
      </c>
      <c r="BQ140" s="21">
        <f t="shared" si="7"/>
        <v>913.69816441821035</v>
      </c>
    </row>
    <row r="141" spans="2:69" x14ac:dyDescent="0.35">
      <c r="B141" t="s">
        <v>261</v>
      </c>
      <c r="C141" t="s">
        <v>262</v>
      </c>
      <c r="D141" t="str" cm="1">
        <f t="array" ref="D141">_xlfn.REGEXEXTRACT(G141,"FG-R-\d{4}LE\d{2}")</f>
        <v>FG-R-2194LE26</v>
      </c>
      <c r="E141" t="s">
        <v>296</v>
      </c>
      <c r="F141" s="23" cm="1">
        <f t="array" ref="F141">_xlfn.SWITCH(TRUE,T141&gt;0,T141,Z141)</f>
        <v>449.87</v>
      </c>
      <c r="G141" s="10" t="s">
        <v>160</v>
      </c>
      <c r="H141" s="10" t="s">
        <v>38</v>
      </c>
      <c r="I141" s="10" t="s">
        <v>161</v>
      </c>
      <c r="J141" s="11" t="s">
        <v>162</v>
      </c>
      <c r="K141" s="11" t="s">
        <v>162</v>
      </c>
      <c r="L141" s="10" t="s">
        <v>160</v>
      </c>
      <c r="M141" s="10" t="s">
        <v>163</v>
      </c>
      <c r="N141" s="10" t="s">
        <v>43</v>
      </c>
      <c r="O141" s="10" t="s">
        <v>60</v>
      </c>
      <c r="P141" s="10" t="s">
        <v>45</v>
      </c>
      <c r="Q141" s="10" t="s">
        <v>46</v>
      </c>
      <c r="R141" s="12">
        <v>1</v>
      </c>
      <c r="S141" s="13">
        <v>431.37</v>
      </c>
      <c r="T141" s="13">
        <v>449.87</v>
      </c>
      <c r="U141" s="12">
        <v>45</v>
      </c>
      <c r="V141" s="13">
        <v>407.25</v>
      </c>
      <c r="W141" s="13">
        <v>431.37</v>
      </c>
      <c r="X141" s="12">
        <v>0</v>
      </c>
      <c r="Y141" s="13">
        <v>0</v>
      </c>
      <c r="Z141" s="13">
        <v>0</v>
      </c>
      <c r="AA141" s="12">
        <v>0</v>
      </c>
      <c r="AB141" s="13">
        <v>0</v>
      </c>
      <c r="AC141" s="13">
        <v>0</v>
      </c>
      <c r="AD141" s="12">
        <v>1</v>
      </c>
      <c r="AE141" s="12">
        <v>0</v>
      </c>
      <c r="AF141" s="12">
        <v>0</v>
      </c>
      <c r="AG141" s="12">
        <v>1</v>
      </c>
      <c r="AH141" s="12">
        <v>0</v>
      </c>
      <c r="AI141" s="12">
        <v>0</v>
      </c>
      <c r="AJ141" s="10">
        <v>6195256</v>
      </c>
      <c r="AK141" s="10" t="s">
        <v>47</v>
      </c>
      <c r="AL141" s="14" t="s">
        <v>189</v>
      </c>
      <c r="AM141" s="10" t="s">
        <v>49</v>
      </c>
      <c r="AN141" s="15">
        <v>202300058788</v>
      </c>
      <c r="AO141" s="16" t="s">
        <v>190</v>
      </c>
      <c r="AP141" s="17">
        <v>3360.39</v>
      </c>
      <c r="AQ141" s="10" t="s">
        <v>51</v>
      </c>
      <c r="AR141" s="10" t="s">
        <v>159</v>
      </c>
      <c r="AS141" s="12">
        <v>1125</v>
      </c>
      <c r="AT141" s="10" t="s">
        <v>53</v>
      </c>
      <c r="AU141" s="10">
        <v>40151500</v>
      </c>
      <c r="AV141" s="10" t="s">
        <v>62</v>
      </c>
      <c r="AW141" s="10" t="s">
        <v>55</v>
      </c>
      <c r="AX141" s="10" t="s">
        <v>56</v>
      </c>
      <c r="AY141" s="10" t="s">
        <v>63</v>
      </c>
      <c r="AZ141" s="10" t="s">
        <v>64</v>
      </c>
      <c r="BG141" t="str">
        <v>Outbound</v>
      </c>
      <c r="BH141" t="str">
        <v>Land</v>
      </c>
      <c r="BI141" t="str">
        <v>FG-R-2194LE26</v>
      </c>
      <c r="BJ141" t="str">
        <v>JOHNSON ELECTRIC NORTH AMERICA, INC.</v>
      </c>
      <c r="BK141" t="str">
        <v xml:space="preserve">APX WH  6001 GLOBAL DISTRIBUTION WAY LOUISVILLE, KY 40228    </v>
      </c>
      <c r="BL141" t="str">
        <v>M45</v>
      </c>
      <c r="BM141" t="str">
        <v>1999-1E30015EN</v>
      </c>
      <c r="BN141" s="24">
        <v>1125</v>
      </c>
      <c r="BO141" s="23">
        <v>449.87</v>
      </c>
      <c r="BP141" s="26">
        <f t="shared" si="6"/>
        <v>2.6536830796437202E-2</v>
      </c>
      <c r="BQ141" s="21">
        <f t="shared" si="7"/>
        <v>130.52830920260146</v>
      </c>
    </row>
    <row r="142" spans="2:69" x14ac:dyDescent="0.35">
      <c r="B142" t="s">
        <v>261</v>
      </c>
      <c r="C142" t="s">
        <v>262</v>
      </c>
      <c r="D142" t="str" cm="1">
        <f t="array" ref="D142">_xlfn.REGEXEXTRACT(G142,"FG-R-\d{4}LE\d{2}")</f>
        <v>FG-R-2194LE26</v>
      </c>
      <c r="E142" t="s">
        <v>296</v>
      </c>
      <c r="F142" s="23" cm="1">
        <f t="array" ref="F142">_xlfn.SWITCH(TRUE,T142&gt;0,T142,Z142)</f>
        <v>3149.09</v>
      </c>
      <c r="G142" s="10" t="s">
        <v>160</v>
      </c>
      <c r="H142" s="10" t="s">
        <v>38</v>
      </c>
      <c r="I142" s="10" t="s">
        <v>161</v>
      </c>
      <c r="J142" s="11" t="s">
        <v>162</v>
      </c>
      <c r="K142" s="11" t="s">
        <v>162</v>
      </c>
      <c r="L142" s="10" t="s">
        <v>160</v>
      </c>
      <c r="M142" s="10" t="s">
        <v>163</v>
      </c>
      <c r="N142" s="10" t="s">
        <v>43</v>
      </c>
      <c r="O142" s="10" t="s">
        <v>60</v>
      </c>
      <c r="P142" s="10" t="s">
        <v>45</v>
      </c>
      <c r="Q142" s="10" t="s">
        <v>46</v>
      </c>
      <c r="R142" s="12">
        <v>7</v>
      </c>
      <c r="S142" s="13">
        <v>3019.59</v>
      </c>
      <c r="T142" s="13">
        <v>3149.09</v>
      </c>
      <c r="U142" s="12">
        <v>315</v>
      </c>
      <c r="V142" s="13">
        <v>2850.75</v>
      </c>
      <c r="W142" s="13">
        <v>3019.59</v>
      </c>
      <c r="X142" s="12">
        <v>0</v>
      </c>
      <c r="Y142" s="13">
        <v>0</v>
      </c>
      <c r="Z142" s="13">
        <v>0</v>
      </c>
      <c r="AA142" s="12">
        <v>0</v>
      </c>
      <c r="AB142" s="13">
        <v>0</v>
      </c>
      <c r="AC142" s="13">
        <v>0</v>
      </c>
      <c r="AD142" s="12">
        <v>7</v>
      </c>
      <c r="AE142" s="12">
        <v>0</v>
      </c>
      <c r="AF142" s="12">
        <v>0</v>
      </c>
      <c r="AG142" s="12">
        <v>7</v>
      </c>
      <c r="AH142" s="12">
        <v>0</v>
      </c>
      <c r="AI142" s="12">
        <v>0</v>
      </c>
      <c r="AJ142" s="10">
        <v>6195257</v>
      </c>
      <c r="AK142" s="10" t="s">
        <v>47</v>
      </c>
      <c r="AL142" s="14" t="s">
        <v>189</v>
      </c>
      <c r="AM142" s="10" t="s">
        <v>49</v>
      </c>
      <c r="AN142" s="15">
        <v>202300058789</v>
      </c>
      <c r="AO142" s="16" t="s">
        <v>190</v>
      </c>
      <c r="AP142" s="17">
        <v>23522.73</v>
      </c>
      <c r="AQ142" s="10" t="s">
        <v>51</v>
      </c>
      <c r="AR142" s="10" t="s">
        <v>159</v>
      </c>
      <c r="AS142" s="12">
        <v>7875</v>
      </c>
      <c r="AT142" s="10" t="s">
        <v>53</v>
      </c>
      <c r="AU142" s="10">
        <v>40151500</v>
      </c>
      <c r="AV142" s="10" t="s">
        <v>62</v>
      </c>
      <c r="AW142" s="10" t="s">
        <v>55</v>
      </c>
      <c r="AX142" s="10" t="s">
        <v>56</v>
      </c>
      <c r="AY142" s="10" t="s">
        <v>63</v>
      </c>
      <c r="AZ142" s="10" t="s">
        <v>64</v>
      </c>
      <c r="BG142" t="str">
        <v>Outbound</v>
      </c>
      <c r="BH142" t="str">
        <v>Land</v>
      </c>
      <c r="BI142" t="str">
        <v>FG-R-2194LE26</v>
      </c>
      <c r="BJ142" t="str">
        <v>JOHNSON ELECTRIC NORTH AMERICA, INC.</v>
      </c>
      <c r="BK142" t="str">
        <v xml:space="preserve">APX WH  6001 GLOBAL DISTRIBUTION WAY LOUISVILLE, KY 40228    </v>
      </c>
      <c r="BL142" t="str">
        <v>M45</v>
      </c>
      <c r="BM142" t="str">
        <v>1999-1E30015EN</v>
      </c>
      <c r="BN142" s="24">
        <v>5625</v>
      </c>
      <c r="BO142" s="23">
        <v>2249.35</v>
      </c>
      <c r="BP142" s="26">
        <f t="shared" si="6"/>
        <v>0.132684153982186</v>
      </c>
      <c r="BQ142" s="21">
        <f t="shared" si="7"/>
        <v>652.64154601300731</v>
      </c>
    </row>
    <row r="143" spans="2:69" x14ac:dyDescent="0.35">
      <c r="B143" t="s">
        <v>261</v>
      </c>
      <c r="C143" t="s">
        <v>262</v>
      </c>
      <c r="D143" t="str" cm="1">
        <f t="array" ref="D143">_xlfn.REGEXEXTRACT(G143,"FG-R-\d{4}LE\d{2}")</f>
        <v>FG-R-2194LE26</v>
      </c>
      <c r="E143" t="s">
        <v>296</v>
      </c>
      <c r="F143" s="23" cm="1">
        <f t="array" ref="F143">_xlfn.SWITCH(TRUE,T143&gt;0,T143,Z143)</f>
        <v>449.87</v>
      </c>
      <c r="G143" s="10" t="s">
        <v>160</v>
      </c>
      <c r="H143" s="10" t="s">
        <v>38</v>
      </c>
      <c r="I143" s="10" t="s">
        <v>161</v>
      </c>
      <c r="J143" s="11" t="s">
        <v>162</v>
      </c>
      <c r="K143" s="11" t="s">
        <v>162</v>
      </c>
      <c r="L143" s="10" t="s">
        <v>160</v>
      </c>
      <c r="M143" s="10" t="s">
        <v>163</v>
      </c>
      <c r="N143" s="10" t="s">
        <v>43</v>
      </c>
      <c r="O143" s="10" t="s">
        <v>60</v>
      </c>
      <c r="P143" s="10" t="s">
        <v>45</v>
      </c>
      <c r="Q143" s="10" t="s">
        <v>46</v>
      </c>
      <c r="R143" s="12">
        <v>1</v>
      </c>
      <c r="S143" s="13">
        <v>431.37</v>
      </c>
      <c r="T143" s="13">
        <v>449.87</v>
      </c>
      <c r="U143" s="12">
        <v>45</v>
      </c>
      <c r="V143" s="13">
        <v>407.25</v>
      </c>
      <c r="W143" s="13">
        <v>431.37</v>
      </c>
      <c r="X143" s="12">
        <v>0</v>
      </c>
      <c r="Y143" s="13">
        <v>0</v>
      </c>
      <c r="Z143" s="13">
        <v>0</v>
      </c>
      <c r="AA143" s="12">
        <v>0</v>
      </c>
      <c r="AB143" s="13">
        <v>0</v>
      </c>
      <c r="AC143" s="13">
        <v>0</v>
      </c>
      <c r="AD143" s="12">
        <v>1</v>
      </c>
      <c r="AE143" s="12">
        <v>0</v>
      </c>
      <c r="AF143" s="12">
        <v>0</v>
      </c>
      <c r="AG143" s="12">
        <v>1</v>
      </c>
      <c r="AH143" s="12">
        <v>0</v>
      </c>
      <c r="AI143" s="12">
        <v>0</v>
      </c>
      <c r="AJ143" s="10">
        <v>6195258</v>
      </c>
      <c r="AK143" s="10" t="s">
        <v>47</v>
      </c>
      <c r="AL143" s="14" t="s">
        <v>189</v>
      </c>
      <c r="AM143" s="10" t="s">
        <v>49</v>
      </c>
      <c r="AN143" s="15">
        <v>202300058790</v>
      </c>
      <c r="AO143" s="16" t="s">
        <v>190</v>
      </c>
      <c r="AP143" s="17">
        <v>3360.39</v>
      </c>
      <c r="AQ143" s="10" t="s">
        <v>51</v>
      </c>
      <c r="AR143" s="10" t="s">
        <v>159</v>
      </c>
      <c r="AS143" s="12">
        <v>1125</v>
      </c>
      <c r="AT143" s="10" t="s">
        <v>53</v>
      </c>
      <c r="AU143" s="10">
        <v>40151500</v>
      </c>
      <c r="AV143" s="10" t="s">
        <v>62</v>
      </c>
      <c r="AW143" s="10" t="s">
        <v>55</v>
      </c>
      <c r="AX143" s="10" t="s">
        <v>56</v>
      </c>
      <c r="AY143" s="10" t="s">
        <v>63</v>
      </c>
      <c r="AZ143" s="10" t="s">
        <v>64</v>
      </c>
      <c r="BG143" t="str">
        <v>Outbound</v>
      </c>
      <c r="BH143" t="str">
        <v>Land</v>
      </c>
      <c r="BI143" t="str">
        <v>FG-R-2194LE26</v>
      </c>
      <c r="BJ143" t="str">
        <v>JOHNSON ELECTRIC NORTH AMERICA, INC.</v>
      </c>
      <c r="BK143" t="str">
        <v xml:space="preserve">APX WH  6001 GLOBAL DISTRIBUTION WAY LOUISVILLE, KY 40228    </v>
      </c>
      <c r="BL143" t="str">
        <v>M45</v>
      </c>
      <c r="BM143" t="str">
        <v>1999-1E30015EN</v>
      </c>
      <c r="BN143" s="24">
        <v>6750</v>
      </c>
      <c r="BO143" s="23">
        <v>2699.22</v>
      </c>
      <c r="BP143" s="26">
        <f t="shared" si="6"/>
        <v>0.1592209847786232</v>
      </c>
      <c r="BQ143" s="21">
        <f t="shared" si="7"/>
        <v>783.16985521560878</v>
      </c>
    </row>
    <row r="144" spans="2:69" x14ac:dyDescent="0.35">
      <c r="B144" t="s">
        <v>261</v>
      </c>
      <c r="C144" t="s">
        <v>262</v>
      </c>
      <c r="D144" t="str" cm="1">
        <f t="array" ref="D144">_xlfn.REGEXEXTRACT(G144,"FG-R-\d{4}LE\d{2}")</f>
        <v>FG-R-2194LE26</v>
      </c>
      <c r="E144" t="s">
        <v>296</v>
      </c>
      <c r="F144" s="23" cm="1">
        <f t="array" ref="F144">_xlfn.SWITCH(TRUE,T144&gt;0,T144,Z144)</f>
        <v>2249.35</v>
      </c>
      <c r="G144" s="10" t="s">
        <v>160</v>
      </c>
      <c r="H144" s="10" t="s">
        <v>38</v>
      </c>
      <c r="I144" s="10" t="s">
        <v>161</v>
      </c>
      <c r="J144" s="11" t="s">
        <v>162</v>
      </c>
      <c r="K144" s="11" t="s">
        <v>162</v>
      </c>
      <c r="L144" s="10" t="s">
        <v>160</v>
      </c>
      <c r="M144" s="10" t="s">
        <v>163</v>
      </c>
      <c r="N144" s="10" t="s">
        <v>43</v>
      </c>
      <c r="O144" s="10" t="s">
        <v>60</v>
      </c>
      <c r="P144" s="10" t="s">
        <v>45</v>
      </c>
      <c r="Q144" s="10" t="s">
        <v>46</v>
      </c>
      <c r="R144" s="12">
        <v>5</v>
      </c>
      <c r="S144" s="13">
        <v>2156.85</v>
      </c>
      <c r="T144" s="13">
        <v>2249.35</v>
      </c>
      <c r="U144" s="12">
        <v>225</v>
      </c>
      <c r="V144" s="13">
        <v>2036.25</v>
      </c>
      <c r="W144" s="13">
        <v>2156.85</v>
      </c>
      <c r="X144" s="12">
        <v>0</v>
      </c>
      <c r="Y144" s="13">
        <v>0</v>
      </c>
      <c r="Z144" s="13">
        <v>0</v>
      </c>
      <c r="AA144" s="12">
        <v>0</v>
      </c>
      <c r="AB144" s="13">
        <v>0</v>
      </c>
      <c r="AC144" s="13">
        <v>0</v>
      </c>
      <c r="AD144" s="12">
        <v>5</v>
      </c>
      <c r="AE144" s="12">
        <v>0</v>
      </c>
      <c r="AF144" s="12">
        <v>0</v>
      </c>
      <c r="AG144" s="12">
        <v>5</v>
      </c>
      <c r="AH144" s="12">
        <v>0</v>
      </c>
      <c r="AI144" s="12">
        <v>0</v>
      </c>
      <c r="AJ144" s="10">
        <v>6195259</v>
      </c>
      <c r="AK144" s="10" t="s">
        <v>47</v>
      </c>
      <c r="AL144" s="14" t="s">
        <v>189</v>
      </c>
      <c r="AM144" s="10" t="s">
        <v>49</v>
      </c>
      <c r="AN144" s="15">
        <v>202300058785</v>
      </c>
      <c r="AO144" s="16" t="s">
        <v>190</v>
      </c>
      <c r="AP144" s="17">
        <v>16801.95</v>
      </c>
      <c r="AQ144" s="10" t="s">
        <v>51</v>
      </c>
      <c r="AR144" s="10" t="s">
        <v>159</v>
      </c>
      <c r="AS144" s="12">
        <v>5625</v>
      </c>
      <c r="AT144" s="10" t="s">
        <v>53</v>
      </c>
      <c r="AU144" s="10">
        <v>40151500</v>
      </c>
      <c r="AV144" s="10" t="s">
        <v>62</v>
      </c>
      <c r="AW144" s="10" t="s">
        <v>55</v>
      </c>
      <c r="AX144" s="10" t="s">
        <v>56</v>
      </c>
      <c r="AY144" s="10" t="s">
        <v>63</v>
      </c>
      <c r="AZ144" s="10" t="s">
        <v>64</v>
      </c>
      <c r="BG144" t="str">
        <v>Outbound</v>
      </c>
      <c r="BH144" t="str">
        <v>Land</v>
      </c>
      <c r="BI144" t="str">
        <v>FG-R-2194LE26</v>
      </c>
      <c r="BJ144" t="str">
        <v>JOHNSON ELECTRIC NORTH AMERICA, INC.</v>
      </c>
      <c r="BK144" t="str">
        <v xml:space="preserve">APX WH  6001 GLOBAL DISTRIBUTION WAY LOUISVILLE, KY 40228    </v>
      </c>
      <c r="BL144" t="str">
        <v>M45</v>
      </c>
      <c r="BM144" t="str">
        <v>1999-1E30015EN</v>
      </c>
      <c r="BN144" s="24">
        <v>7875</v>
      </c>
      <c r="BO144" s="23">
        <v>3149.09</v>
      </c>
      <c r="BP144" s="26">
        <f t="shared" si="6"/>
        <v>0.18575781557506044</v>
      </c>
      <c r="BQ144" s="21">
        <f t="shared" si="7"/>
        <v>913.69816441821035</v>
      </c>
    </row>
    <row r="145" spans="2:69" x14ac:dyDescent="0.35">
      <c r="B145" t="s">
        <v>261</v>
      </c>
      <c r="C145" t="s">
        <v>262</v>
      </c>
      <c r="D145" t="str" cm="1">
        <f t="array" ref="D145">_xlfn.REGEXEXTRACT(G145,"FG-R-\d{4}LE\d{2}")</f>
        <v>FG-R-2194LE26</v>
      </c>
      <c r="E145" t="s">
        <v>296</v>
      </c>
      <c r="F145" s="23" cm="1">
        <f t="array" ref="F145">_xlfn.SWITCH(TRUE,T145&gt;0,T145,Z145)</f>
        <v>2699.22</v>
      </c>
      <c r="G145" s="10" t="s">
        <v>160</v>
      </c>
      <c r="H145" s="10" t="s">
        <v>38</v>
      </c>
      <c r="I145" s="10" t="s">
        <v>161</v>
      </c>
      <c r="J145" s="11" t="s">
        <v>162</v>
      </c>
      <c r="K145" s="11" t="s">
        <v>162</v>
      </c>
      <c r="L145" s="10" t="s">
        <v>160</v>
      </c>
      <c r="M145" s="10" t="s">
        <v>163</v>
      </c>
      <c r="N145" s="10" t="s">
        <v>43</v>
      </c>
      <c r="O145" s="10" t="s">
        <v>60</v>
      </c>
      <c r="P145" s="10" t="s">
        <v>45</v>
      </c>
      <c r="Q145" s="10" t="s">
        <v>46</v>
      </c>
      <c r="R145" s="12">
        <v>6</v>
      </c>
      <c r="S145" s="13">
        <v>2588.2199999999998</v>
      </c>
      <c r="T145" s="13">
        <v>2699.22</v>
      </c>
      <c r="U145" s="12">
        <v>270</v>
      </c>
      <c r="V145" s="13">
        <v>2443.5</v>
      </c>
      <c r="W145" s="13">
        <v>2588.2199999999998</v>
      </c>
      <c r="X145" s="12">
        <v>0</v>
      </c>
      <c r="Y145" s="13">
        <v>0</v>
      </c>
      <c r="Z145" s="13">
        <v>0</v>
      </c>
      <c r="AA145" s="12">
        <v>0</v>
      </c>
      <c r="AB145" s="13">
        <v>0</v>
      </c>
      <c r="AC145" s="13">
        <v>0</v>
      </c>
      <c r="AD145" s="12">
        <v>6</v>
      </c>
      <c r="AE145" s="12">
        <v>0</v>
      </c>
      <c r="AF145" s="12">
        <v>0</v>
      </c>
      <c r="AG145" s="12">
        <v>6</v>
      </c>
      <c r="AH145" s="12">
        <v>0</v>
      </c>
      <c r="AI145" s="12">
        <v>0</v>
      </c>
      <c r="AJ145" s="10">
        <v>6195260</v>
      </c>
      <c r="AK145" s="10" t="s">
        <v>47</v>
      </c>
      <c r="AL145" s="14" t="s">
        <v>189</v>
      </c>
      <c r="AM145" s="10" t="s">
        <v>49</v>
      </c>
      <c r="AN145" s="15">
        <v>202300058786</v>
      </c>
      <c r="AO145" s="16" t="s">
        <v>190</v>
      </c>
      <c r="AP145" s="17">
        <v>20162.34</v>
      </c>
      <c r="AQ145" s="10" t="s">
        <v>51</v>
      </c>
      <c r="AR145" s="10" t="s">
        <v>159</v>
      </c>
      <c r="AS145" s="12">
        <v>6750</v>
      </c>
      <c r="AT145" s="10" t="s">
        <v>53</v>
      </c>
      <c r="AU145" s="10">
        <v>40151500</v>
      </c>
      <c r="AV145" s="10" t="s">
        <v>62</v>
      </c>
      <c r="AW145" s="10" t="s">
        <v>55</v>
      </c>
      <c r="AX145" s="10" t="s">
        <v>56</v>
      </c>
      <c r="AY145" s="10" t="s">
        <v>63</v>
      </c>
      <c r="AZ145" s="10" t="s">
        <v>64</v>
      </c>
      <c r="BG145" t="str">
        <v>Outbound</v>
      </c>
      <c r="BH145" t="str">
        <v>Land</v>
      </c>
      <c r="BI145" t="str">
        <v>FG-R-2194LE26</v>
      </c>
      <c r="BJ145" t="str">
        <v>JOHNSON ELECTRIC NORTH AMERICA, INC.</v>
      </c>
      <c r="BK145" t="str">
        <v xml:space="preserve">Goggins Warehouse 111 Eaton Drive    </v>
      </c>
      <c r="BL145" t="str">
        <v>M19</v>
      </c>
      <c r="BM145" t="str">
        <v>1999-5YY0847EN</v>
      </c>
      <c r="BN145" s="24">
        <v>864</v>
      </c>
      <c r="BO145" s="23">
        <v>2485.08</v>
      </c>
      <c r="BP145" s="26">
        <f t="shared" si="6"/>
        <v>0.14658934242250019</v>
      </c>
      <c r="BQ145" s="21">
        <f t="shared" si="7"/>
        <v>721.03783455931898</v>
      </c>
    </row>
    <row r="146" spans="2:69" x14ac:dyDescent="0.35">
      <c r="B146" t="s">
        <v>261</v>
      </c>
      <c r="C146" t="s">
        <v>262</v>
      </c>
      <c r="D146" t="str" cm="1">
        <f t="array" ref="D146">_xlfn.REGEXEXTRACT(G146,"FG-R-\d{4}LE\d{2}")</f>
        <v>FG-R-2194LE26</v>
      </c>
      <c r="E146" t="s">
        <v>296</v>
      </c>
      <c r="F146" s="23" cm="1">
        <f t="array" ref="F146">_xlfn.SWITCH(TRUE,T146&gt;0,T146,Z146)</f>
        <v>3149.09</v>
      </c>
      <c r="G146" s="10" t="s">
        <v>160</v>
      </c>
      <c r="H146" s="10" t="s">
        <v>38</v>
      </c>
      <c r="I146" s="10" t="s">
        <v>161</v>
      </c>
      <c r="J146" s="11" t="s">
        <v>162</v>
      </c>
      <c r="K146" s="11" t="s">
        <v>162</v>
      </c>
      <c r="L146" s="10" t="s">
        <v>160</v>
      </c>
      <c r="M146" s="10" t="s">
        <v>163</v>
      </c>
      <c r="N146" s="10" t="s">
        <v>43</v>
      </c>
      <c r="O146" s="10" t="s">
        <v>60</v>
      </c>
      <c r="P146" s="10" t="s">
        <v>45</v>
      </c>
      <c r="Q146" s="10" t="s">
        <v>46</v>
      </c>
      <c r="R146" s="12">
        <v>7</v>
      </c>
      <c r="S146" s="13">
        <v>3019.59</v>
      </c>
      <c r="T146" s="13">
        <v>3149.09</v>
      </c>
      <c r="U146" s="12">
        <v>315</v>
      </c>
      <c r="V146" s="13">
        <v>2850.75</v>
      </c>
      <c r="W146" s="13">
        <v>3019.59</v>
      </c>
      <c r="X146" s="12">
        <v>0</v>
      </c>
      <c r="Y146" s="13">
        <v>0</v>
      </c>
      <c r="Z146" s="13">
        <v>0</v>
      </c>
      <c r="AA146" s="12">
        <v>0</v>
      </c>
      <c r="AB146" s="13">
        <v>0</v>
      </c>
      <c r="AC146" s="13">
        <v>0</v>
      </c>
      <c r="AD146" s="12">
        <v>7</v>
      </c>
      <c r="AE146" s="12">
        <v>0</v>
      </c>
      <c r="AF146" s="12">
        <v>0</v>
      </c>
      <c r="AG146" s="12">
        <v>7</v>
      </c>
      <c r="AH146" s="12">
        <v>0</v>
      </c>
      <c r="AI146" s="12">
        <v>0</v>
      </c>
      <c r="AJ146" s="10">
        <v>6195261</v>
      </c>
      <c r="AK146" s="10" t="s">
        <v>47</v>
      </c>
      <c r="AL146" s="14" t="s">
        <v>189</v>
      </c>
      <c r="AM146" s="10" t="s">
        <v>49</v>
      </c>
      <c r="AN146" s="15">
        <v>202300058791</v>
      </c>
      <c r="AO146" s="16" t="s">
        <v>190</v>
      </c>
      <c r="AP146" s="17">
        <v>23522.73</v>
      </c>
      <c r="AQ146" s="10" t="s">
        <v>51</v>
      </c>
      <c r="AR146" s="10" t="s">
        <v>159</v>
      </c>
      <c r="AS146" s="12">
        <v>7875</v>
      </c>
      <c r="AT146" s="10" t="s">
        <v>53</v>
      </c>
      <c r="AU146" s="10">
        <v>40151500</v>
      </c>
      <c r="AV146" s="10" t="s">
        <v>62</v>
      </c>
      <c r="AW146" s="10" t="s">
        <v>55</v>
      </c>
      <c r="AX146" s="10" t="s">
        <v>56</v>
      </c>
      <c r="AY146" s="10" t="s">
        <v>63</v>
      </c>
      <c r="AZ146" s="10" t="s">
        <v>64</v>
      </c>
      <c r="BG146" t="str">
        <v>Outbound</v>
      </c>
      <c r="BH146" t="str">
        <v>Land</v>
      </c>
      <c r="BI146" t="str">
        <v>FG-R-2195LE26</v>
      </c>
      <c r="BJ146" t="str">
        <v>SAIA-BURGESS AUTOMOTIVE ACTUATORS, LLC</v>
      </c>
      <c r="BK146" t="str">
        <v xml:space="preserve">755 BILL JONES DRIVE      </v>
      </c>
      <c r="BL146" t="str">
        <v>M19</v>
      </c>
      <c r="BM146" t="str">
        <v>1999-5YY1117EN</v>
      </c>
      <c r="BN146" s="24">
        <v>1458</v>
      </c>
      <c r="BO146" s="23">
        <v>4248.558</v>
      </c>
      <c r="BP146" s="26">
        <f t="shared" si="6"/>
        <v>0.11734438788826901</v>
      </c>
      <c r="BQ146" s="21">
        <f t="shared" si="7"/>
        <v>577.18891388968677</v>
      </c>
    </row>
    <row r="147" spans="2:69" x14ac:dyDescent="0.35">
      <c r="B147" t="s">
        <v>261</v>
      </c>
      <c r="C147" t="s">
        <v>262</v>
      </c>
      <c r="D147" t="str" cm="1">
        <f t="array" ref="D147">_xlfn.REGEXEXTRACT(G147,"FG-R-\d{4}LE\d{2}")</f>
        <v>FG-R-2194LE26</v>
      </c>
      <c r="E147" t="s">
        <v>299</v>
      </c>
      <c r="F147" s="23" cm="1">
        <f t="array" ref="F147">_xlfn.SWITCH(TRUE,T147&gt;0,T147,Z147)</f>
        <v>2485.08</v>
      </c>
      <c r="G147" s="10" t="s">
        <v>193</v>
      </c>
      <c r="H147" s="10" t="s">
        <v>38</v>
      </c>
      <c r="I147" s="10" t="s">
        <v>161</v>
      </c>
      <c r="J147" s="11" t="s">
        <v>162</v>
      </c>
      <c r="K147" s="11" t="s">
        <v>162</v>
      </c>
      <c r="L147" s="10" t="s">
        <v>160</v>
      </c>
      <c r="M147" s="10" t="s">
        <v>163</v>
      </c>
      <c r="N147" s="10" t="s">
        <v>43</v>
      </c>
      <c r="O147" s="10" t="s">
        <v>197</v>
      </c>
      <c r="P147" s="10" t="s">
        <v>45</v>
      </c>
      <c r="Q147" s="10" t="s">
        <v>46</v>
      </c>
      <c r="R147" s="12">
        <v>6</v>
      </c>
      <c r="S147" s="13">
        <v>2350.08</v>
      </c>
      <c r="T147" s="13">
        <v>2485.08</v>
      </c>
      <c r="U147" s="12">
        <v>288</v>
      </c>
      <c r="V147" s="13">
        <v>2090.88</v>
      </c>
      <c r="W147" s="13">
        <v>2350.08</v>
      </c>
      <c r="X147" s="12">
        <v>0</v>
      </c>
      <c r="Y147" s="13">
        <v>0</v>
      </c>
      <c r="Z147" s="13">
        <v>0</v>
      </c>
      <c r="AA147" s="12">
        <v>0</v>
      </c>
      <c r="AB147" s="13">
        <v>0</v>
      </c>
      <c r="AC147" s="13">
        <v>0</v>
      </c>
      <c r="AD147" s="12">
        <v>6</v>
      </c>
      <c r="AE147" s="12">
        <v>0</v>
      </c>
      <c r="AF147" s="12">
        <v>0</v>
      </c>
      <c r="AG147" s="12">
        <v>6</v>
      </c>
      <c r="AH147" s="12">
        <v>0</v>
      </c>
      <c r="AI147" s="12">
        <v>0</v>
      </c>
      <c r="AJ147" s="10">
        <v>6195323</v>
      </c>
      <c r="AK147" s="10" t="s">
        <v>47</v>
      </c>
      <c r="AL147" s="14" t="s">
        <v>189</v>
      </c>
      <c r="AM147" s="10" t="s">
        <v>49</v>
      </c>
      <c r="AN147" s="15">
        <v>202300058794</v>
      </c>
      <c r="AO147" s="16" t="s">
        <v>190</v>
      </c>
      <c r="AP147" s="17">
        <v>39510.370000000003</v>
      </c>
      <c r="AQ147" s="10" t="s">
        <v>51</v>
      </c>
      <c r="AR147" s="10" t="s">
        <v>198</v>
      </c>
      <c r="AS147" s="12">
        <v>864</v>
      </c>
      <c r="AT147" s="10" t="s">
        <v>53</v>
      </c>
      <c r="AU147" s="10">
        <v>26101200</v>
      </c>
      <c r="AV147" s="10" t="s">
        <v>78</v>
      </c>
      <c r="AW147" s="10" t="s">
        <v>55</v>
      </c>
      <c r="AX147" s="10" t="s">
        <v>56</v>
      </c>
      <c r="AY147" s="10" t="s">
        <v>102</v>
      </c>
      <c r="AZ147" s="10" t="s">
        <v>103</v>
      </c>
      <c r="BG147" t="str">
        <v>Outbound</v>
      </c>
      <c r="BH147" t="str">
        <v>Land</v>
      </c>
      <c r="BI147" t="str">
        <v>FG-R-2195LE26</v>
      </c>
      <c r="BJ147" t="str">
        <v>SAIA-BURGESS AUTOMOTIVE ACTUATORS, LLC</v>
      </c>
      <c r="BK147" t="str">
        <v xml:space="preserve">755 Bill Jones Drive      </v>
      </c>
      <c r="BL147" t="str">
        <v>M19</v>
      </c>
      <c r="BM147" t="str">
        <v>1999-5YY1255EN</v>
      </c>
      <c r="BN147" s="24">
        <v>1512</v>
      </c>
      <c r="BO147" s="23">
        <v>3279.864</v>
      </c>
      <c r="BP147" s="26">
        <f t="shared" si="6"/>
        <v>9.0589238380826984E-2</v>
      </c>
      <c r="BQ147" s="21">
        <f t="shared" si="7"/>
        <v>445.58674728363917</v>
      </c>
    </row>
    <row r="148" spans="2:69" x14ac:dyDescent="0.35">
      <c r="B148" t="s">
        <v>261</v>
      </c>
      <c r="C148" t="s">
        <v>262</v>
      </c>
      <c r="D148" t="str" cm="1">
        <f t="array" ref="D148">_xlfn.REGEXEXTRACT(G148,"FG-R-\d{4}LE\d{2}")</f>
        <v>FG-R-2199LE26</v>
      </c>
      <c r="E148" t="s">
        <v>299</v>
      </c>
      <c r="F148" s="23" cm="1">
        <f t="array" ref="F148">_xlfn.SWITCH(TRUE,T148&gt;0,T148,Z148)</f>
        <v>2342.7600000000002</v>
      </c>
      <c r="G148" s="10" t="s">
        <v>199</v>
      </c>
      <c r="H148" s="10" t="s">
        <v>38</v>
      </c>
      <c r="I148" s="10" t="s">
        <v>200</v>
      </c>
      <c r="J148" s="11" t="s">
        <v>187</v>
      </c>
      <c r="K148" s="11" t="s">
        <v>187</v>
      </c>
      <c r="L148" s="10" t="s">
        <v>199</v>
      </c>
      <c r="M148" s="10" t="s">
        <v>201</v>
      </c>
      <c r="N148" s="10" t="s">
        <v>93</v>
      </c>
      <c r="O148" s="10" t="s">
        <v>94</v>
      </c>
      <c r="P148" s="10" t="s">
        <v>95</v>
      </c>
      <c r="Q148" s="10" t="s">
        <v>96</v>
      </c>
      <c r="R148" s="12">
        <v>5</v>
      </c>
      <c r="S148" s="13">
        <v>2237.7600000000002</v>
      </c>
      <c r="T148" s="13">
        <v>2342.7600000000002</v>
      </c>
      <c r="U148" s="12">
        <v>270</v>
      </c>
      <c r="V148" s="13">
        <v>2100.6</v>
      </c>
      <c r="W148" s="13">
        <v>2237.7600000000002</v>
      </c>
      <c r="X148" s="12">
        <v>0</v>
      </c>
      <c r="Y148" s="13">
        <v>0</v>
      </c>
      <c r="Z148" s="13">
        <v>0</v>
      </c>
      <c r="AA148" s="12">
        <v>0</v>
      </c>
      <c r="AB148" s="13">
        <v>0</v>
      </c>
      <c r="AC148" s="13">
        <v>0</v>
      </c>
      <c r="AD148" s="12">
        <v>5</v>
      </c>
      <c r="AE148" s="12">
        <v>0</v>
      </c>
      <c r="AF148" s="12">
        <v>0</v>
      </c>
      <c r="AG148" s="12">
        <v>5</v>
      </c>
      <c r="AH148" s="12">
        <v>0</v>
      </c>
      <c r="AI148" s="12">
        <v>0</v>
      </c>
      <c r="AJ148" s="10">
        <v>6201060</v>
      </c>
      <c r="AK148" s="10" t="s">
        <v>47</v>
      </c>
      <c r="AL148" s="14" t="s">
        <v>202</v>
      </c>
      <c r="AM148" s="10" t="s">
        <v>97</v>
      </c>
      <c r="AN148" s="15">
        <v>202000290349</v>
      </c>
      <c r="AO148" s="16" t="s">
        <v>203</v>
      </c>
      <c r="AP148" s="17">
        <v>40942.720000000001</v>
      </c>
      <c r="AQ148" s="10" t="s">
        <v>51</v>
      </c>
      <c r="AR148" s="10" t="s">
        <v>98</v>
      </c>
      <c r="AS148" s="12">
        <v>1080</v>
      </c>
      <c r="AT148" s="10" t="s">
        <v>53</v>
      </c>
      <c r="AU148" s="10">
        <v>26101200</v>
      </c>
      <c r="AV148" s="10" t="s">
        <v>78</v>
      </c>
      <c r="AW148" s="10" t="s">
        <v>55</v>
      </c>
      <c r="AX148" s="10" t="s">
        <v>56</v>
      </c>
      <c r="AY148" s="10" t="s">
        <v>99</v>
      </c>
      <c r="AZ148" s="10" t="s">
        <v>100</v>
      </c>
      <c r="BG148" t="str">
        <v>Outbound</v>
      </c>
      <c r="BH148" t="str">
        <v>Land</v>
      </c>
      <c r="BI148" t="str">
        <v>FG-R-2195LE26</v>
      </c>
      <c r="BJ148" t="str">
        <v>SAIA-BURGESS AUTOMOTIVE ACTUATORS, LLC</v>
      </c>
      <c r="BK148" t="str">
        <v xml:space="preserve">755 Bill Jones Drive      </v>
      </c>
      <c r="BL148" t="str">
        <v>M19</v>
      </c>
      <c r="BM148" t="str">
        <v>1999-5YY1255EN</v>
      </c>
      <c r="BN148" s="24">
        <v>1512</v>
      </c>
      <c r="BO148" s="23">
        <v>3279.864</v>
      </c>
      <c r="BP148" s="26">
        <f t="shared" si="6"/>
        <v>9.0589238380826984E-2</v>
      </c>
      <c r="BQ148" s="21">
        <f t="shared" si="7"/>
        <v>445.58674728363917</v>
      </c>
    </row>
    <row r="149" spans="2:69" x14ac:dyDescent="0.35">
      <c r="B149" t="s">
        <v>261</v>
      </c>
      <c r="C149" t="s">
        <v>262</v>
      </c>
      <c r="D149" t="str" cm="1">
        <f t="array" ref="D149">_xlfn.REGEXEXTRACT(G149,"FG-R-\d{4}LE\d{2}")</f>
        <v>FG-R-2199LE26</v>
      </c>
      <c r="E149" t="s">
        <v>299</v>
      </c>
      <c r="F149" s="23" cm="1">
        <f t="array" ref="F149">_xlfn.SWITCH(TRUE,T149&gt;0,T149,Z149)</f>
        <v>4532.8680000000004</v>
      </c>
      <c r="G149" s="10" t="s">
        <v>199</v>
      </c>
      <c r="H149" s="10" t="s">
        <v>38</v>
      </c>
      <c r="I149" s="10" t="s">
        <v>200</v>
      </c>
      <c r="J149" s="11" t="s">
        <v>187</v>
      </c>
      <c r="K149" s="11" t="s">
        <v>187</v>
      </c>
      <c r="L149" s="10" t="s">
        <v>199</v>
      </c>
      <c r="M149" s="10" t="s">
        <v>201</v>
      </c>
      <c r="N149" s="10" t="s">
        <v>93</v>
      </c>
      <c r="O149" s="10" t="s">
        <v>94</v>
      </c>
      <c r="P149" s="10" t="s">
        <v>95</v>
      </c>
      <c r="Q149" s="10" t="s">
        <v>96</v>
      </c>
      <c r="R149" s="12">
        <v>9</v>
      </c>
      <c r="S149" s="13">
        <v>4343.8680000000004</v>
      </c>
      <c r="T149" s="13">
        <v>4532.8680000000004</v>
      </c>
      <c r="U149" s="12">
        <v>486</v>
      </c>
      <c r="V149" s="13">
        <v>4096.9799999999996</v>
      </c>
      <c r="W149" s="13">
        <v>4343.8680000000004</v>
      </c>
      <c r="X149" s="12">
        <v>0</v>
      </c>
      <c r="Y149" s="13">
        <v>0</v>
      </c>
      <c r="Z149" s="13">
        <v>0</v>
      </c>
      <c r="AA149" s="12">
        <v>0</v>
      </c>
      <c r="AB149" s="13">
        <v>0</v>
      </c>
      <c r="AC149" s="13">
        <v>0</v>
      </c>
      <c r="AD149" s="12">
        <v>9</v>
      </c>
      <c r="AE149" s="12">
        <v>0</v>
      </c>
      <c r="AF149" s="12">
        <v>0</v>
      </c>
      <c r="AG149" s="12">
        <v>9</v>
      </c>
      <c r="AH149" s="12">
        <v>0</v>
      </c>
      <c r="AI149" s="12">
        <v>0</v>
      </c>
      <c r="AJ149" s="10">
        <v>6201063</v>
      </c>
      <c r="AK149" s="10" t="s">
        <v>47</v>
      </c>
      <c r="AL149" s="14" t="s">
        <v>202</v>
      </c>
      <c r="AM149" s="10" t="s">
        <v>97</v>
      </c>
      <c r="AN149" s="15">
        <v>202000290354</v>
      </c>
      <c r="AO149" s="16" t="s">
        <v>203</v>
      </c>
      <c r="AP149" s="17">
        <v>51936.11</v>
      </c>
      <c r="AQ149" s="10" t="s">
        <v>51</v>
      </c>
      <c r="AR149" s="10" t="s">
        <v>119</v>
      </c>
      <c r="AS149" s="12">
        <v>1458</v>
      </c>
      <c r="AT149" s="10" t="s">
        <v>53</v>
      </c>
      <c r="AU149" s="10">
        <v>26101200</v>
      </c>
      <c r="AV149" s="10" t="s">
        <v>78</v>
      </c>
      <c r="AW149" s="10" t="s">
        <v>55</v>
      </c>
      <c r="AX149" s="10" t="s">
        <v>56</v>
      </c>
      <c r="AY149" s="10" t="s">
        <v>102</v>
      </c>
      <c r="AZ149" s="10" t="s">
        <v>103</v>
      </c>
      <c r="BG149" t="str">
        <v>Outbound</v>
      </c>
      <c r="BH149" t="str">
        <v>Land</v>
      </c>
      <c r="BI149" t="str">
        <v>FG-R-2195LE26</v>
      </c>
      <c r="BJ149" t="str">
        <v>SAIA-BURGESS AUTOMOTIVE ACTUATORS, LLC</v>
      </c>
      <c r="BK149" t="str">
        <v xml:space="preserve">755 Bill Jones Drive      </v>
      </c>
      <c r="BL149" t="str">
        <v>M19</v>
      </c>
      <c r="BM149" t="str">
        <v>1999-5YY1445EN</v>
      </c>
      <c r="BN149" s="24">
        <v>648</v>
      </c>
      <c r="BO149" s="23">
        <v>1425.7439999999999</v>
      </c>
      <c r="BP149" s="26">
        <f t="shared" si="6"/>
        <v>3.9378786158826645E-2</v>
      </c>
      <c r="BQ149" s="21">
        <f t="shared" si="7"/>
        <v>193.69480911987964</v>
      </c>
    </row>
    <row r="150" spans="2:69" x14ac:dyDescent="0.35">
      <c r="B150" t="s">
        <v>261</v>
      </c>
      <c r="C150" t="s">
        <v>262</v>
      </c>
      <c r="D150" t="str" cm="1">
        <f t="array" ref="D150">_xlfn.REGEXEXTRACT(G150,"FG-R-\d{4}LE\d{2}")</f>
        <v>FG-R-2199LE26</v>
      </c>
      <c r="E150" t="s">
        <v>299</v>
      </c>
      <c r="F150" s="23" cm="1">
        <f t="array" ref="F150">_xlfn.SWITCH(TRUE,T150&gt;0,T150,Z150)</f>
        <v>4532.8680000000004</v>
      </c>
      <c r="G150" s="10" t="s">
        <v>199</v>
      </c>
      <c r="H150" s="10" t="s">
        <v>38</v>
      </c>
      <c r="I150" s="10" t="s">
        <v>200</v>
      </c>
      <c r="J150" s="11" t="s">
        <v>187</v>
      </c>
      <c r="K150" s="11" t="s">
        <v>187</v>
      </c>
      <c r="L150" s="10" t="s">
        <v>199</v>
      </c>
      <c r="M150" s="10" t="s">
        <v>201</v>
      </c>
      <c r="N150" s="10" t="s">
        <v>93</v>
      </c>
      <c r="O150" s="10" t="s">
        <v>94</v>
      </c>
      <c r="P150" s="10" t="s">
        <v>95</v>
      </c>
      <c r="Q150" s="10" t="s">
        <v>96</v>
      </c>
      <c r="R150" s="12">
        <v>9</v>
      </c>
      <c r="S150" s="13">
        <v>4343.8680000000004</v>
      </c>
      <c r="T150" s="13">
        <v>4532.8680000000004</v>
      </c>
      <c r="U150" s="12">
        <v>486</v>
      </c>
      <c r="V150" s="13">
        <v>4096.9799999999996</v>
      </c>
      <c r="W150" s="13">
        <v>4343.8680000000004</v>
      </c>
      <c r="X150" s="12">
        <v>0</v>
      </c>
      <c r="Y150" s="13">
        <v>0</v>
      </c>
      <c r="Z150" s="13">
        <v>0</v>
      </c>
      <c r="AA150" s="12">
        <v>0</v>
      </c>
      <c r="AB150" s="13">
        <v>0</v>
      </c>
      <c r="AC150" s="13">
        <v>0</v>
      </c>
      <c r="AD150" s="12">
        <v>9</v>
      </c>
      <c r="AE150" s="12">
        <v>0</v>
      </c>
      <c r="AF150" s="12">
        <v>0</v>
      </c>
      <c r="AG150" s="12">
        <v>9</v>
      </c>
      <c r="AH150" s="12">
        <v>0</v>
      </c>
      <c r="AI150" s="12">
        <v>0</v>
      </c>
      <c r="AJ150" s="10">
        <v>6201063</v>
      </c>
      <c r="AK150" s="10" t="s">
        <v>47</v>
      </c>
      <c r="AL150" s="14" t="s">
        <v>202</v>
      </c>
      <c r="AM150" s="10" t="s">
        <v>97</v>
      </c>
      <c r="AN150" s="15">
        <v>202000290355</v>
      </c>
      <c r="AO150" s="16" t="s">
        <v>203</v>
      </c>
      <c r="AP150" s="17">
        <v>28449.08</v>
      </c>
      <c r="AQ150" s="10" t="s">
        <v>51</v>
      </c>
      <c r="AR150" s="10" t="s">
        <v>119</v>
      </c>
      <c r="AS150" s="12">
        <v>1458</v>
      </c>
      <c r="AT150" s="10" t="s">
        <v>53</v>
      </c>
      <c r="AU150" s="10">
        <v>26101200</v>
      </c>
      <c r="AV150" s="10" t="s">
        <v>78</v>
      </c>
      <c r="AW150" s="10" t="s">
        <v>55</v>
      </c>
      <c r="AX150" s="10" t="s">
        <v>56</v>
      </c>
      <c r="AY150" s="10" t="s">
        <v>102</v>
      </c>
      <c r="AZ150" s="10" t="s">
        <v>103</v>
      </c>
      <c r="BG150" t="str">
        <v>Outbound</v>
      </c>
      <c r="BH150" t="str">
        <v>Land</v>
      </c>
      <c r="BI150" t="str">
        <v>FG-R-2195LE26</v>
      </c>
      <c r="BJ150" t="str">
        <v>SAIA-BURGESS AUTOMOTIVE ACTUATORS, LLC</v>
      </c>
      <c r="BK150" t="str">
        <v xml:space="preserve">755 Bill Jones Drive      </v>
      </c>
      <c r="BL150" t="str">
        <v>M19</v>
      </c>
      <c r="BM150" t="str">
        <v>1999-5YY1256EN</v>
      </c>
      <c r="BN150" s="24">
        <v>432</v>
      </c>
      <c r="BO150" s="23">
        <v>937.10400000000004</v>
      </c>
      <c r="BP150" s="26">
        <f t="shared" si="6"/>
        <v>2.588263953737914E-2</v>
      </c>
      <c r="BQ150" s="21">
        <f t="shared" si="7"/>
        <v>127.31049922389691</v>
      </c>
    </row>
    <row r="151" spans="2:69" x14ac:dyDescent="0.35">
      <c r="B151" t="s">
        <v>261</v>
      </c>
      <c r="C151" t="s">
        <v>262</v>
      </c>
      <c r="D151" t="str" cm="1">
        <f t="array" ref="D151">_xlfn.REGEXEXTRACT(G151,"FG-R-\d{4}LE\d{2}")</f>
        <v>FG-R-2199LE26</v>
      </c>
      <c r="E151" t="s">
        <v>299</v>
      </c>
      <c r="F151" s="23" cm="1">
        <f t="array" ref="F151">_xlfn.SWITCH(TRUE,T151&gt;0,T151,Z151)</f>
        <v>2073.2399999999998</v>
      </c>
      <c r="G151" s="10" t="s">
        <v>199</v>
      </c>
      <c r="H151" s="10" t="s">
        <v>38</v>
      </c>
      <c r="I151" s="10" t="s">
        <v>200</v>
      </c>
      <c r="J151" s="11" t="s">
        <v>187</v>
      </c>
      <c r="K151" s="11" t="s">
        <v>187</v>
      </c>
      <c r="L151" s="10" t="s">
        <v>199</v>
      </c>
      <c r="M151" s="10" t="s">
        <v>201</v>
      </c>
      <c r="N151" s="10" t="s">
        <v>93</v>
      </c>
      <c r="O151" s="10" t="s">
        <v>94</v>
      </c>
      <c r="P151" s="10" t="s">
        <v>95</v>
      </c>
      <c r="Q151" s="10" t="s">
        <v>96</v>
      </c>
      <c r="R151" s="12">
        <v>5</v>
      </c>
      <c r="S151" s="13">
        <v>1914.24</v>
      </c>
      <c r="T151" s="13">
        <v>2073.2399999999998</v>
      </c>
      <c r="U151" s="12">
        <v>320</v>
      </c>
      <c r="V151" s="13">
        <v>1804.8</v>
      </c>
      <c r="W151" s="13">
        <v>1914.24</v>
      </c>
      <c r="X151" s="12">
        <v>0</v>
      </c>
      <c r="Y151" s="13">
        <v>0</v>
      </c>
      <c r="Z151" s="13">
        <v>0</v>
      </c>
      <c r="AA151" s="12">
        <v>0</v>
      </c>
      <c r="AB151" s="13">
        <v>0</v>
      </c>
      <c r="AC151" s="13">
        <v>0</v>
      </c>
      <c r="AD151" s="12">
        <v>5</v>
      </c>
      <c r="AE151" s="12">
        <v>0</v>
      </c>
      <c r="AF151" s="12">
        <v>0</v>
      </c>
      <c r="AG151" s="12">
        <v>5</v>
      </c>
      <c r="AH151" s="12">
        <v>0</v>
      </c>
      <c r="AI151" s="12">
        <v>0</v>
      </c>
      <c r="AJ151" s="10">
        <v>6201057</v>
      </c>
      <c r="AK151" s="10" t="s">
        <v>47</v>
      </c>
      <c r="AL151" s="14" t="s">
        <v>202</v>
      </c>
      <c r="AM151" s="10" t="s">
        <v>97</v>
      </c>
      <c r="AN151" s="15">
        <v>202000290344</v>
      </c>
      <c r="AO151" s="16" t="s">
        <v>203</v>
      </c>
      <c r="AP151" s="17">
        <v>25882.45</v>
      </c>
      <c r="AQ151" s="10" t="s">
        <v>51</v>
      </c>
      <c r="AR151" s="10" t="s">
        <v>101</v>
      </c>
      <c r="AS151" s="12">
        <v>1600</v>
      </c>
      <c r="AT151" s="10" t="s">
        <v>53</v>
      </c>
      <c r="AU151" s="10">
        <v>26101200</v>
      </c>
      <c r="AV151" s="10" t="s">
        <v>78</v>
      </c>
      <c r="AW151" s="10" t="s">
        <v>55</v>
      </c>
      <c r="AX151" s="10" t="s">
        <v>56</v>
      </c>
      <c r="AY151" s="10" t="s">
        <v>102</v>
      </c>
      <c r="AZ151" s="10" t="s">
        <v>103</v>
      </c>
      <c r="BG151" t="str">
        <v>Outbound</v>
      </c>
      <c r="BH151" t="str">
        <v>Land</v>
      </c>
      <c r="BI151" t="str">
        <v>FG-R-2195LE26</v>
      </c>
      <c r="BJ151" t="str">
        <v>SAIA-BURGESS AUTOMOTIVE ACTUATORS, LLC</v>
      </c>
      <c r="BK151" t="str">
        <v xml:space="preserve">755 Bill Jones Drive      </v>
      </c>
      <c r="BL151" t="str">
        <v>M19</v>
      </c>
      <c r="BM151" t="str">
        <v>1999-5YY2043EN</v>
      </c>
      <c r="BN151" s="24">
        <v>2430</v>
      </c>
      <c r="BO151" s="23">
        <v>6991.02</v>
      </c>
      <c r="BP151" s="26">
        <f t="shared" si="6"/>
        <v>0.19309068220667966</v>
      </c>
      <c r="BQ151" s="21">
        <f t="shared" si="7"/>
        <v>949.76677752335695</v>
      </c>
    </row>
    <row r="152" spans="2:69" x14ac:dyDescent="0.35">
      <c r="B152" t="s">
        <v>261</v>
      </c>
      <c r="C152" t="s">
        <v>262</v>
      </c>
      <c r="D152" t="str" cm="1">
        <f t="array" ref="D152">_xlfn.REGEXEXTRACT(G152,"FG-R-\d{4}LE\d{2}")</f>
        <v>FG-R-2199LE26</v>
      </c>
      <c r="E152" t="s">
        <v>299</v>
      </c>
      <c r="F152" s="23" cm="1">
        <f t="array" ref="F152">_xlfn.SWITCH(TRUE,T152&gt;0,T152,Z152)</f>
        <v>2811.3119999999999</v>
      </c>
      <c r="G152" s="10" t="s">
        <v>199</v>
      </c>
      <c r="H152" s="10" t="s">
        <v>38</v>
      </c>
      <c r="I152" s="10" t="s">
        <v>200</v>
      </c>
      <c r="J152" s="11" t="s">
        <v>187</v>
      </c>
      <c r="K152" s="11" t="s">
        <v>187</v>
      </c>
      <c r="L152" s="10" t="s">
        <v>199</v>
      </c>
      <c r="M152" s="10" t="s">
        <v>201</v>
      </c>
      <c r="N152" s="10" t="s">
        <v>93</v>
      </c>
      <c r="O152" s="10" t="s">
        <v>94</v>
      </c>
      <c r="P152" s="10" t="s">
        <v>95</v>
      </c>
      <c r="Q152" s="10" t="s">
        <v>96</v>
      </c>
      <c r="R152" s="12">
        <v>6</v>
      </c>
      <c r="S152" s="13">
        <v>2685.3119999999999</v>
      </c>
      <c r="T152" s="13">
        <v>2811.3119999999999</v>
      </c>
      <c r="U152" s="12">
        <v>324</v>
      </c>
      <c r="V152" s="13">
        <v>2520.7199999999998</v>
      </c>
      <c r="W152" s="13">
        <v>2685.3119999999999</v>
      </c>
      <c r="X152" s="12">
        <v>0</v>
      </c>
      <c r="Y152" s="13">
        <v>0</v>
      </c>
      <c r="Z152" s="13">
        <v>0</v>
      </c>
      <c r="AA152" s="12">
        <v>0</v>
      </c>
      <c r="AB152" s="13">
        <v>0</v>
      </c>
      <c r="AC152" s="13">
        <v>0</v>
      </c>
      <c r="AD152" s="12">
        <v>6</v>
      </c>
      <c r="AE152" s="12">
        <v>0</v>
      </c>
      <c r="AF152" s="12">
        <v>0</v>
      </c>
      <c r="AG152" s="12">
        <v>6</v>
      </c>
      <c r="AH152" s="12">
        <v>0</v>
      </c>
      <c r="AI152" s="12">
        <v>0</v>
      </c>
      <c r="AJ152" s="10">
        <v>6201061</v>
      </c>
      <c r="AK152" s="10" t="s">
        <v>47</v>
      </c>
      <c r="AL152" s="14" t="s">
        <v>202</v>
      </c>
      <c r="AM152" s="10" t="s">
        <v>97</v>
      </c>
      <c r="AN152" s="15">
        <v>202000290350</v>
      </c>
      <c r="AO152" s="16" t="s">
        <v>203</v>
      </c>
      <c r="AP152" s="17">
        <v>35862.58</v>
      </c>
      <c r="AQ152" s="10" t="s">
        <v>51</v>
      </c>
      <c r="AR152" s="10" t="s">
        <v>104</v>
      </c>
      <c r="AS152" s="12">
        <v>1296</v>
      </c>
      <c r="AT152" s="10" t="s">
        <v>53</v>
      </c>
      <c r="AU152" s="10">
        <v>26101200</v>
      </c>
      <c r="AV152" s="10" t="s">
        <v>78</v>
      </c>
      <c r="AW152" s="10" t="s">
        <v>55</v>
      </c>
      <c r="AX152" s="10" t="s">
        <v>56</v>
      </c>
      <c r="AY152" s="10" t="s">
        <v>99</v>
      </c>
      <c r="AZ152" s="10" t="s">
        <v>100</v>
      </c>
      <c r="BG152" t="str">
        <v>Outbound</v>
      </c>
      <c r="BH152" t="str">
        <v>Land</v>
      </c>
      <c r="BI152" t="str">
        <v>FG-R-2195LE26</v>
      </c>
      <c r="BJ152" t="str">
        <v>SAIA-BURGESS AUTOMOTIVE ACTUATORS, LLC</v>
      </c>
      <c r="BK152" t="str">
        <v xml:space="preserve">755 Bill Jones Drive      </v>
      </c>
      <c r="BL152" t="str">
        <v>M19</v>
      </c>
      <c r="BM152" t="str">
        <v>1999-5YY2043EN</v>
      </c>
      <c r="BN152" s="24">
        <v>2430</v>
      </c>
      <c r="BO152" s="23">
        <v>6991.02</v>
      </c>
      <c r="BP152" s="26">
        <f t="shared" si="6"/>
        <v>0.19309068220667966</v>
      </c>
      <c r="BQ152" s="21">
        <f t="shared" si="7"/>
        <v>949.76677752335695</v>
      </c>
    </row>
    <row r="153" spans="2:69" x14ac:dyDescent="0.35">
      <c r="B153" t="s">
        <v>261</v>
      </c>
      <c r="C153" t="s">
        <v>262</v>
      </c>
      <c r="D153" t="str" cm="1">
        <f t="array" ref="D153">_xlfn.REGEXEXTRACT(G153,"FG-R-\d{4}LE\d{2}")</f>
        <v>FG-R-2199LE26</v>
      </c>
      <c r="E153" t="s">
        <v>299</v>
      </c>
      <c r="F153" s="23" cm="1">
        <f t="array" ref="F153">_xlfn.SWITCH(TRUE,T153&gt;0,T153,Z153)</f>
        <v>2811.3119999999999</v>
      </c>
      <c r="G153" s="10" t="s">
        <v>199</v>
      </c>
      <c r="H153" s="10" t="s">
        <v>38</v>
      </c>
      <c r="I153" s="10" t="s">
        <v>200</v>
      </c>
      <c r="J153" s="11" t="s">
        <v>187</v>
      </c>
      <c r="K153" s="11" t="s">
        <v>187</v>
      </c>
      <c r="L153" s="10" t="s">
        <v>199</v>
      </c>
      <c r="M153" s="10" t="s">
        <v>201</v>
      </c>
      <c r="N153" s="10" t="s">
        <v>93</v>
      </c>
      <c r="O153" s="10" t="s">
        <v>94</v>
      </c>
      <c r="P153" s="10" t="s">
        <v>95</v>
      </c>
      <c r="Q153" s="10" t="s">
        <v>96</v>
      </c>
      <c r="R153" s="12">
        <v>6</v>
      </c>
      <c r="S153" s="13">
        <v>2685.3119999999999</v>
      </c>
      <c r="T153" s="13">
        <v>2811.3119999999999</v>
      </c>
      <c r="U153" s="12">
        <v>324</v>
      </c>
      <c r="V153" s="13">
        <v>2520.7199999999998</v>
      </c>
      <c r="W153" s="13">
        <v>2685.3119999999999</v>
      </c>
      <c r="X153" s="12">
        <v>0</v>
      </c>
      <c r="Y153" s="13">
        <v>0</v>
      </c>
      <c r="Z153" s="13">
        <v>0</v>
      </c>
      <c r="AA153" s="12">
        <v>0</v>
      </c>
      <c r="AB153" s="13">
        <v>0</v>
      </c>
      <c r="AC153" s="13">
        <v>0</v>
      </c>
      <c r="AD153" s="12">
        <v>6</v>
      </c>
      <c r="AE153" s="12">
        <v>0</v>
      </c>
      <c r="AF153" s="12">
        <v>0</v>
      </c>
      <c r="AG153" s="12">
        <v>6</v>
      </c>
      <c r="AH153" s="12">
        <v>0</v>
      </c>
      <c r="AI153" s="12">
        <v>0</v>
      </c>
      <c r="AJ153" s="10">
        <v>6201061</v>
      </c>
      <c r="AK153" s="10" t="s">
        <v>47</v>
      </c>
      <c r="AL153" s="14" t="s">
        <v>202</v>
      </c>
      <c r="AM153" s="10" t="s">
        <v>97</v>
      </c>
      <c r="AN153" s="15">
        <v>202000290351</v>
      </c>
      <c r="AO153" s="16" t="s">
        <v>203</v>
      </c>
      <c r="AP153" s="17">
        <v>4150.76</v>
      </c>
      <c r="AQ153" s="10" t="s">
        <v>51</v>
      </c>
      <c r="AR153" s="10" t="s">
        <v>104</v>
      </c>
      <c r="AS153" s="12">
        <v>1296</v>
      </c>
      <c r="AT153" s="10" t="s">
        <v>53</v>
      </c>
      <c r="AU153" s="10">
        <v>26101200</v>
      </c>
      <c r="AV153" s="10" t="s">
        <v>78</v>
      </c>
      <c r="AW153" s="10" t="s">
        <v>55</v>
      </c>
      <c r="AX153" s="10" t="s">
        <v>56</v>
      </c>
      <c r="AY153" s="10" t="s">
        <v>99</v>
      </c>
      <c r="AZ153" s="10" t="s">
        <v>100</v>
      </c>
      <c r="BG153" t="str">
        <v>Outbound</v>
      </c>
      <c r="BH153" t="str">
        <v>Land</v>
      </c>
      <c r="BI153" t="str">
        <v>FG-R-2195LE26</v>
      </c>
      <c r="BJ153" t="str">
        <v>SAIA-BURGESS AUTOMOTIVE ACTUATORS, LLC</v>
      </c>
      <c r="BK153" t="str">
        <v xml:space="preserve">755 Bill Jones Drive      </v>
      </c>
      <c r="BL153" t="str">
        <v>M19</v>
      </c>
      <c r="BM153" t="str">
        <v>1999-5YY2043EN</v>
      </c>
      <c r="BN153" s="24">
        <v>2430</v>
      </c>
      <c r="BO153" s="23">
        <v>6991.02</v>
      </c>
      <c r="BP153" s="26">
        <f t="shared" si="6"/>
        <v>0.19309068220667966</v>
      </c>
      <c r="BQ153" s="21">
        <f t="shared" si="7"/>
        <v>949.76677752335695</v>
      </c>
    </row>
    <row r="154" spans="2:69" x14ac:dyDescent="0.35">
      <c r="B154" t="s">
        <v>261</v>
      </c>
      <c r="C154" t="s">
        <v>262</v>
      </c>
      <c r="D154" t="str" cm="1">
        <f t="array" ref="D154">_xlfn.REGEXEXTRACT(G154,"FG-R-\d{4}LE\d{2}")</f>
        <v>FG-R-2199LE26</v>
      </c>
      <c r="E154" t="s">
        <v>299</v>
      </c>
      <c r="F154" s="23" cm="1">
        <f t="array" ref="F154">_xlfn.SWITCH(TRUE,T154&gt;0,T154,Z154)</f>
        <v>2811.3119999999999</v>
      </c>
      <c r="G154" s="10" t="s">
        <v>199</v>
      </c>
      <c r="H154" s="10" t="s">
        <v>38</v>
      </c>
      <c r="I154" s="10" t="s">
        <v>200</v>
      </c>
      <c r="J154" s="11" t="s">
        <v>187</v>
      </c>
      <c r="K154" s="11" t="s">
        <v>187</v>
      </c>
      <c r="L154" s="10" t="s">
        <v>199</v>
      </c>
      <c r="M154" s="10" t="s">
        <v>201</v>
      </c>
      <c r="N154" s="10" t="s">
        <v>93</v>
      </c>
      <c r="O154" s="10" t="s">
        <v>94</v>
      </c>
      <c r="P154" s="10" t="s">
        <v>95</v>
      </c>
      <c r="Q154" s="10" t="s">
        <v>96</v>
      </c>
      <c r="R154" s="12">
        <v>6</v>
      </c>
      <c r="S154" s="13">
        <v>2685.3119999999999</v>
      </c>
      <c r="T154" s="13">
        <v>2811.3119999999999</v>
      </c>
      <c r="U154" s="12">
        <v>324</v>
      </c>
      <c r="V154" s="13">
        <v>2520.7199999999998</v>
      </c>
      <c r="W154" s="13">
        <v>2685.3119999999999</v>
      </c>
      <c r="X154" s="12">
        <v>0</v>
      </c>
      <c r="Y154" s="13">
        <v>0</v>
      </c>
      <c r="Z154" s="13">
        <v>0</v>
      </c>
      <c r="AA154" s="12">
        <v>0</v>
      </c>
      <c r="AB154" s="13">
        <v>0</v>
      </c>
      <c r="AC154" s="13">
        <v>0</v>
      </c>
      <c r="AD154" s="12">
        <v>6</v>
      </c>
      <c r="AE154" s="12">
        <v>0</v>
      </c>
      <c r="AF154" s="12">
        <v>0</v>
      </c>
      <c r="AG154" s="12">
        <v>6</v>
      </c>
      <c r="AH154" s="12">
        <v>0</v>
      </c>
      <c r="AI154" s="12">
        <v>0</v>
      </c>
      <c r="AJ154" s="10">
        <v>6201061</v>
      </c>
      <c r="AK154" s="10" t="s">
        <v>47</v>
      </c>
      <c r="AL154" s="14" t="s">
        <v>202</v>
      </c>
      <c r="AM154" s="10" t="s">
        <v>97</v>
      </c>
      <c r="AN154" s="15">
        <v>202000290352</v>
      </c>
      <c r="AO154" s="16" t="s">
        <v>203</v>
      </c>
      <c r="AP154" s="17">
        <v>13780.53</v>
      </c>
      <c r="AQ154" s="10" t="s">
        <v>51</v>
      </c>
      <c r="AR154" s="10" t="s">
        <v>104</v>
      </c>
      <c r="AS154" s="12">
        <v>1296</v>
      </c>
      <c r="AT154" s="10" t="s">
        <v>53</v>
      </c>
      <c r="AU154" s="10">
        <v>26101200</v>
      </c>
      <c r="AV154" s="10" t="s">
        <v>78</v>
      </c>
      <c r="AW154" s="10" t="s">
        <v>55</v>
      </c>
      <c r="AX154" s="10" t="s">
        <v>56</v>
      </c>
      <c r="AY154" s="10" t="s">
        <v>99</v>
      </c>
      <c r="AZ154" s="10" t="s">
        <v>100</v>
      </c>
      <c r="BG154" t="str">
        <v>Outbound</v>
      </c>
      <c r="BH154" t="str">
        <v>Land</v>
      </c>
      <c r="BI154" t="str">
        <v>FG-R-2195LE26</v>
      </c>
      <c r="BJ154" t="str">
        <v>SAIA-BURGESS AUTOMOTIVE ACTUATORS, LLC</v>
      </c>
      <c r="BK154" t="str">
        <v xml:space="preserve">755 Bill Jones Drive      </v>
      </c>
      <c r="BL154" t="str">
        <v>M19</v>
      </c>
      <c r="BM154" t="str">
        <v>1999-5YY1171EN</v>
      </c>
      <c r="BN154" s="24">
        <v>432</v>
      </c>
      <c r="BO154" s="23">
        <v>1030.848</v>
      </c>
      <c r="BP154" s="26">
        <f t="shared" si="6"/>
        <v>2.8471831516916169E-2</v>
      </c>
      <c r="BQ154" s="21">
        <f t="shared" si="7"/>
        <v>140.04611388272346</v>
      </c>
    </row>
    <row r="155" spans="2:69" x14ac:dyDescent="0.35">
      <c r="B155" t="s">
        <v>261</v>
      </c>
      <c r="C155" t="s">
        <v>262</v>
      </c>
      <c r="D155" t="str" cm="1">
        <f t="array" ref="D155">_xlfn.REGEXEXTRACT(G155,"FG-R-\d{4}LE\d{2}")</f>
        <v>FG-R-2199LE26</v>
      </c>
      <c r="E155" t="s">
        <v>299</v>
      </c>
      <c r="F155" s="23" cm="1">
        <f t="array" ref="F155">_xlfn.SWITCH(TRUE,T155&gt;0,T155,Z155)</f>
        <v>2796.4079999999999</v>
      </c>
      <c r="G155" s="10" t="s">
        <v>199</v>
      </c>
      <c r="H155" s="10" t="s">
        <v>38</v>
      </c>
      <c r="I155" s="10" t="s">
        <v>200</v>
      </c>
      <c r="J155" s="11" t="s">
        <v>187</v>
      </c>
      <c r="K155" s="11" t="s">
        <v>187</v>
      </c>
      <c r="L155" s="10" t="s">
        <v>199</v>
      </c>
      <c r="M155" s="10" t="s">
        <v>201</v>
      </c>
      <c r="N155" s="10" t="s">
        <v>93</v>
      </c>
      <c r="O155" s="10" t="s">
        <v>94</v>
      </c>
      <c r="P155" s="10" t="s">
        <v>95</v>
      </c>
      <c r="Q155" s="10" t="s">
        <v>96</v>
      </c>
      <c r="R155" s="12">
        <v>6</v>
      </c>
      <c r="S155" s="13">
        <v>2670.4079999999999</v>
      </c>
      <c r="T155" s="13">
        <v>2796.4079999999999</v>
      </c>
      <c r="U155" s="12">
        <v>324</v>
      </c>
      <c r="V155" s="13">
        <v>2505.8159999999998</v>
      </c>
      <c r="W155" s="13">
        <v>2670.4079999999999</v>
      </c>
      <c r="X155" s="12">
        <v>0</v>
      </c>
      <c r="Y155" s="13">
        <v>0</v>
      </c>
      <c r="Z155" s="13">
        <v>0</v>
      </c>
      <c r="AA155" s="12">
        <v>0</v>
      </c>
      <c r="AB155" s="13">
        <v>0</v>
      </c>
      <c r="AC155" s="13">
        <v>0</v>
      </c>
      <c r="AD155" s="12">
        <v>6</v>
      </c>
      <c r="AE155" s="12">
        <v>0</v>
      </c>
      <c r="AF155" s="12">
        <v>0</v>
      </c>
      <c r="AG155" s="12">
        <v>6</v>
      </c>
      <c r="AH155" s="12">
        <v>0</v>
      </c>
      <c r="AI155" s="12">
        <v>0</v>
      </c>
      <c r="AJ155" s="10">
        <v>6201062</v>
      </c>
      <c r="AK155" s="10" t="s">
        <v>47</v>
      </c>
      <c r="AL155" s="14" t="s">
        <v>202</v>
      </c>
      <c r="AM155" s="10" t="s">
        <v>97</v>
      </c>
      <c r="AN155" s="15">
        <v>202000290353</v>
      </c>
      <c r="AO155" s="16" t="s">
        <v>203</v>
      </c>
      <c r="AP155" s="17">
        <v>52243.91</v>
      </c>
      <c r="AQ155" s="10" t="s">
        <v>51</v>
      </c>
      <c r="AR155" s="10" t="s">
        <v>105</v>
      </c>
      <c r="AS155" s="12">
        <v>972</v>
      </c>
      <c r="AT155" s="10" t="s">
        <v>53</v>
      </c>
      <c r="AU155" s="10">
        <v>26101200</v>
      </c>
      <c r="AV155" s="10" t="s">
        <v>78</v>
      </c>
      <c r="AW155" s="10" t="s">
        <v>55</v>
      </c>
      <c r="AX155" s="10" t="s">
        <v>56</v>
      </c>
      <c r="AY155" s="10" t="s">
        <v>102</v>
      </c>
      <c r="AZ155" s="10" t="s">
        <v>103</v>
      </c>
      <c r="BG155" t="str">
        <v>Outbound</v>
      </c>
      <c r="BH155" t="str">
        <v>Land</v>
      </c>
      <c r="BI155" t="str">
        <v>FG-R-2195LE26</v>
      </c>
      <c r="BJ155" t="str">
        <v>SAIA-BURGESS AUTOMOTIVE ACTUATORS, LLC</v>
      </c>
      <c r="BK155" t="str">
        <v xml:space="preserve">755 Bill Jones Drive      </v>
      </c>
      <c r="BL155" t="str">
        <v>M19</v>
      </c>
      <c r="BM155" t="str">
        <v>1999-5YY1171EN</v>
      </c>
      <c r="BN155" s="24">
        <v>432</v>
      </c>
      <c r="BO155" s="23">
        <v>1030.848</v>
      </c>
      <c r="BP155" s="26">
        <f t="shared" si="6"/>
        <v>2.8471831516916169E-2</v>
      </c>
      <c r="BQ155" s="21">
        <f t="shared" si="7"/>
        <v>140.04611388272346</v>
      </c>
    </row>
    <row r="156" spans="2:69" x14ac:dyDescent="0.35">
      <c r="B156" t="s">
        <v>261</v>
      </c>
      <c r="C156" t="s">
        <v>262</v>
      </c>
      <c r="D156" t="str" cm="1">
        <f t="array" ref="D156">_xlfn.REGEXEXTRACT(G156,"FG-R-\d{4}LE\d{2}")</f>
        <v>FG-R-2199LE26</v>
      </c>
      <c r="E156" t="s">
        <v>299</v>
      </c>
      <c r="F156" s="23" cm="1">
        <f t="array" ref="F156">_xlfn.SWITCH(TRUE,T156&gt;0,T156,Z156)</f>
        <v>515.42399999999998</v>
      </c>
      <c r="G156" s="10" t="s">
        <v>199</v>
      </c>
      <c r="H156" s="10" t="s">
        <v>38</v>
      </c>
      <c r="I156" s="10" t="s">
        <v>200</v>
      </c>
      <c r="J156" s="11" t="s">
        <v>187</v>
      </c>
      <c r="K156" s="11" t="s">
        <v>187</v>
      </c>
      <c r="L156" s="10" t="s">
        <v>199</v>
      </c>
      <c r="M156" s="10" t="s">
        <v>201</v>
      </c>
      <c r="N156" s="10" t="s">
        <v>93</v>
      </c>
      <c r="O156" s="10" t="s">
        <v>94</v>
      </c>
      <c r="P156" s="10" t="s">
        <v>95</v>
      </c>
      <c r="Q156" s="10" t="s">
        <v>96</v>
      </c>
      <c r="R156" s="12">
        <v>1</v>
      </c>
      <c r="S156" s="13">
        <v>494.42399999999998</v>
      </c>
      <c r="T156" s="13">
        <v>515.42399999999998</v>
      </c>
      <c r="U156" s="12">
        <v>54</v>
      </c>
      <c r="V156" s="13">
        <v>466.99200000000002</v>
      </c>
      <c r="W156" s="13">
        <v>494.42399999999998</v>
      </c>
      <c r="X156" s="12">
        <v>0</v>
      </c>
      <c r="Y156" s="13">
        <v>0</v>
      </c>
      <c r="Z156" s="13">
        <v>0</v>
      </c>
      <c r="AA156" s="12">
        <v>0</v>
      </c>
      <c r="AB156" s="13">
        <v>0</v>
      </c>
      <c r="AC156" s="13">
        <v>0</v>
      </c>
      <c r="AD156" s="12">
        <v>1</v>
      </c>
      <c r="AE156" s="12">
        <v>0</v>
      </c>
      <c r="AF156" s="12">
        <v>0</v>
      </c>
      <c r="AG156" s="12">
        <v>1</v>
      </c>
      <c r="AH156" s="12">
        <v>0</v>
      </c>
      <c r="AI156" s="12">
        <v>0</v>
      </c>
      <c r="AJ156" s="10">
        <v>6201059</v>
      </c>
      <c r="AK156" s="10" t="s">
        <v>47</v>
      </c>
      <c r="AL156" s="14" t="s">
        <v>202</v>
      </c>
      <c r="AM156" s="10" t="s">
        <v>97</v>
      </c>
      <c r="AN156" s="15">
        <v>202000290348</v>
      </c>
      <c r="AO156" s="16" t="s">
        <v>203</v>
      </c>
      <c r="AP156" s="17">
        <v>9183.69</v>
      </c>
      <c r="AQ156" s="10" t="s">
        <v>51</v>
      </c>
      <c r="AR156" s="10" t="s">
        <v>144</v>
      </c>
      <c r="AS156" s="12">
        <v>216</v>
      </c>
      <c r="AT156" s="10" t="s">
        <v>53</v>
      </c>
      <c r="AU156" s="10">
        <v>26101200</v>
      </c>
      <c r="AV156" s="10" t="s">
        <v>78</v>
      </c>
      <c r="AW156" s="10" t="s">
        <v>55</v>
      </c>
      <c r="AX156" s="10" t="s">
        <v>56</v>
      </c>
      <c r="AY156" s="10" t="s">
        <v>99</v>
      </c>
      <c r="AZ156" s="10" t="s">
        <v>100</v>
      </c>
      <c r="BG156" t="str">
        <v>Outbound</v>
      </c>
      <c r="BH156" t="str">
        <v>Land</v>
      </c>
      <c r="BI156" t="str">
        <v>FG-R-2197LE26</v>
      </c>
      <c r="BJ156" t="str">
        <v>JOHNSON ELECTRIC NORTH AMERICA, INC.</v>
      </c>
      <c r="BK156" t="str">
        <v xml:space="preserve">Memphis Distribution Services 3893 Crowfarn    </v>
      </c>
      <c r="BL156" t="str">
        <v>M01</v>
      </c>
      <c r="BM156" t="str">
        <v>1999-1WP0052AN</v>
      </c>
      <c r="BN156" s="24">
        <v>2000</v>
      </c>
      <c r="BO156" s="23">
        <v>580.67999999999995</v>
      </c>
      <c r="BP156" s="26">
        <f t="shared" si="6"/>
        <v>5.9575125569135419E-2</v>
      </c>
      <c r="BQ156" s="21">
        <f t="shared" si="7"/>
        <v>293.03576115486794</v>
      </c>
    </row>
    <row r="157" spans="2:69" x14ac:dyDescent="0.35">
      <c r="B157" t="s">
        <v>261</v>
      </c>
      <c r="C157" t="s">
        <v>262</v>
      </c>
      <c r="D157" t="str" cm="1">
        <f t="array" ref="D157">_xlfn.REGEXEXTRACT(G157,"FG-R-\d{4}LE\d{2}")</f>
        <v>FG-R-2199LE26</v>
      </c>
      <c r="E157" t="s">
        <v>299</v>
      </c>
      <c r="F157" s="23" cm="1">
        <f t="array" ref="F157">_xlfn.SWITCH(TRUE,T157&gt;0,T157,Z157)</f>
        <v>950.49599999999998</v>
      </c>
      <c r="G157" s="10" t="s">
        <v>199</v>
      </c>
      <c r="H157" s="10" t="s">
        <v>38</v>
      </c>
      <c r="I157" s="10" t="s">
        <v>200</v>
      </c>
      <c r="J157" s="11" t="s">
        <v>187</v>
      </c>
      <c r="K157" s="11" t="s">
        <v>187</v>
      </c>
      <c r="L157" s="10" t="s">
        <v>199</v>
      </c>
      <c r="M157" s="10" t="s">
        <v>201</v>
      </c>
      <c r="N157" s="10" t="s">
        <v>93</v>
      </c>
      <c r="O157" s="10" t="s">
        <v>94</v>
      </c>
      <c r="P157" s="10" t="s">
        <v>95</v>
      </c>
      <c r="Q157" s="10" t="s">
        <v>96</v>
      </c>
      <c r="R157" s="12">
        <v>2</v>
      </c>
      <c r="S157" s="13">
        <v>908.49599999999998</v>
      </c>
      <c r="T157" s="13">
        <v>950.49599999999998</v>
      </c>
      <c r="U157" s="12">
        <v>108</v>
      </c>
      <c r="V157" s="13">
        <v>853.63199999999995</v>
      </c>
      <c r="W157" s="13">
        <v>908.49599999999998</v>
      </c>
      <c r="X157" s="12">
        <v>0</v>
      </c>
      <c r="Y157" s="13">
        <v>0</v>
      </c>
      <c r="Z157" s="13">
        <v>0</v>
      </c>
      <c r="AA157" s="12">
        <v>0</v>
      </c>
      <c r="AB157" s="13">
        <v>0</v>
      </c>
      <c r="AC157" s="13">
        <v>0</v>
      </c>
      <c r="AD157" s="12">
        <v>2</v>
      </c>
      <c r="AE157" s="12">
        <v>0</v>
      </c>
      <c r="AF157" s="12">
        <v>0</v>
      </c>
      <c r="AG157" s="12">
        <v>2</v>
      </c>
      <c r="AH157" s="12">
        <v>0</v>
      </c>
      <c r="AI157" s="12">
        <v>0</v>
      </c>
      <c r="AJ157" s="10">
        <v>6201058</v>
      </c>
      <c r="AK157" s="10" t="s">
        <v>47</v>
      </c>
      <c r="AL157" s="14" t="s">
        <v>202</v>
      </c>
      <c r="AM157" s="10" t="s">
        <v>97</v>
      </c>
      <c r="AN157" s="15">
        <v>202000290347</v>
      </c>
      <c r="AO157" s="16" t="s">
        <v>203</v>
      </c>
      <c r="AP157" s="17">
        <v>17373.96</v>
      </c>
      <c r="AQ157" s="10" t="s">
        <v>51</v>
      </c>
      <c r="AR157" s="10" t="s">
        <v>145</v>
      </c>
      <c r="AS157" s="12">
        <v>432</v>
      </c>
      <c r="AT157" s="10" t="s">
        <v>53</v>
      </c>
      <c r="AU157" s="10">
        <v>26101200</v>
      </c>
      <c r="AV157" s="10" t="s">
        <v>78</v>
      </c>
      <c r="AW157" s="10" t="s">
        <v>55</v>
      </c>
      <c r="AX157" s="10" t="s">
        <v>56</v>
      </c>
      <c r="AY157" s="10" t="s">
        <v>99</v>
      </c>
      <c r="AZ157" s="10" t="s">
        <v>100</v>
      </c>
      <c r="BG157" t="str">
        <v>Outbound</v>
      </c>
      <c r="BH157" t="str">
        <v>Land</v>
      </c>
      <c r="BI157" t="str">
        <v>FG-R-2197LE26</v>
      </c>
      <c r="BJ157" t="str">
        <v>JOHNSON ELECTRIC NORTH AMERICA, INC.</v>
      </c>
      <c r="BK157" t="str">
        <v xml:space="preserve">Memphis Distribution Services 3893 Crowfarn    </v>
      </c>
      <c r="BL157" t="str">
        <v>M01</v>
      </c>
      <c r="BM157" t="str">
        <v>1999-1WP0063AN</v>
      </c>
      <c r="BN157" s="24">
        <v>6000</v>
      </c>
      <c r="BO157" s="23">
        <v>1742.04</v>
      </c>
      <c r="BP157" s="26">
        <f t="shared" si="6"/>
        <v>0.17872537670740629</v>
      </c>
      <c r="BQ157" s="21">
        <f t="shared" si="7"/>
        <v>879.10728346460405</v>
      </c>
    </row>
    <row r="158" spans="2:69" x14ac:dyDescent="0.35">
      <c r="B158" t="s">
        <v>261</v>
      </c>
      <c r="C158" t="s">
        <v>262</v>
      </c>
      <c r="D158" t="str" cm="1">
        <f t="array" ref="D158">_xlfn.REGEXEXTRACT(G158,"FG-R-\d{4}LE\d{2}")</f>
        <v>FG-R-2198LE26</v>
      </c>
      <c r="E158" t="s">
        <v>298</v>
      </c>
      <c r="F158" s="23" cm="1">
        <f t="array" ref="F158">_xlfn.SWITCH(TRUE,T158&gt;0,T158,Z158)</f>
        <v>99.647999999999996</v>
      </c>
      <c r="G158" s="10" t="s">
        <v>185</v>
      </c>
      <c r="H158" s="10" t="s">
        <v>38</v>
      </c>
      <c r="I158" s="10" t="s">
        <v>186</v>
      </c>
      <c r="J158" s="11" t="s">
        <v>187</v>
      </c>
      <c r="K158" s="11" t="s">
        <v>187</v>
      </c>
      <c r="L158" s="10" t="s">
        <v>185</v>
      </c>
      <c r="M158" s="10" t="s">
        <v>188</v>
      </c>
      <c r="N158" s="10" t="s">
        <v>43</v>
      </c>
      <c r="O158" s="10" t="s">
        <v>44</v>
      </c>
      <c r="P158" s="10" t="s">
        <v>45</v>
      </c>
      <c r="Q158" s="10" t="s">
        <v>46</v>
      </c>
      <c r="R158" s="12">
        <v>0</v>
      </c>
      <c r="S158" s="13">
        <v>0</v>
      </c>
      <c r="T158" s="13">
        <v>0</v>
      </c>
      <c r="U158" s="12">
        <v>0</v>
      </c>
      <c r="V158" s="13">
        <v>0</v>
      </c>
      <c r="W158" s="13">
        <v>0</v>
      </c>
      <c r="X158" s="12">
        <v>1</v>
      </c>
      <c r="Y158" s="13">
        <v>78.647999999999996</v>
      </c>
      <c r="Z158" s="13">
        <v>99.647999999999996</v>
      </c>
      <c r="AA158" s="12">
        <v>10</v>
      </c>
      <c r="AB158" s="13">
        <v>63.648000000000003</v>
      </c>
      <c r="AC158" s="13">
        <v>78.647999999999996</v>
      </c>
      <c r="AD158" s="12">
        <v>1</v>
      </c>
      <c r="AE158" s="12">
        <v>0</v>
      </c>
      <c r="AF158" s="12">
        <v>0</v>
      </c>
      <c r="AG158" s="12">
        <v>1</v>
      </c>
      <c r="AH158" s="12">
        <v>0</v>
      </c>
      <c r="AI158" s="12">
        <v>0</v>
      </c>
      <c r="AJ158" s="10">
        <v>6200097</v>
      </c>
      <c r="AK158" s="10" t="s">
        <v>47</v>
      </c>
      <c r="AL158" s="14" t="s">
        <v>202</v>
      </c>
      <c r="AM158" s="10" t="s">
        <v>49</v>
      </c>
      <c r="AN158" s="15">
        <v>202300058849</v>
      </c>
      <c r="AO158" s="16" t="s">
        <v>204</v>
      </c>
      <c r="AP158" s="17">
        <v>3357.13</v>
      </c>
      <c r="AQ158" s="10" t="s">
        <v>51</v>
      </c>
      <c r="AR158" s="10" t="s">
        <v>205</v>
      </c>
      <c r="AS158" s="12">
        <v>480</v>
      </c>
      <c r="AT158" s="10" t="s">
        <v>53</v>
      </c>
      <c r="AU158" s="10">
        <v>26101100</v>
      </c>
      <c r="AV158" s="10" t="s">
        <v>87</v>
      </c>
      <c r="AW158" s="10" t="s">
        <v>55</v>
      </c>
      <c r="AX158" s="10" t="s">
        <v>56</v>
      </c>
      <c r="AY158" s="10" t="s">
        <v>79</v>
      </c>
      <c r="AZ158" s="10" t="s">
        <v>80</v>
      </c>
      <c r="BG158" t="str">
        <v>Outbound</v>
      </c>
      <c r="BH158" t="str">
        <v>Land</v>
      </c>
      <c r="BI158" t="str">
        <v>FG-R-2197LE26</v>
      </c>
      <c r="BJ158" t="str">
        <v>JOHNSON ELECTRIC NORTH AMERICA, INC.</v>
      </c>
      <c r="BK158" t="str">
        <v xml:space="preserve">Memphis Distribution Services 3893 Crowfarn    </v>
      </c>
      <c r="BL158" t="str">
        <v>M01</v>
      </c>
      <c r="BM158" t="str">
        <v>1999-1WP0045AN</v>
      </c>
      <c r="BN158" s="24">
        <v>14400</v>
      </c>
      <c r="BO158" s="23">
        <v>1651.4480000000001</v>
      </c>
      <c r="BP158" s="26">
        <f t="shared" si="6"/>
        <v>0.1694310497535606</v>
      </c>
      <c r="BQ158" s="21">
        <f t="shared" si="7"/>
        <v>833.39071724131099</v>
      </c>
    </row>
    <row r="159" spans="2:69" x14ac:dyDescent="0.35">
      <c r="B159" t="s">
        <v>261</v>
      </c>
      <c r="C159" t="s">
        <v>262</v>
      </c>
      <c r="D159" t="str" cm="1">
        <f t="array" ref="D159">_xlfn.REGEXEXTRACT(G159,"FG-R-\d{4}LE\d{2}")</f>
        <v>FG-R-2198LE26</v>
      </c>
      <c r="E159" t="s">
        <v>296</v>
      </c>
      <c r="F159" s="23" cm="1">
        <f t="array" ref="F159">_xlfn.SWITCH(TRUE,T159&gt;0,T159,Z159)</f>
        <v>449.87</v>
      </c>
      <c r="G159" s="10" t="s">
        <v>185</v>
      </c>
      <c r="H159" s="10" t="s">
        <v>38</v>
      </c>
      <c r="I159" s="10" t="s">
        <v>186</v>
      </c>
      <c r="J159" s="11" t="s">
        <v>187</v>
      </c>
      <c r="K159" s="11" t="s">
        <v>187</v>
      </c>
      <c r="L159" s="10" t="s">
        <v>185</v>
      </c>
      <c r="M159" s="10" t="s">
        <v>188</v>
      </c>
      <c r="N159" s="10" t="s">
        <v>43</v>
      </c>
      <c r="O159" s="10" t="s">
        <v>60</v>
      </c>
      <c r="P159" s="10" t="s">
        <v>45</v>
      </c>
      <c r="Q159" s="10" t="s">
        <v>46</v>
      </c>
      <c r="R159" s="12">
        <v>1</v>
      </c>
      <c r="S159" s="13">
        <v>431.37</v>
      </c>
      <c r="T159" s="13">
        <v>449.87</v>
      </c>
      <c r="U159" s="12">
        <v>45</v>
      </c>
      <c r="V159" s="13">
        <v>407.25</v>
      </c>
      <c r="W159" s="13">
        <v>431.37</v>
      </c>
      <c r="X159" s="12">
        <v>0</v>
      </c>
      <c r="Y159" s="13">
        <v>0</v>
      </c>
      <c r="Z159" s="13">
        <v>0</v>
      </c>
      <c r="AA159" s="12">
        <v>0</v>
      </c>
      <c r="AB159" s="13">
        <v>0</v>
      </c>
      <c r="AC159" s="13">
        <v>0</v>
      </c>
      <c r="AD159" s="12">
        <v>1</v>
      </c>
      <c r="AE159" s="12">
        <v>0</v>
      </c>
      <c r="AF159" s="12">
        <v>0</v>
      </c>
      <c r="AG159" s="12">
        <v>1</v>
      </c>
      <c r="AH159" s="12">
        <v>0</v>
      </c>
      <c r="AI159" s="12">
        <v>0</v>
      </c>
      <c r="AJ159" s="10">
        <v>6200100</v>
      </c>
      <c r="AK159" s="10" t="s">
        <v>47</v>
      </c>
      <c r="AL159" s="14" t="s">
        <v>202</v>
      </c>
      <c r="AM159" s="10" t="s">
        <v>49</v>
      </c>
      <c r="AN159" s="15">
        <v>202300058848</v>
      </c>
      <c r="AO159" s="16" t="s">
        <v>204</v>
      </c>
      <c r="AP159" s="17">
        <v>3360.39</v>
      </c>
      <c r="AQ159" s="10" t="s">
        <v>51</v>
      </c>
      <c r="AR159" s="10" t="s">
        <v>159</v>
      </c>
      <c r="AS159" s="12">
        <v>1125</v>
      </c>
      <c r="AT159" s="10" t="s">
        <v>53</v>
      </c>
      <c r="AU159" s="10">
        <v>40151500</v>
      </c>
      <c r="AV159" s="10" t="s">
        <v>62</v>
      </c>
      <c r="AW159" s="10" t="s">
        <v>55</v>
      </c>
      <c r="AX159" s="10" t="s">
        <v>56</v>
      </c>
      <c r="AY159" s="10" t="s">
        <v>63</v>
      </c>
      <c r="AZ159" s="10" t="s">
        <v>64</v>
      </c>
      <c r="BG159" t="str">
        <v>Outbound</v>
      </c>
      <c r="BH159" t="str">
        <v>Land</v>
      </c>
      <c r="BI159" t="str">
        <v>FG-R-2197LE26</v>
      </c>
      <c r="BJ159" t="str">
        <v>JOHNSON ELECTRIC NORTH AMERICA, INC.</v>
      </c>
      <c r="BK159" t="str">
        <v xml:space="preserve">Memphis Distribution Services 3893 Crowfarn    </v>
      </c>
      <c r="BL159" t="str">
        <v>M01</v>
      </c>
      <c r="BM159" t="str">
        <v>1916-1010002EP/MX</v>
      </c>
      <c r="BN159" s="24">
        <v>5760</v>
      </c>
      <c r="BO159" s="23">
        <v>439.84</v>
      </c>
      <c r="BP159" s="26">
        <f t="shared" si="6"/>
        <v>4.5125582472839647E-2</v>
      </c>
      <c r="BQ159" s="21">
        <f t="shared" si="7"/>
        <v>221.96192255003984</v>
      </c>
    </row>
    <row r="160" spans="2:69" x14ac:dyDescent="0.35">
      <c r="B160" t="s">
        <v>261</v>
      </c>
      <c r="C160" t="s">
        <v>262</v>
      </c>
      <c r="D160" t="str" cm="1">
        <f t="array" ref="D160">_xlfn.REGEXEXTRACT(G160,"FG-R-\d{4}LE\d{2}")</f>
        <v>FG-R-2198LE26</v>
      </c>
      <c r="E160" t="s">
        <v>296</v>
      </c>
      <c r="F160" s="23" cm="1">
        <f t="array" ref="F160">_xlfn.SWITCH(TRUE,T160&gt;0,T160,Z160)</f>
        <v>899.74</v>
      </c>
      <c r="G160" s="10" t="s">
        <v>185</v>
      </c>
      <c r="H160" s="10" t="s">
        <v>38</v>
      </c>
      <c r="I160" s="10" t="s">
        <v>186</v>
      </c>
      <c r="J160" s="11" t="s">
        <v>187</v>
      </c>
      <c r="K160" s="11" t="s">
        <v>187</v>
      </c>
      <c r="L160" s="10" t="s">
        <v>185</v>
      </c>
      <c r="M160" s="10" t="s">
        <v>188</v>
      </c>
      <c r="N160" s="10" t="s">
        <v>43</v>
      </c>
      <c r="O160" s="10" t="s">
        <v>60</v>
      </c>
      <c r="P160" s="10" t="s">
        <v>45</v>
      </c>
      <c r="Q160" s="10" t="s">
        <v>46</v>
      </c>
      <c r="R160" s="12">
        <v>2</v>
      </c>
      <c r="S160" s="13">
        <v>862.74</v>
      </c>
      <c r="T160" s="13">
        <v>899.74</v>
      </c>
      <c r="U160" s="12">
        <v>90</v>
      </c>
      <c r="V160" s="13">
        <v>814.5</v>
      </c>
      <c r="W160" s="13">
        <v>862.74</v>
      </c>
      <c r="X160" s="12">
        <v>0</v>
      </c>
      <c r="Y160" s="13">
        <v>0</v>
      </c>
      <c r="Z160" s="13">
        <v>0</v>
      </c>
      <c r="AA160" s="12">
        <v>0</v>
      </c>
      <c r="AB160" s="13">
        <v>0</v>
      </c>
      <c r="AC160" s="13">
        <v>0</v>
      </c>
      <c r="AD160" s="12">
        <v>2</v>
      </c>
      <c r="AE160" s="12">
        <v>0</v>
      </c>
      <c r="AF160" s="12">
        <v>0</v>
      </c>
      <c r="AG160" s="12">
        <v>2</v>
      </c>
      <c r="AH160" s="12">
        <v>0</v>
      </c>
      <c r="AI160" s="12">
        <v>0</v>
      </c>
      <c r="AJ160" s="10">
        <v>6200103</v>
      </c>
      <c r="AK160" s="10" t="s">
        <v>47</v>
      </c>
      <c r="AL160" s="14" t="s">
        <v>202</v>
      </c>
      <c r="AM160" s="10" t="s">
        <v>49</v>
      </c>
      <c r="AN160" s="15">
        <v>202300058850</v>
      </c>
      <c r="AO160" s="16" t="s">
        <v>204</v>
      </c>
      <c r="AP160" s="17">
        <v>6720.78</v>
      </c>
      <c r="AQ160" s="10" t="s">
        <v>51</v>
      </c>
      <c r="AR160" s="10" t="s">
        <v>159</v>
      </c>
      <c r="AS160" s="12">
        <v>2250</v>
      </c>
      <c r="AT160" s="10" t="s">
        <v>53</v>
      </c>
      <c r="AU160" s="10">
        <v>40151500</v>
      </c>
      <c r="AV160" s="10" t="s">
        <v>62</v>
      </c>
      <c r="AW160" s="10" t="s">
        <v>55</v>
      </c>
      <c r="AX160" s="10" t="s">
        <v>56</v>
      </c>
      <c r="AY160" s="10" t="s">
        <v>63</v>
      </c>
      <c r="AZ160" s="10" t="s">
        <v>64</v>
      </c>
      <c r="BG160" t="str">
        <v>Outbound</v>
      </c>
      <c r="BH160" t="str">
        <v>Land</v>
      </c>
      <c r="BI160" t="str">
        <v>FG-R-2197LE26</v>
      </c>
      <c r="BJ160" t="str">
        <v>JOHNSON ELECTRIC NORTH AMERICA, INC.</v>
      </c>
      <c r="BK160" t="str">
        <v xml:space="preserve">Memphis Distribution Services 3893 Crowfarn    </v>
      </c>
      <c r="BL160" t="str">
        <v>M01</v>
      </c>
      <c r="BM160" t="str">
        <v>1916-1010002EP/MX</v>
      </c>
      <c r="BN160" s="24">
        <v>10080</v>
      </c>
      <c r="BO160" s="23">
        <v>769.72</v>
      </c>
      <c r="BP160" s="26">
        <f t="shared" si="6"/>
        <v>7.896976932746938E-2</v>
      </c>
      <c r="BQ160" s="21">
        <f t="shared" si="7"/>
        <v>388.43336446256973</v>
      </c>
    </row>
    <row r="161" spans="2:69" x14ac:dyDescent="0.35">
      <c r="B161" t="s">
        <v>261</v>
      </c>
      <c r="C161" t="s">
        <v>262</v>
      </c>
      <c r="D161" t="str" cm="1">
        <f t="array" ref="D161">_xlfn.REGEXEXTRACT(G161,"FG-R-\d{4}LE\d{2}")</f>
        <v>FG-R-2198LE26</v>
      </c>
      <c r="E161" t="s">
        <v>296</v>
      </c>
      <c r="F161" s="23" cm="1">
        <f t="array" ref="F161">_xlfn.SWITCH(TRUE,T161&gt;0,T161,Z161)</f>
        <v>3149.09</v>
      </c>
      <c r="G161" s="10" t="s">
        <v>185</v>
      </c>
      <c r="H161" s="10" t="s">
        <v>38</v>
      </c>
      <c r="I161" s="10" t="s">
        <v>186</v>
      </c>
      <c r="J161" s="11" t="s">
        <v>187</v>
      </c>
      <c r="K161" s="11" t="s">
        <v>187</v>
      </c>
      <c r="L161" s="10" t="s">
        <v>185</v>
      </c>
      <c r="M161" s="10" t="s">
        <v>188</v>
      </c>
      <c r="N161" s="10" t="s">
        <v>43</v>
      </c>
      <c r="O161" s="10" t="s">
        <v>60</v>
      </c>
      <c r="P161" s="10" t="s">
        <v>45</v>
      </c>
      <c r="Q161" s="10" t="s">
        <v>46</v>
      </c>
      <c r="R161" s="12">
        <v>7</v>
      </c>
      <c r="S161" s="13">
        <v>3019.59</v>
      </c>
      <c r="T161" s="13">
        <v>3149.09</v>
      </c>
      <c r="U161" s="12">
        <v>315</v>
      </c>
      <c r="V161" s="13">
        <v>2850.75</v>
      </c>
      <c r="W161" s="13">
        <v>3019.59</v>
      </c>
      <c r="X161" s="12">
        <v>0</v>
      </c>
      <c r="Y161" s="13">
        <v>0</v>
      </c>
      <c r="Z161" s="13">
        <v>0</v>
      </c>
      <c r="AA161" s="12">
        <v>0</v>
      </c>
      <c r="AB161" s="13">
        <v>0</v>
      </c>
      <c r="AC161" s="13">
        <v>0</v>
      </c>
      <c r="AD161" s="12">
        <v>7</v>
      </c>
      <c r="AE161" s="12">
        <v>0</v>
      </c>
      <c r="AF161" s="12">
        <v>0</v>
      </c>
      <c r="AG161" s="12">
        <v>7</v>
      </c>
      <c r="AH161" s="12">
        <v>0</v>
      </c>
      <c r="AI161" s="12">
        <v>0</v>
      </c>
      <c r="AJ161" s="10">
        <v>6200105</v>
      </c>
      <c r="AK161" s="10" t="s">
        <v>47</v>
      </c>
      <c r="AL161" s="14" t="s">
        <v>202</v>
      </c>
      <c r="AM161" s="10" t="s">
        <v>49</v>
      </c>
      <c r="AN161" s="15">
        <v>202300058851</v>
      </c>
      <c r="AO161" s="16" t="s">
        <v>204</v>
      </c>
      <c r="AP161" s="17">
        <v>23522.73</v>
      </c>
      <c r="AQ161" s="10" t="s">
        <v>51</v>
      </c>
      <c r="AR161" s="10" t="s">
        <v>159</v>
      </c>
      <c r="AS161" s="12">
        <v>7875</v>
      </c>
      <c r="AT161" s="10" t="s">
        <v>53</v>
      </c>
      <c r="AU161" s="10">
        <v>40151500</v>
      </c>
      <c r="AV161" s="10" t="s">
        <v>62</v>
      </c>
      <c r="AW161" s="10" t="s">
        <v>55</v>
      </c>
      <c r="AX161" s="10" t="s">
        <v>56</v>
      </c>
      <c r="AY161" s="10" t="s">
        <v>63</v>
      </c>
      <c r="AZ161" s="10" t="s">
        <v>64</v>
      </c>
      <c r="BG161" t="str">
        <v>Outbound</v>
      </c>
      <c r="BH161" t="str">
        <v>Land</v>
      </c>
      <c r="BI161" t="str">
        <v>FG-R-2197LE26</v>
      </c>
      <c r="BJ161" t="str">
        <v>JOHNSON ELECTRIC NORTH AMERICA, INC.</v>
      </c>
      <c r="BK161" t="str">
        <v xml:space="preserve">Memphis Distribution Services 3893 Crowfarn    </v>
      </c>
      <c r="BL161" t="str">
        <v>M01</v>
      </c>
      <c r="BM161" t="str">
        <v>1999-1WP0046AN</v>
      </c>
      <c r="BN161" s="24">
        <v>2160</v>
      </c>
      <c r="BO161" s="23">
        <v>311.113</v>
      </c>
      <c r="BP161" s="26">
        <f t="shared" si="6"/>
        <v>3.1918778055366866E-2</v>
      </c>
      <c r="BQ161" s="21">
        <f t="shared" si="7"/>
        <v>157.00081759346708</v>
      </c>
    </row>
    <row r="162" spans="2:69" x14ac:dyDescent="0.35">
      <c r="B162" t="s">
        <v>261</v>
      </c>
      <c r="C162" t="s">
        <v>262</v>
      </c>
      <c r="D162" t="str" cm="1">
        <f t="array" ref="D162">_xlfn.REGEXEXTRACT(G162,"FG-R-\d{4}LE\d{2}")</f>
        <v>FG-R-2198LE26</v>
      </c>
      <c r="E162" t="s">
        <v>296</v>
      </c>
      <c r="F162" s="23" cm="1">
        <f t="array" ref="F162">_xlfn.SWITCH(TRUE,T162&gt;0,T162,Z162)</f>
        <v>2699.22</v>
      </c>
      <c r="G162" s="10" t="s">
        <v>185</v>
      </c>
      <c r="H162" s="10" t="s">
        <v>38</v>
      </c>
      <c r="I162" s="10" t="s">
        <v>186</v>
      </c>
      <c r="J162" s="11" t="s">
        <v>187</v>
      </c>
      <c r="K162" s="11" t="s">
        <v>187</v>
      </c>
      <c r="L162" s="10" t="s">
        <v>185</v>
      </c>
      <c r="M162" s="10" t="s">
        <v>188</v>
      </c>
      <c r="N162" s="10" t="s">
        <v>43</v>
      </c>
      <c r="O162" s="10" t="s">
        <v>60</v>
      </c>
      <c r="P162" s="10" t="s">
        <v>45</v>
      </c>
      <c r="Q162" s="10" t="s">
        <v>46</v>
      </c>
      <c r="R162" s="12">
        <v>6</v>
      </c>
      <c r="S162" s="13">
        <v>2588.2199999999998</v>
      </c>
      <c r="T162" s="13">
        <v>2699.22</v>
      </c>
      <c r="U162" s="12">
        <v>270</v>
      </c>
      <c r="V162" s="13">
        <v>2443.5</v>
      </c>
      <c r="W162" s="13">
        <v>2588.2199999999998</v>
      </c>
      <c r="X162" s="12">
        <v>0</v>
      </c>
      <c r="Y162" s="13">
        <v>0</v>
      </c>
      <c r="Z162" s="13">
        <v>0</v>
      </c>
      <c r="AA162" s="12">
        <v>0</v>
      </c>
      <c r="AB162" s="13">
        <v>0</v>
      </c>
      <c r="AC162" s="13">
        <v>0</v>
      </c>
      <c r="AD162" s="12">
        <v>6</v>
      </c>
      <c r="AE162" s="12">
        <v>0</v>
      </c>
      <c r="AF162" s="12">
        <v>0</v>
      </c>
      <c r="AG162" s="12">
        <v>6</v>
      </c>
      <c r="AH162" s="12">
        <v>0</v>
      </c>
      <c r="AI162" s="12">
        <v>0</v>
      </c>
      <c r="AJ162" s="10">
        <v>6200108</v>
      </c>
      <c r="AK162" s="10" t="s">
        <v>47</v>
      </c>
      <c r="AL162" s="14" t="s">
        <v>202</v>
      </c>
      <c r="AM162" s="10" t="s">
        <v>49</v>
      </c>
      <c r="AN162" s="15">
        <v>202300058852</v>
      </c>
      <c r="AO162" s="16" t="s">
        <v>204</v>
      </c>
      <c r="AP162" s="17">
        <v>20162.34</v>
      </c>
      <c r="AQ162" s="10" t="s">
        <v>51</v>
      </c>
      <c r="AR162" s="10" t="s">
        <v>159</v>
      </c>
      <c r="AS162" s="12">
        <v>6750</v>
      </c>
      <c r="AT162" s="10" t="s">
        <v>53</v>
      </c>
      <c r="AU162" s="10">
        <v>40151500</v>
      </c>
      <c r="AV162" s="10" t="s">
        <v>62</v>
      </c>
      <c r="AW162" s="10" t="s">
        <v>55</v>
      </c>
      <c r="AX162" s="10" t="s">
        <v>56</v>
      </c>
      <c r="AY162" s="10" t="s">
        <v>63</v>
      </c>
      <c r="AZ162" s="10" t="s">
        <v>64</v>
      </c>
      <c r="BG162" t="str">
        <v>Outbound</v>
      </c>
      <c r="BH162" t="str">
        <v>Land</v>
      </c>
      <c r="BI162" t="str">
        <v>FG-R-2197LE26</v>
      </c>
      <c r="BJ162" t="str">
        <v>JOHNSON ELECTRIC NORTH AMERICA, INC.</v>
      </c>
      <c r="BK162" t="str">
        <v xml:space="preserve">Memphis Distribution Services 3893 Crowfarn    </v>
      </c>
      <c r="BL162" t="str">
        <v>M01</v>
      </c>
      <c r="BM162" t="str">
        <v>1999-1WP0055AN</v>
      </c>
      <c r="BN162" s="24">
        <v>19200</v>
      </c>
      <c r="BO162" s="23">
        <v>2018.4</v>
      </c>
      <c r="BP162" s="26">
        <f t="shared" si="6"/>
        <v>0.2070786551090841</v>
      </c>
      <c r="BQ162" s="21">
        <f t="shared" si="7"/>
        <v>1018.5702629933623</v>
      </c>
    </row>
    <row r="163" spans="2:69" x14ac:dyDescent="0.35">
      <c r="B163" t="s">
        <v>261</v>
      </c>
      <c r="C163" t="s">
        <v>262</v>
      </c>
      <c r="D163" t="str" cm="1">
        <f t="array" ref="D163">_xlfn.REGEXEXTRACT(G163,"FG-R-\d{4}LE\d{2}")</f>
        <v>FG-R-2198LE26</v>
      </c>
      <c r="E163" t="s">
        <v>296</v>
      </c>
      <c r="F163" s="23" cm="1">
        <f t="array" ref="F163">_xlfn.SWITCH(TRUE,T163&gt;0,T163,Z163)</f>
        <v>899.74</v>
      </c>
      <c r="G163" s="10" t="s">
        <v>185</v>
      </c>
      <c r="H163" s="10" t="s">
        <v>38</v>
      </c>
      <c r="I163" s="10" t="s">
        <v>186</v>
      </c>
      <c r="J163" s="11" t="s">
        <v>187</v>
      </c>
      <c r="K163" s="11" t="s">
        <v>187</v>
      </c>
      <c r="L163" s="10" t="s">
        <v>185</v>
      </c>
      <c r="M163" s="10" t="s">
        <v>188</v>
      </c>
      <c r="N163" s="10" t="s">
        <v>43</v>
      </c>
      <c r="O163" s="10" t="s">
        <v>60</v>
      </c>
      <c r="P163" s="10" t="s">
        <v>45</v>
      </c>
      <c r="Q163" s="10" t="s">
        <v>46</v>
      </c>
      <c r="R163" s="12">
        <v>2</v>
      </c>
      <c r="S163" s="13">
        <v>862.74</v>
      </c>
      <c r="T163" s="13">
        <v>899.74</v>
      </c>
      <c r="U163" s="12">
        <v>90</v>
      </c>
      <c r="V163" s="13">
        <v>814.5</v>
      </c>
      <c r="W163" s="13">
        <v>862.74</v>
      </c>
      <c r="X163" s="12">
        <v>0</v>
      </c>
      <c r="Y163" s="13">
        <v>0</v>
      </c>
      <c r="Z163" s="13">
        <v>0</v>
      </c>
      <c r="AA163" s="12">
        <v>0</v>
      </c>
      <c r="AB163" s="13">
        <v>0</v>
      </c>
      <c r="AC163" s="13">
        <v>0</v>
      </c>
      <c r="AD163" s="12">
        <v>2</v>
      </c>
      <c r="AE163" s="12">
        <v>0</v>
      </c>
      <c r="AF163" s="12">
        <v>0</v>
      </c>
      <c r="AG163" s="12">
        <v>2</v>
      </c>
      <c r="AH163" s="12">
        <v>0</v>
      </c>
      <c r="AI163" s="12">
        <v>0</v>
      </c>
      <c r="AJ163" s="10">
        <v>6200113</v>
      </c>
      <c r="AK163" s="10" t="s">
        <v>47</v>
      </c>
      <c r="AL163" s="14" t="s">
        <v>202</v>
      </c>
      <c r="AM163" s="10" t="s">
        <v>49</v>
      </c>
      <c r="AN163" s="15">
        <v>202300058853</v>
      </c>
      <c r="AO163" s="16" t="s">
        <v>204</v>
      </c>
      <c r="AP163" s="17">
        <v>6720.78</v>
      </c>
      <c r="AQ163" s="10" t="s">
        <v>51</v>
      </c>
      <c r="AR163" s="10" t="s">
        <v>159</v>
      </c>
      <c r="AS163" s="12">
        <v>2250</v>
      </c>
      <c r="AT163" s="10" t="s">
        <v>53</v>
      </c>
      <c r="AU163" s="10">
        <v>40151500</v>
      </c>
      <c r="AV163" s="10" t="s">
        <v>62</v>
      </c>
      <c r="AW163" s="10" t="s">
        <v>55</v>
      </c>
      <c r="AX163" s="10" t="s">
        <v>56</v>
      </c>
      <c r="AY163" s="10" t="s">
        <v>63</v>
      </c>
      <c r="AZ163" s="10" t="s">
        <v>64</v>
      </c>
      <c r="BG163" t="str">
        <v>Outbound</v>
      </c>
      <c r="BH163" t="str">
        <v>Land</v>
      </c>
      <c r="BI163" t="str">
        <v>FG-R-2197LE26</v>
      </c>
      <c r="BJ163" t="str">
        <v>JOHNSON ELECTRIC NORTH AMERICA, INC.</v>
      </c>
      <c r="BK163" t="str">
        <v xml:space="preserve">Memphis Distribution Services 3893 Crowfarn    </v>
      </c>
      <c r="BL163" t="str">
        <v>M01</v>
      </c>
      <c r="BM163" t="str">
        <v>1916-1010002EN/MX</v>
      </c>
      <c r="BN163" s="24">
        <v>4320</v>
      </c>
      <c r="BO163" s="23">
        <v>329.88</v>
      </c>
      <c r="BP163" s="26">
        <f t="shared" si="6"/>
        <v>3.3844186854629733E-2</v>
      </c>
      <c r="BQ163" s="21">
        <f t="shared" si="7"/>
        <v>166.47144191252988</v>
      </c>
    </row>
    <row r="164" spans="2:69" x14ac:dyDescent="0.35">
      <c r="B164" t="s">
        <v>261</v>
      </c>
      <c r="C164" t="s">
        <v>262</v>
      </c>
      <c r="D164" t="str" cm="1">
        <f t="array" ref="D164">_xlfn.REGEXEXTRACT(G164,"FG-R-\d{4}LE\d{2}")</f>
        <v>FG-R-2198LE26</v>
      </c>
      <c r="E164" t="s">
        <v>296</v>
      </c>
      <c r="F164" s="23" cm="1">
        <f t="array" ref="F164">_xlfn.SWITCH(TRUE,T164&gt;0,T164,Z164)</f>
        <v>2699.22</v>
      </c>
      <c r="G164" s="10" t="s">
        <v>185</v>
      </c>
      <c r="H164" s="10" t="s">
        <v>38</v>
      </c>
      <c r="I164" s="10" t="s">
        <v>186</v>
      </c>
      <c r="J164" s="11" t="s">
        <v>187</v>
      </c>
      <c r="K164" s="11" t="s">
        <v>187</v>
      </c>
      <c r="L164" s="10" t="s">
        <v>185</v>
      </c>
      <c r="M164" s="10" t="s">
        <v>188</v>
      </c>
      <c r="N164" s="10" t="s">
        <v>43</v>
      </c>
      <c r="O164" s="10" t="s">
        <v>60</v>
      </c>
      <c r="P164" s="10" t="s">
        <v>45</v>
      </c>
      <c r="Q164" s="10" t="s">
        <v>46</v>
      </c>
      <c r="R164" s="12">
        <v>6</v>
      </c>
      <c r="S164" s="13">
        <v>2588.2199999999998</v>
      </c>
      <c r="T164" s="13">
        <v>2699.22</v>
      </c>
      <c r="U164" s="12">
        <v>270</v>
      </c>
      <c r="V164" s="13">
        <v>2443.5</v>
      </c>
      <c r="W164" s="13">
        <v>2588.2199999999998</v>
      </c>
      <c r="X164" s="12">
        <v>0</v>
      </c>
      <c r="Y164" s="13">
        <v>0</v>
      </c>
      <c r="Z164" s="13">
        <v>0</v>
      </c>
      <c r="AA164" s="12">
        <v>0</v>
      </c>
      <c r="AB164" s="13">
        <v>0</v>
      </c>
      <c r="AC164" s="13">
        <v>0</v>
      </c>
      <c r="AD164" s="12">
        <v>6</v>
      </c>
      <c r="AE164" s="12">
        <v>0</v>
      </c>
      <c r="AF164" s="12">
        <v>0</v>
      </c>
      <c r="AG164" s="12">
        <v>6</v>
      </c>
      <c r="AH164" s="12">
        <v>0</v>
      </c>
      <c r="AI164" s="12">
        <v>0</v>
      </c>
      <c r="AJ164" s="10">
        <v>6201087</v>
      </c>
      <c r="AK164" s="10" t="s">
        <v>47</v>
      </c>
      <c r="AL164" s="14" t="s">
        <v>202</v>
      </c>
      <c r="AM164" s="10" t="s">
        <v>49</v>
      </c>
      <c r="AN164" s="15">
        <v>202300058859</v>
      </c>
      <c r="AO164" s="16" t="s">
        <v>203</v>
      </c>
      <c r="AP164" s="17">
        <v>20162.34</v>
      </c>
      <c r="AQ164" s="10" t="s">
        <v>51</v>
      </c>
      <c r="AR164" s="10" t="s">
        <v>159</v>
      </c>
      <c r="AS164" s="12">
        <v>6750</v>
      </c>
      <c r="AT164" s="10" t="s">
        <v>53</v>
      </c>
      <c r="AU164" s="10">
        <v>40151500</v>
      </c>
      <c r="AV164" s="10" t="s">
        <v>62</v>
      </c>
      <c r="AW164" s="10" t="s">
        <v>55</v>
      </c>
      <c r="AX164" s="10" t="s">
        <v>56</v>
      </c>
      <c r="AY164" s="10" t="s">
        <v>63</v>
      </c>
      <c r="AZ164" s="10" t="s">
        <v>64</v>
      </c>
      <c r="BG164" t="str">
        <v>Outbound</v>
      </c>
      <c r="BH164" t="str">
        <v>Land</v>
      </c>
      <c r="BI164" t="str">
        <v>FG-R-2197LE26</v>
      </c>
      <c r="BJ164" t="str">
        <v>JOHNSON ELECTRIC NORTH AMERICA, INC.</v>
      </c>
      <c r="BK164" t="str">
        <v xml:space="preserve">Memphis Distribution Services 3893 Crowfarn    </v>
      </c>
      <c r="BL164" t="str">
        <v>M01</v>
      </c>
      <c r="BM164" t="str">
        <v>1916-1010004EN</v>
      </c>
      <c r="BN164" s="24">
        <v>10080</v>
      </c>
      <c r="BO164" s="23">
        <v>820.12</v>
      </c>
      <c r="BP164" s="26">
        <f t="shared" si="6"/>
        <v>8.4140579978231295E-2</v>
      </c>
      <c r="BQ164" s="21">
        <f t="shared" si="7"/>
        <v>413.86734249213055</v>
      </c>
    </row>
    <row r="165" spans="2:69" x14ac:dyDescent="0.35">
      <c r="B165" t="s">
        <v>261</v>
      </c>
      <c r="C165" t="s">
        <v>262</v>
      </c>
      <c r="D165" t="str" cm="1">
        <f t="array" ref="D165">_xlfn.REGEXEXTRACT(G165,"FG-R-\d{4}LE\d{2}")</f>
        <v>FG-R-2198LE26</v>
      </c>
      <c r="E165" t="s">
        <v>296</v>
      </c>
      <c r="F165" s="23" cm="1">
        <f t="array" ref="F165">_xlfn.SWITCH(TRUE,T165&gt;0,T165,Z165)</f>
        <v>899.74</v>
      </c>
      <c r="G165" s="10" t="s">
        <v>185</v>
      </c>
      <c r="H165" s="10" t="s">
        <v>38</v>
      </c>
      <c r="I165" s="10" t="s">
        <v>186</v>
      </c>
      <c r="J165" s="11" t="s">
        <v>187</v>
      </c>
      <c r="K165" s="11" t="s">
        <v>187</v>
      </c>
      <c r="L165" s="10" t="s">
        <v>185</v>
      </c>
      <c r="M165" s="10" t="s">
        <v>188</v>
      </c>
      <c r="N165" s="10" t="s">
        <v>43</v>
      </c>
      <c r="O165" s="10" t="s">
        <v>60</v>
      </c>
      <c r="P165" s="10" t="s">
        <v>45</v>
      </c>
      <c r="Q165" s="10" t="s">
        <v>46</v>
      </c>
      <c r="R165" s="12">
        <v>2</v>
      </c>
      <c r="S165" s="13">
        <v>862.74</v>
      </c>
      <c r="T165" s="13">
        <v>899.74</v>
      </c>
      <c r="U165" s="12">
        <v>90</v>
      </c>
      <c r="V165" s="13">
        <v>814.5</v>
      </c>
      <c r="W165" s="13">
        <v>862.74</v>
      </c>
      <c r="X165" s="12">
        <v>0</v>
      </c>
      <c r="Y165" s="13">
        <v>0</v>
      </c>
      <c r="Z165" s="13">
        <v>0</v>
      </c>
      <c r="AA165" s="12">
        <v>0</v>
      </c>
      <c r="AB165" s="13">
        <v>0</v>
      </c>
      <c r="AC165" s="13">
        <v>0</v>
      </c>
      <c r="AD165" s="12">
        <v>2</v>
      </c>
      <c r="AE165" s="12">
        <v>0</v>
      </c>
      <c r="AF165" s="12">
        <v>0</v>
      </c>
      <c r="AG165" s="12">
        <v>2</v>
      </c>
      <c r="AH165" s="12">
        <v>0</v>
      </c>
      <c r="AI165" s="12">
        <v>0</v>
      </c>
      <c r="AJ165" s="10">
        <v>6201088</v>
      </c>
      <c r="AK165" s="10" t="s">
        <v>47</v>
      </c>
      <c r="AL165" s="14" t="s">
        <v>202</v>
      </c>
      <c r="AM165" s="10" t="s">
        <v>49</v>
      </c>
      <c r="AN165" s="15">
        <v>202300058860</v>
      </c>
      <c r="AO165" s="16" t="s">
        <v>203</v>
      </c>
      <c r="AP165" s="17">
        <v>6720.78</v>
      </c>
      <c r="AQ165" s="10" t="s">
        <v>51</v>
      </c>
      <c r="AR165" s="10" t="s">
        <v>159</v>
      </c>
      <c r="AS165" s="12">
        <v>2250</v>
      </c>
      <c r="AT165" s="10" t="s">
        <v>53</v>
      </c>
      <c r="AU165" s="10">
        <v>40151500</v>
      </c>
      <c r="AV165" s="10" t="s">
        <v>62</v>
      </c>
      <c r="AW165" s="10" t="s">
        <v>55</v>
      </c>
      <c r="AX165" s="10" t="s">
        <v>56</v>
      </c>
      <c r="AY165" s="10" t="s">
        <v>63</v>
      </c>
      <c r="AZ165" s="10" t="s">
        <v>64</v>
      </c>
      <c r="BG165" t="str">
        <v>Outbound</v>
      </c>
      <c r="BH165" t="str">
        <v>Land</v>
      </c>
      <c r="BI165" t="str">
        <v>FG-R-2197LE26</v>
      </c>
      <c r="BJ165" t="str">
        <v>JOHNSON ELECTRIC NORTH AMERICA, INC.</v>
      </c>
      <c r="BK165" t="str">
        <v xml:space="preserve">Memphis Distribution Services 3893 Crowfarn    </v>
      </c>
      <c r="BL165" t="str">
        <v>M46</v>
      </c>
      <c r="BM165" t="str">
        <v>1651-EQH0040EN</v>
      </c>
      <c r="BN165" s="24">
        <v>200</v>
      </c>
      <c r="BO165" s="23">
        <v>122.44</v>
      </c>
      <c r="BP165" s="26">
        <f t="shared" si="6"/>
        <v>1.2561786826970003E-2</v>
      </c>
      <c r="BQ165" s="21">
        <f t="shared" si="7"/>
        <v>61.788418054353578</v>
      </c>
    </row>
    <row r="166" spans="2:69" x14ac:dyDescent="0.35">
      <c r="B166" t="s">
        <v>261</v>
      </c>
      <c r="C166" t="s">
        <v>262</v>
      </c>
      <c r="D166" t="str" cm="1">
        <f t="array" ref="D166">_xlfn.REGEXEXTRACT(G166,"FG-R-\d{4}LE\d{2}")</f>
        <v>FG-R-2198LE26</v>
      </c>
      <c r="E166" t="s">
        <v>296</v>
      </c>
      <c r="F166" s="23" cm="1">
        <f t="array" ref="F166">_xlfn.SWITCH(TRUE,T166&gt;0,T166,Z166)</f>
        <v>1799.48</v>
      </c>
      <c r="G166" s="10" t="s">
        <v>185</v>
      </c>
      <c r="H166" s="10" t="s">
        <v>38</v>
      </c>
      <c r="I166" s="10" t="s">
        <v>186</v>
      </c>
      <c r="J166" s="11" t="s">
        <v>187</v>
      </c>
      <c r="K166" s="11" t="s">
        <v>187</v>
      </c>
      <c r="L166" s="10" t="s">
        <v>185</v>
      </c>
      <c r="M166" s="10" t="s">
        <v>188</v>
      </c>
      <c r="N166" s="10" t="s">
        <v>43</v>
      </c>
      <c r="O166" s="10" t="s">
        <v>60</v>
      </c>
      <c r="P166" s="10" t="s">
        <v>45</v>
      </c>
      <c r="Q166" s="10" t="s">
        <v>46</v>
      </c>
      <c r="R166" s="12">
        <v>4</v>
      </c>
      <c r="S166" s="13">
        <v>1725.48</v>
      </c>
      <c r="T166" s="13">
        <v>1799.48</v>
      </c>
      <c r="U166" s="12">
        <v>180</v>
      </c>
      <c r="V166" s="13">
        <v>1629</v>
      </c>
      <c r="W166" s="13">
        <v>1725.48</v>
      </c>
      <c r="X166" s="12">
        <v>0</v>
      </c>
      <c r="Y166" s="13">
        <v>0</v>
      </c>
      <c r="Z166" s="13">
        <v>0</v>
      </c>
      <c r="AA166" s="12">
        <v>0</v>
      </c>
      <c r="AB166" s="13">
        <v>0</v>
      </c>
      <c r="AC166" s="13">
        <v>0</v>
      </c>
      <c r="AD166" s="12">
        <v>4</v>
      </c>
      <c r="AE166" s="12">
        <v>0</v>
      </c>
      <c r="AF166" s="12">
        <v>0</v>
      </c>
      <c r="AG166" s="12">
        <v>4</v>
      </c>
      <c r="AH166" s="12">
        <v>0</v>
      </c>
      <c r="AI166" s="12">
        <v>0</v>
      </c>
      <c r="AJ166" s="10">
        <v>6200117</v>
      </c>
      <c r="AK166" s="10" t="s">
        <v>47</v>
      </c>
      <c r="AL166" s="14" t="s">
        <v>202</v>
      </c>
      <c r="AM166" s="10" t="s">
        <v>49</v>
      </c>
      <c r="AN166" s="15">
        <v>202300058854</v>
      </c>
      <c r="AO166" s="16" t="s">
        <v>204</v>
      </c>
      <c r="AP166" s="17">
        <v>13441.56</v>
      </c>
      <c r="AQ166" s="10" t="s">
        <v>51</v>
      </c>
      <c r="AR166" s="10" t="s">
        <v>159</v>
      </c>
      <c r="AS166" s="12">
        <v>4500</v>
      </c>
      <c r="AT166" s="10" t="s">
        <v>53</v>
      </c>
      <c r="AU166" s="10">
        <v>40151500</v>
      </c>
      <c r="AV166" s="10" t="s">
        <v>62</v>
      </c>
      <c r="AW166" s="10" t="s">
        <v>55</v>
      </c>
      <c r="AX166" s="10" t="s">
        <v>56</v>
      </c>
      <c r="AY166" s="10" t="s">
        <v>63</v>
      </c>
      <c r="AZ166" s="10" t="s">
        <v>64</v>
      </c>
      <c r="BG166" t="str">
        <v>Outbound</v>
      </c>
      <c r="BH166" t="str">
        <v>Land</v>
      </c>
      <c r="BI166" t="str">
        <v>FG-R-2197LE26</v>
      </c>
      <c r="BJ166" t="str">
        <v>JOHNSON ELECTRIC NORTH AMERICA, INC.</v>
      </c>
      <c r="BK166" t="str">
        <v xml:space="preserve">Memphis Distribution Services 3893 Crowfarn    </v>
      </c>
      <c r="BL166" t="str">
        <v>M46</v>
      </c>
      <c r="BM166" t="str">
        <v>1651-EQH0040EN</v>
      </c>
      <c r="BN166" s="24">
        <v>200</v>
      </c>
      <c r="BO166" s="23">
        <v>122.44</v>
      </c>
      <c r="BP166" s="26">
        <f t="shared" si="6"/>
        <v>1.2561786826970003E-2</v>
      </c>
      <c r="BQ166" s="21">
        <f t="shared" si="7"/>
        <v>61.788418054353578</v>
      </c>
    </row>
    <row r="167" spans="2:69" x14ac:dyDescent="0.35">
      <c r="B167" t="s">
        <v>261</v>
      </c>
      <c r="C167" t="s">
        <v>262</v>
      </c>
      <c r="D167" t="str" cm="1">
        <f t="array" ref="D167">_xlfn.REGEXEXTRACT(G167,"FG-R-\d{4}LE\d{2}")</f>
        <v>FG-R-2197LE26</v>
      </c>
      <c r="E167" t="s">
        <v>297</v>
      </c>
      <c r="F167" s="23" cm="1">
        <f t="array" ref="F167">_xlfn.SWITCH(TRUE,T167&gt;0,T167,Z167)</f>
        <v>580.67999999999995</v>
      </c>
      <c r="G167" s="10" t="s">
        <v>206</v>
      </c>
      <c r="H167" s="10" t="s">
        <v>38</v>
      </c>
      <c r="I167" s="10" t="s">
        <v>207</v>
      </c>
      <c r="J167" s="11" t="s">
        <v>187</v>
      </c>
      <c r="K167" s="11" t="s">
        <v>187</v>
      </c>
      <c r="L167" s="10" t="s">
        <v>206</v>
      </c>
      <c r="M167" s="10" t="s">
        <v>208</v>
      </c>
      <c r="N167" s="10" t="s">
        <v>43</v>
      </c>
      <c r="O167" s="10" t="s">
        <v>69</v>
      </c>
      <c r="P167" s="10" t="s">
        <v>45</v>
      </c>
      <c r="Q167" s="10" t="s">
        <v>46</v>
      </c>
      <c r="R167" s="12">
        <v>1</v>
      </c>
      <c r="S167" s="13">
        <v>553.67999999999995</v>
      </c>
      <c r="T167" s="13">
        <v>580.67999999999995</v>
      </c>
      <c r="U167" s="12">
        <v>80</v>
      </c>
      <c r="V167" s="13">
        <v>216</v>
      </c>
      <c r="W167" s="13">
        <v>553.67999999999995</v>
      </c>
      <c r="X167" s="12">
        <v>0</v>
      </c>
      <c r="Y167" s="13">
        <v>0</v>
      </c>
      <c r="Z167" s="13">
        <v>0</v>
      </c>
      <c r="AA167" s="12">
        <v>0</v>
      </c>
      <c r="AB167" s="13">
        <v>0</v>
      </c>
      <c r="AC167" s="13">
        <v>0</v>
      </c>
      <c r="AD167" s="12">
        <v>1</v>
      </c>
      <c r="AE167" s="12">
        <v>0</v>
      </c>
      <c r="AF167" s="12">
        <v>0</v>
      </c>
      <c r="AG167" s="12">
        <v>1</v>
      </c>
      <c r="AH167" s="12">
        <v>0</v>
      </c>
      <c r="AI167" s="12">
        <v>0</v>
      </c>
      <c r="AJ167" s="10">
        <v>6199650</v>
      </c>
      <c r="AK167" s="10" t="s">
        <v>47</v>
      </c>
      <c r="AL167" s="14" t="s">
        <v>202</v>
      </c>
      <c r="AM167" s="10" t="s">
        <v>49</v>
      </c>
      <c r="AN167" s="15">
        <v>202300058836</v>
      </c>
      <c r="AO167" s="16" t="s">
        <v>204</v>
      </c>
      <c r="AP167" s="17">
        <v>3679.78</v>
      </c>
      <c r="AQ167" s="10" t="s">
        <v>51</v>
      </c>
      <c r="AR167" s="10" t="s">
        <v>209</v>
      </c>
      <c r="AS167" s="12">
        <v>2000</v>
      </c>
      <c r="AT167" s="10" t="s">
        <v>53</v>
      </c>
      <c r="AU167" s="10">
        <v>40151500</v>
      </c>
      <c r="AV167" s="10" t="s">
        <v>62</v>
      </c>
      <c r="AW167" s="10" t="s">
        <v>55</v>
      </c>
      <c r="AX167" s="10" t="s">
        <v>56</v>
      </c>
      <c r="AY167" s="10" t="s">
        <v>73</v>
      </c>
      <c r="AZ167" s="10" t="s">
        <v>74</v>
      </c>
      <c r="BG167" t="str">
        <v>Outbound</v>
      </c>
      <c r="BH167" t="str">
        <v>Land</v>
      </c>
      <c r="BI167" t="str">
        <v>FG-R-2197LE26</v>
      </c>
      <c r="BJ167" t="str">
        <v>JOHNSON ELECTRIC NORTH AMERICA, INC.</v>
      </c>
      <c r="BK167" t="str">
        <v xml:space="preserve">Memphis Distribution Services 3893 Crowfarn    </v>
      </c>
      <c r="BL167" t="str">
        <v>M46</v>
      </c>
      <c r="BM167" t="str">
        <v>1651-EQM0165EN</v>
      </c>
      <c r="BN167" s="24">
        <v>200</v>
      </c>
      <c r="BO167" s="23">
        <v>62.44</v>
      </c>
      <c r="BP167" s="26">
        <f t="shared" si="6"/>
        <v>6.4060598617772541E-3</v>
      </c>
      <c r="BQ167" s="21">
        <f t="shared" si="7"/>
        <v>31.509872781066953</v>
      </c>
    </row>
    <row r="168" spans="2:69" x14ac:dyDescent="0.35">
      <c r="B168" t="s">
        <v>261</v>
      </c>
      <c r="C168" t="s">
        <v>262</v>
      </c>
      <c r="D168" t="str" cm="1">
        <f t="array" ref="D168">_xlfn.REGEXEXTRACT(G168,"FG-R-\d{4}LE\d{2}")</f>
        <v>FG-R-2197LE26</v>
      </c>
      <c r="E168" t="s">
        <v>297</v>
      </c>
      <c r="F168" s="23" cm="1">
        <f t="array" ref="F168">_xlfn.SWITCH(TRUE,T168&gt;0,T168,Z168)</f>
        <v>1742.04</v>
      </c>
      <c r="G168" s="10" t="s">
        <v>206</v>
      </c>
      <c r="H168" s="10" t="s">
        <v>38</v>
      </c>
      <c r="I168" s="10" t="s">
        <v>207</v>
      </c>
      <c r="J168" s="11" t="s">
        <v>187</v>
      </c>
      <c r="K168" s="11" t="s">
        <v>187</v>
      </c>
      <c r="L168" s="10" t="s">
        <v>206</v>
      </c>
      <c r="M168" s="10" t="s">
        <v>208</v>
      </c>
      <c r="N168" s="10" t="s">
        <v>43</v>
      </c>
      <c r="O168" s="10" t="s">
        <v>69</v>
      </c>
      <c r="P168" s="10" t="s">
        <v>45</v>
      </c>
      <c r="Q168" s="10" t="s">
        <v>46</v>
      </c>
      <c r="R168" s="12">
        <v>3</v>
      </c>
      <c r="S168" s="13">
        <v>1661.04</v>
      </c>
      <c r="T168" s="13">
        <v>1742.04</v>
      </c>
      <c r="U168" s="12">
        <v>240</v>
      </c>
      <c r="V168" s="13">
        <v>648</v>
      </c>
      <c r="W168" s="13">
        <v>1661.04</v>
      </c>
      <c r="X168" s="12">
        <v>0</v>
      </c>
      <c r="Y168" s="13">
        <v>0</v>
      </c>
      <c r="Z168" s="13">
        <v>0</v>
      </c>
      <c r="AA168" s="12">
        <v>0</v>
      </c>
      <c r="AB168" s="13">
        <v>0</v>
      </c>
      <c r="AC168" s="13">
        <v>0</v>
      </c>
      <c r="AD168" s="12">
        <v>3</v>
      </c>
      <c r="AE168" s="12">
        <v>0</v>
      </c>
      <c r="AF168" s="12">
        <v>0</v>
      </c>
      <c r="AG168" s="12">
        <v>3</v>
      </c>
      <c r="AH168" s="12">
        <v>0</v>
      </c>
      <c r="AI168" s="12">
        <v>0</v>
      </c>
      <c r="AJ168" s="10">
        <v>6199654</v>
      </c>
      <c r="AK168" s="10" t="s">
        <v>47</v>
      </c>
      <c r="AL168" s="14" t="s">
        <v>202</v>
      </c>
      <c r="AM168" s="10" t="s">
        <v>49</v>
      </c>
      <c r="AN168" s="15">
        <v>202300058838</v>
      </c>
      <c r="AO168" s="16" t="s">
        <v>204</v>
      </c>
      <c r="AP168" s="17">
        <v>11052.42</v>
      </c>
      <c r="AQ168" s="10" t="s">
        <v>51</v>
      </c>
      <c r="AR168" s="10" t="s">
        <v>72</v>
      </c>
      <c r="AS168" s="12">
        <v>6000</v>
      </c>
      <c r="AT168" s="10" t="s">
        <v>53</v>
      </c>
      <c r="AU168" s="10">
        <v>40151500</v>
      </c>
      <c r="AV168" s="10" t="s">
        <v>62</v>
      </c>
      <c r="AW168" s="10" t="s">
        <v>55</v>
      </c>
      <c r="AX168" s="10" t="s">
        <v>56</v>
      </c>
      <c r="AY168" s="10" t="s">
        <v>73</v>
      </c>
      <c r="AZ168" s="10" t="s">
        <v>74</v>
      </c>
      <c r="BG168" t="str">
        <v>Outbound</v>
      </c>
      <c r="BH168" t="str">
        <v>Land</v>
      </c>
      <c r="BI168" t="str">
        <v>FG-R-2197LE26</v>
      </c>
      <c r="BJ168" t="str">
        <v>JOHNSON ELECTRIC NORTH AMERICA, INC.</v>
      </c>
      <c r="BK168" t="str">
        <v xml:space="preserve">Memphis Distribution Services 3893 Crowfarn    </v>
      </c>
      <c r="BL168" t="str">
        <v>M46</v>
      </c>
      <c r="BM168" t="str">
        <v>1651-EQH0021EN</v>
      </c>
      <c r="BN168" s="24">
        <v>200</v>
      </c>
      <c r="BO168" s="23">
        <v>62.46</v>
      </c>
      <c r="BP168" s="26">
        <f t="shared" si="6"/>
        <v>6.408111770765652E-3</v>
      </c>
      <c r="BQ168" s="21">
        <f t="shared" si="7"/>
        <v>31.519965629491381</v>
      </c>
    </row>
    <row r="169" spans="2:69" x14ac:dyDescent="0.35">
      <c r="B169" t="s">
        <v>261</v>
      </c>
      <c r="C169" t="s">
        <v>262</v>
      </c>
      <c r="D169" t="str" cm="1">
        <f t="array" ref="D169">_xlfn.REGEXEXTRACT(G169,"FG-R-\d{4}LE\d{2}")</f>
        <v>FG-R-2197LE26</v>
      </c>
      <c r="E169" t="s">
        <v>297</v>
      </c>
      <c r="F169" s="23" cm="1">
        <f t="array" ref="F169">_xlfn.SWITCH(TRUE,T169&gt;0,T169,Z169)</f>
        <v>1651.4480000000001</v>
      </c>
      <c r="G169" s="10" t="s">
        <v>206</v>
      </c>
      <c r="H169" s="10" t="s">
        <v>38</v>
      </c>
      <c r="I169" s="10" t="s">
        <v>207</v>
      </c>
      <c r="J169" s="11" t="s">
        <v>187</v>
      </c>
      <c r="K169" s="11" t="s">
        <v>187</v>
      </c>
      <c r="L169" s="10" t="s">
        <v>206</v>
      </c>
      <c r="M169" s="10" t="s">
        <v>208</v>
      </c>
      <c r="N169" s="10" t="s">
        <v>43</v>
      </c>
      <c r="O169" s="10" t="s">
        <v>69</v>
      </c>
      <c r="P169" s="10" t="s">
        <v>45</v>
      </c>
      <c r="Q169" s="10" t="s">
        <v>46</v>
      </c>
      <c r="R169" s="12">
        <v>4</v>
      </c>
      <c r="S169" s="13">
        <v>1577.4480000000001</v>
      </c>
      <c r="T169" s="13">
        <v>1651.4480000000001</v>
      </c>
      <c r="U169" s="12">
        <v>360</v>
      </c>
      <c r="V169" s="13">
        <v>1468.8</v>
      </c>
      <c r="W169" s="13">
        <v>1577.4480000000001</v>
      </c>
      <c r="X169" s="12">
        <v>0</v>
      </c>
      <c r="Y169" s="13">
        <v>0</v>
      </c>
      <c r="Z169" s="13">
        <v>0</v>
      </c>
      <c r="AA169" s="12">
        <v>0</v>
      </c>
      <c r="AB169" s="13">
        <v>0</v>
      </c>
      <c r="AC169" s="13">
        <v>0</v>
      </c>
      <c r="AD169" s="12">
        <v>4</v>
      </c>
      <c r="AE169" s="12">
        <v>0</v>
      </c>
      <c r="AF169" s="12">
        <v>0</v>
      </c>
      <c r="AG169" s="12">
        <v>4</v>
      </c>
      <c r="AH169" s="12">
        <v>0</v>
      </c>
      <c r="AI169" s="12">
        <v>0</v>
      </c>
      <c r="AJ169" s="10">
        <v>6199645</v>
      </c>
      <c r="AK169" s="10" t="s">
        <v>47</v>
      </c>
      <c r="AL169" s="14" t="s">
        <v>202</v>
      </c>
      <c r="AM169" s="10" t="s">
        <v>49</v>
      </c>
      <c r="AN169" s="15">
        <v>202300058834</v>
      </c>
      <c r="AO169" s="16" t="s">
        <v>204</v>
      </c>
      <c r="AP169" s="17">
        <v>22900.04</v>
      </c>
      <c r="AQ169" s="10" t="s">
        <v>51</v>
      </c>
      <c r="AR169" s="10" t="s">
        <v>75</v>
      </c>
      <c r="AS169" s="12">
        <v>14400</v>
      </c>
      <c r="AT169" s="10" t="s">
        <v>53</v>
      </c>
      <c r="AU169" s="10">
        <v>40151500</v>
      </c>
      <c r="AV169" s="10" t="s">
        <v>62</v>
      </c>
      <c r="AW169" s="10" t="s">
        <v>55</v>
      </c>
      <c r="AX169" s="10" t="s">
        <v>56</v>
      </c>
      <c r="AY169" s="10" t="s">
        <v>73</v>
      </c>
      <c r="AZ169" s="10" t="s">
        <v>74</v>
      </c>
      <c r="BG169" t="str">
        <v>Outbound</v>
      </c>
      <c r="BH169" t="str">
        <v>Land</v>
      </c>
      <c r="BI169" t="str">
        <v>FG-R-2197LE26</v>
      </c>
      <c r="BJ169" t="str">
        <v>JOHNSON ELECTRIC NORTH AMERICA, INC.</v>
      </c>
      <c r="BK169" t="str">
        <v xml:space="preserve">Memphis Distribution Services 3893 Crowfarn    </v>
      </c>
      <c r="BL169" t="str">
        <v>M46</v>
      </c>
      <c r="BM169" t="str">
        <v>1410-EQH0041EN</v>
      </c>
      <c r="BN169" s="24">
        <v>1500</v>
      </c>
      <c r="BO169" s="23">
        <v>714</v>
      </c>
      <c r="BP169" s="26">
        <f t="shared" si="6"/>
        <v>7.3253150885793719E-2</v>
      </c>
      <c r="BQ169" s="21">
        <f t="shared" si="7"/>
        <v>360.3146887521109</v>
      </c>
    </row>
    <row r="170" spans="2:69" x14ac:dyDescent="0.35">
      <c r="B170" t="s">
        <v>261</v>
      </c>
      <c r="C170" t="s">
        <v>262</v>
      </c>
      <c r="D170" t="str" cm="1">
        <f t="array" ref="D170">_xlfn.REGEXEXTRACT(G170,"FG-R-\d{4}LE\d{2}")</f>
        <v>FG-R-2197LE26</v>
      </c>
      <c r="E170" t="s">
        <v>297</v>
      </c>
      <c r="F170" s="23" cm="1">
        <f t="array" ref="F170">_xlfn.SWITCH(TRUE,T170&gt;0,T170,Z170)</f>
        <v>439.84</v>
      </c>
      <c r="G170" s="10" t="s">
        <v>206</v>
      </c>
      <c r="H170" s="10" t="s">
        <v>38</v>
      </c>
      <c r="I170" s="10" t="s">
        <v>207</v>
      </c>
      <c r="J170" s="11" t="s">
        <v>187</v>
      </c>
      <c r="K170" s="11" t="s">
        <v>187</v>
      </c>
      <c r="L170" s="10" t="s">
        <v>206</v>
      </c>
      <c r="M170" s="10" t="s">
        <v>208</v>
      </c>
      <c r="N170" s="10" t="s">
        <v>43</v>
      </c>
      <c r="O170" s="10" t="s">
        <v>69</v>
      </c>
      <c r="P170" s="10" t="s">
        <v>45</v>
      </c>
      <c r="Q170" s="10" t="s">
        <v>46</v>
      </c>
      <c r="R170" s="12">
        <v>4</v>
      </c>
      <c r="S170" s="13">
        <v>339.84</v>
      </c>
      <c r="T170" s="13">
        <v>439.84</v>
      </c>
      <c r="U170" s="12">
        <v>0</v>
      </c>
      <c r="V170" s="13">
        <v>339.84</v>
      </c>
      <c r="W170" s="13">
        <v>339.84</v>
      </c>
      <c r="X170" s="12">
        <v>0</v>
      </c>
      <c r="Y170" s="13">
        <v>0</v>
      </c>
      <c r="Z170" s="13">
        <v>0</v>
      </c>
      <c r="AA170" s="12">
        <v>0</v>
      </c>
      <c r="AB170" s="13">
        <v>0</v>
      </c>
      <c r="AC170" s="13">
        <v>0</v>
      </c>
      <c r="AD170" s="12">
        <v>4</v>
      </c>
      <c r="AE170" s="12">
        <v>0</v>
      </c>
      <c r="AF170" s="12">
        <v>0</v>
      </c>
      <c r="AG170" s="12">
        <v>4</v>
      </c>
      <c r="AH170" s="12">
        <v>0</v>
      </c>
      <c r="AI170" s="12">
        <v>0</v>
      </c>
      <c r="AJ170" s="10">
        <v>6199664</v>
      </c>
      <c r="AK170" s="10" t="s">
        <v>47</v>
      </c>
      <c r="AL170" s="14" t="s">
        <v>202</v>
      </c>
      <c r="AM170" s="10" t="s">
        <v>49</v>
      </c>
      <c r="AN170" s="15">
        <v>202300058847</v>
      </c>
      <c r="AO170" s="16" t="s">
        <v>204</v>
      </c>
      <c r="AP170" s="17">
        <v>15407.04</v>
      </c>
      <c r="AQ170" s="10" t="s">
        <v>51</v>
      </c>
      <c r="AR170" s="10" t="s">
        <v>77</v>
      </c>
      <c r="AS170" s="12">
        <v>5760</v>
      </c>
      <c r="AT170" s="10" t="s">
        <v>53</v>
      </c>
      <c r="AU170" s="10">
        <v>26101200</v>
      </c>
      <c r="AV170" s="10" t="s">
        <v>78</v>
      </c>
      <c r="AW170" s="10" t="s">
        <v>55</v>
      </c>
      <c r="AX170" s="10" t="s">
        <v>56</v>
      </c>
      <c r="AY170" s="10" t="s">
        <v>79</v>
      </c>
      <c r="AZ170" s="10" t="s">
        <v>80</v>
      </c>
      <c r="BG170" t="str">
        <v>Outbound</v>
      </c>
      <c r="BH170" t="str">
        <v>Land</v>
      </c>
      <c r="BI170" t="str">
        <v>FG-R-2198LE26</v>
      </c>
      <c r="BJ170" t="str">
        <v>JOHNSON ELECTRIC NORTH AMERICA, INC.</v>
      </c>
      <c r="BK170" t="str">
        <v xml:space="preserve">(TDS) Transcontinental Distribution Services, Inc 14213 Transportation Ave    </v>
      </c>
      <c r="BL170" t="str">
        <v>M23</v>
      </c>
      <c r="BM170" t="str">
        <v>1908-3120012E1</v>
      </c>
      <c r="BN170" s="24">
        <v>21</v>
      </c>
      <c r="BO170" s="23">
        <v>49.638750000000002</v>
      </c>
      <c r="BP170" s="26">
        <f t="shared" si="6"/>
        <v>3.5727880140740019E-3</v>
      </c>
      <c r="BQ170" s="21">
        <f t="shared" si="7"/>
        <v>17.573687762255741</v>
      </c>
    </row>
    <row r="171" spans="2:69" x14ac:dyDescent="0.35">
      <c r="B171" t="s">
        <v>261</v>
      </c>
      <c r="C171" t="s">
        <v>262</v>
      </c>
      <c r="D171" t="str" cm="1">
        <f t="array" ref="D171">_xlfn.REGEXEXTRACT(G171,"FG-R-\d{4}LE\d{2}")</f>
        <v>FG-R-2197LE26</v>
      </c>
      <c r="E171" t="s">
        <v>297</v>
      </c>
      <c r="F171" s="23" cm="1">
        <f t="array" ref="F171">_xlfn.SWITCH(TRUE,T171&gt;0,T171,Z171)</f>
        <v>769.72</v>
      </c>
      <c r="G171" s="10" t="s">
        <v>206</v>
      </c>
      <c r="H171" s="10" t="s">
        <v>38</v>
      </c>
      <c r="I171" s="10" t="s">
        <v>207</v>
      </c>
      <c r="J171" s="11" t="s">
        <v>187</v>
      </c>
      <c r="K171" s="11" t="s">
        <v>187</v>
      </c>
      <c r="L171" s="10" t="s">
        <v>206</v>
      </c>
      <c r="M171" s="10" t="s">
        <v>208</v>
      </c>
      <c r="N171" s="10" t="s">
        <v>43</v>
      </c>
      <c r="O171" s="10" t="s">
        <v>69</v>
      </c>
      <c r="P171" s="10" t="s">
        <v>45</v>
      </c>
      <c r="Q171" s="10" t="s">
        <v>46</v>
      </c>
      <c r="R171" s="12">
        <v>7</v>
      </c>
      <c r="S171" s="13">
        <v>594.72</v>
      </c>
      <c r="T171" s="13">
        <v>769.72</v>
      </c>
      <c r="U171" s="12">
        <v>0</v>
      </c>
      <c r="V171" s="13">
        <v>594.72</v>
      </c>
      <c r="W171" s="13">
        <v>594.72</v>
      </c>
      <c r="X171" s="12">
        <v>0</v>
      </c>
      <c r="Y171" s="13">
        <v>0</v>
      </c>
      <c r="Z171" s="13">
        <v>0</v>
      </c>
      <c r="AA171" s="12">
        <v>0</v>
      </c>
      <c r="AB171" s="13">
        <v>0</v>
      </c>
      <c r="AC171" s="13">
        <v>0</v>
      </c>
      <c r="AD171" s="12">
        <v>7</v>
      </c>
      <c r="AE171" s="12">
        <v>0</v>
      </c>
      <c r="AF171" s="12">
        <v>0</v>
      </c>
      <c r="AG171" s="12">
        <v>7</v>
      </c>
      <c r="AH171" s="12">
        <v>0</v>
      </c>
      <c r="AI171" s="12">
        <v>0</v>
      </c>
      <c r="AJ171" s="10">
        <v>6199933</v>
      </c>
      <c r="AK171" s="10" t="s">
        <v>47</v>
      </c>
      <c r="AL171" s="14" t="s">
        <v>202</v>
      </c>
      <c r="AM171" s="10" t="s">
        <v>49</v>
      </c>
      <c r="AN171" s="15">
        <v>202300058846</v>
      </c>
      <c r="AO171" s="16" t="s">
        <v>204</v>
      </c>
      <c r="AP171" s="17">
        <v>26962.32</v>
      </c>
      <c r="AQ171" s="10" t="s">
        <v>51</v>
      </c>
      <c r="AR171" s="10" t="s">
        <v>77</v>
      </c>
      <c r="AS171" s="12">
        <v>10080</v>
      </c>
      <c r="AT171" s="10" t="s">
        <v>53</v>
      </c>
      <c r="AU171" s="10">
        <v>26101200</v>
      </c>
      <c r="AV171" s="10" t="s">
        <v>78</v>
      </c>
      <c r="AW171" s="10" t="s">
        <v>55</v>
      </c>
      <c r="AX171" s="10" t="s">
        <v>56</v>
      </c>
      <c r="AY171" s="10" t="s">
        <v>79</v>
      </c>
      <c r="AZ171" s="10" t="s">
        <v>80</v>
      </c>
      <c r="BG171" t="str">
        <v>Outbound</v>
      </c>
      <c r="BH171" t="str">
        <v>Land</v>
      </c>
      <c r="BI171" t="str">
        <v>FG-R-2198LE26</v>
      </c>
      <c r="BJ171" t="str">
        <v>JOHNSON ELECTRIC NORTH AMERICA, INC.</v>
      </c>
      <c r="BK171" t="str">
        <v xml:space="preserve">(TDS) Transcontinental Distribution Services, Inc 14213 Transportation Ave    </v>
      </c>
      <c r="BL171" t="str">
        <v>M23</v>
      </c>
      <c r="BM171" t="str">
        <v>1908-3120014E1</v>
      </c>
      <c r="BN171" s="24">
        <v>5</v>
      </c>
      <c r="BO171" s="23">
        <v>28.414750000000002</v>
      </c>
      <c r="BP171" s="26">
        <f t="shared" si="6"/>
        <v>2.0451739462196217E-3</v>
      </c>
      <c r="BQ171" s="21">
        <f t="shared" si="7"/>
        <v>10.059720366499082</v>
      </c>
    </row>
    <row r="172" spans="2:69" x14ac:dyDescent="0.35">
      <c r="B172" t="s">
        <v>261</v>
      </c>
      <c r="C172" t="s">
        <v>262</v>
      </c>
      <c r="D172" t="str" cm="1">
        <f t="array" ref="D172">_xlfn.REGEXEXTRACT(G172,"FG-R-\d{4}LE\d{2}")</f>
        <v>FG-R-2197LE26</v>
      </c>
      <c r="E172" t="s">
        <v>297</v>
      </c>
      <c r="F172" s="23" cm="1">
        <f t="array" ref="F172">_xlfn.SWITCH(TRUE,T172&gt;0,T172,Z172)</f>
        <v>311.113</v>
      </c>
      <c r="G172" s="10" t="s">
        <v>206</v>
      </c>
      <c r="H172" s="10" t="s">
        <v>38</v>
      </c>
      <c r="I172" s="10" t="s">
        <v>207</v>
      </c>
      <c r="J172" s="11" t="s">
        <v>187</v>
      </c>
      <c r="K172" s="11" t="s">
        <v>187</v>
      </c>
      <c r="L172" s="10" t="s">
        <v>206</v>
      </c>
      <c r="M172" s="10" t="s">
        <v>208</v>
      </c>
      <c r="N172" s="10" t="s">
        <v>43</v>
      </c>
      <c r="O172" s="10" t="s">
        <v>69</v>
      </c>
      <c r="P172" s="10" t="s">
        <v>45</v>
      </c>
      <c r="Q172" s="10" t="s">
        <v>46</v>
      </c>
      <c r="R172" s="12">
        <v>1</v>
      </c>
      <c r="S172" s="13">
        <v>292.113</v>
      </c>
      <c r="T172" s="13">
        <v>311.113</v>
      </c>
      <c r="U172" s="12">
        <v>90</v>
      </c>
      <c r="V172" s="13">
        <v>250.56</v>
      </c>
      <c r="W172" s="13">
        <v>292.113</v>
      </c>
      <c r="X172" s="12">
        <v>0</v>
      </c>
      <c r="Y172" s="13">
        <v>0</v>
      </c>
      <c r="Z172" s="13">
        <v>0</v>
      </c>
      <c r="AA172" s="12">
        <v>0</v>
      </c>
      <c r="AB172" s="13">
        <v>0</v>
      </c>
      <c r="AC172" s="13">
        <v>0</v>
      </c>
      <c r="AD172" s="12">
        <v>1</v>
      </c>
      <c r="AE172" s="12">
        <v>0</v>
      </c>
      <c r="AF172" s="12">
        <v>0</v>
      </c>
      <c r="AG172" s="12">
        <v>1</v>
      </c>
      <c r="AH172" s="12">
        <v>0</v>
      </c>
      <c r="AI172" s="12">
        <v>0</v>
      </c>
      <c r="AJ172" s="10">
        <v>6199649</v>
      </c>
      <c r="AK172" s="10" t="s">
        <v>47</v>
      </c>
      <c r="AL172" s="14" t="s">
        <v>202</v>
      </c>
      <c r="AM172" s="10" t="s">
        <v>49</v>
      </c>
      <c r="AN172" s="15">
        <v>202300058835</v>
      </c>
      <c r="AO172" s="16" t="s">
        <v>204</v>
      </c>
      <c r="AP172" s="17">
        <v>4034.34</v>
      </c>
      <c r="AQ172" s="10" t="s">
        <v>51</v>
      </c>
      <c r="AR172" s="10" t="s">
        <v>76</v>
      </c>
      <c r="AS172" s="12">
        <v>2160</v>
      </c>
      <c r="AT172" s="10" t="s">
        <v>53</v>
      </c>
      <c r="AU172" s="10">
        <v>40151500</v>
      </c>
      <c r="AV172" s="10" t="s">
        <v>62</v>
      </c>
      <c r="AW172" s="10" t="s">
        <v>55</v>
      </c>
      <c r="AX172" s="10" t="s">
        <v>56</v>
      </c>
      <c r="AY172" s="10" t="s">
        <v>73</v>
      </c>
      <c r="AZ172" s="10" t="s">
        <v>74</v>
      </c>
      <c r="BG172" t="str">
        <v>Outbound</v>
      </c>
      <c r="BH172" t="str">
        <v>Land</v>
      </c>
      <c r="BI172" t="str">
        <v>FG-R-2198LE26</v>
      </c>
      <c r="BJ172" t="str">
        <v>JOHNSON ELECTRIC NORTH AMERICA, INC.</v>
      </c>
      <c r="BK172" t="str">
        <v xml:space="preserve">(TDS) Transcontinental Distribution Services, Inc 14213 Transportation Ave    </v>
      </c>
      <c r="BL172" t="str">
        <v>M46</v>
      </c>
      <c r="BM172" t="str">
        <v>1651-EQH0054EN</v>
      </c>
      <c r="BN172" s="24">
        <v>480</v>
      </c>
      <c r="BO172" s="23">
        <v>99.647999999999996</v>
      </c>
      <c r="BP172" s="26">
        <f t="shared" si="6"/>
        <v>7.1722430566129505E-3</v>
      </c>
      <c r="BQ172" s="21">
        <f t="shared" si="7"/>
        <v>35.278544244834123</v>
      </c>
    </row>
    <row r="173" spans="2:69" x14ac:dyDescent="0.35">
      <c r="B173" t="s">
        <v>261</v>
      </c>
      <c r="C173" t="s">
        <v>262</v>
      </c>
      <c r="D173" t="str" cm="1">
        <f t="array" ref="D173">_xlfn.REGEXEXTRACT(G173,"FG-R-\d{4}LE\d{2}")</f>
        <v>FG-R-2197LE26</v>
      </c>
      <c r="E173" t="s">
        <v>297</v>
      </c>
      <c r="F173" s="23" cm="1">
        <f t="array" ref="F173">_xlfn.SWITCH(TRUE,T173&gt;0,T173,Z173)</f>
        <v>2018.4</v>
      </c>
      <c r="G173" s="10" t="s">
        <v>206</v>
      </c>
      <c r="H173" s="10" t="s">
        <v>38</v>
      </c>
      <c r="I173" s="10" t="s">
        <v>207</v>
      </c>
      <c r="J173" s="11" t="s">
        <v>187</v>
      </c>
      <c r="K173" s="11" t="s">
        <v>187</v>
      </c>
      <c r="L173" s="10" t="s">
        <v>206</v>
      </c>
      <c r="M173" s="10" t="s">
        <v>208</v>
      </c>
      <c r="N173" s="10" t="s">
        <v>43</v>
      </c>
      <c r="O173" s="10" t="s">
        <v>69</v>
      </c>
      <c r="P173" s="10" t="s">
        <v>45</v>
      </c>
      <c r="Q173" s="10" t="s">
        <v>46</v>
      </c>
      <c r="R173" s="12">
        <v>4</v>
      </c>
      <c r="S173" s="13">
        <v>1910.4</v>
      </c>
      <c r="T173" s="13">
        <v>2018.4</v>
      </c>
      <c r="U173" s="12">
        <v>240</v>
      </c>
      <c r="V173" s="13">
        <v>1766.4</v>
      </c>
      <c r="W173" s="13">
        <v>1910.4</v>
      </c>
      <c r="X173" s="12">
        <v>0</v>
      </c>
      <c r="Y173" s="13">
        <v>0</v>
      </c>
      <c r="Z173" s="13">
        <v>0</v>
      </c>
      <c r="AA173" s="12">
        <v>0</v>
      </c>
      <c r="AB173" s="13">
        <v>0</v>
      </c>
      <c r="AC173" s="13">
        <v>0</v>
      </c>
      <c r="AD173" s="12">
        <v>4</v>
      </c>
      <c r="AE173" s="12">
        <v>0</v>
      </c>
      <c r="AF173" s="12">
        <v>0</v>
      </c>
      <c r="AG173" s="12">
        <v>4</v>
      </c>
      <c r="AH173" s="12">
        <v>0</v>
      </c>
      <c r="AI173" s="12">
        <v>0</v>
      </c>
      <c r="AJ173" s="10">
        <v>6199652</v>
      </c>
      <c r="AK173" s="10" t="s">
        <v>47</v>
      </c>
      <c r="AL173" s="14" t="s">
        <v>202</v>
      </c>
      <c r="AM173" s="10" t="s">
        <v>49</v>
      </c>
      <c r="AN173" s="15">
        <v>202300058837</v>
      </c>
      <c r="AO173" s="16" t="s">
        <v>204</v>
      </c>
      <c r="AP173" s="17">
        <v>29161.16</v>
      </c>
      <c r="AQ173" s="10" t="s">
        <v>51</v>
      </c>
      <c r="AR173" s="10" t="s">
        <v>84</v>
      </c>
      <c r="AS173" s="12">
        <v>19200</v>
      </c>
      <c r="AT173" s="10" t="s">
        <v>53</v>
      </c>
      <c r="AU173" s="10">
        <v>40151500</v>
      </c>
      <c r="AV173" s="10" t="s">
        <v>62</v>
      </c>
      <c r="AW173" s="10" t="s">
        <v>55</v>
      </c>
      <c r="AX173" s="10" t="s">
        <v>56</v>
      </c>
      <c r="AY173" s="10" t="s">
        <v>73</v>
      </c>
      <c r="AZ173" s="10" t="s">
        <v>74</v>
      </c>
      <c r="BG173" t="str">
        <v>Outbound</v>
      </c>
      <c r="BH173" t="str">
        <v>Land</v>
      </c>
      <c r="BI173" t="str">
        <v>FG-R-2198LE26</v>
      </c>
      <c r="BJ173" t="str">
        <v>JOHNSON ELECTRIC NORTH AMERICA, INC.</v>
      </c>
      <c r="BK173" t="str">
        <v xml:space="preserve">APX WH  6001 GLOBAL DISTRIBUTION WAY LOUISVILLE, KY 40228    </v>
      </c>
      <c r="BL173" t="str">
        <v>M45</v>
      </c>
      <c r="BM173" t="str">
        <v>1999-1E30015EN</v>
      </c>
      <c r="BN173" s="24">
        <v>1125</v>
      </c>
      <c r="BO173" s="23">
        <v>449.87</v>
      </c>
      <c r="BP173" s="26">
        <f t="shared" si="6"/>
        <v>3.2379746546628813E-2</v>
      </c>
      <c r="BQ173" s="21">
        <f t="shared" si="7"/>
        <v>159.26821109729775</v>
      </c>
    </row>
    <row r="174" spans="2:69" x14ac:dyDescent="0.35">
      <c r="B174" t="s">
        <v>261</v>
      </c>
      <c r="C174" t="s">
        <v>262</v>
      </c>
      <c r="D174" t="str" cm="1">
        <f t="array" ref="D174">_xlfn.REGEXEXTRACT(G174,"FG-R-\d{4}LE\d{2}")</f>
        <v>FG-R-2197LE26</v>
      </c>
      <c r="E174" t="s">
        <v>297</v>
      </c>
      <c r="F174" s="23" cm="1">
        <f t="array" ref="F174">_xlfn.SWITCH(TRUE,T174&gt;0,T174,Z174)</f>
        <v>329.88</v>
      </c>
      <c r="G174" s="10" t="s">
        <v>206</v>
      </c>
      <c r="H174" s="10" t="s">
        <v>38</v>
      </c>
      <c r="I174" s="10" t="s">
        <v>207</v>
      </c>
      <c r="J174" s="11" t="s">
        <v>187</v>
      </c>
      <c r="K174" s="11" t="s">
        <v>187</v>
      </c>
      <c r="L174" s="10" t="s">
        <v>206</v>
      </c>
      <c r="M174" s="10" t="s">
        <v>208</v>
      </c>
      <c r="N174" s="10" t="s">
        <v>43</v>
      </c>
      <c r="O174" s="10" t="s">
        <v>69</v>
      </c>
      <c r="P174" s="10" t="s">
        <v>45</v>
      </c>
      <c r="Q174" s="10" t="s">
        <v>46</v>
      </c>
      <c r="R174" s="12">
        <v>3</v>
      </c>
      <c r="S174" s="13">
        <v>254.88</v>
      </c>
      <c r="T174" s="13">
        <v>329.88</v>
      </c>
      <c r="U174" s="12">
        <v>0</v>
      </c>
      <c r="V174" s="13">
        <v>254.88</v>
      </c>
      <c r="W174" s="13">
        <v>254.88</v>
      </c>
      <c r="X174" s="12">
        <v>0</v>
      </c>
      <c r="Y174" s="13">
        <v>0</v>
      </c>
      <c r="Z174" s="13">
        <v>0</v>
      </c>
      <c r="AA174" s="12">
        <v>0</v>
      </c>
      <c r="AB174" s="13">
        <v>0</v>
      </c>
      <c r="AC174" s="13">
        <v>0</v>
      </c>
      <c r="AD174" s="12">
        <v>3</v>
      </c>
      <c r="AE174" s="12">
        <v>0</v>
      </c>
      <c r="AF174" s="12">
        <v>0</v>
      </c>
      <c r="AG174" s="12">
        <v>3</v>
      </c>
      <c r="AH174" s="12">
        <v>0</v>
      </c>
      <c r="AI174" s="12">
        <v>0</v>
      </c>
      <c r="AJ174" s="10">
        <v>6199657</v>
      </c>
      <c r="AK174" s="10" t="s">
        <v>47</v>
      </c>
      <c r="AL174" s="14" t="s">
        <v>202</v>
      </c>
      <c r="AM174" s="10" t="s">
        <v>49</v>
      </c>
      <c r="AN174" s="15">
        <v>202300058845</v>
      </c>
      <c r="AO174" s="16" t="s">
        <v>204</v>
      </c>
      <c r="AP174" s="17">
        <v>11555.28</v>
      </c>
      <c r="AQ174" s="10" t="s">
        <v>51</v>
      </c>
      <c r="AR174" s="10" t="s">
        <v>210</v>
      </c>
      <c r="AS174" s="12">
        <v>4320</v>
      </c>
      <c r="AT174" s="10" t="s">
        <v>53</v>
      </c>
      <c r="AU174" s="10">
        <v>26101200</v>
      </c>
      <c r="AV174" s="10" t="s">
        <v>78</v>
      </c>
      <c r="AW174" s="10" t="s">
        <v>55</v>
      </c>
      <c r="AX174" s="10" t="s">
        <v>56</v>
      </c>
      <c r="AY174" s="10" t="s">
        <v>79</v>
      </c>
      <c r="AZ174" s="10" t="s">
        <v>80</v>
      </c>
      <c r="BG174" t="str">
        <v>Outbound</v>
      </c>
      <c r="BH174" t="str">
        <v>Land</v>
      </c>
      <c r="BI174" t="str">
        <v>FG-R-2198LE26</v>
      </c>
      <c r="BJ174" t="str">
        <v>JOHNSON ELECTRIC NORTH AMERICA, INC.</v>
      </c>
      <c r="BK174" t="str">
        <v xml:space="preserve">APX WH  6001 GLOBAL DISTRIBUTION WAY LOUISVILLE, KY 40228    </v>
      </c>
      <c r="BL174" t="str">
        <v>M45</v>
      </c>
      <c r="BM174" t="str">
        <v>1999-1E30015EN</v>
      </c>
      <c r="BN174" s="24">
        <v>2250</v>
      </c>
      <c r="BO174" s="23">
        <v>899.74</v>
      </c>
      <c r="BP174" s="26">
        <f t="shared" si="6"/>
        <v>6.4759493093257625E-2</v>
      </c>
      <c r="BQ174" s="21">
        <f t="shared" si="7"/>
        <v>318.5364221945955</v>
      </c>
    </row>
    <row r="175" spans="2:69" x14ac:dyDescent="0.35">
      <c r="B175" t="s">
        <v>261</v>
      </c>
      <c r="C175" t="s">
        <v>262</v>
      </c>
      <c r="D175" t="str" cm="1">
        <f t="array" ref="D175">_xlfn.REGEXEXTRACT(G175,"FG-R-\d{4}LE\d{2}")</f>
        <v>FG-R-2197LE26</v>
      </c>
      <c r="E175" t="s">
        <v>297</v>
      </c>
      <c r="F175" s="23" cm="1">
        <f t="array" ref="F175">_xlfn.SWITCH(TRUE,T175&gt;0,T175,Z175)</f>
        <v>820.12</v>
      </c>
      <c r="G175" s="10" t="s">
        <v>206</v>
      </c>
      <c r="H175" s="10" t="s">
        <v>38</v>
      </c>
      <c r="I175" s="10" t="s">
        <v>207</v>
      </c>
      <c r="J175" s="11" t="s">
        <v>187</v>
      </c>
      <c r="K175" s="11" t="s">
        <v>187</v>
      </c>
      <c r="L175" s="10" t="s">
        <v>206</v>
      </c>
      <c r="M175" s="10" t="s">
        <v>208</v>
      </c>
      <c r="N175" s="10" t="s">
        <v>43</v>
      </c>
      <c r="O175" s="10" t="s">
        <v>69</v>
      </c>
      <c r="P175" s="10" t="s">
        <v>45</v>
      </c>
      <c r="Q175" s="10" t="s">
        <v>46</v>
      </c>
      <c r="R175" s="12">
        <v>7</v>
      </c>
      <c r="S175" s="13">
        <v>645.12</v>
      </c>
      <c r="T175" s="13">
        <v>820.12</v>
      </c>
      <c r="U175" s="12">
        <v>0</v>
      </c>
      <c r="V175" s="13">
        <v>645.12</v>
      </c>
      <c r="W175" s="13">
        <v>645.12</v>
      </c>
      <c r="X175" s="12">
        <v>0</v>
      </c>
      <c r="Y175" s="13">
        <v>0</v>
      </c>
      <c r="Z175" s="13">
        <v>0</v>
      </c>
      <c r="AA175" s="12">
        <v>0</v>
      </c>
      <c r="AB175" s="13">
        <v>0</v>
      </c>
      <c r="AC175" s="13">
        <v>0</v>
      </c>
      <c r="AD175" s="12">
        <v>7</v>
      </c>
      <c r="AE175" s="12">
        <v>0</v>
      </c>
      <c r="AF175" s="12">
        <v>0</v>
      </c>
      <c r="AG175" s="12">
        <v>7</v>
      </c>
      <c r="AH175" s="12">
        <v>0</v>
      </c>
      <c r="AI175" s="12">
        <v>0</v>
      </c>
      <c r="AJ175" s="10">
        <v>6199661</v>
      </c>
      <c r="AK175" s="10" t="s">
        <v>47</v>
      </c>
      <c r="AL175" s="14" t="s">
        <v>202</v>
      </c>
      <c r="AM175" s="10" t="s">
        <v>49</v>
      </c>
      <c r="AN175" s="15">
        <v>202300058855</v>
      </c>
      <c r="AO175" s="16" t="s">
        <v>203</v>
      </c>
      <c r="AP175" s="17">
        <v>27990.27</v>
      </c>
      <c r="AQ175" s="10" t="s">
        <v>51</v>
      </c>
      <c r="AR175" s="10" t="s">
        <v>83</v>
      </c>
      <c r="AS175" s="12">
        <v>10080</v>
      </c>
      <c r="AT175" s="10" t="s">
        <v>53</v>
      </c>
      <c r="AU175" s="10">
        <v>26101200</v>
      </c>
      <c r="AV175" s="10" t="s">
        <v>78</v>
      </c>
      <c r="AW175" s="10" t="s">
        <v>55</v>
      </c>
      <c r="AX175" s="10" t="s">
        <v>56</v>
      </c>
      <c r="AY175" s="10" t="s">
        <v>79</v>
      </c>
      <c r="AZ175" s="10" t="s">
        <v>80</v>
      </c>
      <c r="BG175" t="str">
        <v>Outbound</v>
      </c>
      <c r="BH175" t="str">
        <v>Land</v>
      </c>
      <c r="BI175" t="str">
        <v>FG-R-2198LE26</v>
      </c>
      <c r="BJ175" t="str">
        <v>JOHNSON ELECTRIC NORTH AMERICA, INC.</v>
      </c>
      <c r="BK175" t="str">
        <v xml:space="preserve">APX WH  6001 GLOBAL DISTRIBUTION WAY LOUISVILLE, KY 40228    </v>
      </c>
      <c r="BL175" t="str">
        <v>M45</v>
      </c>
      <c r="BM175" t="str">
        <v>1999-1E30015EN</v>
      </c>
      <c r="BN175" s="24">
        <v>7875</v>
      </c>
      <c r="BO175" s="23">
        <v>3149.09</v>
      </c>
      <c r="BP175" s="26">
        <f t="shared" si="6"/>
        <v>0.22665822582640172</v>
      </c>
      <c r="BQ175" s="21">
        <f t="shared" si="7"/>
        <v>1114.8774776810844</v>
      </c>
    </row>
    <row r="176" spans="2:69" x14ac:dyDescent="0.35">
      <c r="B176" t="s">
        <v>261</v>
      </c>
      <c r="C176" t="s">
        <v>262</v>
      </c>
      <c r="D176" t="str" cm="1">
        <f t="array" ref="D176">_xlfn.REGEXEXTRACT(G176,"FG-R-\d{4}LE\d{2}")</f>
        <v>FG-R-2197LE26</v>
      </c>
      <c r="E176" t="s">
        <v>298</v>
      </c>
      <c r="F176" s="23" cm="1">
        <f t="array" ref="F176">_xlfn.SWITCH(TRUE,T176&gt;0,T176,Z176)</f>
        <v>122.44</v>
      </c>
      <c r="G176" s="10" t="s">
        <v>206</v>
      </c>
      <c r="H176" s="10" t="s">
        <v>38</v>
      </c>
      <c r="I176" s="10" t="s">
        <v>207</v>
      </c>
      <c r="J176" s="11" t="s">
        <v>187</v>
      </c>
      <c r="K176" s="11" t="s">
        <v>187</v>
      </c>
      <c r="L176" s="10" t="s">
        <v>206</v>
      </c>
      <c r="M176" s="10" t="s">
        <v>208</v>
      </c>
      <c r="N176" s="10" t="s">
        <v>43</v>
      </c>
      <c r="O176" s="10" t="s">
        <v>69</v>
      </c>
      <c r="P176" s="10" t="s">
        <v>45</v>
      </c>
      <c r="Q176" s="10" t="s">
        <v>46</v>
      </c>
      <c r="R176" s="12">
        <v>1</v>
      </c>
      <c r="S176" s="13">
        <v>101.44</v>
      </c>
      <c r="T176" s="13">
        <v>122.44</v>
      </c>
      <c r="U176" s="12">
        <v>50</v>
      </c>
      <c r="V176" s="13">
        <v>26.44</v>
      </c>
      <c r="W176" s="13">
        <v>101.44</v>
      </c>
      <c r="X176" s="12">
        <v>0</v>
      </c>
      <c r="Y176" s="13">
        <v>0</v>
      </c>
      <c r="Z176" s="13">
        <v>0</v>
      </c>
      <c r="AA176" s="12">
        <v>0</v>
      </c>
      <c r="AB176" s="13">
        <v>0</v>
      </c>
      <c r="AC176" s="13">
        <v>0</v>
      </c>
      <c r="AD176" s="12">
        <v>1</v>
      </c>
      <c r="AE176" s="12">
        <v>0</v>
      </c>
      <c r="AF176" s="12">
        <v>0</v>
      </c>
      <c r="AG176" s="12">
        <v>1</v>
      </c>
      <c r="AH176" s="12">
        <v>0</v>
      </c>
      <c r="AI176" s="12">
        <v>0</v>
      </c>
      <c r="AJ176" s="10">
        <v>6199667</v>
      </c>
      <c r="AK176" s="10" t="s">
        <v>47</v>
      </c>
      <c r="AL176" s="14" t="s">
        <v>202</v>
      </c>
      <c r="AM176" s="10" t="s">
        <v>49</v>
      </c>
      <c r="AN176" s="15">
        <v>202300058839</v>
      </c>
      <c r="AO176" s="16" t="s">
        <v>204</v>
      </c>
      <c r="AP176" s="17">
        <v>1346.81</v>
      </c>
      <c r="AQ176" s="10" t="s">
        <v>51</v>
      </c>
      <c r="AR176" s="10" t="s">
        <v>86</v>
      </c>
      <c r="AS176" s="12">
        <v>200</v>
      </c>
      <c r="AT176" s="10" t="s">
        <v>53</v>
      </c>
      <c r="AU176" s="10">
        <v>26101100</v>
      </c>
      <c r="AV176" s="10" t="s">
        <v>87</v>
      </c>
      <c r="AW176" s="10" t="s">
        <v>55</v>
      </c>
      <c r="AX176" s="10" t="s">
        <v>56</v>
      </c>
      <c r="AY176" s="10" t="s">
        <v>79</v>
      </c>
      <c r="AZ176" s="10" t="s">
        <v>80</v>
      </c>
      <c r="BG176" t="str">
        <v>Outbound</v>
      </c>
      <c r="BH176" t="str">
        <v>Land</v>
      </c>
      <c r="BI176" t="str">
        <v>FG-R-2198LE26</v>
      </c>
      <c r="BJ176" t="str">
        <v>JOHNSON ELECTRIC NORTH AMERICA, INC.</v>
      </c>
      <c r="BK176" t="str">
        <v xml:space="preserve">APX WH  6001 GLOBAL DISTRIBUTION WAY LOUISVILLE, KY 40228    </v>
      </c>
      <c r="BL176" t="str">
        <v>M45</v>
      </c>
      <c r="BM176" t="str">
        <v>1999-1E30015EN</v>
      </c>
      <c r="BN176" s="24">
        <v>6750</v>
      </c>
      <c r="BO176" s="23">
        <v>2699.22</v>
      </c>
      <c r="BP176" s="26">
        <f t="shared" si="6"/>
        <v>0.19427847927977288</v>
      </c>
      <c r="BQ176" s="21">
        <f t="shared" si="7"/>
        <v>955.60926658378662</v>
      </c>
    </row>
    <row r="177" spans="2:69" x14ac:dyDescent="0.35">
      <c r="B177" t="s">
        <v>261</v>
      </c>
      <c r="C177" t="s">
        <v>262</v>
      </c>
      <c r="D177" t="str" cm="1">
        <f t="array" ref="D177">_xlfn.REGEXEXTRACT(G177,"FG-R-\d{4}LE\d{2}")</f>
        <v>FG-R-2197LE26</v>
      </c>
      <c r="E177" t="s">
        <v>298</v>
      </c>
      <c r="F177" s="23" cm="1">
        <f t="array" ref="F177">_xlfn.SWITCH(TRUE,T177&gt;0,T177,Z177)</f>
        <v>122.44</v>
      </c>
      <c r="G177" s="10" t="s">
        <v>206</v>
      </c>
      <c r="H177" s="10" t="s">
        <v>38</v>
      </c>
      <c r="I177" s="10" t="s">
        <v>207</v>
      </c>
      <c r="J177" s="11" t="s">
        <v>187</v>
      </c>
      <c r="K177" s="11" t="s">
        <v>187</v>
      </c>
      <c r="L177" s="10" t="s">
        <v>206</v>
      </c>
      <c r="M177" s="10" t="s">
        <v>208</v>
      </c>
      <c r="N177" s="10" t="s">
        <v>43</v>
      </c>
      <c r="O177" s="10" t="s">
        <v>69</v>
      </c>
      <c r="P177" s="10" t="s">
        <v>45</v>
      </c>
      <c r="Q177" s="10" t="s">
        <v>46</v>
      </c>
      <c r="R177" s="12">
        <v>1</v>
      </c>
      <c r="S177" s="13">
        <v>101.44</v>
      </c>
      <c r="T177" s="13">
        <v>122.44</v>
      </c>
      <c r="U177" s="12">
        <v>50</v>
      </c>
      <c r="V177" s="13">
        <v>26.44</v>
      </c>
      <c r="W177" s="13">
        <v>101.44</v>
      </c>
      <c r="X177" s="12">
        <v>0</v>
      </c>
      <c r="Y177" s="13">
        <v>0</v>
      </c>
      <c r="Z177" s="13">
        <v>0</v>
      </c>
      <c r="AA177" s="12">
        <v>0</v>
      </c>
      <c r="AB177" s="13">
        <v>0</v>
      </c>
      <c r="AC177" s="13">
        <v>0</v>
      </c>
      <c r="AD177" s="12">
        <v>1</v>
      </c>
      <c r="AE177" s="12">
        <v>0</v>
      </c>
      <c r="AF177" s="12">
        <v>0</v>
      </c>
      <c r="AG177" s="12">
        <v>1</v>
      </c>
      <c r="AH177" s="12">
        <v>0</v>
      </c>
      <c r="AI177" s="12">
        <v>0</v>
      </c>
      <c r="AJ177" s="10">
        <v>6199670</v>
      </c>
      <c r="AK177" s="10" t="s">
        <v>47</v>
      </c>
      <c r="AL177" s="14" t="s">
        <v>202</v>
      </c>
      <c r="AM177" s="10" t="s">
        <v>49</v>
      </c>
      <c r="AN177" s="15">
        <v>202300058840</v>
      </c>
      <c r="AO177" s="16" t="s">
        <v>204</v>
      </c>
      <c r="AP177" s="17">
        <v>1346.81</v>
      </c>
      <c r="AQ177" s="10" t="s">
        <v>51</v>
      </c>
      <c r="AR177" s="10" t="s">
        <v>86</v>
      </c>
      <c r="AS177" s="12">
        <v>200</v>
      </c>
      <c r="AT177" s="10" t="s">
        <v>53</v>
      </c>
      <c r="AU177" s="10">
        <v>26101100</v>
      </c>
      <c r="AV177" s="10" t="s">
        <v>87</v>
      </c>
      <c r="AW177" s="10" t="s">
        <v>55</v>
      </c>
      <c r="AX177" s="10" t="s">
        <v>56</v>
      </c>
      <c r="AY177" s="10" t="s">
        <v>79</v>
      </c>
      <c r="AZ177" s="10" t="s">
        <v>80</v>
      </c>
      <c r="BG177" t="str">
        <v>Outbound</v>
      </c>
      <c r="BH177" t="str">
        <v>Land</v>
      </c>
      <c r="BI177" t="str">
        <v>FG-R-2198LE26</v>
      </c>
      <c r="BJ177" t="str">
        <v>JOHNSON ELECTRIC NORTH AMERICA, INC.</v>
      </c>
      <c r="BK177" t="str">
        <v xml:space="preserve">APX WH  6001 GLOBAL DISTRIBUTION WAY LOUISVILLE, KY 40228    </v>
      </c>
      <c r="BL177" t="str">
        <v>M45</v>
      </c>
      <c r="BM177" t="str">
        <v>1999-1E30015EN</v>
      </c>
      <c r="BN177" s="24">
        <v>2250</v>
      </c>
      <c r="BO177" s="23">
        <v>899.74</v>
      </c>
      <c r="BP177" s="26">
        <f t="shared" si="6"/>
        <v>6.4759493093257625E-2</v>
      </c>
      <c r="BQ177" s="21">
        <f t="shared" si="7"/>
        <v>318.5364221945955</v>
      </c>
    </row>
    <row r="178" spans="2:69" x14ac:dyDescent="0.35">
      <c r="B178" t="s">
        <v>261</v>
      </c>
      <c r="C178" t="s">
        <v>262</v>
      </c>
      <c r="D178" t="str" cm="1">
        <f t="array" ref="D178">_xlfn.REGEXEXTRACT(G178,"FG-R-\d{4}LE\d{2}")</f>
        <v>FG-R-2197LE26</v>
      </c>
      <c r="E178" t="s">
        <v>298</v>
      </c>
      <c r="F178" s="23" cm="1">
        <f t="array" ref="F178">_xlfn.SWITCH(TRUE,T178&gt;0,T178,Z178)</f>
        <v>62.44</v>
      </c>
      <c r="G178" s="10" t="s">
        <v>206</v>
      </c>
      <c r="H178" s="10" t="s">
        <v>38</v>
      </c>
      <c r="I178" s="10" t="s">
        <v>207</v>
      </c>
      <c r="J178" s="11" t="s">
        <v>187</v>
      </c>
      <c r="K178" s="11" t="s">
        <v>187</v>
      </c>
      <c r="L178" s="10" t="s">
        <v>206</v>
      </c>
      <c r="M178" s="10" t="s">
        <v>208</v>
      </c>
      <c r="N178" s="10" t="s">
        <v>43</v>
      </c>
      <c r="O178" s="10" t="s">
        <v>69</v>
      </c>
      <c r="P178" s="10" t="s">
        <v>45</v>
      </c>
      <c r="Q178" s="10" t="s">
        <v>46</v>
      </c>
      <c r="R178" s="12">
        <v>0</v>
      </c>
      <c r="S178" s="13">
        <v>0</v>
      </c>
      <c r="T178" s="13">
        <v>0</v>
      </c>
      <c r="U178" s="12">
        <v>0</v>
      </c>
      <c r="V178" s="13">
        <v>0</v>
      </c>
      <c r="W178" s="13">
        <v>0</v>
      </c>
      <c r="X178" s="12">
        <v>1</v>
      </c>
      <c r="Y178" s="13">
        <v>41.44</v>
      </c>
      <c r="Z178" s="13">
        <v>62.44</v>
      </c>
      <c r="AA178" s="12">
        <v>10</v>
      </c>
      <c r="AB178" s="13">
        <v>26.44</v>
      </c>
      <c r="AC178" s="13">
        <v>41.44</v>
      </c>
      <c r="AD178" s="12">
        <v>1</v>
      </c>
      <c r="AE178" s="12">
        <v>0</v>
      </c>
      <c r="AF178" s="12">
        <v>0</v>
      </c>
      <c r="AG178" s="12">
        <v>1</v>
      </c>
      <c r="AH178" s="12">
        <v>0</v>
      </c>
      <c r="AI178" s="12">
        <v>0</v>
      </c>
      <c r="AJ178" s="10">
        <v>6199672</v>
      </c>
      <c r="AK178" s="10" t="s">
        <v>47</v>
      </c>
      <c r="AL178" s="14" t="s">
        <v>202</v>
      </c>
      <c r="AM178" s="10" t="s">
        <v>49</v>
      </c>
      <c r="AN178" s="15">
        <v>202300058844</v>
      </c>
      <c r="AO178" s="16" t="s">
        <v>204</v>
      </c>
      <c r="AP178" s="17">
        <v>1328.25</v>
      </c>
      <c r="AQ178" s="10" t="s">
        <v>51</v>
      </c>
      <c r="AR178" s="10" t="s">
        <v>211</v>
      </c>
      <c r="AS178" s="12">
        <v>200</v>
      </c>
      <c r="AT178" s="10" t="s">
        <v>53</v>
      </c>
      <c r="AU178" s="10">
        <v>26101100</v>
      </c>
      <c r="AV178" s="10" t="s">
        <v>87</v>
      </c>
      <c r="AW178" s="10" t="s">
        <v>55</v>
      </c>
      <c r="AX178" s="10" t="s">
        <v>56</v>
      </c>
      <c r="AY178" s="10" t="s">
        <v>79</v>
      </c>
      <c r="AZ178" s="10" t="s">
        <v>80</v>
      </c>
      <c r="BG178" t="str">
        <v>Outbound</v>
      </c>
      <c r="BH178" t="str">
        <v>Land</v>
      </c>
      <c r="BI178" t="str">
        <v>FG-R-2198LE26</v>
      </c>
      <c r="BJ178" t="str">
        <v>JOHNSON ELECTRIC NORTH AMERICA, INC.</v>
      </c>
      <c r="BK178" t="str">
        <v xml:space="preserve">APX WH  6001 GLOBAL DISTRIBUTION WAY LOUISVILLE, KY 40228    </v>
      </c>
      <c r="BL178" t="str">
        <v>M45</v>
      </c>
      <c r="BM178" t="str">
        <v>1999-1E30015EN</v>
      </c>
      <c r="BN178" s="24">
        <v>6750</v>
      </c>
      <c r="BO178" s="23">
        <v>2699.22</v>
      </c>
      <c r="BP178" s="26">
        <f t="shared" si="6"/>
        <v>0.19427847927977288</v>
      </c>
      <c r="BQ178" s="21">
        <f t="shared" si="7"/>
        <v>955.60926658378662</v>
      </c>
    </row>
    <row r="179" spans="2:69" x14ac:dyDescent="0.35">
      <c r="B179" t="s">
        <v>261</v>
      </c>
      <c r="C179" t="s">
        <v>262</v>
      </c>
      <c r="D179" t="str" cm="1">
        <f t="array" ref="D179">_xlfn.REGEXEXTRACT(G179,"FG-R-\d{4}LE\d{2}")</f>
        <v>FG-R-2197LE26</v>
      </c>
      <c r="E179" t="s">
        <v>298</v>
      </c>
      <c r="F179" s="23" cm="1">
        <f t="array" ref="F179">_xlfn.SWITCH(TRUE,T179&gt;0,T179,Z179)</f>
        <v>62.46</v>
      </c>
      <c r="G179" s="10" t="s">
        <v>206</v>
      </c>
      <c r="H179" s="10" t="s">
        <v>38</v>
      </c>
      <c r="I179" s="10" t="s">
        <v>207</v>
      </c>
      <c r="J179" s="11" t="s">
        <v>187</v>
      </c>
      <c r="K179" s="11" t="s">
        <v>187</v>
      </c>
      <c r="L179" s="10" t="s">
        <v>206</v>
      </c>
      <c r="M179" s="10" t="s">
        <v>208</v>
      </c>
      <c r="N179" s="10" t="s">
        <v>43</v>
      </c>
      <c r="O179" s="10" t="s">
        <v>69</v>
      </c>
      <c r="P179" s="10" t="s">
        <v>45</v>
      </c>
      <c r="Q179" s="10" t="s">
        <v>46</v>
      </c>
      <c r="R179" s="12">
        <v>0</v>
      </c>
      <c r="S179" s="13">
        <v>0</v>
      </c>
      <c r="T179" s="13">
        <v>0</v>
      </c>
      <c r="U179" s="12">
        <v>0</v>
      </c>
      <c r="V179" s="13">
        <v>0</v>
      </c>
      <c r="W179" s="13">
        <v>0</v>
      </c>
      <c r="X179" s="12">
        <v>1</v>
      </c>
      <c r="Y179" s="13">
        <v>41.46</v>
      </c>
      <c r="Z179" s="13">
        <v>62.46</v>
      </c>
      <c r="AA179" s="12">
        <v>10</v>
      </c>
      <c r="AB179" s="13">
        <v>26.46</v>
      </c>
      <c r="AC179" s="13">
        <v>41.46</v>
      </c>
      <c r="AD179" s="12">
        <v>1</v>
      </c>
      <c r="AE179" s="12">
        <v>0</v>
      </c>
      <c r="AF179" s="12">
        <v>0</v>
      </c>
      <c r="AG179" s="12">
        <v>1</v>
      </c>
      <c r="AH179" s="12">
        <v>0</v>
      </c>
      <c r="AI179" s="12">
        <v>0</v>
      </c>
      <c r="AJ179" s="10">
        <v>6199641</v>
      </c>
      <c r="AK179" s="10" t="s">
        <v>47</v>
      </c>
      <c r="AL179" s="14" t="s">
        <v>202</v>
      </c>
      <c r="AM179" s="10" t="s">
        <v>49</v>
      </c>
      <c r="AN179" s="15">
        <v>202300058842</v>
      </c>
      <c r="AO179" s="16" t="s">
        <v>204</v>
      </c>
      <c r="AP179" s="17">
        <v>1328.25</v>
      </c>
      <c r="AQ179" s="10" t="s">
        <v>51</v>
      </c>
      <c r="AR179" s="10" t="s">
        <v>89</v>
      </c>
      <c r="AS179" s="12">
        <v>200</v>
      </c>
      <c r="AT179" s="10" t="s">
        <v>53</v>
      </c>
      <c r="AU179" s="10">
        <v>26101100</v>
      </c>
      <c r="AV179" s="10" t="s">
        <v>87</v>
      </c>
      <c r="AW179" s="10" t="s">
        <v>55</v>
      </c>
      <c r="AX179" s="10" t="s">
        <v>56</v>
      </c>
      <c r="AY179" s="10" t="s">
        <v>79</v>
      </c>
      <c r="AZ179" s="10" t="s">
        <v>80</v>
      </c>
      <c r="BG179" t="str">
        <v>Outbound</v>
      </c>
      <c r="BH179" t="str">
        <v>Land</v>
      </c>
      <c r="BI179" t="str">
        <v>FG-R-2198LE26</v>
      </c>
      <c r="BJ179" t="str">
        <v>JOHNSON ELECTRIC NORTH AMERICA, INC.</v>
      </c>
      <c r="BK179" t="str">
        <v xml:space="preserve">APX WH  6001 GLOBAL DISTRIBUTION WAY LOUISVILLE, KY 40228    </v>
      </c>
      <c r="BL179" t="str">
        <v>M45</v>
      </c>
      <c r="BM179" t="str">
        <v>1999-1E30015EN</v>
      </c>
      <c r="BN179" s="24">
        <v>2250</v>
      </c>
      <c r="BO179" s="23">
        <v>899.74</v>
      </c>
      <c r="BP179" s="26">
        <f t="shared" si="6"/>
        <v>6.4759493093257625E-2</v>
      </c>
      <c r="BQ179" s="21">
        <f t="shared" si="7"/>
        <v>318.5364221945955</v>
      </c>
    </row>
    <row r="180" spans="2:69" x14ac:dyDescent="0.35">
      <c r="B180" t="s">
        <v>261</v>
      </c>
      <c r="C180" t="s">
        <v>262</v>
      </c>
      <c r="D180" t="str" cm="1">
        <f t="array" ref="D180">_xlfn.REGEXEXTRACT(G180,"FG-R-\d{4}LE\d{2}")</f>
        <v>FG-R-2197LE26</v>
      </c>
      <c r="E180" t="s">
        <v>298</v>
      </c>
      <c r="F180" s="23" cm="1">
        <f t="array" ref="F180">_xlfn.SWITCH(TRUE,T180&gt;0,T180,Z180)</f>
        <v>714</v>
      </c>
      <c r="G180" s="10" t="s">
        <v>206</v>
      </c>
      <c r="H180" s="10" t="s">
        <v>38</v>
      </c>
      <c r="I180" s="10" t="s">
        <v>207</v>
      </c>
      <c r="J180" s="11" t="s">
        <v>187</v>
      </c>
      <c r="K180" s="11" t="s">
        <v>187</v>
      </c>
      <c r="L180" s="10" t="s">
        <v>206</v>
      </c>
      <c r="M180" s="10" t="s">
        <v>208</v>
      </c>
      <c r="N180" s="10" t="s">
        <v>43</v>
      </c>
      <c r="O180" s="10" t="s">
        <v>69</v>
      </c>
      <c r="P180" s="10" t="s">
        <v>45</v>
      </c>
      <c r="Q180" s="10" t="s">
        <v>46</v>
      </c>
      <c r="R180" s="12">
        <v>2</v>
      </c>
      <c r="S180" s="13">
        <v>672</v>
      </c>
      <c r="T180" s="13">
        <v>714</v>
      </c>
      <c r="U180" s="12">
        <v>250</v>
      </c>
      <c r="V180" s="13">
        <v>297</v>
      </c>
      <c r="W180" s="13">
        <v>672</v>
      </c>
      <c r="X180" s="12">
        <v>0</v>
      </c>
      <c r="Y180" s="13">
        <v>0</v>
      </c>
      <c r="Z180" s="13">
        <v>0</v>
      </c>
      <c r="AA180" s="12">
        <v>0</v>
      </c>
      <c r="AB180" s="13">
        <v>0</v>
      </c>
      <c r="AC180" s="13">
        <v>0</v>
      </c>
      <c r="AD180" s="12">
        <v>2</v>
      </c>
      <c r="AE180" s="12">
        <v>0</v>
      </c>
      <c r="AF180" s="12">
        <v>0</v>
      </c>
      <c r="AG180" s="12">
        <v>2</v>
      </c>
      <c r="AH180" s="12">
        <v>0</v>
      </c>
      <c r="AI180" s="12">
        <v>0</v>
      </c>
      <c r="AJ180" s="10">
        <v>6199642</v>
      </c>
      <c r="AK180" s="10" t="s">
        <v>47</v>
      </c>
      <c r="AL180" s="14" t="s">
        <v>202</v>
      </c>
      <c r="AM180" s="10" t="s">
        <v>49</v>
      </c>
      <c r="AN180" s="15">
        <v>202300058841</v>
      </c>
      <c r="AO180" s="16" t="s">
        <v>204</v>
      </c>
      <c r="AP180" s="17">
        <v>10903.48</v>
      </c>
      <c r="AQ180" s="10" t="s">
        <v>51</v>
      </c>
      <c r="AR180" s="10" t="s">
        <v>130</v>
      </c>
      <c r="AS180" s="12">
        <v>1500</v>
      </c>
      <c r="AT180" s="10" t="s">
        <v>53</v>
      </c>
      <c r="AU180" s="10">
        <v>26101100</v>
      </c>
      <c r="AV180" s="10" t="s">
        <v>87</v>
      </c>
      <c r="AW180" s="10" t="s">
        <v>55</v>
      </c>
      <c r="AX180" s="10" t="s">
        <v>56</v>
      </c>
      <c r="AY180" s="10" t="s">
        <v>79</v>
      </c>
      <c r="AZ180" s="10" t="s">
        <v>80</v>
      </c>
      <c r="BG180" t="str">
        <v>Outbound</v>
      </c>
      <c r="BH180" t="str">
        <v>Land</v>
      </c>
      <c r="BI180" t="str">
        <v>FG-R-2198LE26</v>
      </c>
      <c r="BJ180" t="str">
        <v>JOHNSON ELECTRIC NORTH AMERICA, INC.</v>
      </c>
      <c r="BK180" t="str">
        <v xml:space="preserve">APX WH  6001 GLOBAL DISTRIBUTION WAY LOUISVILLE, KY 40228    </v>
      </c>
      <c r="BL180" t="str">
        <v>M45</v>
      </c>
      <c r="BM180" t="str">
        <v>1999-1E30015EN</v>
      </c>
      <c r="BN180" s="24">
        <v>4500</v>
      </c>
      <c r="BO180" s="23">
        <v>1799.48</v>
      </c>
      <c r="BP180" s="26">
        <f t="shared" si="6"/>
        <v>0.12951898618651525</v>
      </c>
      <c r="BQ180" s="21">
        <f t="shared" si="7"/>
        <v>637.072844389191</v>
      </c>
    </row>
    <row r="181" spans="2:69" x14ac:dyDescent="0.35">
      <c r="B181" t="s">
        <v>261</v>
      </c>
      <c r="C181" t="s">
        <v>262</v>
      </c>
      <c r="D181" t="str" cm="1">
        <f t="array" ref="D181">_xlfn.REGEXEXTRACT(G181,"FG-R-\d{4}LE\d{2}")</f>
        <v>FG-R-2195LE26</v>
      </c>
      <c r="E181" t="s">
        <v>299</v>
      </c>
      <c r="F181" s="23" cm="1">
        <f t="array" ref="F181">_xlfn.SWITCH(TRUE,T181&gt;0,T181,Z181)</f>
        <v>4248.558</v>
      </c>
      <c r="G181" s="10" t="s">
        <v>212</v>
      </c>
      <c r="H181" s="10" t="s">
        <v>172</v>
      </c>
      <c r="I181" s="10" t="s">
        <v>213</v>
      </c>
      <c r="J181" s="11" t="s">
        <v>214</v>
      </c>
      <c r="K181" s="11" t="s">
        <v>214</v>
      </c>
      <c r="L181" s="10" t="s">
        <v>212</v>
      </c>
      <c r="M181" s="10" t="s">
        <v>215</v>
      </c>
      <c r="N181" s="10" t="s">
        <v>93</v>
      </c>
      <c r="O181" s="10" t="s">
        <v>115</v>
      </c>
      <c r="P181" s="10" t="s">
        <v>95</v>
      </c>
      <c r="Q181" s="10" t="s">
        <v>96</v>
      </c>
      <c r="R181" s="12">
        <v>9</v>
      </c>
      <c r="S181" s="13">
        <v>4059.558</v>
      </c>
      <c r="T181" s="13">
        <v>4248.558</v>
      </c>
      <c r="U181" s="12">
        <v>486</v>
      </c>
      <c r="V181" s="13">
        <v>3812.67</v>
      </c>
      <c r="W181" s="13">
        <v>4059.558</v>
      </c>
      <c r="X181" s="12">
        <v>0</v>
      </c>
      <c r="Y181" s="13">
        <v>0</v>
      </c>
      <c r="Z181" s="13">
        <v>0</v>
      </c>
      <c r="AA181" s="12">
        <v>0</v>
      </c>
      <c r="AB181" s="13">
        <v>0</v>
      </c>
      <c r="AC181" s="13">
        <v>0</v>
      </c>
      <c r="AD181" s="12">
        <v>9</v>
      </c>
      <c r="AE181" s="12">
        <v>0</v>
      </c>
      <c r="AF181" s="12">
        <v>0</v>
      </c>
      <c r="AG181" s="12">
        <v>9</v>
      </c>
      <c r="AH181" s="12">
        <v>0</v>
      </c>
      <c r="AI181" s="12">
        <v>0</v>
      </c>
      <c r="AJ181" s="10">
        <v>6199504</v>
      </c>
      <c r="AK181" s="10" t="s">
        <v>47</v>
      </c>
      <c r="AL181" s="14" t="s">
        <v>202</v>
      </c>
      <c r="AM181" s="10" t="s">
        <v>97</v>
      </c>
      <c r="AN181" s="15">
        <v>202000290288</v>
      </c>
      <c r="AO181" s="16" t="s">
        <v>204</v>
      </c>
      <c r="AP181" s="17">
        <v>95064.21</v>
      </c>
      <c r="AQ181" s="10" t="s">
        <v>51</v>
      </c>
      <c r="AR181" s="10" t="s">
        <v>176</v>
      </c>
      <c r="AS181" s="12">
        <v>1458</v>
      </c>
      <c r="AT181" s="10" t="s">
        <v>53</v>
      </c>
      <c r="AU181" s="10">
        <v>26101200</v>
      </c>
      <c r="AV181" s="10" t="s">
        <v>78</v>
      </c>
      <c r="AW181" s="10" t="s">
        <v>55</v>
      </c>
      <c r="AX181" s="10" t="s">
        <v>56</v>
      </c>
      <c r="AY181" s="10" t="s">
        <v>102</v>
      </c>
      <c r="AZ181" s="10" t="s">
        <v>103</v>
      </c>
      <c r="BG181" t="str">
        <v>Outbound</v>
      </c>
      <c r="BH181" t="str">
        <v>Land</v>
      </c>
      <c r="BI181" t="str">
        <v>FG-R-2198LE26</v>
      </c>
      <c r="BJ181" t="str">
        <v>JOHNSON ELECTRIC NORTH AMERICA, INC.</v>
      </c>
      <c r="BK181" t="str">
        <v xml:space="preserve">(TDS) Transcontinental Distribution Services, Inc 14213 Transportation Ave    </v>
      </c>
      <c r="BL181" t="str">
        <v>M23</v>
      </c>
      <c r="BM181" t="str">
        <v>1908-1E90003RN</v>
      </c>
      <c r="BN181" s="24">
        <v>120</v>
      </c>
      <c r="BO181" s="23">
        <v>219.76</v>
      </c>
      <c r="BP181" s="26">
        <f t="shared" si="6"/>
        <v>1.5817398584229106E-2</v>
      </c>
      <c r="BQ181" s="21">
        <f t="shared" si="7"/>
        <v>77.801991843737426</v>
      </c>
    </row>
    <row r="182" spans="2:69" x14ac:dyDescent="0.35">
      <c r="B182" t="s">
        <v>261</v>
      </c>
      <c r="C182" t="s">
        <v>262</v>
      </c>
      <c r="D182" t="str" cm="1">
        <f t="array" ref="D182">_xlfn.REGEXEXTRACT(G182,"FG-R-\d{4}LE\d{2}")</f>
        <v>FG-R-2195LE26</v>
      </c>
      <c r="E182" t="s">
        <v>299</v>
      </c>
      <c r="F182" s="23" cm="1">
        <f t="array" ref="F182">_xlfn.SWITCH(TRUE,T182&gt;0,T182,Z182)</f>
        <v>3279.864</v>
      </c>
      <c r="G182" s="10" t="s">
        <v>212</v>
      </c>
      <c r="H182" s="10" t="s">
        <v>172</v>
      </c>
      <c r="I182" s="10" t="s">
        <v>213</v>
      </c>
      <c r="J182" s="11" t="s">
        <v>214</v>
      </c>
      <c r="K182" s="11" t="s">
        <v>214</v>
      </c>
      <c r="L182" s="10" t="s">
        <v>212</v>
      </c>
      <c r="M182" s="10" t="s">
        <v>215</v>
      </c>
      <c r="N182" s="10" t="s">
        <v>93</v>
      </c>
      <c r="O182" s="10" t="s">
        <v>94</v>
      </c>
      <c r="P182" s="10" t="s">
        <v>95</v>
      </c>
      <c r="Q182" s="10" t="s">
        <v>96</v>
      </c>
      <c r="R182" s="12">
        <v>7</v>
      </c>
      <c r="S182" s="13">
        <v>3132.864</v>
      </c>
      <c r="T182" s="13">
        <v>3279.864</v>
      </c>
      <c r="U182" s="12">
        <v>378</v>
      </c>
      <c r="V182" s="13">
        <v>2940.84</v>
      </c>
      <c r="W182" s="13">
        <v>3132.864</v>
      </c>
      <c r="X182" s="12">
        <v>0</v>
      </c>
      <c r="Y182" s="13">
        <v>0</v>
      </c>
      <c r="Z182" s="13">
        <v>0</v>
      </c>
      <c r="AA182" s="12">
        <v>0</v>
      </c>
      <c r="AB182" s="13">
        <v>0</v>
      </c>
      <c r="AC182" s="13">
        <v>0</v>
      </c>
      <c r="AD182" s="12">
        <v>7</v>
      </c>
      <c r="AE182" s="12">
        <v>0</v>
      </c>
      <c r="AF182" s="12">
        <v>0</v>
      </c>
      <c r="AG182" s="12">
        <v>7</v>
      </c>
      <c r="AH182" s="12">
        <v>0</v>
      </c>
      <c r="AI182" s="12">
        <v>0</v>
      </c>
      <c r="AJ182" s="10">
        <v>6199506</v>
      </c>
      <c r="AK182" s="10" t="s">
        <v>47</v>
      </c>
      <c r="AL182" s="14" t="s">
        <v>202</v>
      </c>
      <c r="AM182" s="10" t="s">
        <v>97</v>
      </c>
      <c r="AN182" s="15">
        <v>202000290291</v>
      </c>
      <c r="AO182" s="16" t="s">
        <v>204</v>
      </c>
      <c r="AP182" s="17">
        <v>20016.439999999999</v>
      </c>
      <c r="AQ182" s="10" t="s">
        <v>51</v>
      </c>
      <c r="AR182" s="10" t="s">
        <v>98</v>
      </c>
      <c r="AS182" s="12">
        <v>1512</v>
      </c>
      <c r="AT182" s="10" t="s">
        <v>53</v>
      </c>
      <c r="AU182" s="10">
        <v>26101200</v>
      </c>
      <c r="AV182" s="10" t="s">
        <v>78</v>
      </c>
      <c r="AW182" s="10" t="s">
        <v>55</v>
      </c>
      <c r="AX182" s="10" t="s">
        <v>56</v>
      </c>
      <c r="AY182" s="10" t="s">
        <v>99</v>
      </c>
      <c r="AZ182" s="10" t="s">
        <v>100</v>
      </c>
      <c r="BG182" t="str">
        <v>Outbound</v>
      </c>
      <c r="BH182" t="str">
        <v>Land</v>
      </c>
      <c r="BI182" t="str">
        <v>FG-R-2199LE26</v>
      </c>
      <c r="BJ182" t="str">
        <v>SAIA-BURGESS AUTOMOTIVE ACTUATORS, LLC</v>
      </c>
      <c r="BK182" t="str">
        <v xml:space="preserve">755 Bill Jones Drive      </v>
      </c>
      <c r="BL182" t="str">
        <v>M19</v>
      </c>
      <c r="BM182" t="str">
        <v>1999-5YY1255EN</v>
      </c>
      <c r="BN182" s="24">
        <v>1080</v>
      </c>
      <c r="BO182" s="23">
        <v>2342.7600000000002</v>
      </c>
      <c r="BP182" s="26">
        <f t="shared" si="6"/>
        <v>7.8210629883407171E-2</v>
      </c>
      <c r="BQ182" s="21">
        <f t="shared" si="7"/>
        <v>384.69933952030925</v>
      </c>
    </row>
    <row r="183" spans="2:69" x14ac:dyDescent="0.35">
      <c r="B183" t="s">
        <v>261</v>
      </c>
      <c r="C183" t="s">
        <v>262</v>
      </c>
      <c r="D183" t="str" cm="1">
        <f t="array" ref="D183">_xlfn.REGEXEXTRACT(G183,"FG-R-\d{4}LE\d{2}")</f>
        <v>FG-R-2195LE26</v>
      </c>
      <c r="E183" t="s">
        <v>299</v>
      </c>
      <c r="F183" s="23" cm="1">
        <f t="array" ref="F183">_xlfn.SWITCH(TRUE,T183&gt;0,T183,Z183)</f>
        <v>3279.864</v>
      </c>
      <c r="G183" s="10" t="s">
        <v>212</v>
      </c>
      <c r="H183" s="10" t="s">
        <v>172</v>
      </c>
      <c r="I183" s="10" t="s">
        <v>213</v>
      </c>
      <c r="J183" s="11" t="s">
        <v>214</v>
      </c>
      <c r="K183" s="11" t="s">
        <v>214</v>
      </c>
      <c r="L183" s="10" t="s">
        <v>212</v>
      </c>
      <c r="M183" s="10" t="s">
        <v>215</v>
      </c>
      <c r="N183" s="10" t="s">
        <v>93</v>
      </c>
      <c r="O183" s="10" t="s">
        <v>94</v>
      </c>
      <c r="P183" s="10" t="s">
        <v>95</v>
      </c>
      <c r="Q183" s="10" t="s">
        <v>96</v>
      </c>
      <c r="R183" s="12">
        <v>7</v>
      </c>
      <c r="S183" s="13">
        <v>3132.864</v>
      </c>
      <c r="T183" s="13">
        <v>3279.864</v>
      </c>
      <c r="U183" s="12">
        <v>378</v>
      </c>
      <c r="V183" s="13">
        <v>2940.84</v>
      </c>
      <c r="W183" s="13">
        <v>3132.864</v>
      </c>
      <c r="X183" s="12">
        <v>0</v>
      </c>
      <c r="Y183" s="13">
        <v>0</v>
      </c>
      <c r="Z183" s="13">
        <v>0</v>
      </c>
      <c r="AA183" s="12">
        <v>0</v>
      </c>
      <c r="AB183" s="13">
        <v>0</v>
      </c>
      <c r="AC183" s="13">
        <v>0</v>
      </c>
      <c r="AD183" s="12">
        <v>7</v>
      </c>
      <c r="AE183" s="12">
        <v>0</v>
      </c>
      <c r="AF183" s="12">
        <v>0</v>
      </c>
      <c r="AG183" s="12">
        <v>7</v>
      </c>
      <c r="AH183" s="12">
        <v>0</v>
      </c>
      <c r="AI183" s="12">
        <v>0</v>
      </c>
      <c r="AJ183" s="10">
        <v>6199506</v>
      </c>
      <c r="AK183" s="10" t="s">
        <v>47</v>
      </c>
      <c r="AL183" s="14" t="s">
        <v>202</v>
      </c>
      <c r="AM183" s="10" t="s">
        <v>97</v>
      </c>
      <c r="AN183" s="15">
        <v>202000290292</v>
      </c>
      <c r="AO183" s="16" t="s">
        <v>204</v>
      </c>
      <c r="AP183" s="17">
        <v>37303.370000000003</v>
      </c>
      <c r="AQ183" s="10" t="s">
        <v>51</v>
      </c>
      <c r="AR183" s="10" t="s">
        <v>98</v>
      </c>
      <c r="AS183" s="12">
        <v>1512</v>
      </c>
      <c r="AT183" s="10" t="s">
        <v>53</v>
      </c>
      <c r="AU183" s="10">
        <v>26101200</v>
      </c>
      <c r="AV183" s="10" t="s">
        <v>78</v>
      </c>
      <c r="AW183" s="10" t="s">
        <v>55</v>
      </c>
      <c r="AX183" s="10" t="s">
        <v>56</v>
      </c>
      <c r="AY183" s="10" t="s">
        <v>99</v>
      </c>
      <c r="AZ183" s="10" t="s">
        <v>100</v>
      </c>
      <c r="BG183" t="str">
        <v>Outbound</v>
      </c>
      <c r="BH183" t="str">
        <v>Land</v>
      </c>
      <c r="BI183" t="str">
        <v>FG-R-2199LE26</v>
      </c>
      <c r="BJ183" t="str">
        <v>SAIA-BURGESS AUTOMOTIVE ACTUATORS, LLC</v>
      </c>
      <c r="BK183" t="str">
        <v xml:space="preserve">755 Bill Jones Drive      </v>
      </c>
      <c r="BL183" t="str">
        <v>M19</v>
      </c>
      <c r="BM183" t="str">
        <v>1999-5YY2044EN</v>
      </c>
      <c r="BN183" s="24">
        <v>1458</v>
      </c>
      <c r="BO183" s="23">
        <v>4532.8680000000004</v>
      </c>
      <c r="BP183" s="26">
        <f t="shared" si="6"/>
        <v>0.151325129957119</v>
      </c>
      <c r="BQ183" s="21">
        <f t="shared" si="7"/>
        <v>744.33203816555908</v>
      </c>
    </row>
    <row r="184" spans="2:69" x14ac:dyDescent="0.35">
      <c r="B184" t="s">
        <v>261</v>
      </c>
      <c r="C184" t="s">
        <v>262</v>
      </c>
      <c r="D184" t="str" cm="1">
        <f t="array" ref="D184">_xlfn.REGEXEXTRACT(G184,"FG-R-\d{4}LE\d{2}")</f>
        <v>FG-R-2195LE26</v>
      </c>
      <c r="E184" t="s">
        <v>299</v>
      </c>
      <c r="F184" s="23" cm="1">
        <f t="array" ref="F184">_xlfn.SWITCH(TRUE,T184&gt;0,T184,Z184)</f>
        <v>1425.7439999999999</v>
      </c>
      <c r="G184" s="10" t="s">
        <v>212</v>
      </c>
      <c r="H184" s="10" t="s">
        <v>172</v>
      </c>
      <c r="I184" s="10" t="s">
        <v>213</v>
      </c>
      <c r="J184" s="11" t="s">
        <v>214</v>
      </c>
      <c r="K184" s="11" t="s">
        <v>214</v>
      </c>
      <c r="L184" s="10" t="s">
        <v>212</v>
      </c>
      <c r="M184" s="10" t="s">
        <v>215</v>
      </c>
      <c r="N184" s="10" t="s">
        <v>93</v>
      </c>
      <c r="O184" s="10" t="s">
        <v>94</v>
      </c>
      <c r="P184" s="10" t="s">
        <v>95</v>
      </c>
      <c r="Q184" s="10" t="s">
        <v>96</v>
      </c>
      <c r="R184" s="12">
        <v>3</v>
      </c>
      <c r="S184" s="13">
        <v>1362.7439999999999</v>
      </c>
      <c r="T184" s="13">
        <v>1425.7439999999999</v>
      </c>
      <c r="U184" s="12">
        <v>162</v>
      </c>
      <c r="V184" s="13">
        <v>1280.4480000000001</v>
      </c>
      <c r="W184" s="13">
        <v>1362.7439999999999</v>
      </c>
      <c r="X184" s="12">
        <v>0</v>
      </c>
      <c r="Y184" s="13">
        <v>0</v>
      </c>
      <c r="Z184" s="13">
        <v>0</v>
      </c>
      <c r="AA184" s="12">
        <v>0</v>
      </c>
      <c r="AB184" s="13">
        <v>0</v>
      </c>
      <c r="AC184" s="13">
        <v>0</v>
      </c>
      <c r="AD184" s="12">
        <v>3</v>
      </c>
      <c r="AE184" s="12">
        <v>0</v>
      </c>
      <c r="AF184" s="12">
        <v>0</v>
      </c>
      <c r="AG184" s="12">
        <v>3</v>
      </c>
      <c r="AH184" s="12">
        <v>0</v>
      </c>
      <c r="AI184" s="12">
        <v>0</v>
      </c>
      <c r="AJ184" s="10">
        <v>6199508</v>
      </c>
      <c r="AK184" s="10" t="s">
        <v>47</v>
      </c>
      <c r="AL184" s="14" t="s">
        <v>202</v>
      </c>
      <c r="AM184" s="10" t="s">
        <v>97</v>
      </c>
      <c r="AN184" s="15">
        <v>202000290294</v>
      </c>
      <c r="AO184" s="16" t="s">
        <v>204</v>
      </c>
      <c r="AP184" s="17">
        <v>27009.48</v>
      </c>
      <c r="AQ184" s="10" t="s">
        <v>51</v>
      </c>
      <c r="AR184" s="10" t="s">
        <v>118</v>
      </c>
      <c r="AS184" s="12">
        <v>648</v>
      </c>
      <c r="AT184" s="10" t="s">
        <v>53</v>
      </c>
      <c r="AU184" s="10">
        <v>26101200</v>
      </c>
      <c r="AV184" s="10" t="s">
        <v>78</v>
      </c>
      <c r="AW184" s="10" t="s">
        <v>55</v>
      </c>
      <c r="AX184" s="10" t="s">
        <v>56</v>
      </c>
      <c r="AY184" s="10" t="s">
        <v>99</v>
      </c>
      <c r="AZ184" s="10" t="s">
        <v>100</v>
      </c>
      <c r="BG184" t="str">
        <v>Outbound</v>
      </c>
      <c r="BH184" t="str">
        <v>Land</v>
      </c>
      <c r="BI184" t="str">
        <v>FG-R-2199LE26</v>
      </c>
      <c r="BJ184" t="str">
        <v>SAIA-BURGESS AUTOMOTIVE ACTUATORS, LLC</v>
      </c>
      <c r="BK184" t="str">
        <v xml:space="preserve">755 Bill Jones Drive      </v>
      </c>
      <c r="BL184" t="str">
        <v>M19</v>
      </c>
      <c r="BM184" t="str">
        <v>1999-5YY2044EN</v>
      </c>
      <c r="BN184" s="24">
        <v>1458</v>
      </c>
      <c r="BO184" s="23">
        <v>4532.8680000000004</v>
      </c>
      <c r="BP184" s="26">
        <f t="shared" si="6"/>
        <v>0.151325129957119</v>
      </c>
      <c r="BQ184" s="21">
        <f t="shared" si="7"/>
        <v>744.33203816555908</v>
      </c>
    </row>
    <row r="185" spans="2:69" x14ac:dyDescent="0.35">
      <c r="B185" t="s">
        <v>261</v>
      </c>
      <c r="C185" t="s">
        <v>262</v>
      </c>
      <c r="D185" t="str" cm="1">
        <f t="array" ref="D185">_xlfn.REGEXEXTRACT(G185,"FG-R-\d{4}LE\d{2}")</f>
        <v>FG-R-2195LE26</v>
      </c>
      <c r="E185" t="s">
        <v>299</v>
      </c>
      <c r="F185" s="23" cm="1">
        <f t="array" ref="F185">_xlfn.SWITCH(TRUE,T185&gt;0,T185,Z185)</f>
        <v>937.10400000000004</v>
      </c>
      <c r="G185" s="10" t="s">
        <v>212</v>
      </c>
      <c r="H185" s="10" t="s">
        <v>172</v>
      </c>
      <c r="I185" s="10" t="s">
        <v>213</v>
      </c>
      <c r="J185" s="11" t="s">
        <v>214</v>
      </c>
      <c r="K185" s="11" t="s">
        <v>214</v>
      </c>
      <c r="L185" s="10" t="s">
        <v>212</v>
      </c>
      <c r="M185" s="10" t="s">
        <v>215</v>
      </c>
      <c r="N185" s="10" t="s">
        <v>93</v>
      </c>
      <c r="O185" s="10" t="s">
        <v>94</v>
      </c>
      <c r="P185" s="10" t="s">
        <v>95</v>
      </c>
      <c r="Q185" s="10" t="s">
        <v>96</v>
      </c>
      <c r="R185" s="12">
        <v>2</v>
      </c>
      <c r="S185" s="13">
        <v>895.10400000000004</v>
      </c>
      <c r="T185" s="13">
        <v>937.10400000000004</v>
      </c>
      <c r="U185" s="12">
        <v>108</v>
      </c>
      <c r="V185" s="13">
        <v>840.24</v>
      </c>
      <c r="W185" s="13">
        <v>895.10400000000004</v>
      </c>
      <c r="X185" s="12">
        <v>0</v>
      </c>
      <c r="Y185" s="13">
        <v>0</v>
      </c>
      <c r="Z185" s="13">
        <v>0</v>
      </c>
      <c r="AA185" s="12">
        <v>0</v>
      </c>
      <c r="AB185" s="13">
        <v>0</v>
      </c>
      <c r="AC185" s="13">
        <v>0</v>
      </c>
      <c r="AD185" s="12">
        <v>2</v>
      </c>
      <c r="AE185" s="12">
        <v>0</v>
      </c>
      <c r="AF185" s="12">
        <v>0</v>
      </c>
      <c r="AG185" s="12">
        <v>2</v>
      </c>
      <c r="AH185" s="12">
        <v>0</v>
      </c>
      <c r="AI185" s="12">
        <v>0</v>
      </c>
      <c r="AJ185" s="10">
        <v>6199507</v>
      </c>
      <c r="AK185" s="10" t="s">
        <v>47</v>
      </c>
      <c r="AL185" s="14" t="s">
        <v>202</v>
      </c>
      <c r="AM185" s="10" t="s">
        <v>97</v>
      </c>
      <c r="AN185" s="15">
        <v>202000290293</v>
      </c>
      <c r="AO185" s="16" t="s">
        <v>204</v>
      </c>
      <c r="AP185" s="17">
        <v>17931.29</v>
      </c>
      <c r="AQ185" s="10" t="s">
        <v>51</v>
      </c>
      <c r="AR185" s="10" t="s">
        <v>104</v>
      </c>
      <c r="AS185" s="12">
        <v>432</v>
      </c>
      <c r="AT185" s="10" t="s">
        <v>53</v>
      </c>
      <c r="AU185" s="10">
        <v>26101200</v>
      </c>
      <c r="AV185" s="10" t="s">
        <v>78</v>
      </c>
      <c r="AW185" s="10" t="s">
        <v>55</v>
      </c>
      <c r="AX185" s="10" t="s">
        <v>56</v>
      </c>
      <c r="AY185" s="10" t="s">
        <v>99</v>
      </c>
      <c r="AZ185" s="10" t="s">
        <v>100</v>
      </c>
      <c r="BG185" t="str">
        <v>Outbound</v>
      </c>
      <c r="BH185" t="str">
        <v>Land</v>
      </c>
      <c r="BI185" t="str">
        <v>FG-R-2199LE26</v>
      </c>
      <c r="BJ185" t="str">
        <v>SAIA-BURGESS AUTOMOTIVE ACTUATORS, LLC</v>
      </c>
      <c r="BK185" t="str">
        <v xml:space="preserve">755 Bill Jones Drive      </v>
      </c>
      <c r="BL185" t="str">
        <v>M19</v>
      </c>
      <c r="BM185" t="str">
        <v>1999-5YY0898EN</v>
      </c>
      <c r="BN185" s="24">
        <v>1600</v>
      </c>
      <c r="BO185" s="23">
        <v>2073.2399999999998</v>
      </c>
      <c r="BP185" s="26">
        <f t="shared" si="6"/>
        <v>6.9212982251479052E-2</v>
      </c>
      <c r="BQ185" s="21">
        <f t="shared" si="7"/>
        <v>340.44206776071206</v>
      </c>
    </row>
    <row r="186" spans="2:69" x14ac:dyDescent="0.35">
      <c r="B186" t="s">
        <v>261</v>
      </c>
      <c r="C186" t="s">
        <v>262</v>
      </c>
      <c r="D186" t="str" cm="1">
        <f t="array" ref="D186">_xlfn.REGEXEXTRACT(G186,"FG-R-\d{4}LE\d{2}")</f>
        <v>FG-R-2195LE26</v>
      </c>
      <c r="E186" t="s">
        <v>299</v>
      </c>
      <c r="F186" s="23" cm="1">
        <f t="array" ref="F186">_xlfn.SWITCH(TRUE,T186&gt;0,T186,Z186)</f>
        <v>6991.02</v>
      </c>
      <c r="G186" s="10" t="s">
        <v>212</v>
      </c>
      <c r="H186" s="10" t="s">
        <v>172</v>
      </c>
      <c r="I186" s="10" t="s">
        <v>213</v>
      </c>
      <c r="J186" s="11" t="s">
        <v>214</v>
      </c>
      <c r="K186" s="11" t="s">
        <v>214</v>
      </c>
      <c r="L186" s="10" t="s">
        <v>212</v>
      </c>
      <c r="M186" s="10" t="s">
        <v>215</v>
      </c>
      <c r="N186" s="10" t="s">
        <v>93</v>
      </c>
      <c r="O186" s="10" t="s">
        <v>94</v>
      </c>
      <c r="P186" s="10" t="s">
        <v>95</v>
      </c>
      <c r="Q186" s="10" t="s">
        <v>96</v>
      </c>
      <c r="R186" s="12">
        <v>15</v>
      </c>
      <c r="S186" s="13">
        <v>6676.02</v>
      </c>
      <c r="T186" s="13">
        <v>6991.02</v>
      </c>
      <c r="U186" s="12">
        <v>810</v>
      </c>
      <c r="V186" s="13">
        <v>6264.54</v>
      </c>
      <c r="W186" s="13">
        <v>6676.02</v>
      </c>
      <c r="X186" s="12">
        <v>0</v>
      </c>
      <c r="Y186" s="13">
        <v>0</v>
      </c>
      <c r="Z186" s="13">
        <v>0</v>
      </c>
      <c r="AA186" s="12">
        <v>0</v>
      </c>
      <c r="AB186" s="13">
        <v>0</v>
      </c>
      <c r="AC186" s="13">
        <v>0</v>
      </c>
      <c r="AD186" s="12">
        <v>15</v>
      </c>
      <c r="AE186" s="12">
        <v>0</v>
      </c>
      <c r="AF186" s="12">
        <v>0</v>
      </c>
      <c r="AG186" s="12">
        <v>15</v>
      </c>
      <c r="AH186" s="12">
        <v>0</v>
      </c>
      <c r="AI186" s="12">
        <v>0</v>
      </c>
      <c r="AJ186" s="10">
        <v>6199509</v>
      </c>
      <c r="AK186" s="10" t="s">
        <v>47</v>
      </c>
      <c r="AL186" s="14" t="s">
        <v>202</v>
      </c>
      <c r="AM186" s="10" t="s">
        <v>97</v>
      </c>
      <c r="AN186" s="15">
        <v>202000290295</v>
      </c>
      <c r="AO186" s="16" t="s">
        <v>204</v>
      </c>
      <c r="AP186" s="17">
        <v>78365.87</v>
      </c>
      <c r="AQ186" s="10" t="s">
        <v>51</v>
      </c>
      <c r="AR186" s="10" t="s">
        <v>105</v>
      </c>
      <c r="AS186" s="12">
        <v>2430</v>
      </c>
      <c r="AT186" s="10" t="s">
        <v>53</v>
      </c>
      <c r="AU186" s="10">
        <v>26101200</v>
      </c>
      <c r="AV186" s="10" t="s">
        <v>78</v>
      </c>
      <c r="AW186" s="10" t="s">
        <v>55</v>
      </c>
      <c r="AX186" s="10" t="s">
        <v>56</v>
      </c>
      <c r="AY186" s="10" t="s">
        <v>102</v>
      </c>
      <c r="AZ186" s="10" t="s">
        <v>103</v>
      </c>
      <c r="BG186" t="str">
        <v>Outbound</v>
      </c>
      <c r="BH186" t="str">
        <v>Land</v>
      </c>
      <c r="BI186" t="str">
        <v>FG-R-2199LE26</v>
      </c>
      <c r="BJ186" t="str">
        <v>SAIA-BURGESS AUTOMOTIVE ACTUATORS, LLC</v>
      </c>
      <c r="BK186" t="str">
        <v xml:space="preserve">755 Bill Jones Drive      </v>
      </c>
      <c r="BL186" t="str">
        <v>M19</v>
      </c>
      <c r="BM186" t="str">
        <v>1999-5YY1256EN</v>
      </c>
      <c r="BN186" s="24">
        <v>1296</v>
      </c>
      <c r="BO186" s="23">
        <v>2811.3119999999999</v>
      </c>
      <c r="BP186" s="26">
        <f t="shared" si="6"/>
        <v>9.3852755860088594E-2</v>
      </c>
      <c r="BQ186" s="21">
        <f t="shared" si="7"/>
        <v>461.63920742437102</v>
      </c>
    </row>
    <row r="187" spans="2:69" x14ac:dyDescent="0.35">
      <c r="B187" t="s">
        <v>261</v>
      </c>
      <c r="C187" t="s">
        <v>262</v>
      </c>
      <c r="D187" t="str" cm="1">
        <f t="array" ref="D187">_xlfn.REGEXEXTRACT(G187,"FG-R-\d{4}LE\d{2}")</f>
        <v>FG-R-2195LE26</v>
      </c>
      <c r="E187" t="s">
        <v>299</v>
      </c>
      <c r="F187" s="23" cm="1">
        <f t="array" ref="F187">_xlfn.SWITCH(TRUE,T187&gt;0,T187,Z187)</f>
        <v>6991.02</v>
      </c>
      <c r="G187" s="10" t="s">
        <v>212</v>
      </c>
      <c r="H187" s="10" t="s">
        <v>172</v>
      </c>
      <c r="I187" s="10" t="s">
        <v>213</v>
      </c>
      <c r="J187" s="11" t="s">
        <v>214</v>
      </c>
      <c r="K187" s="11" t="s">
        <v>214</v>
      </c>
      <c r="L187" s="10" t="s">
        <v>212</v>
      </c>
      <c r="M187" s="10" t="s">
        <v>215</v>
      </c>
      <c r="N187" s="10" t="s">
        <v>93</v>
      </c>
      <c r="O187" s="10" t="s">
        <v>94</v>
      </c>
      <c r="P187" s="10" t="s">
        <v>95</v>
      </c>
      <c r="Q187" s="10" t="s">
        <v>96</v>
      </c>
      <c r="R187" s="12">
        <v>15</v>
      </c>
      <c r="S187" s="13">
        <v>6676.02</v>
      </c>
      <c r="T187" s="13">
        <v>6991.02</v>
      </c>
      <c r="U187" s="12">
        <v>810</v>
      </c>
      <c r="V187" s="13">
        <v>6264.54</v>
      </c>
      <c r="W187" s="13">
        <v>6676.02</v>
      </c>
      <c r="X187" s="12">
        <v>0</v>
      </c>
      <c r="Y187" s="13">
        <v>0</v>
      </c>
      <c r="Z187" s="13">
        <v>0</v>
      </c>
      <c r="AA187" s="12">
        <v>0</v>
      </c>
      <c r="AB187" s="13">
        <v>0</v>
      </c>
      <c r="AC187" s="13">
        <v>0</v>
      </c>
      <c r="AD187" s="12">
        <v>15</v>
      </c>
      <c r="AE187" s="12">
        <v>0</v>
      </c>
      <c r="AF187" s="12">
        <v>0</v>
      </c>
      <c r="AG187" s="12">
        <v>15</v>
      </c>
      <c r="AH187" s="12">
        <v>0</v>
      </c>
      <c r="AI187" s="12">
        <v>0</v>
      </c>
      <c r="AJ187" s="10">
        <v>6199509</v>
      </c>
      <c r="AK187" s="10" t="s">
        <v>47</v>
      </c>
      <c r="AL187" s="14" t="s">
        <v>202</v>
      </c>
      <c r="AM187" s="10" t="s">
        <v>97</v>
      </c>
      <c r="AN187" s="15">
        <v>202000290296</v>
      </c>
      <c r="AO187" s="16" t="s">
        <v>204</v>
      </c>
      <c r="AP187" s="17">
        <v>8707.32</v>
      </c>
      <c r="AQ187" s="10" t="s">
        <v>51</v>
      </c>
      <c r="AR187" s="10" t="s">
        <v>105</v>
      </c>
      <c r="AS187" s="12">
        <v>2430</v>
      </c>
      <c r="AT187" s="10" t="s">
        <v>53</v>
      </c>
      <c r="AU187" s="10">
        <v>26101200</v>
      </c>
      <c r="AV187" s="10" t="s">
        <v>78</v>
      </c>
      <c r="AW187" s="10" t="s">
        <v>55</v>
      </c>
      <c r="AX187" s="10" t="s">
        <v>56</v>
      </c>
      <c r="AY187" s="10" t="s">
        <v>102</v>
      </c>
      <c r="AZ187" s="10" t="s">
        <v>103</v>
      </c>
      <c r="BG187" t="str">
        <v>Outbound</v>
      </c>
      <c r="BH187" t="str">
        <v>Land</v>
      </c>
      <c r="BI187" t="str">
        <v>FG-R-2199LE26</v>
      </c>
      <c r="BJ187" t="str">
        <v>SAIA-BURGESS AUTOMOTIVE ACTUATORS, LLC</v>
      </c>
      <c r="BK187" t="str">
        <v xml:space="preserve">755 Bill Jones Drive      </v>
      </c>
      <c r="BL187" t="str">
        <v>M19</v>
      </c>
      <c r="BM187" t="str">
        <v>1999-5YY1256EN</v>
      </c>
      <c r="BN187" s="24">
        <v>1296</v>
      </c>
      <c r="BO187" s="23">
        <v>2811.3119999999999</v>
      </c>
      <c r="BP187" s="26">
        <f t="shared" si="6"/>
        <v>9.3852755860088594E-2</v>
      </c>
      <c r="BQ187" s="21">
        <f t="shared" si="7"/>
        <v>461.63920742437102</v>
      </c>
    </row>
    <row r="188" spans="2:69" x14ac:dyDescent="0.35">
      <c r="B188" t="s">
        <v>261</v>
      </c>
      <c r="C188" t="s">
        <v>262</v>
      </c>
      <c r="D188" t="str" cm="1">
        <f t="array" ref="D188">_xlfn.REGEXEXTRACT(G188,"FG-R-\d{4}LE\d{2}")</f>
        <v>FG-R-2195LE26</v>
      </c>
      <c r="E188" t="s">
        <v>299</v>
      </c>
      <c r="F188" s="23" cm="1">
        <f t="array" ref="F188">_xlfn.SWITCH(TRUE,T188&gt;0,T188,Z188)</f>
        <v>6991.02</v>
      </c>
      <c r="G188" s="10" t="s">
        <v>212</v>
      </c>
      <c r="H188" s="10" t="s">
        <v>172</v>
      </c>
      <c r="I188" s="10" t="s">
        <v>213</v>
      </c>
      <c r="J188" s="11" t="s">
        <v>214</v>
      </c>
      <c r="K188" s="11" t="s">
        <v>214</v>
      </c>
      <c r="L188" s="10" t="s">
        <v>212</v>
      </c>
      <c r="M188" s="10" t="s">
        <v>215</v>
      </c>
      <c r="N188" s="10" t="s">
        <v>93</v>
      </c>
      <c r="O188" s="10" t="s">
        <v>94</v>
      </c>
      <c r="P188" s="10" t="s">
        <v>95</v>
      </c>
      <c r="Q188" s="10" t="s">
        <v>96</v>
      </c>
      <c r="R188" s="12">
        <v>15</v>
      </c>
      <c r="S188" s="13">
        <v>6676.02</v>
      </c>
      <c r="T188" s="13">
        <v>6991.02</v>
      </c>
      <c r="U188" s="12">
        <v>810</v>
      </c>
      <c r="V188" s="13">
        <v>6264.54</v>
      </c>
      <c r="W188" s="13">
        <v>6676.02</v>
      </c>
      <c r="X188" s="12">
        <v>0</v>
      </c>
      <c r="Y188" s="13">
        <v>0</v>
      </c>
      <c r="Z188" s="13">
        <v>0</v>
      </c>
      <c r="AA188" s="12">
        <v>0</v>
      </c>
      <c r="AB188" s="13">
        <v>0</v>
      </c>
      <c r="AC188" s="13">
        <v>0</v>
      </c>
      <c r="AD188" s="12">
        <v>15</v>
      </c>
      <c r="AE188" s="12">
        <v>0</v>
      </c>
      <c r="AF188" s="12">
        <v>0</v>
      </c>
      <c r="AG188" s="12">
        <v>15</v>
      </c>
      <c r="AH188" s="12">
        <v>0</v>
      </c>
      <c r="AI188" s="12">
        <v>0</v>
      </c>
      <c r="AJ188" s="10">
        <v>6199509</v>
      </c>
      <c r="AK188" s="10" t="s">
        <v>47</v>
      </c>
      <c r="AL188" s="14" t="s">
        <v>202</v>
      </c>
      <c r="AM188" s="10" t="s">
        <v>97</v>
      </c>
      <c r="AN188" s="15">
        <v>202000290297</v>
      </c>
      <c r="AO188" s="16" t="s">
        <v>204</v>
      </c>
      <c r="AP188" s="17">
        <v>43536.59</v>
      </c>
      <c r="AQ188" s="10" t="s">
        <v>51</v>
      </c>
      <c r="AR188" s="10" t="s">
        <v>105</v>
      </c>
      <c r="AS188" s="12">
        <v>2430</v>
      </c>
      <c r="AT188" s="10" t="s">
        <v>53</v>
      </c>
      <c r="AU188" s="10">
        <v>26101200</v>
      </c>
      <c r="AV188" s="10" t="s">
        <v>78</v>
      </c>
      <c r="AW188" s="10" t="s">
        <v>55</v>
      </c>
      <c r="AX188" s="10" t="s">
        <v>56</v>
      </c>
      <c r="AY188" s="10" t="s">
        <v>102</v>
      </c>
      <c r="AZ188" s="10" t="s">
        <v>103</v>
      </c>
      <c r="BG188" t="str">
        <v>Outbound</v>
      </c>
      <c r="BH188" t="str">
        <v>Land</v>
      </c>
      <c r="BI188" t="str">
        <v>FG-R-2199LE26</v>
      </c>
      <c r="BJ188" t="str">
        <v>SAIA-BURGESS AUTOMOTIVE ACTUATORS, LLC</v>
      </c>
      <c r="BK188" t="str">
        <v xml:space="preserve">755 Bill Jones Drive      </v>
      </c>
      <c r="BL188" t="str">
        <v>M19</v>
      </c>
      <c r="BM188" t="str">
        <v>1999-5YY1256EN</v>
      </c>
      <c r="BN188" s="24">
        <v>1296</v>
      </c>
      <c r="BO188" s="23">
        <v>2811.3119999999999</v>
      </c>
      <c r="BP188" s="26">
        <f t="shared" si="6"/>
        <v>9.3852755860088594E-2</v>
      </c>
      <c r="BQ188" s="21">
        <f t="shared" si="7"/>
        <v>461.63920742437102</v>
      </c>
    </row>
    <row r="189" spans="2:69" x14ac:dyDescent="0.35">
      <c r="B189" t="s">
        <v>261</v>
      </c>
      <c r="C189" t="s">
        <v>262</v>
      </c>
      <c r="D189" t="str" cm="1">
        <f t="array" ref="D189">_xlfn.REGEXEXTRACT(G189,"FG-R-\d{4}LE\d{2}")</f>
        <v>FG-R-2195LE26</v>
      </c>
      <c r="E189" t="s">
        <v>299</v>
      </c>
      <c r="F189" s="23" cm="1">
        <f t="array" ref="F189">_xlfn.SWITCH(TRUE,T189&gt;0,T189,Z189)</f>
        <v>1030.848</v>
      </c>
      <c r="G189" s="10" t="s">
        <v>212</v>
      </c>
      <c r="H189" s="10" t="s">
        <v>172</v>
      </c>
      <c r="I189" s="10" t="s">
        <v>213</v>
      </c>
      <c r="J189" s="11" t="s">
        <v>214</v>
      </c>
      <c r="K189" s="11" t="s">
        <v>214</v>
      </c>
      <c r="L189" s="10" t="s">
        <v>212</v>
      </c>
      <c r="M189" s="10" t="s">
        <v>215</v>
      </c>
      <c r="N189" s="10" t="s">
        <v>93</v>
      </c>
      <c r="O189" s="10" t="s">
        <v>94</v>
      </c>
      <c r="P189" s="10" t="s">
        <v>95</v>
      </c>
      <c r="Q189" s="10" t="s">
        <v>96</v>
      </c>
      <c r="R189" s="12">
        <v>2</v>
      </c>
      <c r="S189" s="13">
        <v>988.84799999999996</v>
      </c>
      <c r="T189" s="13">
        <v>1030.848</v>
      </c>
      <c r="U189" s="12">
        <v>108</v>
      </c>
      <c r="V189" s="13">
        <v>933.98400000000004</v>
      </c>
      <c r="W189" s="13">
        <v>988.84799999999996</v>
      </c>
      <c r="X189" s="12">
        <v>0</v>
      </c>
      <c r="Y189" s="13">
        <v>0</v>
      </c>
      <c r="Z189" s="13">
        <v>0</v>
      </c>
      <c r="AA189" s="12">
        <v>0</v>
      </c>
      <c r="AB189" s="13">
        <v>0</v>
      </c>
      <c r="AC189" s="13">
        <v>0</v>
      </c>
      <c r="AD189" s="12">
        <v>2</v>
      </c>
      <c r="AE189" s="12">
        <v>0</v>
      </c>
      <c r="AF189" s="12">
        <v>0</v>
      </c>
      <c r="AG189" s="12">
        <v>2</v>
      </c>
      <c r="AH189" s="12">
        <v>0</v>
      </c>
      <c r="AI189" s="12">
        <v>0</v>
      </c>
      <c r="AJ189" s="10">
        <v>6199505</v>
      </c>
      <c r="AK189" s="10" t="s">
        <v>47</v>
      </c>
      <c r="AL189" s="14" t="s">
        <v>202</v>
      </c>
      <c r="AM189" s="10" t="s">
        <v>97</v>
      </c>
      <c r="AN189" s="15">
        <v>202000290289</v>
      </c>
      <c r="AO189" s="16" t="s">
        <v>204</v>
      </c>
      <c r="AP189" s="17">
        <v>9183.69</v>
      </c>
      <c r="AQ189" s="10" t="s">
        <v>51</v>
      </c>
      <c r="AR189" s="10" t="s">
        <v>144</v>
      </c>
      <c r="AS189" s="12">
        <v>432</v>
      </c>
      <c r="AT189" s="10" t="s">
        <v>53</v>
      </c>
      <c r="AU189" s="10">
        <v>26101200</v>
      </c>
      <c r="AV189" s="10" t="s">
        <v>78</v>
      </c>
      <c r="AW189" s="10" t="s">
        <v>55</v>
      </c>
      <c r="AX189" s="10" t="s">
        <v>56</v>
      </c>
      <c r="AY189" s="10" t="s">
        <v>99</v>
      </c>
      <c r="AZ189" s="10" t="s">
        <v>100</v>
      </c>
      <c r="BG189" t="str">
        <v>Outbound</v>
      </c>
      <c r="BH189" t="str">
        <v>Land</v>
      </c>
      <c r="BI189" t="str">
        <v>FG-R-2199LE26</v>
      </c>
      <c r="BJ189" t="str">
        <v>SAIA-BURGESS AUTOMOTIVE ACTUATORS, LLC</v>
      </c>
      <c r="BK189" t="str">
        <v xml:space="preserve">755 Bill Jones Drive      </v>
      </c>
      <c r="BL189" t="str">
        <v>M19</v>
      </c>
      <c r="BM189" t="str">
        <v>1999-5YY2043EN</v>
      </c>
      <c r="BN189" s="24">
        <v>972</v>
      </c>
      <c r="BO189" s="23">
        <v>2796.4079999999999</v>
      </c>
      <c r="BP189" s="26">
        <f t="shared" si="6"/>
        <v>9.3355201169133359E-2</v>
      </c>
      <c r="BQ189" s="21">
        <f t="shared" si="7"/>
        <v>459.19185517479764</v>
      </c>
    </row>
    <row r="190" spans="2:69" x14ac:dyDescent="0.35">
      <c r="B190" t="s">
        <v>261</v>
      </c>
      <c r="C190" t="s">
        <v>262</v>
      </c>
      <c r="D190" t="str" cm="1">
        <f t="array" ref="D190">_xlfn.REGEXEXTRACT(G190,"FG-R-\d{4}LE\d{2}")</f>
        <v>FG-R-2195LE26</v>
      </c>
      <c r="E190" t="s">
        <v>299</v>
      </c>
      <c r="F190" s="23" cm="1">
        <f t="array" ref="F190">_xlfn.SWITCH(TRUE,T190&gt;0,T190,Z190)</f>
        <v>1030.848</v>
      </c>
      <c r="G190" s="10" t="s">
        <v>212</v>
      </c>
      <c r="H190" s="10" t="s">
        <v>172</v>
      </c>
      <c r="I190" s="10" t="s">
        <v>213</v>
      </c>
      <c r="J190" s="11" t="s">
        <v>214</v>
      </c>
      <c r="K190" s="11" t="s">
        <v>214</v>
      </c>
      <c r="L190" s="10" t="s">
        <v>212</v>
      </c>
      <c r="M190" s="10" t="s">
        <v>215</v>
      </c>
      <c r="N190" s="10" t="s">
        <v>93</v>
      </c>
      <c r="O190" s="10" t="s">
        <v>94</v>
      </c>
      <c r="P190" s="10" t="s">
        <v>95</v>
      </c>
      <c r="Q190" s="10" t="s">
        <v>96</v>
      </c>
      <c r="R190" s="12">
        <v>2</v>
      </c>
      <c r="S190" s="13">
        <v>988.84799999999996</v>
      </c>
      <c r="T190" s="13">
        <v>1030.848</v>
      </c>
      <c r="U190" s="12">
        <v>108</v>
      </c>
      <c r="V190" s="13">
        <v>933.98400000000004</v>
      </c>
      <c r="W190" s="13">
        <v>988.84799999999996</v>
      </c>
      <c r="X190" s="12">
        <v>0</v>
      </c>
      <c r="Y190" s="13">
        <v>0</v>
      </c>
      <c r="Z190" s="13">
        <v>0</v>
      </c>
      <c r="AA190" s="12">
        <v>0</v>
      </c>
      <c r="AB190" s="13">
        <v>0</v>
      </c>
      <c r="AC190" s="13">
        <v>0</v>
      </c>
      <c r="AD190" s="12">
        <v>2</v>
      </c>
      <c r="AE190" s="12">
        <v>0</v>
      </c>
      <c r="AF190" s="12">
        <v>0</v>
      </c>
      <c r="AG190" s="12">
        <v>2</v>
      </c>
      <c r="AH190" s="12">
        <v>0</v>
      </c>
      <c r="AI190" s="12">
        <v>0</v>
      </c>
      <c r="AJ190" s="10">
        <v>6199505</v>
      </c>
      <c r="AK190" s="10" t="s">
        <v>47</v>
      </c>
      <c r="AL190" s="14" t="s">
        <v>202</v>
      </c>
      <c r="AM190" s="10" t="s">
        <v>97</v>
      </c>
      <c r="AN190" s="15">
        <v>202000290290</v>
      </c>
      <c r="AO190" s="16" t="s">
        <v>204</v>
      </c>
      <c r="AP190" s="17">
        <v>9183.69</v>
      </c>
      <c r="AQ190" s="10" t="s">
        <v>51</v>
      </c>
      <c r="AR190" s="10" t="s">
        <v>144</v>
      </c>
      <c r="AS190" s="12">
        <v>432</v>
      </c>
      <c r="AT190" s="10" t="s">
        <v>53</v>
      </c>
      <c r="AU190" s="10">
        <v>26101200</v>
      </c>
      <c r="AV190" s="10" t="s">
        <v>78</v>
      </c>
      <c r="AW190" s="10" t="s">
        <v>55</v>
      </c>
      <c r="AX190" s="10" t="s">
        <v>56</v>
      </c>
      <c r="AY190" s="10" t="s">
        <v>99</v>
      </c>
      <c r="AZ190" s="10" t="s">
        <v>100</v>
      </c>
      <c r="BG190" t="str">
        <v>Outbound</v>
      </c>
      <c r="BH190" t="str">
        <v>Land</v>
      </c>
      <c r="BI190" t="str">
        <v>FG-R-2199LE26</v>
      </c>
      <c r="BJ190" t="str">
        <v>SAIA-BURGESS AUTOMOTIVE ACTUATORS, LLC</v>
      </c>
      <c r="BK190" t="str">
        <v xml:space="preserve">755 Bill Jones Drive      </v>
      </c>
      <c r="BL190" t="str">
        <v>M19</v>
      </c>
      <c r="BM190" t="str">
        <v>1999-5YY1171EN</v>
      </c>
      <c r="BN190" s="24">
        <v>216</v>
      </c>
      <c r="BO190" s="23">
        <v>515.42399999999998</v>
      </c>
      <c r="BP190" s="26">
        <f t="shared" si="6"/>
        <v>1.7206899425047915E-2</v>
      </c>
      <c r="BQ190" s="21">
        <f t="shared" si="7"/>
        <v>84.636613384604416</v>
      </c>
    </row>
    <row r="191" spans="2:69" x14ac:dyDescent="0.35">
      <c r="B191" t="s">
        <v>261</v>
      </c>
      <c r="C191" t="s">
        <v>262</v>
      </c>
      <c r="D191" t="str" cm="1">
        <f t="array" ref="D191">_xlfn.REGEXEXTRACT(G191,"FG-R-\d{4}LE\d{2}")</f>
        <v>FG-R-2199LE26</v>
      </c>
      <c r="E191" t="s">
        <v>299</v>
      </c>
      <c r="F191" s="23" cm="1">
        <f t="array" ref="F191">_xlfn.SWITCH(TRUE,T191&gt;0,T191,Z191)</f>
        <v>1888.248</v>
      </c>
      <c r="G191" s="10" t="s">
        <v>199</v>
      </c>
      <c r="H191" s="10" t="s">
        <v>38</v>
      </c>
      <c r="I191" s="10" t="s">
        <v>200</v>
      </c>
      <c r="J191" s="11" t="s">
        <v>187</v>
      </c>
      <c r="K191" s="11" t="s">
        <v>187</v>
      </c>
      <c r="L191" s="10" t="s">
        <v>199</v>
      </c>
      <c r="M191" s="10" t="s">
        <v>201</v>
      </c>
      <c r="N191" s="10" t="s">
        <v>93</v>
      </c>
      <c r="O191" s="10" t="s">
        <v>115</v>
      </c>
      <c r="P191" s="10" t="s">
        <v>95</v>
      </c>
      <c r="Q191" s="10" t="s">
        <v>96</v>
      </c>
      <c r="R191" s="12">
        <v>4</v>
      </c>
      <c r="S191" s="13">
        <v>1804.248</v>
      </c>
      <c r="T191" s="13">
        <v>1888.248</v>
      </c>
      <c r="U191" s="12">
        <v>216</v>
      </c>
      <c r="V191" s="13">
        <v>1694.52</v>
      </c>
      <c r="W191" s="13">
        <v>1804.248</v>
      </c>
      <c r="X191" s="12">
        <v>0</v>
      </c>
      <c r="Y191" s="13">
        <v>0</v>
      </c>
      <c r="Z191" s="13">
        <v>0</v>
      </c>
      <c r="AA191" s="12">
        <v>0</v>
      </c>
      <c r="AB191" s="13">
        <v>0</v>
      </c>
      <c r="AC191" s="13">
        <v>0</v>
      </c>
      <c r="AD191" s="12">
        <v>4</v>
      </c>
      <c r="AE191" s="12">
        <v>0</v>
      </c>
      <c r="AF191" s="12">
        <v>0</v>
      </c>
      <c r="AG191" s="12">
        <v>4</v>
      </c>
      <c r="AH191" s="12">
        <v>0</v>
      </c>
      <c r="AI191" s="12">
        <v>0</v>
      </c>
      <c r="AJ191" s="10">
        <v>6201100</v>
      </c>
      <c r="AK191" s="10" t="s">
        <v>47</v>
      </c>
      <c r="AL191" s="14" t="s">
        <v>216</v>
      </c>
      <c r="AM191" s="10" t="s">
        <v>97</v>
      </c>
      <c r="AN191" s="15">
        <v>202000290345</v>
      </c>
      <c r="AO191" s="16" t="s">
        <v>203</v>
      </c>
      <c r="AP191" s="17">
        <v>3651.3</v>
      </c>
      <c r="AQ191" s="10" t="s">
        <v>51</v>
      </c>
      <c r="AR191" s="10" t="s">
        <v>176</v>
      </c>
      <c r="AS191" s="12">
        <v>648</v>
      </c>
      <c r="AT191" s="10" t="s">
        <v>53</v>
      </c>
      <c r="AU191" s="10">
        <v>26101200</v>
      </c>
      <c r="AV191" s="10" t="s">
        <v>78</v>
      </c>
      <c r="AW191" s="10" t="s">
        <v>55</v>
      </c>
      <c r="AX191" s="10" t="s">
        <v>56</v>
      </c>
      <c r="AY191" s="10" t="s">
        <v>102</v>
      </c>
      <c r="AZ191" s="10" t="s">
        <v>103</v>
      </c>
      <c r="BG191" t="str">
        <v>Outbound</v>
      </c>
      <c r="BH191" t="str">
        <v>Land</v>
      </c>
      <c r="BI191" t="str">
        <v>FG-R-2199LE26</v>
      </c>
      <c r="BJ191" t="str">
        <v>SAIA-BURGESS AUTOMOTIVE ACTUATORS, LLC</v>
      </c>
      <c r="BK191" t="str">
        <v xml:space="preserve">755 Bill Jones Drive      </v>
      </c>
      <c r="BL191" t="str">
        <v>M19</v>
      </c>
      <c r="BM191" t="str">
        <v>1999-5YY1145EN</v>
      </c>
      <c r="BN191" s="24">
        <v>432</v>
      </c>
      <c r="BO191" s="23">
        <v>950.49599999999998</v>
      </c>
      <c r="BP191" s="26">
        <f t="shared" si="6"/>
        <v>3.1731330081467571E-2</v>
      </c>
      <c r="BQ191" s="21">
        <f t="shared" si="7"/>
        <v>156.07880594542155</v>
      </c>
    </row>
    <row r="192" spans="2:69" x14ac:dyDescent="0.35">
      <c r="B192" t="s">
        <v>261</v>
      </c>
      <c r="C192" t="s">
        <v>262</v>
      </c>
      <c r="D192" t="str" cm="1">
        <f t="array" ref="D192">_xlfn.REGEXEXTRACT(G192,"FG-R-\d{4}LE\d{2}")</f>
        <v>FG-R-2199LE26</v>
      </c>
      <c r="E192" t="s">
        <v>299</v>
      </c>
      <c r="F192" s="23" cm="1">
        <f t="array" ref="F192">_xlfn.SWITCH(TRUE,T192&gt;0,T192,Z192)</f>
        <v>1888.248</v>
      </c>
      <c r="G192" s="10" t="s">
        <v>199</v>
      </c>
      <c r="H192" s="10" t="s">
        <v>38</v>
      </c>
      <c r="I192" s="10" t="s">
        <v>200</v>
      </c>
      <c r="J192" s="11" t="s">
        <v>187</v>
      </c>
      <c r="K192" s="11" t="s">
        <v>187</v>
      </c>
      <c r="L192" s="10" t="s">
        <v>199</v>
      </c>
      <c r="M192" s="10" t="s">
        <v>201</v>
      </c>
      <c r="N192" s="10" t="s">
        <v>93</v>
      </c>
      <c r="O192" s="10" t="s">
        <v>115</v>
      </c>
      <c r="P192" s="10" t="s">
        <v>95</v>
      </c>
      <c r="Q192" s="10" t="s">
        <v>96</v>
      </c>
      <c r="R192" s="12">
        <v>4</v>
      </c>
      <c r="S192" s="13">
        <v>1804.248</v>
      </c>
      <c r="T192" s="13">
        <v>1888.248</v>
      </c>
      <c r="U192" s="12">
        <v>216</v>
      </c>
      <c r="V192" s="13">
        <v>1694.52</v>
      </c>
      <c r="W192" s="13">
        <v>1804.248</v>
      </c>
      <c r="X192" s="12">
        <v>0</v>
      </c>
      <c r="Y192" s="13">
        <v>0</v>
      </c>
      <c r="Z192" s="13">
        <v>0</v>
      </c>
      <c r="AA192" s="12">
        <v>0</v>
      </c>
      <c r="AB192" s="13">
        <v>0</v>
      </c>
      <c r="AC192" s="13">
        <v>0</v>
      </c>
      <c r="AD192" s="12">
        <v>4</v>
      </c>
      <c r="AE192" s="12">
        <v>0</v>
      </c>
      <c r="AF192" s="12">
        <v>0</v>
      </c>
      <c r="AG192" s="12">
        <v>4</v>
      </c>
      <c r="AH192" s="12">
        <v>0</v>
      </c>
      <c r="AI192" s="12">
        <v>0</v>
      </c>
      <c r="AJ192" s="10">
        <v>6201100</v>
      </c>
      <c r="AK192" s="10" t="s">
        <v>47</v>
      </c>
      <c r="AL192" s="14" t="s">
        <v>216</v>
      </c>
      <c r="AM192" s="10" t="s">
        <v>97</v>
      </c>
      <c r="AN192" s="15">
        <v>202000290346</v>
      </c>
      <c r="AO192" s="16" t="s">
        <v>203</v>
      </c>
      <c r="AP192" s="17">
        <v>38599.46</v>
      </c>
      <c r="AQ192" s="10" t="s">
        <v>51</v>
      </c>
      <c r="AR192" s="10" t="s">
        <v>176</v>
      </c>
      <c r="AS192" s="12">
        <v>648</v>
      </c>
      <c r="AT192" s="10" t="s">
        <v>53</v>
      </c>
      <c r="AU192" s="10">
        <v>26101200</v>
      </c>
      <c r="AV192" s="10" t="s">
        <v>78</v>
      </c>
      <c r="AW192" s="10" t="s">
        <v>55</v>
      </c>
      <c r="AX192" s="10" t="s">
        <v>56</v>
      </c>
      <c r="AY192" s="10" t="s">
        <v>102</v>
      </c>
      <c r="AZ192" s="10" t="s">
        <v>103</v>
      </c>
      <c r="BG192" t="str">
        <v>Outbound</v>
      </c>
      <c r="BH192" t="str">
        <v>Land</v>
      </c>
      <c r="BI192" t="str">
        <v>FG-R-2199LE26</v>
      </c>
      <c r="BJ192" t="str">
        <v>SAIA-BURGESS AUTOMOTIVE ACTUATORS, LLC</v>
      </c>
      <c r="BK192" t="str">
        <v xml:space="preserve">755 BILL JONES DRIVE      </v>
      </c>
      <c r="BL192" t="str">
        <v>M19</v>
      </c>
      <c r="BM192" t="str">
        <v>1999-5YY1117EN</v>
      </c>
      <c r="BN192" s="24">
        <v>648</v>
      </c>
      <c r="BO192" s="23">
        <v>1888.248</v>
      </c>
      <c r="BP192" s="26">
        <f t="shared" si="6"/>
        <v>6.3037214847480663E-2</v>
      </c>
      <c r="BQ192" s="21">
        <f t="shared" si="7"/>
        <v>310.06494837309191</v>
      </c>
    </row>
    <row r="193" spans="2:69" x14ac:dyDescent="0.35">
      <c r="B193" t="s">
        <v>261</v>
      </c>
      <c r="C193" t="s">
        <v>262</v>
      </c>
      <c r="D193" t="str" cm="1">
        <f t="array" ref="D193">_xlfn.REGEXEXTRACT(G193,"FG-R-\d{4}LE\d{2}")</f>
        <v>FG-R-2198LE26</v>
      </c>
      <c r="E193" t="s">
        <v>295</v>
      </c>
      <c r="F193" s="23" cm="1">
        <f t="array" ref="F193">_xlfn.SWITCH(TRUE,T193&gt;0,T193,Z193)</f>
        <v>219.76</v>
      </c>
      <c r="G193" s="10" t="s">
        <v>185</v>
      </c>
      <c r="H193" s="10" t="s">
        <v>38</v>
      </c>
      <c r="I193" s="10" t="s">
        <v>186</v>
      </c>
      <c r="J193" s="11" t="s">
        <v>187</v>
      </c>
      <c r="K193" s="11" t="s">
        <v>187</v>
      </c>
      <c r="L193" s="10" t="s">
        <v>185</v>
      </c>
      <c r="M193" s="10" t="s">
        <v>188</v>
      </c>
      <c r="N193" s="10" t="s">
        <v>43</v>
      </c>
      <c r="O193" s="10" t="s">
        <v>44</v>
      </c>
      <c r="P193" s="10" t="s">
        <v>45</v>
      </c>
      <c r="Q193" s="10" t="s">
        <v>46</v>
      </c>
      <c r="R193" s="12">
        <v>1</v>
      </c>
      <c r="S193" s="13">
        <v>198.76</v>
      </c>
      <c r="T193" s="13">
        <v>219.76</v>
      </c>
      <c r="U193" s="12">
        <v>20</v>
      </c>
      <c r="V193" s="13">
        <v>174.12</v>
      </c>
      <c r="W193" s="13">
        <v>198.76</v>
      </c>
      <c r="X193" s="12">
        <v>0</v>
      </c>
      <c r="Y193" s="13">
        <v>0</v>
      </c>
      <c r="Z193" s="13">
        <v>0</v>
      </c>
      <c r="AA193" s="12">
        <v>0</v>
      </c>
      <c r="AB193" s="13">
        <v>0</v>
      </c>
      <c r="AC193" s="13">
        <v>0</v>
      </c>
      <c r="AD193" s="12">
        <v>0</v>
      </c>
      <c r="AE193" s="12">
        <v>1</v>
      </c>
      <c r="AF193" s="12">
        <v>0</v>
      </c>
      <c r="AG193" s="12">
        <v>0</v>
      </c>
      <c r="AH193" s="12">
        <v>1</v>
      </c>
      <c r="AI193" s="12">
        <v>0</v>
      </c>
      <c r="AJ193" s="10">
        <v>6201099</v>
      </c>
      <c r="AK193" s="10" t="s">
        <v>47</v>
      </c>
      <c r="AL193" s="14" t="s">
        <v>216</v>
      </c>
      <c r="AM193" s="10" t="s">
        <v>49</v>
      </c>
      <c r="AN193" s="15">
        <v>202300058869</v>
      </c>
      <c r="AO193" s="16" t="s">
        <v>203</v>
      </c>
      <c r="AP193" s="17">
        <v>4538.0200000000004</v>
      </c>
      <c r="AQ193" s="10" t="s">
        <v>51</v>
      </c>
      <c r="AR193" s="10" t="s">
        <v>52</v>
      </c>
      <c r="AS193" s="12">
        <v>120</v>
      </c>
      <c r="AT193" s="10" t="s">
        <v>53</v>
      </c>
      <c r="AU193" s="10">
        <v>40151503</v>
      </c>
      <c r="AV193" s="10" t="s">
        <v>54</v>
      </c>
      <c r="AW193" s="10" t="s">
        <v>55</v>
      </c>
      <c r="AX193" s="10" t="s">
        <v>56</v>
      </c>
      <c r="AY193" s="10" t="s">
        <v>57</v>
      </c>
      <c r="AZ193" s="10" t="s">
        <v>58</v>
      </c>
      <c r="BG193" t="str">
        <v>Outbound</v>
      </c>
      <c r="BH193" t="str">
        <v>Land</v>
      </c>
      <c r="BI193" t="str">
        <v>FG-R-2199LE26</v>
      </c>
      <c r="BJ193" t="str">
        <v>SAIA-BURGESS AUTOMOTIVE ACTUATORS, LLC</v>
      </c>
      <c r="BK193" t="str">
        <v xml:space="preserve">755 BILL JONES DRIVE      </v>
      </c>
      <c r="BL193" t="str">
        <v>M19</v>
      </c>
      <c r="BM193" t="str">
        <v>1999-5YY1117EN</v>
      </c>
      <c r="BN193" s="24">
        <v>648</v>
      </c>
      <c r="BO193" s="23">
        <v>1888.248</v>
      </c>
      <c r="BP193" s="26">
        <f t="shared" si="6"/>
        <v>6.3037214847480663E-2</v>
      </c>
      <c r="BQ193" s="21">
        <f t="shared" si="7"/>
        <v>310.06494837309191</v>
      </c>
    </row>
    <row r="194" spans="2:69" x14ac:dyDescent="0.35">
      <c r="B194" t="s">
        <v>261</v>
      </c>
      <c r="C194" t="s">
        <v>262</v>
      </c>
      <c r="D194" t="str" cm="1">
        <f t="array" ref="D194">_xlfn.REGEXEXTRACT(G194,"FG-R-\d{4}LE\d{2}")</f>
        <v>FG-R-2200LE26</v>
      </c>
      <c r="E194" t="s">
        <v>296</v>
      </c>
      <c r="F194" s="23" cm="1">
        <f t="array" ref="F194">_xlfn.SWITCH(TRUE,T194&gt;0,T194,Z194)</f>
        <v>899.74</v>
      </c>
      <c r="G194" s="10" t="s">
        <v>217</v>
      </c>
      <c r="H194" s="10" t="s">
        <v>38</v>
      </c>
      <c r="I194" s="10" t="s">
        <v>218</v>
      </c>
      <c r="J194" s="11" t="s">
        <v>219</v>
      </c>
      <c r="K194" s="11" t="s">
        <v>219</v>
      </c>
      <c r="L194" s="10" t="s">
        <v>217</v>
      </c>
      <c r="M194" s="10" t="s">
        <v>220</v>
      </c>
      <c r="N194" s="10" t="s">
        <v>43</v>
      </c>
      <c r="O194" s="10" t="s">
        <v>60</v>
      </c>
      <c r="P194" s="10" t="s">
        <v>45</v>
      </c>
      <c r="Q194" s="10" t="s">
        <v>46</v>
      </c>
      <c r="R194" s="12">
        <v>2</v>
      </c>
      <c r="S194" s="13">
        <v>862.74</v>
      </c>
      <c r="T194" s="13">
        <v>899.74</v>
      </c>
      <c r="U194" s="12">
        <v>90</v>
      </c>
      <c r="V194" s="13">
        <v>814.5</v>
      </c>
      <c r="W194" s="13">
        <v>862.74</v>
      </c>
      <c r="X194" s="12">
        <v>0</v>
      </c>
      <c r="Y194" s="13">
        <v>0</v>
      </c>
      <c r="Z194" s="13">
        <v>0</v>
      </c>
      <c r="AA194" s="12">
        <v>0</v>
      </c>
      <c r="AB194" s="13">
        <v>0</v>
      </c>
      <c r="AC194" s="13">
        <v>0</v>
      </c>
      <c r="AD194" s="12">
        <v>2</v>
      </c>
      <c r="AE194" s="12">
        <v>0</v>
      </c>
      <c r="AF194" s="12">
        <v>0</v>
      </c>
      <c r="AG194" s="12">
        <v>2</v>
      </c>
      <c r="AH194" s="12">
        <v>0</v>
      </c>
      <c r="AI194" s="12">
        <v>0</v>
      </c>
      <c r="AJ194" s="10">
        <v>6204427</v>
      </c>
      <c r="AK194" s="10" t="s">
        <v>47</v>
      </c>
      <c r="AL194" s="14" t="s">
        <v>221</v>
      </c>
      <c r="AM194" s="10" t="s">
        <v>49</v>
      </c>
      <c r="AN194" s="15">
        <v>202300058886</v>
      </c>
      <c r="AO194" s="16" t="s">
        <v>222</v>
      </c>
      <c r="AP194" s="17">
        <v>6720.78</v>
      </c>
      <c r="AQ194" s="10" t="s">
        <v>51</v>
      </c>
      <c r="AR194" s="10" t="s">
        <v>159</v>
      </c>
      <c r="AS194" s="12">
        <v>2250</v>
      </c>
      <c r="AT194" s="10" t="s">
        <v>53</v>
      </c>
      <c r="AU194" s="10">
        <v>40151500</v>
      </c>
      <c r="AV194" s="10" t="s">
        <v>62</v>
      </c>
      <c r="AW194" s="10" t="s">
        <v>55</v>
      </c>
      <c r="AX194" s="10" t="s">
        <v>56</v>
      </c>
      <c r="AY194" s="10" t="s">
        <v>63</v>
      </c>
      <c r="AZ194" s="10" t="s">
        <v>64</v>
      </c>
      <c r="BG194" t="str">
        <v>Outbound</v>
      </c>
      <c r="BH194" t="str">
        <v>Land</v>
      </c>
      <c r="BI194" t="str">
        <v>FG-R-2200LE26</v>
      </c>
      <c r="BJ194" t="str">
        <v>JOHNSON ELECTRIC NORTH AMERICA, INC.</v>
      </c>
      <c r="BK194" t="str">
        <v xml:space="preserve">APX WH  6001 GLOBAL DISTRIBUTION WAY LOUISVILLE, KY 40228    </v>
      </c>
      <c r="BL194" t="str">
        <v>M45</v>
      </c>
      <c r="BM194" t="str">
        <v>1999-1E30015EN</v>
      </c>
      <c r="BN194" s="24">
        <v>2250</v>
      </c>
      <c r="BO194" s="23">
        <v>899.74</v>
      </c>
      <c r="BP194" s="26">
        <f t="shared" si="6"/>
        <v>5.3364825879065665E-2</v>
      </c>
      <c r="BQ194" s="21">
        <f t="shared" si="7"/>
        <v>262.48878573024126</v>
      </c>
    </row>
    <row r="195" spans="2:69" x14ac:dyDescent="0.35">
      <c r="B195" t="s">
        <v>261</v>
      </c>
      <c r="C195" t="s">
        <v>262</v>
      </c>
      <c r="D195" t="str" cm="1">
        <f t="array" ref="D195">_xlfn.REGEXEXTRACT(G195,"FG-R-\d{4}LE\d{2}")</f>
        <v>FG-R-2200LE26</v>
      </c>
      <c r="E195" t="s">
        <v>296</v>
      </c>
      <c r="F195" s="23" cm="1">
        <f t="array" ref="F195">_xlfn.SWITCH(TRUE,T195&gt;0,T195,Z195)</f>
        <v>3149.09</v>
      </c>
      <c r="G195" s="10" t="s">
        <v>217</v>
      </c>
      <c r="H195" s="10" t="s">
        <v>38</v>
      </c>
      <c r="I195" s="10" t="s">
        <v>218</v>
      </c>
      <c r="J195" s="11" t="s">
        <v>219</v>
      </c>
      <c r="K195" s="11" t="s">
        <v>219</v>
      </c>
      <c r="L195" s="10" t="s">
        <v>217</v>
      </c>
      <c r="M195" s="10" t="s">
        <v>220</v>
      </c>
      <c r="N195" s="10" t="s">
        <v>43</v>
      </c>
      <c r="O195" s="10" t="s">
        <v>60</v>
      </c>
      <c r="P195" s="10" t="s">
        <v>45</v>
      </c>
      <c r="Q195" s="10" t="s">
        <v>46</v>
      </c>
      <c r="R195" s="12">
        <v>7</v>
      </c>
      <c r="S195" s="13">
        <v>3019.59</v>
      </c>
      <c r="T195" s="13">
        <v>3149.09</v>
      </c>
      <c r="U195" s="12">
        <v>315</v>
      </c>
      <c r="V195" s="13">
        <v>2850.75</v>
      </c>
      <c r="W195" s="13">
        <v>3019.59</v>
      </c>
      <c r="X195" s="12">
        <v>0</v>
      </c>
      <c r="Y195" s="13">
        <v>0</v>
      </c>
      <c r="Z195" s="13">
        <v>0</v>
      </c>
      <c r="AA195" s="12">
        <v>0</v>
      </c>
      <c r="AB195" s="13">
        <v>0</v>
      </c>
      <c r="AC195" s="13">
        <v>0</v>
      </c>
      <c r="AD195" s="12">
        <v>7</v>
      </c>
      <c r="AE195" s="12">
        <v>0</v>
      </c>
      <c r="AF195" s="12">
        <v>0</v>
      </c>
      <c r="AG195" s="12">
        <v>7</v>
      </c>
      <c r="AH195" s="12">
        <v>0</v>
      </c>
      <c r="AI195" s="12">
        <v>0</v>
      </c>
      <c r="AJ195" s="10">
        <v>6204428</v>
      </c>
      <c r="AK195" s="10" t="s">
        <v>47</v>
      </c>
      <c r="AL195" s="14" t="s">
        <v>221</v>
      </c>
      <c r="AM195" s="10" t="s">
        <v>49</v>
      </c>
      <c r="AN195" s="15">
        <v>202300058887</v>
      </c>
      <c r="AO195" s="16" t="s">
        <v>222</v>
      </c>
      <c r="AP195" s="17">
        <v>23522.73</v>
      </c>
      <c r="AQ195" s="10" t="s">
        <v>51</v>
      </c>
      <c r="AR195" s="10" t="s">
        <v>159</v>
      </c>
      <c r="AS195" s="12">
        <v>7875</v>
      </c>
      <c r="AT195" s="10" t="s">
        <v>53</v>
      </c>
      <c r="AU195" s="10">
        <v>40151500</v>
      </c>
      <c r="AV195" s="10" t="s">
        <v>62</v>
      </c>
      <c r="AW195" s="10" t="s">
        <v>55</v>
      </c>
      <c r="AX195" s="10" t="s">
        <v>56</v>
      </c>
      <c r="AY195" s="10" t="s">
        <v>63</v>
      </c>
      <c r="AZ195" s="10" t="s">
        <v>64</v>
      </c>
      <c r="BG195" t="str">
        <v>Outbound</v>
      </c>
      <c r="BH195" t="str">
        <v>Land</v>
      </c>
      <c r="BI195" t="str">
        <v>FG-R-2200LE26</v>
      </c>
      <c r="BJ195" t="str">
        <v>JOHNSON ELECTRIC NORTH AMERICA, INC.</v>
      </c>
      <c r="BK195" t="str">
        <v xml:space="preserve">APX WH  6001 GLOBAL DISTRIBUTION WAY LOUISVILLE, KY 40228    </v>
      </c>
      <c r="BL195" t="str">
        <v>M45</v>
      </c>
      <c r="BM195" t="str">
        <v>1999-1E30015EN</v>
      </c>
      <c r="BN195" s="24">
        <v>7875</v>
      </c>
      <c r="BO195" s="23">
        <v>3149.09</v>
      </c>
      <c r="BP195" s="26">
        <f t="shared" si="6"/>
        <v>0.18677689057672983</v>
      </c>
      <c r="BQ195" s="21">
        <f t="shared" si="7"/>
        <v>918.7107500558443</v>
      </c>
    </row>
    <row r="196" spans="2:69" x14ac:dyDescent="0.35">
      <c r="B196" t="s">
        <v>261</v>
      </c>
      <c r="C196" t="s">
        <v>262</v>
      </c>
      <c r="D196" t="str" cm="1">
        <f t="array" ref="D196">_xlfn.REGEXEXTRACT(G196,"FG-R-\d{4}LE\d{2}")</f>
        <v>FG-R-2200LE26</v>
      </c>
      <c r="E196" t="s">
        <v>296</v>
      </c>
      <c r="F196" s="23" cm="1">
        <f t="array" ref="F196">_xlfn.SWITCH(TRUE,T196&gt;0,T196,Z196)</f>
        <v>1349.61</v>
      </c>
      <c r="G196" s="10" t="s">
        <v>217</v>
      </c>
      <c r="H196" s="10" t="s">
        <v>38</v>
      </c>
      <c r="I196" s="10" t="s">
        <v>218</v>
      </c>
      <c r="J196" s="11" t="s">
        <v>219</v>
      </c>
      <c r="K196" s="11" t="s">
        <v>219</v>
      </c>
      <c r="L196" s="10" t="s">
        <v>217</v>
      </c>
      <c r="M196" s="10" t="s">
        <v>220</v>
      </c>
      <c r="N196" s="10" t="s">
        <v>43</v>
      </c>
      <c r="O196" s="10" t="s">
        <v>60</v>
      </c>
      <c r="P196" s="10" t="s">
        <v>45</v>
      </c>
      <c r="Q196" s="10" t="s">
        <v>46</v>
      </c>
      <c r="R196" s="12">
        <v>3</v>
      </c>
      <c r="S196" s="13">
        <v>1294.1099999999999</v>
      </c>
      <c r="T196" s="13">
        <v>1349.61</v>
      </c>
      <c r="U196" s="12">
        <v>135</v>
      </c>
      <c r="V196" s="13">
        <v>1221.75</v>
      </c>
      <c r="W196" s="13">
        <v>1294.1099999999999</v>
      </c>
      <c r="X196" s="12">
        <v>0</v>
      </c>
      <c r="Y196" s="13">
        <v>0</v>
      </c>
      <c r="Z196" s="13">
        <v>0</v>
      </c>
      <c r="AA196" s="12">
        <v>0</v>
      </c>
      <c r="AB196" s="13">
        <v>0</v>
      </c>
      <c r="AC196" s="13">
        <v>0</v>
      </c>
      <c r="AD196" s="12">
        <v>3</v>
      </c>
      <c r="AE196" s="12">
        <v>0</v>
      </c>
      <c r="AF196" s="12">
        <v>0</v>
      </c>
      <c r="AG196" s="12">
        <v>3</v>
      </c>
      <c r="AH196" s="12">
        <v>0</v>
      </c>
      <c r="AI196" s="12">
        <v>0</v>
      </c>
      <c r="AJ196" s="10">
        <v>6204647</v>
      </c>
      <c r="AK196" s="10" t="s">
        <v>47</v>
      </c>
      <c r="AL196" s="14" t="s">
        <v>221</v>
      </c>
      <c r="AM196" s="10" t="s">
        <v>49</v>
      </c>
      <c r="AN196" s="15">
        <v>202300058897</v>
      </c>
      <c r="AO196" s="16" t="s">
        <v>222</v>
      </c>
      <c r="AP196" s="17">
        <v>10081.17</v>
      </c>
      <c r="AQ196" s="10" t="s">
        <v>51</v>
      </c>
      <c r="AR196" s="10" t="s">
        <v>159</v>
      </c>
      <c r="AS196" s="12">
        <v>3375</v>
      </c>
      <c r="AT196" s="10" t="s">
        <v>53</v>
      </c>
      <c r="AU196" s="10">
        <v>40151500</v>
      </c>
      <c r="AV196" s="10" t="s">
        <v>62</v>
      </c>
      <c r="AW196" s="10" t="s">
        <v>55</v>
      </c>
      <c r="AX196" s="10" t="s">
        <v>56</v>
      </c>
      <c r="AY196" s="10" t="s">
        <v>63</v>
      </c>
      <c r="AZ196" s="10" t="s">
        <v>64</v>
      </c>
      <c r="BG196" t="str">
        <v>Outbound</v>
      </c>
      <c r="BH196" t="str">
        <v>Land</v>
      </c>
      <c r="BI196" t="str">
        <v>FG-R-2200LE26</v>
      </c>
      <c r="BJ196" t="str">
        <v>JOHNSON ELECTRIC NORTH AMERICA, INC.</v>
      </c>
      <c r="BK196" t="str">
        <v xml:space="preserve">APX WH  6001 GLOBAL DISTRIBUTION WAY LOUISVILLE, KY 40228    </v>
      </c>
      <c r="BL196" t="str">
        <v>M45</v>
      </c>
      <c r="BM196" t="str">
        <v>1999-1E30015EN</v>
      </c>
      <c r="BN196" s="24">
        <v>3375</v>
      </c>
      <c r="BO196" s="23">
        <v>1349.61</v>
      </c>
      <c r="BP196" s="26">
        <f t="shared" si="6"/>
        <v>8.0047238818598501E-2</v>
      </c>
      <c r="BQ196" s="21">
        <f t="shared" si="7"/>
        <v>393.73317859536189</v>
      </c>
    </row>
    <row r="197" spans="2:69" x14ac:dyDescent="0.35">
      <c r="B197" t="s">
        <v>261</v>
      </c>
      <c r="C197" t="s">
        <v>262</v>
      </c>
      <c r="D197" t="str" cm="1">
        <f t="array" ref="D197">_xlfn.REGEXEXTRACT(G197,"FG-R-\d{4}LE\d{2}")</f>
        <v>FG-R-2200LE26</v>
      </c>
      <c r="E197" t="s">
        <v>296</v>
      </c>
      <c r="F197" s="23" cm="1">
        <f t="array" ref="F197">_xlfn.SWITCH(TRUE,T197&gt;0,T197,Z197)</f>
        <v>449.87</v>
      </c>
      <c r="G197" s="10" t="s">
        <v>217</v>
      </c>
      <c r="H197" s="10" t="s">
        <v>38</v>
      </c>
      <c r="I197" s="10" t="s">
        <v>218</v>
      </c>
      <c r="J197" s="11" t="s">
        <v>219</v>
      </c>
      <c r="K197" s="11" t="s">
        <v>219</v>
      </c>
      <c r="L197" s="10" t="s">
        <v>217</v>
      </c>
      <c r="M197" s="10" t="s">
        <v>220</v>
      </c>
      <c r="N197" s="10" t="s">
        <v>43</v>
      </c>
      <c r="O197" s="10" t="s">
        <v>60</v>
      </c>
      <c r="P197" s="10" t="s">
        <v>45</v>
      </c>
      <c r="Q197" s="10" t="s">
        <v>46</v>
      </c>
      <c r="R197" s="12">
        <v>1</v>
      </c>
      <c r="S197" s="13">
        <v>431.37</v>
      </c>
      <c r="T197" s="13">
        <v>449.87</v>
      </c>
      <c r="U197" s="12">
        <v>45</v>
      </c>
      <c r="V197" s="13">
        <v>407.25</v>
      </c>
      <c r="W197" s="13">
        <v>431.37</v>
      </c>
      <c r="X197" s="12">
        <v>0</v>
      </c>
      <c r="Y197" s="13">
        <v>0</v>
      </c>
      <c r="Z197" s="13">
        <v>0</v>
      </c>
      <c r="AA197" s="12">
        <v>0</v>
      </c>
      <c r="AB197" s="13">
        <v>0</v>
      </c>
      <c r="AC197" s="13">
        <v>0</v>
      </c>
      <c r="AD197" s="12">
        <v>1</v>
      </c>
      <c r="AE197" s="12">
        <v>0</v>
      </c>
      <c r="AF197" s="12">
        <v>0</v>
      </c>
      <c r="AG197" s="12">
        <v>1</v>
      </c>
      <c r="AH197" s="12">
        <v>0</v>
      </c>
      <c r="AI197" s="12">
        <v>0</v>
      </c>
      <c r="AJ197" s="10">
        <v>6204429</v>
      </c>
      <c r="AK197" s="10" t="s">
        <v>47</v>
      </c>
      <c r="AL197" s="14" t="s">
        <v>221</v>
      </c>
      <c r="AM197" s="10" t="s">
        <v>49</v>
      </c>
      <c r="AN197" s="15">
        <v>202300058895</v>
      </c>
      <c r="AO197" s="16" t="s">
        <v>222</v>
      </c>
      <c r="AP197" s="17">
        <v>3360.39</v>
      </c>
      <c r="AQ197" s="10" t="s">
        <v>51</v>
      </c>
      <c r="AR197" s="10" t="s">
        <v>159</v>
      </c>
      <c r="AS197" s="12">
        <v>1125</v>
      </c>
      <c r="AT197" s="10" t="s">
        <v>53</v>
      </c>
      <c r="AU197" s="10">
        <v>40151500</v>
      </c>
      <c r="AV197" s="10" t="s">
        <v>62</v>
      </c>
      <c r="AW197" s="10" t="s">
        <v>55</v>
      </c>
      <c r="AX197" s="10" t="s">
        <v>56</v>
      </c>
      <c r="AY197" s="10" t="s">
        <v>63</v>
      </c>
      <c r="AZ197" s="10" t="s">
        <v>64</v>
      </c>
      <c r="BG197" t="str">
        <v>Outbound</v>
      </c>
      <c r="BH197" t="str">
        <v>Land</v>
      </c>
      <c r="BI197" t="str">
        <v>FG-R-2200LE26</v>
      </c>
      <c r="BJ197" t="str">
        <v>JOHNSON ELECTRIC NORTH AMERICA, INC.</v>
      </c>
      <c r="BK197" t="str">
        <v xml:space="preserve">APX WH  6001 GLOBAL DISTRIBUTION WAY LOUISVILLE, KY 40228    </v>
      </c>
      <c r="BL197" t="str">
        <v>M45</v>
      </c>
      <c r="BM197" t="str">
        <v>1999-1E30015EN</v>
      </c>
      <c r="BN197" s="24">
        <v>1125</v>
      </c>
      <c r="BO197" s="23">
        <v>449.87</v>
      </c>
      <c r="BP197" s="26">
        <f t="shared" si="6"/>
        <v>2.6682412939532833E-2</v>
      </c>
      <c r="BQ197" s="21">
        <f t="shared" si="7"/>
        <v>131.24439286512063</v>
      </c>
    </row>
    <row r="198" spans="2:69" x14ac:dyDescent="0.35">
      <c r="B198" t="s">
        <v>261</v>
      </c>
      <c r="C198" t="s">
        <v>262</v>
      </c>
      <c r="D198" t="str" cm="1">
        <f t="array" ref="D198">_xlfn.REGEXEXTRACT(G198,"FG-R-\d{4}LE\d{2}")</f>
        <v>FG-R-2200LE26</v>
      </c>
      <c r="E198" t="s">
        <v>296</v>
      </c>
      <c r="F198" s="23" cm="1">
        <f t="array" ref="F198">_xlfn.SWITCH(TRUE,T198&gt;0,T198,Z198)</f>
        <v>3149.09</v>
      </c>
      <c r="G198" s="10" t="s">
        <v>217</v>
      </c>
      <c r="H198" s="10" t="s">
        <v>38</v>
      </c>
      <c r="I198" s="10" t="s">
        <v>218</v>
      </c>
      <c r="J198" s="11" t="s">
        <v>219</v>
      </c>
      <c r="K198" s="11" t="s">
        <v>219</v>
      </c>
      <c r="L198" s="10" t="s">
        <v>217</v>
      </c>
      <c r="M198" s="10" t="s">
        <v>220</v>
      </c>
      <c r="N198" s="10" t="s">
        <v>43</v>
      </c>
      <c r="O198" s="10" t="s">
        <v>60</v>
      </c>
      <c r="P198" s="10" t="s">
        <v>45</v>
      </c>
      <c r="Q198" s="10" t="s">
        <v>46</v>
      </c>
      <c r="R198" s="12">
        <v>7</v>
      </c>
      <c r="S198" s="13">
        <v>3019.59</v>
      </c>
      <c r="T198" s="13">
        <v>3149.09</v>
      </c>
      <c r="U198" s="12">
        <v>315</v>
      </c>
      <c r="V198" s="13">
        <v>2850.75</v>
      </c>
      <c r="W198" s="13">
        <v>3019.59</v>
      </c>
      <c r="X198" s="12">
        <v>0</v>
      </c>
      <c r="Y198" s="13">
        <v>0</v>
      </c>
      <c r="Z198" s="13">
        <v>0</v>
      </c>
      <c r="AA198" s="12">
        <v>0</v>
      </c>
      <c r="AB198" s="13">
        <v>0</v>
      </c>
      <c r="AC198" s="13">
        <v>0</v>
      </c>
      <c r="AD198" s="12">
        <v>7</v>
      </c>
      <c r="AE198" s="12">
        <v>0</v>
      </c>
      <c r="AF198" s="12">
        <v>0</v>
      </c>
      <c r="AG198" s="12">
        <v>7</v>
      </c>
      <c r="AH198" s="12">
        <v>0</v>
      </c>
      <c r="AI198" s="12">
        <v>0</v>
      </c>
      <c r="AJ198" s="10">
        <v>6204644</v>
      </c>
      <c r="AK198" s="10" t="s">
        <v>47</v>
      </c>
      <c r="AL198" s="14" t="s">
        <v>221</v>
      </c>
      <c r="AM198" s="10" t="s">
        <v>49</v>
      </c>
      <c r="AN198" s="15">
        <v>202300058896</v>
      </c>
      <c r="AO198" s="16" t="s">
        <v>222</v>
      </c>
      <c r="AP198" s="17">
        <v>23522.73</v>
      </c>
      <c r="AQ198" s="10" t="s">
        <v>51</v>
      </c>
      <c r="AR198" s="10" t="s">
        <v>159</v>
      </c>
      <c r="AS198" s="12">
        <v>7875</v>
      </c>
      <c r="AT198" s="10" t="s">
        <v>53</v>
      </c>
      <c r="AU198" s="10">
        <v>40151500</v>
      </c>
      <c r="AV198" s="10" t="s">
        <v>62</v>
      </c>
      <c r="AW198" s="10" t="s">
        <v>55</v>
      </c>
      <c r="AX198" s="10" t="s">
        <v>56</v>
      </c>
      <c r="AY198" s="10" t="s">
        <v>63</v>
      </c>
      <c r="AZ198" s="10" t="s">
        <v>64</v>
      </c>
      <c r="BG198" t="str">
        <v>Outbound</v>
      </c>
      <c r="BH198" t="str">
        <v>Land</v>
      </c>
      <c r="BI198" t="str">
        <v>FG-R-2200LE26</v>
      </c>
      <c r="BJ198" t="str">
        <v>JOHNSON ELECTRIC NORTH AMERICA, INC.</v>
      </c>
      <c r="BK198" t="str">
        <v xml:space="preserve">APX WH  6001 GLOBAL DISTRIBUTION WAY LOUISVILLE, KY 40228    </v>
      </c>
      <c r="BL198" t="str">
        <v>M45</v>
      </c>
      <c r="BM198" t="str">
        <v>1999-1E30015EN</v>
      </c>
      <c r="BN198" s="24">
        <v>7875</v>
      </c>
      <c r="BO198" s="23">
        <v>3149.09</v>
      </c>
      <c r="BP198" s="26">
        <f t="shared" si="6"/>
        <v>0.18677689057672983</v>
      </c>
      <c r="BQ198" s="21">
        <f t="shared" si="7"/>
        <v>918.7107500558443</v>
      </c>
    </row>
    <row r="199" spans="2:69" x14ac:dyDescent="0.35">
      <c r="B199" t="s">
        <v>261</v>
      </c>
      <c r="C199" t="s">
        <v>262</v>
      </c>
      <c r="D199" t="str" cm="1">
        <f t="array" ref="D199">_xlfn.REGEXEXTRACT(G199,"FG-R-\d{4}LE\d{2}")</f>
        <v>FG-R-2200LE26</v>
      </c>
      <c r="E199" t="s">
        <v>299</v>
      </c>
      <c r="F199" s="23" cm="1">
        <f t="array" ref="F199">_xlfn.SWITCH(TRUE,T199&gt;0,T199,Z199)</f>
        <v>4555.9799999999996</v>
      </c>
      <c r="G199" s="10" t="s">
        <v>223</v>
      </c>
      <c r="H199" s="10" t="s">
        <v>38</v>
      </c>
      <c r="I199" s="10" t="s">
        <v>218</v>
      </c>
      <c r="J199" s="11" t="s">
        <v>219</v>
      </c>
      <c r="K199" s="11" t="s">
        <v>219</v>
      </c>
      <c r="L199" s="10" t="s">
        <v>217</v>
      </c>
      <c r="M199" s="10" t="s">
        <v>220</v>
      </c>
      <c r="N199" s="10" t="s">
        <v>43</v>
      </c>
      <c r="O199" s="10" t="s">
        <v>197</v>
      </c>
      <c r="P199" s="10" t="s">
        <v>45</v>
      </c>
      <c r="Q199" s="10" t="s">
        <v>46</v>
      </c>
      <c r="R199" s="12">
        <v>11</v>
      </c>
      <c r="S199" s="13">
        <v>4308.4799999999996</v>
      </c>
      <c r="T199" s="13">
        <v>4555.9799999999996</v>
      </c>
      <c r="U199" s="12">
        <v>528</v>
      </c>
      <c r="V199" s="13">
        <v>3833.28</v>
      </c>
      <c r="W199" s="13">
        <v>4308.4799999999996</v>
      </c>
      <c r="X199" s="12">
        <v>0</v>
      </c>
      <c r="Y199" s="13">
        <v>0</v>
      </c>
      <c r="Z199" s="13">
        <v>0</v>
      </c>
      <c r="AA199" s="12">
        <v>0</v>
      </c>
      <c r="AB199" s="13">
        <v>0</v>
      </c>
      <c r="AC199" s="13">
        <v>0</v>
      </c>
      <c r="AD199" s="12">
        <v>11</v>
      </c>
      <c r="AE199" s="12">
        <v>0</v>
      </c>
      <c r="AF199" s="12">
        <v>0</v>
      </c>
      <c r="AG199" s="12">
        <v>11</v>
      </c>
      <c r="AH199" s="12">
        <v>0</v>
      </c>
      <c r="AI199" s="12">
        <v>0</v>
      </c>
      <c r="AJ199" s="10">
        <v>6206136</v>
      </c>
      <c r="AK199" s="10" t="s">
        <v>47</v>
      </c>
      <c r="AL199" s="14" t="s">
        <v>221</v>
      </c>
      <c r="AM199" s="10" t="s">
        <v>49</v>
      </c>
      <c r="AN199" s="15">
        <v>202300058902</v>
      </c>
      <c r="AO199" s="16" t="s">
        <v>222</v>
      </c>
      <c r="AP199" s="17">
        <v>72435.67</v>
      </c>
      <c r="AQ199" s="10" t="s">
        <v>51</v>
      </c>
      <c r="AR199" s="10" t="s">
        <v>198</v>
      </c>
      <c r="AS199" s="12">
        <v>1584</v>
      </c>
      <c r="AT199" s="10" t="s">
        <v>53</v>
      </c>
      <c r="AU199" s="10">
        <v>26101200</v>
      </c>
      <c r="AV199" s="10" t="s">
        <v>78</v>
      </c>
      <c r="AW199" s="10" t="s">
        <v>55</v>
      </c>
      <c r="AX199" s="10" t="s">
        <v>56</v>
      </c>
      <c r="AY199" s="10" t="s">
        <v>102</v>
      </c>
      <c r="AZ199" s="10" t="s">
        <v>103</v>
      </c>
      <c r="BG199" t="str">
        <v>Outbound</v>
      </c>
      <c r="BH199" t="str">
        <v>Land</v>
      </c>
      <c r="BI199" t="str">
        <v>FG-R-2200LE26</v>
      </c>
      <c r="BJ199" t="str">
        <v>JOHNSON ELECTRIC NORTH AMERICA, INC.</v>
      </c>
      <c r="BK199" t="str">
        <v xml:space="preserve">Goggins Warehouse 111 Eaton Drive    </v>
      </c>
      <c r="BL199" t="str">
        <v>M19</v>
      </c>
      <c r="BM199" t="str">
        <v>1999-5YY0847EN</v>
      </c>
      <c r="BN199" s="24">
        <v>1584</v>
      </c>
      <c r="BO199" s="23">
        <v>4555.9799999999996</v>
      </c>
      <c r="BP199" s="26">
        <f t="shared" si="6"/>
        <v>0.27022148554972053</v>
      </c>
      <c r="BQ199" s="21">
        <f t="shared" si="7"/>
        <v>1329.154709150715</v>
      </c>
    </row>
    <row r="200" spans="2:69" x14ac:dyDescent="0.35">
      <c r="B200" t="s">
        <v>261</v>
      </c>
      <c r="C200" t="s">
        <v>262</v>
      </c>
      <c r="D200" t="str" cm="1">
        <f t="array" ref="D200">_xlfn.REGEXEXTRACT(G200,"FG-R-\d{4}LE\d{2}")</f>
        <v>FG-R-2200LE26</v>
      </c>
      <c r="E200" t="s">
        <v>297</v>
      </c>
      <c r="F200" s="23" cm="1">
        <f t="array" ref="F200">_xlfn.SWITCH(TRUE,T200&gt;0,T200,Z200)</f>
        <v>580.67999999999995</v>
      </c>
      <c r="G200" s="10" t="s">
        <v>217</v>
      </c>
      <c r="H200" s="10" t="s">
        <v>38</v>
      </c>
      <c r="I200" s="10" t="s">
        <v>218</v>
      </c>
      <c r="J200" s="11" t="s">
        <v>219</v>
      </c>
      <c r="K200" s="11" t="s">
        <v>219</v>
      </c>
      <c r="L200" s="10" t="s">
        <v>217</v>
      </c>
      <c r="M200" s="10" t="s">
        <v>220</v>
      </c>
      <c r="N200" s="10" t="s">
        <v>43</v>
      </c>
      <c r="O200" s="10" t="s">
        <v>69</v>
      </c>
      <c r="P200" s="10" t="s">
        <v>45</v>
      </c>
      <c r="Q200" s="10" t="s">
        <v>46</v>
      </c>
      <c r="R200" s="12">
        <v>1</v>
      </c>
      <c r="S200" s="13">
        <v>553.67999999999995</v>
      </c>
      <c r="T200" s="13">
        <v>580.67999999999995</v>
      </c>
      <c r="U200" s="12">
        <v>80</v>
      </c>
      <c r="V200" s="13">
        <v>216</v>
      </c>
      <c r="W200" s="13">
        <v>553.67999999999995</v>
      </c>
      <c r="X200" s="12">
        <v>0</v>
      </c>
      <c r="Y200" s="13">
        <v>0</v>
      </c>
      <c r="Z200" s="13">
        <v>0</v>
      </c>
      <c r="AA200" s="12">
        <v>0</v>
      </c>
      <c r="AB200" s="13">
        <v>0</v>
      </c>
      <c r="AC200" s="13">
        <v>0</v>
      </c>
      <c r="AD200" s="12">
        <v>1</v>
      </c>
      <c r="AE200" s="12">
        <v>0</v>
      </c>
      <c r="AF200" s="12">
        <v>0</v>
      </c>
      <c r="AG200" s="12">
        <v>1</v>
      </c>
      <c r="AH200" s="12">
        <v>0</v>
      </c>
      <c r="AI200" s="12">
        <v>0</v>
      </c>
      <c r="AJ200" s="10">
        <v>6204420</v>
      </c>
      <c r="AK200" s="10" t="s">
        <v>47</v>
      </c>
      <c r="AL200" s="14" t="s">
        <v>221</v>
      </c>
      <c r="AM200" s="10" t="s">
        <v>49</v>
      </c>
      <c r="AN200" s="15">
        <v>202300058893</v>
      </c>
      <c r="AO200" s="16" t="s">
        <v>222</v>
      </c>
      <c r="AP200" s="17">
        <v>3684.14</v>
      </c>
      <c r="AQ200" s="10" t="s">
        <v>51</v>
      </c>
      <c r="AR200" s="10" t="s">
        <v>72</v>
      </c>
      <c r="AS200" s="12">
        <v>2000</v>
      </c>
      <c r="AT200" s="10" t="s">
        <v>53</v>
      </c>
      <c r="AU200" s="10">
        <v>40151500</v>
      </c>
      <c r="AV200" s="10" t="s">
        <v>62</v>
      </c>
      <c r="AW200" s="10" t="s">
        <v>55</v>
      </c>
      <c r="AX200" s="10" t="s">
        <v>56</v>
      </c>
      <c r="AY200" s="10" t="s">
        <v>73</v>
      </c>
      <c r="AZ200" s="10" t="s">
        <v>74</v>
      </c>
      <c r="BG200" t="str">
        <v>Outbound</v>
      </c>
      <c r="BH200" t="str">
        <v>Land</v>
      </c>
      <c r="BI200" t="str">
        <v>FG-R-2200LE26</v>
      </c>
      <c r="BJ200" t="str">
        <v>JOHNSON ELECTRIC NORTH AMERICA, INC.</v>
      </c>
      <c r="BK200" t="str">
        <v xml:space="preserve">Memphis Distribution Services 3893 Crowfarn    </v>
      </c>
      <c r="BL200" t="str">
        <v>M01</v>
      </c>
      <c r="BM200" t="str">
        <v>1999-1WP0063AN</v>
      </c>
      <c r="BN200" s="24">
        <v>2000</v>
      </c>
      <c r="BO200" s="23">
        <v>580.67999999999995</v>
      </c>
      <c r="BP200" s="26">
        <f t="shared" si="6"/>
        <v>3.4440935260692924E-2</v>
      </c>
      <c r="BQ200" s="21">
        <f t="shared" si="7"/>
        <v>169.40670426771788</v>
      </c>
    </row>
    <row r="201" spans="2:69" x14ac:dyDescent="0.35">
      <c r="B201" t="s">
        <v>261</v>
      </c>
      <c r="C201" t="s">
        <v>262</v>
      </c>
      <c r="D201" t="str" cm="1">
        <f t="array" ref="D201">_xlfn.REGEXEXTRACT(G201,"FG-R-\d{4}LE\d{2}")</f>
        <v>FG-R-2200LE26</v>
      </c>
      <c r="E201" t="s">
        <v>297</v>
      </c>
      <c r="F201" s="23" cm="1">
        <f t="array" ref="F201">_xlfn.SWITCH(TRUE,T201&gt;0,T201,Z201)</f>
        <v>580.67999999999995</v>
      </c>
      <c r="G201" s="10" t="s">
        <v>217</v>
      </c>
      <c r="H201" s="10" t="s">
        <v>38</v>
      </c>
      <c r="I201" s="10" t="s">
        <v>218</v>
      </c>
      <c r="J201" s="11" t="s">
        <v>219</v>
      </c>
      <c r="K201" s="11" t="s">
        <v>219</v>
      </c>
      <c r="L201" s="10" t="s">
        <v>217</v>
      </c>
      <c r="M201" s="10" t="s">
        <v>220</v>
      </c>
      <c r="N201" s="10" t="s">
        <v>43</v>
      </c>
      <c r="O201" s="10" t="s">
        <v>69</v>
      </c>
      <c r="P201" s="10" t="s">
        <v>45</v>
      </c>
      <c r="Q201" s="10" t="s">
        <v>46</v>
      </c>
      <c r="R201" s="12">
        <v>1</v>
      </c>
      <c r="S201" s="13">
        <v>553.67999999999995</v>
      </c>
      <c r="T201" s="13">
        <v>580.67999999999995</v>
      </c>
      <c r="U201" s="12">
        <v>80</v>
      </c>
      <c r="V201" s="13">
        <v>216</v>
      </c>
      <c r="W201" s="13">
        <v>553.67999999999995</v>
      </c>
      <c r="X201" s="12">
        <v>0</v>
      </c>
      <c r="Y201" s="13">
        <v>0</v>
      </c>
      <c r="Z201" s="13">
        <v>0</v>
      </c>
      <c r="AA201" s="12">
        <v>0</v>
      </c>
      <c r="AB201" s="13">
        <v>0</v>
      </c>
      <c r="AC201" s="13">
        <v>0</v>
      </c>
      <c r="AD201" s="12">
        <v>1</v>
      </c>
      <c r="AE201" s="12">
        <v>0</v>
      </c>
      <c r="AF201" s="12">
        <v>0</v>
      </c>
      <c r="AG201" s="12">
        <v>1</v>
      </c>
      <c r="AH201" s="12">
        <v>0</v>
      </c>
      <c r="AI201" s="12">
        <v>0</v>
      </c>
      <c r="AJ201" s="10">
        <v>6204417</v>
      </c>
      <c r="AK201" s="10" t="s">
        <v>47</v>
      </c>
      <c r="AL201" s="14" t="s">
        <v>221</v>
      </c>
      <c r="AM201" s="10" t="s">
        <v>49</v>
      </c>
      <c r="AN201" s="15">
        <v>202300058891</v>
      </c>
      <c r="AO201" s="16" t="s">
        <v>222</v>
      </c>
      <c r="AP201" s="17">
        <v>3679.78</v>
      </c>
      <c r="AQ201" s="10" t="s">
        <v>51</v>
      </c>
      <c r="AR201" s="10" t="s">
        <v>209</v>
      </c>
      <c r="AS201" s="12">
        <v>2000</v>
      </c>
      <c r="AT201" s="10" t="s">
        <v>53</v>
      </c>
      <c r="AU201" s="10">
        <v>40151500</v>
      </c>
      <c r="AV201" s="10" t="s">
        <v>62</v>
      </c>
      <c r="AW201" s="10" t="s">
        <v>55</v>
      </c>
      <c r="AX201" s="10" t="s">
        <v>56</v>
      </c>
      <c r="AY201" s="10" t="s">
        <v>73</v>
      </c>
      <c r="AZ201" s="10" t="s">
        <v>74</v>
      </c>
      <c r="BG201" t="str">
        <v>Outbound</v>
      </c>
      <c r="BH201" t="str">
        <v>Land</v>
      </c>
      <c r="BI201" t="str">
        <v>FG-R-2200LE26</v>
      </c>
      <c r="BJ201" t="str">
        <v>JOHNSON ELECTRIC NORTH AMERICA, INC.</v>
      </c>
      <c r="BK201" t="str">
        <v xml:space="preserve">Memphis Distribution Services 3893 Crowfarn    </v>
      </c>
      <c r="BL201" t="str">
        <v>M01</v>
      </c>
      <c r="BM201" t="str">
        <v>1999-1WP0052AN</v>
      </c>
      <c r="BN201" s="24">
        <v>2000</v>
      </c>
      <c r="BO201" s="23">
        <v>580.67999999999995</v>
      </c>
      <c r="BP201" s="26">
        <f t="shared" si="6"/>
        <v>3.4440935260692924E-2</v>
      </c>
      <c r="BQ201" s="21">
        <f t="shared" si="7"/>
        <v>169.40670426771788</v>
      </c>
    </row>
    <row r="202" spans="2:69" x14ac:dyDescent="0.35">
      <c r="B202" t="s">
        <v>261</v>
      </c>
      <c r="C202" t="s">
        <v>262</v>
      </c>
      <c r="D202" t="str" cm="1">
        <f t="array" ref="D202">_xlfn.REGEXEXTRACT(G202,"FG-R-\d{4}LE\d{2}")</f>
        <v>FG-R-2200LE26</v>
      </c>
      <c r="E202" t="s">
        <v>297</v>
      </c>
      <c r="F202" s="23" cm="1">
        <f t="array" ref="F202">_xlfn.SWITCH(TRUE,T202&gt;0,T202,Z202)</f>
        <v>109.96</v>
      </c>
      <c r="G202" s="10" t="s">
        <v>217</v>
      </c>
      <c r="H202" s="10" t="s">
        <v>38</v>
      </c>
      <c r="I202" s="10" t="s">
        <v>218</v>
      </c>
      <c r="J202" s="11" t="s">
        <v>219</v>
      </c>
      <c r="K202" s="11" t="s">
        <v>219</v>
      </c>
      <c r="L202" s="10" t="s">
        <v>217</v>
      </c>
      <c r="M202" s="10" t="s">
        <v>220</v>
      </c>
      <c r="N202" s="10" t="s">
        <v>43</v>
      </c>
      <c r="O202" s="10" t="s">
        <v>69</v>
      </c>
      <c r="P202" s="10" t="s">
        <v>45</v>
      </c>
      <c r="Q202" s="10" t="s">
        <v>46</v>
      </c>
      <c r="R202" s="12">
        <v>1</v>
      </c>
      <c r="S202" s="13">
        <v>84.96</v>
      </c>
      <c r="T202" s="13">
        <v>109.96</v>
      </c>
      <c r="U202" s="12">
        <v>0</v>
      </c>
      <c r="V202" s="13">
        <v>84.96</v>
      </c>
      <c r="W202" s="13">
        <v>84.96</v>
      </c>
      <c r="X202" s="12">
        <v>0</v>
      </c>
      <c r="Y202" s="13">
        <v>0</v>
      </c>
      <c r="Z202" s="13">
        <v>0</v>
      </c>
      <c r="AA202" s="12">
        <v>0</v>
      </c>
      <c r="AB202" s="13">
        <v>0</v>
      </c>
      <c r="AC202" s="13">
        <v>0</v>
      </c>
      <c r="AD202" s="12">
        <v>1</v>
      </c>
      <c r="AE202" s="12">
        <v>0</v>
      </c>
      <c r="AF202" s="12">
        <v>0</v>
      </c>
      <c r="AG202" s="12">
        <v>1</v>
      </c>
      <c r="AH202" s="12">
        <v>0</v>
      </c>
      <c r="AI202" s="12">
        <v>0</v>
      </c>
      <c r="AJ202" s="10">
        <v>6204373</v>
      </c>
      <c r="AK202" s="10" t="s">
        <v>47</v>
      </c>
      <c r="AL202" s="14" t="s">
        <v>221</v>
      </c>
      <c r="AM202" s="10" t="s">
        <v>49</v>
      </c>
      <c r="AN202" s="15">
        <v>202300058885</v>
      </c>
      <c r="AO202" s="16" t="s">
        <v>222</v>
      </c>
      <c r="AP202" s="17">
        <v>3851.76</v>
      </c>
      <c r="AQ202" s="10" t="s">
        <v>51</v>
      </c>
      <c r="AR202" s="10" t="s">
        <v>210</v>
      </c>
      <c r="AS202" s="12">
        <v>1440</v>
      </c>
      <c r="AT202" s="10" t="s">
        <v>53</v>
      </c>
      <c r="AU202" s="10">
        <v>26101200</v>
      </c>
      <c r="AV202" s="10" t="s">
        <v>78</v>
      </c>
      <c r="AW202" s="10" t="s">
        <v>55</v>
      </c>
      <c r="AX202" s="10" t="s">
        <v>56</v>
      </c>
      <c r="AY202" s="10" t="s">
        <v>79</v>
      </c>
      <c r="AZ202" s="10" t="s">
        <v>80</v>
      </c>
      <c r="BG202" t="str">
        <v>Outbound</v>
      </c>
      <c r="BH202" t="str">
        <v>Land</v>
      </c>
      <c r="BI202" t="str">
        <v>FG-R-2200LE26</v>
      </c>
      <c r="BJ202" t="str">
        <v>JOHNSON ELECTRIC NORTH AMERICA, INC.</v>
      </c>
      <c r="BK202" t="str">
        <v xml:space="preserve">Memphis Distribution Services 3893 Crowfarn    </v>
      </c>
      <c r="BL202" t="str">
        <v>M01</v>
      </c>
      <c r="BM202" t="str">
        <v>1916-1010002EN/MX</v>
      </c>
      <c r="BN202" s="24">
        <v>1440</v>
      </c>
      <c r="BO202" s="23">
        <v>109.96</v>
      </c>
      <c r="BP202" s="26">
        <f t="shared" ref="BP202:BP263" si="8">BO202/SUMIFS($BO:$BO,$BI:$BI,BI202)</f>
        <v>6.5218799360504814E-3</v>
      </c>
      <c r="BQ202" s="21">
        <f t="shared" ref="BQ202:BQ263" si="9">_xlfn.XLOOKUP(BI202,$BC:$BC,$BE:$BE)*BP202</f>
        <v>32.079563961697076</v>
      </c>
    </row>
    <row r="203" spans="2:69" x14ac:dyDescent="0.35">
      <c r="B203" t="s">
        <v>261</v>
      </c>
      <c r="C203" t="s">
        <v>262</v>
      </c>
      <c r="D203" t="str" cm="1">
        <f t="array" ref="D203">_xlfn.REGEXEXTRACT(G203,"FG-R-\d{4}LE\d{2}")</f>
        <v>FG-R-2200LE26</v>
      </c>
      <c r="E203" t="s">
        <v>297</v>
      </c>
      <c r="F203" s="23" cm="1">
        <f t="array" ref="F203">_xlfn.SWITCH(TRUE,T203&gt;0,T203,Z203)</f>
        <v>398.46199999999999</v>
      </c>
      <c r="G203" s="10" t="s">
        <v>217</v>
      </c>
      <c r="H203" s="10" t="s">
        <v>38</v>
      </c>
      <c r="I203" s="10" t="s">
        <v>218</v>
      </c>
      <c r="J203" s="11" t="s">
        <v>219</v>
      </c>
      <c r="K203" s="11" t="s">
        <v>219</v>
      </c>
      <c r="L203" s="10" t="s">
        <v>217</v>
      </c>
      <c r="M203" s="10" t="s">
        <v>220</v>
      </c>
      <c r="N203" s="10" t="s">
        <v>43</v>
      </c>
      <c r="O203" s="10" t="s">
        <v>69</v>
      </c>
      <c r="P203" s="10" t="s">
        <v>45</v>
      </c>
      <c r="Q203" s="10" t="s">
        <v>46</v>
      </c>
      <c r="R203" s="12">
        <v>1</v>
      </c>
      <c r="S203" s="13">
        <v>379.96199999999999</v>
      </c>
      <c r="T203" s="13">
        <v>398.46199999999999</v>
      </c>
      <c r="U203" s="12">
        <v>90</v>
      </c>
      <c r="V203" s="13">
        <v>352.8</v>
      </c>
      <c r="W203" s="13">
        <v>379.96199999999999</v>
      </c>
      <c r="X203" s="12">
        <v>0</v>
      </c>
      <c r="Y203" s="13">
        <v>0</v>
      </c>
      <c r="Z203" s="13">
        <v>0</v>
      </c>
      <c r="AA203" s="12">
        <v>0</v>
      </c>
      <c r="AB203" s="13">
        <v>0</v>
      </c>
      <c r="AC203" s="13">
        <v>0</v>
      </c>
      <c r="AD203" s="12">
        <v>1</v>
      </c>
      <c r="AE203" s="12">
        <v>0</v>
      </c>
      <c r="AF203" s="12">
        <v>0</v>
      </c>
      <c r="AG203" s="12">
        <v>1</v>
      </c>
      <c r="AH203" s="12">
        <v>0</v>
      </c>
      <c r="AI203" s="12">
        <v>0</v>
      </c>
      <c r="AJ203" s="10">
        <v>6204421</v>
      </c>
      <c r="AK203" s="10" t="s">
        <v>47</v>
      </c>
      <c r="AL203" s="14" t="s">
        <v>221</v>
      </c>
      <c r="AM203" s="10" t="s">
        <v>49</v>
      </c>
      <c r="AN203" s="15">
        <v>202300058888</v>
      </c>
      <c r="AO203" s="16" t="s">
        <v>222</v>
      </c>
      <c r="AP203" s="17">
        <v>5993.68</v>
      </c>
      <c r="AQ203" s="10" t="s">
        <v>51</v>
      </c>
      <c r="AR203" s="10" t="s">
        <v>224</v>
      </c>
      <c r="AS203" s="12">
        <v>3600</v>
      </c>
      <c r="AT203" s="10" t="s">
        <v>53</v>
      </c>
      <c r="AU203" s="10">
        <v>40151500</v>
      </c>
      <c r="AV203" s="10" t="s">
        <v>62</v>
      </c>
      <c r="AW203" s="10" t="s">
        <v>55</v>
      </c>
      <c r="AX203" s="10" t="s">
        <v>56</v>
      </c>
      <c r="AY203" s="10" t="s">
        <v>73</v>
      </c>
      <c r="AZ203" s="10" t="s">
        <v>74</v>
      </c>
      <c r="BG203" t="str">
        <v>Outbound</v>
      </c>
      <c r="BH203" t="str">
        <v>Land</v>
      </c>
      <c r="BI203" t="str">
        <v>FG-R-2200LE26</v>
      </c>
      <c r="BJ203" t="str">
        <v>JOHNSON ELECTRIC NORTH AMERICA, INC.</v>
      </c>
      <c r="BK203" t="str">
        <v xml:space="preserve">Memphis Distribution Services 3893 Crowfarn    </v>
      </c>
      <c r="BL203" t="str">
        <v>M01</v>
      </c>
      <c r="BM203" t="str">
        <v>1999-1WP0095EN/MX</v>
      </c>
      <c r="BN203" s="24">
        <v>3600</v>
      </c>
      <c r="BO203" s="23">
        <v>398.46199999999999</v>
      </c>
      <c r="BP203" s="26">
        <f t="shared" si="8"/>
        <v>2.3633333240074092E-2</v>
      </c>
      <c r="BQ203" s="21">
        <f t="shared" si="9"/>
        <v>116.24670075760041</v>
      </c>
    </row>
    <row r="204" spans="2:69" x14ac:dyDescent="0.35">
      <c r="B204" t="s">
        <v>261</v>
      </c>
      <c r="C204" t="s">
        <v>262</v>
      </c>
      <c r="D204" t="str" cm="1">
        <f t="array" ref="D204">_xlfn.REGEXEXTRACT(G204,"FG-R-\d{4}LE\d{2}")</f>
        <v>FG-R-2200LE26</v>
      </c>
      <c r="E204" t="s">
        <v>297</v>
      </c>
      <c r="F204" s="23" cm="1">
        <f t="array" ref="F204">_xlfn.SWITCH(TRUE,T204&gt;0,T204,Z204)</f>
        <v>297.91231900000002</v>
      </c>
      <c r="G204" s="10" t="s">
        <v>217</v>
      </c>
      <c r="H204" s="10" t="s">
        <v>38</v>
      </c>
      <c r="I204" s="10" t="s">
        <v>218</v>
      </c>
      <c r="J204" s="11" t="s">
        <v>219</v>
      </c>
      <c r="K204" s="11" t="s">
        <v>219</v>
      </c>
      <c r="L204" s="10" t="s">
        <v>217</v>
      </c>
      <c r="M204" s="10" t="s">
        <v>220</v>
      </c>
      <c r="N204" s="10" t="s">
        <v>43</v>
      </c>
      <c r="O204" s="10" t="s">
        <v>69</v>
      </c>
      <c r="P204" s="10" t="s">
        <v>45</v>
      </c>
      <c r="Q204" s="10" t="s">
        <v>46</v>
      </c>
      <c r="R204" s="12">
        <v>1</v>
      </c>
      <c r="S204" s="13">
        <v>278.91231900000002</v>
      </c>
      <c r="T204" s="13">
        <v>297.91231900000002</v>
      </c>
      <c r="U204" s="12">
        <v>70</v>
      </c>
      <c r="V204" s="13">
        <v>278.88</v>
      </c>
      <c r="W204" s="13">
        <v>278.91231900000002</v>
      </c>
      <c r="X204" s="12">
        <v>0</v>
      </c>
      <c r="Y204" s="13">
        <v>0</v>
      </c>
      <c r="Z204" s="13">
        <v>0</v>
      </c>
      <c r="AA204" s="12">
        <v>0</v>
      </c>
      <c r="AB204" s="13">
        <v>0</v>
      </c>
      <c r="AC204" s="13">
        <v>0</v>
      </c>
      <c r="AD204" s="12">
        <v>1</v>
      </c>
      <c r="AE204" s="12">
        <v>0</v>
      </c>
      <c r="AF204" s="12">
        <v>0</v>
      </c>
      <c r="AG204" s="12">
        <v>1</v>
      </c>
      <c r="AH204" s="12">
        <v>0</v>
      </c>
      <c r="AI204" s="12">
        <v>0</v>
      </c>
      <c r="AJ204" s="10">
        <v>6204423</v>
      </c>
      <c r="AK204" s="10" t="s">
        <v>47</v>
      </c>
      <c r="AL204" s="14" t="s">
        <v>221</v>
      </c>
      <c r="AM204" s="10" t="s">
        <v>49</v>
      </c>
      <c r="AN204" s="15">
        <v>202300058894</v>
      </c>
      <c r="AO204" s="16" t="s">
        <v>222</v>
      </c>
      <c r="AP204" s="17">
        <v>5376.11</v>
      </c>
      <c r="AQ204" s="10" t="s">
        <v>51</v>
      </c>
      <c r="AR204" s="10" t="s">
        <v>81</v>
      </c>
      <c r="AS204" s="12">
        <v>2100</v>
      </c>
      <c r="AT204" s="10" t="s">
        <v>53</v>
      </c>
      <c r="AU204" s="10">
        <v>25171506</v>
      </c>
      <c r="AV204" s="10" t="s">
        <v>82</v>
      </c>
      <c r="AW204" s="10" t="s">
        <v>55</v>
      </c>
      <c r="AX204" s="10" t="s">
        <v>56</v>
      </c>
      <c r="AY204" s="10" t="s">
        <v>73</v>
      </c>
      <c r="AZ204" s="10" t="s">
        <v>74</v>
      </c>
      <c r="BG204" t="str">
        <v>Outbound</v>
      </c>
      <c r="BH204" t="str">
        <v>Land</v>
      </c>
      <c r="BI204" t="str">
        <v>FG-R-2200LE26</v>
      </c>
      <c r="BJ204" t="str">
        <v>JOHNSON ELECTRIC NORTH AMERICA, INC.</v>
      </c>
      <c r="BK204" t="str">
        <v xml:space="preserve">Memphis Distribution Services 3893 Crowfarn    </v>
      </c>
      <c r="BL204" t="str">
        <v>M01</v>
      </c>
      <c r="BM204" t="str">
        <v>1999-1WP0105EN</v>
      </c>
      <c r="BN204" s="24">
        <v>2100</v>
      </c>
      <c r="BO204" s="23">
        <v>297.91231900000002</v>
      </c>
      <c r="BP204" s="26">
        <f t="shared" si="8"/>
        <v>1.7669592360752738E-2</v>
      </c>
      <c r="BQ204" s="21">
        <f t="shared" si="9"/>
        <v>86.912489017260867</v>
      </c>
    </row>
    <row r="205" spans="2:69" x14ac:dyDescent="0.35">
      <c r="B205" t="s">
        <v>261</v>
      </c>
      <c r="C205" t="s">
        <v>262</v>
      </c>
      <c r="D205" t="str" cm="1">
        <f t="array" ref="D205">_xlfn.REGEXEXTRACT(G205,"FG-R-\d{4}LE\d{2}")</f>
        <v>FG-R-2200LE26</v>
      </c>
      <c r="E205" t="s">
        <v>297</v>
      </c>
      <c r="F205" s="23" cm="1">
        <f t="array" ref="F205">_xlfn.SWITCH(TRUE,T205&gt;0,T205,Z205)</f>
        <v>398.46199999999999</v>
      </c>
      <c r="G205" s="10" t="s">
        <v>217</v>
      </c>
      <c r="H205" s="10" t="s">
        <v>38</v>
      </c>
      <c r="I205" s="10" t="s">
        <v>218</v>
      </c>
      <c r="J205" s="11" t="s">
        <v>219</v>
      </c>
      <c r="K205" s="11" t="s">
        <v>219</v>
      </c>
      <c r="L205" s="10" t="s">
        <v>217</v>
      </c>
      <c r="M205" s="10" t="s">
        <v>220</v>
      </c>
      <c r="N205" s="10" t="s">
        <v>43</v>
      </c>
      <c r="O205" s="10" t="s">
        <v>69</v>
      </c>
      <c r="P205" s="10" t="s">
        <v>45</v>
      </c>
      <c r="Q205" s="10" t="s">
        <v>46</v>
      </c>
      <c r="R205" s="12">
        <v>1</v>
      </c>
      <c r="S205" s="13">
        <v>379.96199999999999</v>
      </c>
      <c r="T205" s="13">
        <v>398.46199999999999</v>
      </c>
      <c r="U205" s="12">
        <v>90</v>
      </c>
      <c r="V205" s="13">
        <v>352.8</v>
      </c>
      <c r="W205" s="13">
        <v>379.96199999999999</v>
      </c>
      <c r="X205" s="12">
        <v>0</v>
      </c>
      <c r="Y205" s="13">
        <v>0</v>
      </c>
      <c r="Z205" s="13">
        <v>0</v>
      </c>
      <c r="AA205" s="12">
        <v>0</v>
      </c>
      <c r="AB205" s="13">
        <v>0</v>
      </c>
      <c r="AC205" s="13">
        <v>0</v>
      </c>
      <c r="AD205" s="12">
        <v>1</v>
      </c>
      <c r="AE205" s="12">
        <v>0</v>
      </c>
      <c r="AF205" s="12">
        <v>0</v>
      </c>
      <c r="AG205" s="12">
        <v>1</v>
      </c>
      <c r="AH205" s="12">
        <v>0</v>
      </c>
      <c r="AI205" s="12">
        <v>0</v>
      </c>
      <c r="AJ205" s="10">
        <v>6204414</v>
      </c>
      <c r="AK205" s="10" t="s">
        <v>47</v>
      </c>
      <c r="AL205" s="14" t="s">
        <v>221</v>
      </c>
      <c r="AM205" s="10" t="s">
        <v>49</v>
      </c>
      <c r="AN205" s="15">
        <v>202300058892</v>
      </c>
      <c r="AO205" s="16" t="s">
        <v>222</v>
      </c>
      <c r="AP205" s="17">
        <v>5993.68</v>
      </c>
      <c r="AQ205" s="10" t="s">
        <v>51</v>
      </c>
      <c r="AR205" s="10" t="s">
        <v>184</v>
      </c>
      <c r="AS205" s="12">
        <v>3600</v>
      </c>
      <c r="AT205" s="10" t="s">
        <v>53</v>
      </c>
      <c r="AU205" s="10">
        <v>40151500</v>
      </c>
      <c r="AV205" s="10" t="s">
        <v>62</v>
      </c>
      <c r="AW205" s="10" t="s">
        <v>55</v>
      </c>
      <c r="AX205" s="10" t="s">
        <v>56</v>
      </c>
      <c r="AY205" s="10" t="s">
        <v>73</v>
      </c>
      <c r="AZ205" s="10" t="s">
        <v>74</v>
      </c>
      <c r="BG205" t="str">
        <v>Outbound</v>
      </c>
      <c r="BH205" t="str">
        <v>Land</v>
      </c>
      <c r="BI205" t="str">
        <v>FG-R-2200LE26</v>
      </c>
      <c r="BJ205" t="str">
        <v>JOHNSON ELECTRIC NORTH AMERICA, INC.</v>
      </c>
      <c r="BK205" t="str">
        <v xml:space="preserve">Memphis Distribution Services 3893 Crowfarn    </v>
      </c>
      <c r="BL205" t="str">
        <v>M01</v>
      </c>
      <c r="BM205" t="str">
        <v>1999-1WP0044AN</v>
      </c>
      <c r="BN205" s="24">
        <v>3600</v>
      </c>
      <c r="BO205" s="23">
        <v>398.46199999999999</v>
      </c>
      <c r="BP205" s="26">
        <f t="shared" si="8"/>
        <v>2.3633333240074092E-2</v>
      </c>
      <c r="BQ205" s="21">
        <f t="shared" si="9"/>
        <v>116.24670075760041</v>
      </c>
    </row>
    <row r="206" spans="2:69" x14ac:dyDescent="0.35">
      <c r="B206" t="s">
        <v>261</v>
      </c>
      <c r="C206" t="s">
        <v>262</v>
      </c>
      <c r="D206" t="str" cm="1">
        <f t="array" ref="D206">_xlfn.REGEXEXTRACT(G206,"FG-R-\d{4}LE\d{2}")</f>
        <v>FG-R-2200LE26</v>
      </c>
      <c r="E206" t="s">
        <v>297</v>
      </c>
      <c r="F206" s="23" cm="1">
        <f t="array" ref="F206">_xlfn.SWITCH(TRUE,T206&gt;0,T206,Z206)</f>
        <v>311.113</v>
      </c>
      <c r="G206" s="10" t="s">
        <v>217</v>
      </c>
      <c r="H206" s="10" t="s">
        <v>38</v>
      </c>
      <c r="I206" s="10" t="s">
        <v>218</v>
      </c>
      <c r="J206" s="11" t="s">
        <v>219</v>
      </c>
      <c r="K206" s="11" t="s">
        <v>219</v>
      </c>
      <c r="L206" s="10" t="s">
        <v>217</v>
      </c>
      <c r="M206" s="10" t="s">
        <v>220</v>
      </c>
      <c r="N206" s="10" t="s">
        <v>43</v>
      </c>
      <c r="O206" s="10" t="s">
        <v>69</v>
      </c>
      <c r="P206" s="10" t="s">
        <v>45</v>
      </c>
      <c r="Q206" s="10" t="s">
        <v>46</v>
      </c>
      <c r="R206" s="12">
        <v>1</v>
      </c>
      <c r="S206" s="13">
        <v>292.113</v>
      </c>
      <c r="T206" s="13">
        <v>311.113</v>
      </c>
      <c r="U206" s="12">
        <v>90</v>
      </c>
      <c r="V206" s="13">
        <v>250.56</v>
      </c>
      <c r="W206" s="13">
        <v>292.113</v>
      </c>
      <c r="X206" s="12">
        <v>0</v>
      </c>
      <c r="Y206" s="13">
        <v>0</v>
      </c>
      <c r="Z206" s="13">
        <v>0</v>
      </c>
      <c r="AA206" s="12">
        <v>0</v>
      </c>
      <c r="AB206" s="13">
        <v>0</v>
      </c>
      <c r="AC206" s="13">
        <v>0</v>
      </c>
      <c r="AD206" s="12">
        <v>1</v>
      </c>
      <c r="AE206" s="12">
        <v>0</v>
      </c>
      <c r="AF206" s="12">
        <v>0</v>
      </c>
      <c r="AG206" s="12">
        <v>1</v>
      </c>
      <c r="AH206" s="12">
        <v>0</v>
      </c>
      <c r="AI206" s="12">
        <v>0</v>
      </c>
      <c r="AJ206" s="10">
        <v>6204415</v>
      </c>
      <c r="AK206" s="10" t="s">
        <v>47</v>
      </c>
      <c r="AL206" s="14" t="s">
        <v>221</v>
      </c>
      <c r="AM206" s="10" t="s">
        <v>49</v>
      </c>
      <c r="AN206" s="15">
        <v>202300058890</v>
      </c>
      <c r="AO206" s="16" t="s">
        <v>222</v>
      </c>
      <c r="AP206" s="17">
        <v>4034.34</v>
      </c>
      <c r="AQ206" s="10" t="s">
        <v>51</v>
      </c>
      <c r="AR206" s="10" t="s">
        <v>76</v>
      </c>
      <c r="AS206" s="12">
        <v>2160</v>
      </c>
      <c r="AT206" s="10" t="s">
        <v>53</v>
      </c>
      <c r="AU206" s="10">
        <v>40151500</v>
      </c>
      <c r="AV206" s="10" t="s">
        <v>62</v>
      </c>
      <c r="AW206" s="10" t="s">
        <v>55</v>
      </c>
      <c r="AX206" s="10" t="s">
        <v>56</v>
      </c>
      <c r="AY206" s="10" t="s">
        <v>73</v>
      </c>
      <c r="AZ206" s="10" t="s">
        <v>74</v>
      </c>
      <c r="BG206" t="str">
        <v>Outbound</v>
      </c>
      <c r="BH206" t="str">
        <v>Land</v>
      </c>
      <c r="BI206" t="str">
        <v>FG-R-2200LE26</v>
      </c>
      <c r="BJ206" t="str">
        <v>JOHNSON ELECTRIC NORTH AMERICA, INC.</v>
      </c>
      <c r="BK206" t="str">
        <v xml:space="preserve">Memphis Distribution Services 3893 Crowfarn    </v>
      </c>
      <c r="BL206" t="str">
        <v>M01</v>
      </c>
      <c r="BM206" t="str">
        <v>1999-1WP0046AN</v>
      </c>
      <c r="BN206" s="24">
        <v>2160</v>
      </c>
      <c r="BO206" s="23">
        <v>311.113</v>
      </c>
      <c r="BP206" s="26">
        <f t="shared" si="8"/>
        <v>1.8452543038782045E-2</v>
      </c>
      <c r="BQ206" s="21">
        <f t="shared" si="9"/>
        <v>90.763635711308325</v>
      </c>
    </row>
    <row r="207" spans="2:69" x14ac:dyDescent="0.35">
      <c r="B207" t="s">
        <v>261</v>
      </c>
      <c r="C207" t="s">
        <v>262</v>
      </c>
      <c r="D207" t="str" cm="1">
        <f t="array" ref="D207">_xlfn.REGEXEXTRACT(G207,"FG-R-\d{4}LE\d{2}")</f>
        <v>FG-R-2200LE26</v>
      </c>
      <c r="E207" t="s">
        <v>297</v>
      </c>
      <c r="F207" s="23" cm="1">
        <f t="array" ref="F207">_xlfn.SWITCH(TRUE,T207&gt;0,T207,Z207)</f>
        <v>504.6</v>
      </c>
      <c r="G207" s="10" t="s">
        <v>217</v>
      </c>
      <c r="H207" s="10" t="s">
        <v>38</v>
      </c>
      <c r="I207" s="10" t="s">
        <v>218</v>
      </c>
      <c r="J207" s="11" t="s">
        <v>219</v>
      </c>
      <c r="K207" s="11" t="s">
        <v>219</v>
      </c>
      <c r="L207" s="10" t="s">
        <v>217</v>
      </c>
      <c r="M207" s="10" t="s">
        <v>220</v>
      </c>
      <c r="N207" s="10" t="s">
        <v>43</v>
      </c>
      <c r="O207" s="10" t="s">
        <v>69</v>
      </c>
      <c r="P207" s="10" t="s">
        <v>45</v>
      </c>
      <c r="Q207" s="10" t="s">
        <v>46</v>
      </c>
      <c r="R207" s="12">
        <v>1</v>
      </c>
      <c r="S207" s="13">
        <v>477.6</v>
      </c>
      <c r="T207" s="13">
        <v>504.6</v>
      </c>
      <c r="U207" s="12">
        <v>60</v>
      </c>
      <c r="V207" s="13">
        <v>441.6</v>
      </c>
      <c r="W207" s="13">
        <v>477.6</v>
      </c>
      <c r="X207" s="12">
        <v>0</v>
      </c>
      <c r="Y207" s="13">
        <v>0</v>
      </c>
      <c r="Z207" s="13">
        <v>0</v>
      </c>
      <c r="AA207" s="12">
        <v>0</v>
      </c>
      <c r="AB207" s="13">
        <v>0</v>
      </c>
      <c r="AC207" s="13">
        <v>0</v>
      </c>
      <c r="AD207" s="12">
        <v>1</v>
      </c>
      <c r="AE207" s="12">
        <v>0</v>
      </c>
      <c r="AF207" s="12">
        <v>0</v>
      </c>
      <c r="AG207" s="12">
        <v>1</v>
      </c>
      <c r="AH207" s="12">
        <v>0</v>
      </c>
      <c r="AI207" s="12">
        <v>0</v>
      </c>
      <c r="AJ207" s="10">
        <v>6204419</v>
      </c>
      <c r="AK207" s="10" t="s">
        <v>47</v>
      </c>
      <c r="AL207" s="14" t="s">
        <v>221</v>
      </c>
      <c r="AM207" s="10" t="s">
        <v>49</v>
      </c>
      <c r="AN207" s="15">
        <v>202300058889</v>
      </c>
      <c r="AO207" s="16" t="s">
        <v>222</v>
      </c>
      <c r="AP207" s="17">
        <v>7290.29</v>
      </c>
      <c r="AQ207" s="10" t="s">
        <v>51</v>
      </c>
      <c r="AR207" s="10" t="s">
        <v>84</v>
      </c>
      <c r="AS207" s="12">
        <v>4800</v>
      </c>
      <c r="AT207" s="10" t="s">
        <v>53</v>
      </c>
      <c r="AU207" s="10">
        <v>40151500</v>
      </c>
      <c r="AV207" s="10" t="s">
        <v>62</v>
      </c>
      <c r="AW207" s="10" t="s">
        <v>55</v>
      </c>
      <c r="AX207" s="10" t="s">
        <v>56</v>
      </c>
      <c r="AY207" s="10" t="s">
        <v>73</v>
      </c>
      <c r="AZ207" s="10" t="s">
        <v>74</v>
      </c>
      <c r="BG207" t="str">
        <v>Outbound</v>
      </c>
      <c r="BH207" t="str">
        <v>Land</v>
      </c>
      <c r="BI207" t="str">
        <v>FG-R-2200LE26</v>
      </c>
      <c r="BJ207" t="str">
        <v>JOHNSON ELECTRIC NORTH AMERICA, INC.</v>
      </c>
      <c r="BK207" t="str">
        <v xml:space="preserve">Memphis Distribution Services 3893 Crowfarn    </v>
      </c>
      <c r="BL207" t="str">
        <v>M01</v>
      </c>
      <c r="BM207" t="str">
        <v>1999-1WP0055AN</v>
      </c>
      <c r="BN207" s="24">
        <v>4800</v>
      </c>
      <c r="BO207" s="23">
        <v>504.6</v>
      </c>
      <c r="BP207" s="26">
        <f t="shared" si="8"/>
        <v>2.9928525061213837E-2</v>
      </c>
      <c r="BQ207" s="21">
        <f t="shared" si="9"/>
        <v>147.21124022437564</v>
      </c>
    </row>
    <row r="208" spans="2:69" x14ac:dyDescent="0.35">
      <c r="B208" t="s">
        <v>261</v>
      </c>
      <c r="C208" t="s">
        <v>262</v>
      </c>
      <c r="D208" t="str" cm="1">
        <f t="array" ref="D208">_xlfn.REGEXEXTRACT(G208,"FG-R-\d{4}LE\d{2}")</f>
        <v>FG-R-2200LE26</v>
      </c>
      <c r="E208" t="s">
        <v>298</v>
      </c>
      <c r="F208" s="23" cm="1">
        <f t="array" ref="F208">_xlfn.SWITCH(TRUE,T208&gt;0,T208,Z208)</f>
        <v>62.46</v>
      </c>
      <c r="G208" s="10" t="s">
        <v>217</v>
      </c>
      <c r="H208" s="10" t="s">
        <v>38</v>
      </c>
      <c r="I208" s="10" t="s">
        <v>218</v>
      </c>
      <c r="J208" s="11" t="s">
        <v>219</v>
      </c>
      <c r="K208" s="11" t="s">
        <v>219</v>
      </c>
      <c r="L208" s="10" t="s">
        <v>217</v>
      </c>
      <c r="M208" s="10" t="s">
        <v>220</v>
      </c>
      <c r="N208" s="10" t="s">
        <v>43</v>
      </c>
      <c r="O208" s="10" t="s">
        <v>69</v>
      </c>
      <c r="P208" s="10" t="s">
        <v>45</v>
      </c>
      <c r="Q208" s="10" t="s">
        <v>46</v>
      </c>
      <c r="R208" s="12">
        <v>0</v>
      </c>
      <c r="S208" s="13">
        <v>0</v>
      </c>
      <c r="T208" s="13">
        <v>0</v>
      </c>
      <c r="U208" s="12">
        <v>0</v>
      </c>
      <c r="V208" s="13">
        <v>0</v>
      </c>
      <c r="W208" s="13">
        <v>0</v>
      </c>
      <c r="X208" s="12">
        <v>1</v>
      </c>
      <c r="Y208" s="13">
        <v>41.46</v>
      </c>
      <c r="Z208" s="13">
        <v>62.46</v>
      </c>
      <c r="AA208" s="12">
        <v>10</v>
      </c>
      <c r="AB208" s="13">
        <v>26.46</v>
      </c>
      <c r="AC208" s="13">
        <v>41.46</v>
      </c>
      <c r="AD208" s="12">
        <v>1</v>
      </c>
      <c r="AE208" s="12">
        <v>0</v>
      </c>
      <c r="AF208" s="12">
        <v>0</v>
      </c>
      <c r="AG208" s="12">
        <v>1</v>
      </c>
      <c r="AH208" s="12">
        <v>0</v>
      </c>
      <c r="AI208" s="12">
        <v>0</v>
      </c>
      <c r="AJ208" s="10">
        <v>6206027</v>
      </c>
      <c r="AK208" s="10" t="s">
        <v>47</v>
      </c>
      <c r="AL208" s="14" t="s">
        <v>221</v>
      </c>
      <c r="AM208" s="10" t="s">
        <v>49</v>
      </c>
      <c r="AN208" s="15">
        <v>202300058898</v>
      </c>
      <c r="AO208" s="16" t="s">
        <v>222</v>
      </c>
      <c r="AP208" s="17">
        <v>1328.25</v>
      </c>
      <c r="AQ208" s="10" t="s">
        <v>51</v>
      </c>
      <c r="AR208" s="10" t="s">
        <v>89</v>
      </c>
      <c r="AS208" s="12">
        <v>200</v>
      </c>
      <c r="AT208" s="10" t="s">
        <v>53</v>
      </c>
      <c r="AU208" s="10">
        <v>26101100</v>
      </c>
      <c r="AV208" s="10" t="s">
        <v>87</v>
      </c>
      <c r="AW208" s="10" t="s">
        <v>55</v>
      </c>
      <c r="AX208" s="10" t="s">
        <v>56</v>
      </c>
      <c r="AY208" s="10" t="s">
        <v>79</v>
      </c>
      <c r="AZ208" s="10" t="s">
        <v>80</v>
      </c>
      <c r="BG208" t="str">
        <v>Outbound</v>
      </c>
      <c r="BH208" t="str">
        <v>Land</v>
      </c>
      <c r="BI208" t="str">
        <v>FG-R-2200LE26</v>
      </c>
      <c r="BJ208" t="str">
        <v>JOHNSON ELECTRIC NORTH AMERICA, INC.</v>
      </c>
      <c r="BK208" t="str">
        <v xml:space="preserve">Memphis Distribution Services 3893 Crowfarn    </v>
      </c>
      <c r="BL208" t="str">
        <v>M46</v>
      </c>
      <c r="BM208" t="str">
        <v>1651-EQH0021EN</v>
      </c>
      <c r="BN208" s="24">
        <v>200</v>
      </c>
      <c r="BO208" s="23">
        <v>62.46</v>
      </c>
      <c r="BP208" s="26">
        <f t="shared" si="8"/>
        <v>3.7045891306448993E-3</v>
      </c>
      <c r="BQ208" s="21">
        <f t="shared" si="9"/>
        <v>18.221985858926878</v>
      </c>
    </row>
    <row r="209" spans="2:69" x14ac:dyDescent="0.35">
      <c r="B209" t="s">
        <v>261</v>
      </c>
      <c r="C209" t="s">
        <v>262</v>
      </c>
      <c r="D209" t="str" cm="1">
        <f t="array" ref="D209">_xlfn.REGEXEXTRACT(G209,"FG-R-\d{4}LE\d{2}")</f>
        <v>FG-R-2200LE26</v>
      </c>
      <c r="E209" t="s">
        <v>298</v>
      </c>
      <c r="F209" s="23" cm="1">
        <f t="array" ref="F209">_xlfn.SWITCH(TRUE,T209&gt;0,T209,Z209)</f>
        <v>62.46</v>
      </c>
      <c r="G209" s="10" t="s">
        <v>217</v>
      </c>
      <c r="H209" s="10" t="s">
        <v>38</v>
      </c>
      <c r="I209" s="10" t="s">
        <v>218</v>
      </c>
      <c r="J209" s="11" t="s">
        <v>219</v>
      </c>
      <c r="K209" s="11" t="s">
        <v>219</v>
      </c>
      <c r="L209" s="10" t="s">
        <v>217</v>
      </c>
      <c r="M209" s="10" t="s">
        <v>220</v>
      </c>
      <c r="N209" s="10" t="s">
        <v>43</v>
      </c>
      <c r="O209" s="10" t="s">
        <v>69</v>
      </c>
      <c r="P209" s="10" t="s">
        <v>45</v>
      </c>
      <c r="Q209" s="10" t="s">
        <v>46</v>
      </c>
      <c r="R209" s="12">
        <v>0</v>
      </c>
      <c r="S209" s="13">
        <v>0</v>
      </c>
      <c r="T209" s="13">
        <v>0</v>
      </c>
      <c r="U209" s="12">
        <v>0</v>
      </c>
      <c r="V209" s="13">
        <v>0</v>
      </c>
      <c r="W209" s="13">
        <v>0</v>
      </c>
      <c r="X209" s="12">
        <v>1</v>
      </c>
      <c r="Y209" s="13">
        <v>41.46</v>
      </c>
      <c r="Z209" s="13">
        <v>62.46</v>
      </c>
      <c r="AA209" s="12">
        <v>10</v>
      </c>
      <c r="AB209" s="13">
        <v>26.46</v>
      </c>
      <c r="AC209" s="13">
        <v>41.46</v>
      </c>
      <c r="AD209" s="12">
        <v>1</v>
      </c>
      <c r="AE209" s="12">
        <v>0</v>
      </c>
      <c r="AF209" s="12">
        <v>0</v>
      </c>
      <c r="AG209" s="12">
        <v>1</v>
      </c>
      <c r="AH209" s="12">
        <v>0</v>
      </c>
      <c r="AI209" s="12">
        <v>0</v>
      </c>
      <c r="AJ209" s="10">
        <v>6206032</v>
      </c>
      <c r="AK209" s="10" t="s">
        <v>47</v>
      </c>
      <c r="AL209" s="14" t="s">
        <v>221</v>
      </c>
      <c r="AM209" s="10" t="s">
        <v>49</v>
      </c>
      <c r="AN209" s="15">
        <v>202300058899</v>
      </c>
      <c r="AO209" s="16" t="s">
        <v>222</v>
      </c>
      <c r="AP209" s="17">
        <v>1328.25</v>
      </c>
      <c r="AQ209" s="10" t="s">
        <v>51</v>
      </c>
      <c r="AR209" s="10" t="s">
        <v>89</v>
      </c>
      <c r="AS209" s="12">
        <v>200</v>
      </c>
      <c r="AT209" s="10" t="s">
        <v>53</v>
      </c>
      <c r="AU209" s="10">
        <v>26101100</v>
      </c>
      <c r="AV209" s="10" t="s">
        <v>87</v>
      </c>
      <c r="AW209" s="10" t="s">
        <v>55</v>
      </c>
      <c r="AX209" s="10" t="s">
        <v>56</v>
      </c>
      <c r="AY209" s="10" t="s">
        <v>79</v>
      </c>
      <c r="AZ209" s="10" t="s">
        <v>80</v>
      </c>
      <c r="BG209" t="str">
        <v>Outbound</v>
      </c>
      <c r="BH209" t="str">
        <v>Land</v>
      </c>
      <c r="BI209" t="str">
        <v>FG-R-2200LE26</v>
      </c>
      <c r="BJ209" t="str">
        <v>JOHNSON ELECTRIC NORTH AMERICA, INC.</v>
      </c>
      <c r="BK209" t="str">
        <v xml:space="preserve">Memphis Distribution Services 3893 Crowfarn    </v>
      </c>
      <c r="BL209" t="str">
        <v>M46</v>
      </c>
      <c r="BM209" t="str">
        <v>1651-EQH0021EN</v>
      </c>
      <c r="BN209" s="24">
        <v>200</v>
      </c>
      <c r="BO209" s="23">
        <v>62.46</v>
      </c>
      <c r="BP209" s="26">
        <f t="shared" si="8"/>
        <v>3.7045891306448993E-3</v>
      </c>
      <c r="BQ209" s="21">
        <f t="shared" si="9"/>
        <v>18.221985858926878</v>
      </c>
    </row>
    <row r="210" spans="2:69" x14ac:dyDescent="0.35">
      <c r="B210" t="s">
        <v>261</v>
      </c>
      <c r="C210" t="s">
        <v>262</v>
      </c>
      <c r="D210" t="str" cm="1">
        <f t="array" ref="D210">_xlfn.REGEXEXTRACT(G210,"FG-R-\d{4}LE\d{2}")</f>
        <v>FG-R-2201LE26</v>
      </c>
      <c r="E210" t="s">
        <v>298</v>
      </c>
      <c r="F210" s="23" cm="1">
        <f t="array" ref="F210">_xlfn.SWITCH(TRUE,T210&gt;0,T210,Z210)</f>
        <v>47.847999999999999</v>
      </c>
      <c r="G210" s="10" t="s">
        <v>225</v>
      </c>
      <c r="H210" s="10" t="s">
        <v>38</v>
      </c>
      <c r="I210" s="10" t="s">
        <v>226</v>
      </c>
      <c r="J210" s="11" t="s">
        <v>227</v>
      </c>
      <c r="K210" s="11" t="s">
        <v>227</v>
      </c>
      <c r="L210" s="10" t="s">
        <v>225</v>
      </c>
      <c r="M210" s="10" t="s">
        <v>228</v>
      </c>
      <c r="N210" s="10" t="s">
        <v>43</v>
      </c>
      <c r="O210" s="10" t="s">
        <v>44</v>
      </c>
      <c r="P210" s="10" t="s">
        <v>45</v>
      </c>
      <c r="Q210" s="10" t="s">
        <v>46</v>
      </c>
      <c r="R210" s="12">
        <v>0</v>
      </c>
      <c r="S210" s="13">
        <v>0</v>
      </c>
      <c r="T210" s="13">
        <v>0</v>
      </c>
      <c r="U210" s="12">
        <v>0</v>
      </c>
      <c r="V210" s="13">
        <v>0</v>
      </c>
      <c r="W210" s="13">
        <v>0</v>
      </c>
      <c r="X210" s="12">
        <v>1</v>
      </c>
      <c r="Y210" s="13">
        <v>35.847999999999999</v>
      </c>
      <c r="Z210" s="13">
        <v>47.847999999999999</v>
      </c>
      <c r="AA210" s="12">
        <v>6</v>
      </c>
      <c r="AB210" s="13">
        <v>29.14</v>
      </c>
      <c r="AC210" s="13">
        <v>35.847999999999999</v>
      </c>
      <c r="AD210" s="12">
        <v>1</v>
      </c>
      <c r="AE210" s="12">
        <v>0</v>
      </c>
      <c r="AF210" s="12">
        <v>0</v>
      </c>
      <c r="AG210" s="12">
        <v>1</v>
      </c>
      <c r="AH210" s="12">
        <v>0</v>
      </c>
      <c r="AI210" s="12">
        <v>0</v>
      </c>
      <c r="AJ210" s="10">
        <v>6208323</v>
      </c>
      <c r="AK210" s="10" t="s">
        <v>47</v>
      </c>
      <c r="AL210" s="14" t="s">
        <v>229</v>
      </c>
      <c r="AM210" s="10" t="s">
        <v>49</v>
      </c>
      <c r="AN210" s="15">
        <v>202300058920</v>
      </c>
      <c r="AO210" s="16" t="s">
        <v>230</v>
      </c>
      <c r="AP210" s="17">
        <v>2113.12</v>
      </c>
      <c r="AQ210" s="10" t="s">
        <v>51</v>
      </c>
      <c r="AR210" s="10" t="s">
        <v>231</v>
      </c>
      <c r="AS210" s="12">
        <v>188</v>
      </c>
      <c r="AT210" s="10" t="s">
        <v>53</v>
      </c>
      <c r="AU210" s="10">
        <v>26101200</v>
      </c>
      <c r="AV210" s="10" t="s">
        <v>78</v>
      </c>
      <c r="AW210" s="10" t="s">
        <v>55</v>
      </c>
      <c r="AX210" s="10" t="s">
        <v>56</v>
      </c>
      <c r="AY210" s="10" t="s">
        <v>79</v>
      </c>
      <c r="AZ210" s="10" t="s">
        <v>80</v>
      </c>
      <c r="BG210" t="str">
        <v>Outbound</v>
      </c>
      <c r="BH210" t="str">
        <v>Land</v>
      </c>
      <c r="BI210" t="str">
        <v>FG-R-2201LE26</v>
      </c>
      <c r="BJ210" t="str">
        <v>JOHNSON ELECTRIC NORTH AMERICA, INC.</v>
      </c>
      <c r="BK210" t="str">
        <v xml:space="preserve">(TDS) Transcontinental Distribution Services, Inc 14213 Transportation Ave    </v>
      </c>
      <c r="BL210" t="str">
        <v>M46</v>
      </c>
      <c r="BM210" t="str">
        <v>1651-MYY0045EN</v>
      </c>
      <c r="BN210" s="24">
        <v>188</v>
      </c>
      <c r="BO210" s="23">
        <v>47.847999999999999</v>
      </c>
      <c r="BP210" s="26">
        <f t="shared" si="8"/>
        <v>6.6543948099948317E-3</v>
      </c>
      <c r="BQ210" s="21">
        <f t="shared" si="9"/>
        <v>32.731372859784265</v>
      </c>
    </row>
    <row r="211" spans="2:69" x14ac:dyDescent="0.35">
      <c r="B211" t="s">
        <v>261</v>
      </c>
      <c r="C211" t="s">
        <v>262</v>
      </c>
      <c r="D211" t="str" cm="1">
        <f t="array" ref="D211">_xlfn.REGEXEXTRACT(G211,"FG-R-\d{4}LE\d{2}")</f>
        <v>FG-R-2201LE26</v>
      </c>
      <c r="E211" t="s">
        <v>298</v>
      </c>
      <c r="F211" s="23" cm="1">
        <f t="array" ref="F211">_xlfn.SWITCH(TRUE,T211&gt;0,T211,Z211)</f>
        <v>21.628</v>
      </c>
      <c r="G211" s="10" t="s">
        <v>225</v>
      </c>
      <c r="H211" s="10" t="s">
        <v>38</v>
      </c>
      <c r="I211" s="10" t="s">
        <v>226</v>
      </c>
      <c r="J211" s="11" t="s">
        <v>227</v>
      </c>
      <c r="K211" s="11" t="s">
        <v>227</v>
      </c>
      <c r="L211" s="10" t="s">
        <v>225</v>
      </c>
      <c r="M211" s="10" t="s">
        <v>228</v>
      </c>
      <c r="N211" s="10" t="s">
        <v>43</v>
      </c>
      <c r="O211" s="10" t="s">
        <v>44</v>
      </c>
      <c r="P211" s="10" t="s">
        <v>45</v>
      </c>
      <c r="Q211" s="10" t="s">
        <v>46</v>
      </c>
      <c r="R211" s="12">
        <v>0</v>
      </c>
      <c r="S211" s="13">
        <v>0</v>
      </c>
      <c r="T211" s="13">
        <v>0</v>
      </c>
      <c r="U211" s="12">
        <v>0</v>
      </c>
      <c r="V211" s="13">
        <v>0</v>
      </c>
      <c r="W211" s="13">
        <v>0</v>
      </c>
      <c r="X211" s="12">
        <v>1</v>
      </c>
      <c r="Y211" s="13">
        <v>9.6280000000000001</v>
      </c>
      <c r="Z211" s="13">
        <v>21.628</v>
      </c>
      <c r="AA211" s="12">
        <v>2</v>
      </c>
      <c r="AB211" s="13">
        <v>7.3920000000000003</v>
      </c>
      <c r="AC211" s="13">
        <v>9.6280000000000001</v>
      </c>
      <c r="AD211" s="12">
        <v>1</v>
      </c>
      <c r="AE211" s="12">
        <v>0</v>
      </c>
      <c r="AF211" s="12">
        <v>0</v>
      </c>
      <c r="AG211" s="12">
        <v>1</v>
      </c>
      <c r="AH211" s="12">
        <v>0</v>
      </c>
      <c r="AI211" s="12">
        <v>0</v>
      </c>
      <c r="AJ211" s="10">
        <v>6208324</v>
      </c>
      <c r="AK211" s="10" t="s">
        <v>47</v>
      </c>
      <c r="AL211" s="14" t="s">
        <v>229</v>
      </c>
      <c r="AM211" s="10" t="s">
        <v>49</v>
      </c>
      <c r="AN211" s="15">
        <v>202300058919</v>
      </c>
      <c r="AO211" s="16" t="s">
        <v>230</v>
      </c>
      <c r="AP211" s="17">
        <v>528.99</v>
      </c>
      <c r="AQ211" s="10" t="s">
        <v>51</v>
      </c>
      <c r="AR211" s="10" t="s">
        <v>111</v>
      </c>
      <c r="AS211" s="12">
        <v>48</v>
      </c>
      <c r="AT211" s="10" t="s">
        <v>53</v>
      </c>
      <c r="AU211" s="10">
        <v>26101200</v>
      </c>
      <c r="AV211" s="10" t="s">
        <v>78</v>
      </c>
      <c r="AW211" s="10" t="s">
        <v>55</v>
      </c>
      <c r="AX211" s="10" t="s">
        <v>56</v>
      </c>
      <c r="AY211" s="10" t="s">
        <v>79</v>
      </c>
      <c r="AZ211" s="10" t="s">
        <v>80</v>
      </c>
      <c r="BG211" t="str">
        <v>Outbound</v>
      </c>
      <c r="BH211" t="str">
        <v>Land</v>
      </c>
      <c r="BI211" t="str">
        <v>FG-R-2201LE26</v>
      </c>
      <c r="BJ211" t="str">
        <v>JOHNSON ELECTRIC NORTH AMERICA, INC.</v>
      </c>
      <c r="BK211" t="str">
        <v xml:space="preserve">(TDS) Transcontinental Distribution Services, Inc 14213 Transportation Ave    </v>
      </c>
      <c r="BL211" t="str">
        <v>M46</v>
      </c>
      <c r="BM211" t="str">
        <v>1651-MYY0047EN</v>
      </c>
      <c r="BN211" s="24">
        <v>48</v>
      </c>
      <c r="BO211" s="23">
        <v>21.628</v>
      </c>
      <c r="BP211" s="26">
        <f t="shared" si="8"/>
        <v>3.0078843619496787E-3</v>
      </c>
      <c r="BQ211" s="21">
        <f t="shared" si="9"/>
        <v>14.795062117777421</v>
      </c>
    </row>
    <row r="212" spans="2:69" x14ac:dyDescent="0.35">
      <c r="B212" t="s">
        <v>261</v>
      </c>
      <c r="C212" t="s">
        <v>262</v>
      </c>
      <c r="D212" t="str" cm="1">
        <f t="array" ref="D212">_xlfn.REGEXEXTRACT(G212,"FG-R-\d{4}LE\d{2}")</f>
        <v>FG-R-2201LE26</v>
      </c>
      <c r="E212" t="s">
        <v>295</v>
      </c>
      <c r="F212" s="23" cm="1">
        <f t="array" ref="F212">_xlfn.SWITCH(TRUE,T212&gt;0,T212,Z212)</f>
        <v>219.76</v>
      </c>
      <c r="G212" s="10" t="s">
        <v>232</v>
      </c>
      <c r="H212" s="10" t="s">
        <v>38</v>
      </c>
      <c r="I212" s="10" t="s">
        <v>226</v>
      </c>
      <c r="J212" s="11" t="s">
        <v>227</v>
      </c>
      <c r="K212" s="11" t="s">
        <v>227</v>
      </c>
      <c r="L212" s="10" t="s">
        <v>225</v>
      </c>
      <c r="M212" s="10" t="s">
        <v>228</v>
      </c>
      <c r="N212" s="10" t="s">
        <v>43</v>
      </c>
      <c r="O212" s="10" t="s">
        <v>44</v>
      </c>
      <c r="P212" s="10" t="s">
        <v>45</v>
      </c>
      <c r="Q212" s="10" t="s">
        <v>46</v>
      </c>
      <c r="R212" s="12">
        <v>1</v>
      </c>
      <c r="S212" s="13">
        <v>198.76</v>
      </c>
      <c r="T212" s="13">
        <v>219.76</v>
      </c>
      <c r="U212" s="12">
        <v>20</v>
      </c>
      <c r="V212" s="13">
        <v>174.12</v>
      </c>
      <c r="W212" s="13">
        <v>198.76</v>
      </c>
      <c r="X212" s="12">
        <v>0</v>
      </c>
      <c r="Y212" s="13">
        <v>0</v>
      </c>
      <c r="Z212" s="13">
        <v>0</v>
      </c>
      <c r="AA212" s="12">
        <v>0</v>
      </c>
      <c r="AB212" s="13">
        <v>0</v>
      </c>
      <c r="AC212" s="13">
        <v>0</v>
      </c>
      <c r="AD212" s="12">
        <v>1</v>
      </c>
      <c r="AE212" s="12">
        <v>0</v>
      </c>
      <c r="AF212" s="12">
        <v>0</v>
      </c>
      <c r="AG212" s="12">
        <v>0</v>
      </c>
      <c r="AH212" s="12">
        <v>1</v>
      </c>
      <c r="AI212" s="12">
        <v>0</v>
      </c>
      <c r="AJ212" s="10">
        <v>6208374</v>
      </c>
      <c r="AK212" s="10" t="s">
        <v>47</v>
      </c>
      <c r="AL212" s="14" t="s">
        <v>233</v>
      </c>
      <c r="AM212" s="10" t="s">
        <v>49</v>
      </c>
      <c r="AN212" s="15">
        <v>202300058930</v>
      </c>
      <c r="AO212" s="16" t="s">
        <v>230</v>
      </c>
      <c r="AP212" s="17">
        <v>4538.0200000000004</v>
      </c>
      <c r="AQ212" s="10" t="s">
        <v>51</v>
      </c>
      <c r="AR212" s="10" t="s">
        <v>52</v>
      </c>
      <c r="AS212" s="12">
        <v>120</v>
      </c>
      <c r="AT212" s="10" t="s">
        <v>53</v>
      </c>
      <c r="AU212" s="10">
        <v>40151503</v>
      </c>
      <c r="AV212" s="10" t="s">
        <v>54</v>
      </c>
      <c r="AW212" s="10" t="s">
        <v>55</v>
      </c>
      <c r="AX212" s="10" t="s">
        <v>56</v>
      </c>
      <c r="AY212" s="10" t="s">
        <v>57</v>
      </c>
      <c r="AZ212" s="10" t="s">
        <v>58</v>
      </c>
      <c r="BG212" t="str">
        <v>Outbound</v>
      </c>
      <c r="BH212" t="str">
        <v>Land</v>
      </c>
      <c r="BI212" t="str">
        <v>FG-R-2201LE26</v>
      </c>
      <c r="BJ212" t="str">
        <v>JOHNSON ELECTRIC NORTH AMERICA, INC.</v>
      </c>
      <c r="BK212" t="str">
        <v xml:space="preserve">(TDS) Transcontinental Distribution Services, Inc 14213 Transportation Ave    </v>
      </c>
      <c r="BL212" t="str">
        <v>M23</v>
      </c>
      <c r="BM212" t="str">
        <v>1908-1E90003RN</v>
      </c>
      <c r="BN212" s="24">
        <v>120</v>
      </c>
      <c r="BO212" s="23">
        <v>219.76</v>
      </c>
      <c r="BP212" s="26">
        <f t="shared" si="8"/>
        <v>3.0562819834569141E-2</v>
      </c>
      <c r="BQ212" s="21">
        <f t="shared" si="9"/>
        <v>150.33118415955087</v>
      </c>
    </row>
    <row r="213" spans="2:69" x14ac:dyDescent="0.35">
      <c r="B213" t="s">
        <v>261</v>
      </c>
      <c r="C213" t="s">
        <v>262</v>
      </c>
      <c r="D213" t="str" cm="1">
        <f t="array" ref="D213">_xlfn.REGEXEXTRACT(G213,"FG-R-\d{4}LE\d{2}")</f>
        <v>FG-R-2201LE26</v>
      </c>
      <c r="E213" t="s">
        <v>298</v>
      </c>
      <c r="F213" s="23" cm="1">
        <f t="array" ref="F213">_xlfn.SWITCH(TRUE,T213&gt;0,T213,Z213)</f>
        <v>99.744</v>
      </c>
      <c r="G213" s="10" t="s">
        <v>225</v>
      </c>
      <c r="H213" s="10" t="s">
        <v>38</v>
      </c>
      <c r="I213" s="10" t="s">
        <v>226</v>
      </c>
      <c r="J213" s="11" t="s">
        <v>227</v>
      </c>
      <c r="K213" s="11" t="s">
        <v>227</v>
      </c>
      <c r="L213" s="10" t="s">
        <v>225</v>
      </c>
      <c r="M213" s="10" t="s">
        <v>228</v>
      </c>
      <c r="N213" s="10" t="s">
        <v>43</v>
      </c>
      <c r="O213" s="10" t="s">
        <v>44</v>
      </c>
      <c r="P213" s="10" t="s">
        <v>45</v>
      </c>
      <c r="Q213" s="10" t="s">
        <v>46</v>
      </c>
      <c r="R213" s="12">
        <v>0</v>
      </c>
      <c r="S213" s="13">
        <v>0</v>
      </c>
      <c r="T213" s="13">
        <v>0</v>
      </c>
      <c r="U213" s="12">
        <v>0</v>
      </c>
      <c r="V213" s="13">
        <v>0</v>
      </c>
      <c r="W213" s="13">
        <v>0</v>
      </c>
      <c r="X213" s="12">
        <v>1</v>
      </c>
      <c r="Y213" s="13">
        <v>78.744</v>
      </c>
      <c r="Z213" s="13">
        <v>99.744</v>
      </c>
      <c r="AA213" s="12">
        <v>10</v>
      </c>
      <c r="AB213" s="13">
        <v>63.744</v>
      </c>
      <c r="AC213" s="13">
        <v>78.744</v>
      </c>
      <c r="AD213" s="12">
        <v>1</v>
      </c>
      <c r="AE213" s="12">
        <v>0</v>
      </c>
      <c r="AF213" s="12">
        <v>0</v>
      </c>
      <c r="AG213" s="12">
        <v>1</v>
      </c>
      <c r="AH213" s="12">
        <v>0</v>
      </c>
      <c r="AI213" s="12">
        <v>0</v>
      </c>
      <c r="AJ213" s="10">
        <v>6208341</v>
      </c>
      <c r="AK213" s="10" t="s">
        <v>47</v>
      </c>
      <c r="AL213" s="14" t="s">
        <v>233</v>
      </c>
      <c r="AM213" s="10" t="s">
        <v>49</v>
      </c>
      <c r="AN213" s="15">
        <v>202300058926</v>
      </c>
      <c r="AO213" s="16" t="s">
        <v>230</v>
      </c>
      <c r="AP213" s="17">
        <v>3257.14</v>
      </c>
      <c r="AQ213" s="10" t="s">
        <v>51</v>
      </c>
      <c r="AR213" s="10" t="s">
        <v>234</v>
      </c>
      <c r="AS213" s="12">
        <v>480</v>
      </c>
      <c r="AT213" s="10" t="s">
        <v>53</v>
      </c>
      <c r="AU213" s="10">
        <v>26101100</v>
      </c>
      <c r="AV213" s="10" t="s">
        <v>87</v>
      </c>
      <c r="AW213" s="10" t="s">
        <v>55</v>
      </c>
      <c r="AX213" s="10" t="s">
        <v>56</v>
      </c>
      <c r="AY213" s="10" t="s">
        <v>79</v>
      </c>
      <c r="AZ213" s="10" t="s">
        <v>80</v>
      </c>
      <c r="BG213" t="str">
        <v>Outbound</v>
      </c>
      <c r="BH213" t="str">
        <v>Land</v>
      </c>
      <c r="BI213" t="str">
        <v>FG-R-2201LE26</v>
      </c>
      <c r="BJ213" t="str">
        <v>JOHNSON ELECTRIC NORTH AMERICA, INC.</v>
      </c>
      <c r="BK213" t="str">
        <v xml:space="preserve">(TDS) Transcontinental Distribution Services, Inc 14213 Transportation Ave    </v>
      </c>
      <c r="BL213" t="str">
        <v>M46</v>
      </c>
      <c r="BM213" t="str">
        <v>1651-EQH0060EN</v>
      </c>
      <c r="BN213" s="24">
        <v>480</v>
      </c>
      <c r="BO213" s="23">
        <v>99.744</v>
      </c>
      <c r="BP213" s="26">
        <f t="shared" si="8"/>
        <v>1.3871759654073829E-2</v>
      </c>
      <c r="BQ213" s="21">
        <f t="shared" si="9"/>
        <v>68.231860360439768</v>
      </c>
    </row>
    <row r="214" spans="2:69" x14ac:dyDescent="0.35">
      <c r="B214" t="s">
        <v>261</v>
      </c>
      <c r="C214" t="s">
        <v>262</v>
      </c>
      <c r="D214" t="str" cm="1">
        <f t="array" ref="D214">_xlfn.REGEXEXTRACT(G214,"FG-R-\d{4}LE\d{2}")</f>
        <v>FG-R-2201LE26</v>
      </c>
      <c r="E214" t="s">
        <v>298</v>
      </c>
      <c r="F214" s="23" cm="1">
        <f t="array" ref="F214">_xlfn.SWITCH(TRUE,T214&gt;0,T214,Z214)</f>
        <v>86.616</v>
      </c>
      <c r="G214" s="10" t="s">
        <v>225</v>
      </c>
      <c r="H214" s="10" t="s">
        <v>38</v>
      </c>
      <c r="I214" s="10" t="s">
        <v>226</v>
      </c>
      <c r="J214" s="11" t="s">
        <v>227</v>
      </c>
      <c r="K214" s="11" t="s">
        <v>227</v>
      </c>
      <c r="L214" s="10" t="s">
        <v>225</v>
      </c>
      <c r="M214" s="10" t="s">
        <v>228</v>
      </c>
      <c r="N214" s="10" t="s">
        <v>43</v>
      </c>
      <c r="O214" s="10" t="s">
        <v>44</v>
      </c>
      <c r="P214" s="10" t="s">
        <v>45</v>
      </c>
      <c r="Q214" s="10" t="s">
        <v>46</v>
      </c>
      <c r="R214" s="12">
        <v>0</v>
      </c>
      <c r="S214" s="13">
        <v>0</v>
      </c>
      <c r="T214" s="13">
        <v>0</v>
      </c>
      <c r="U214" s="12">
        <v>0</v>
      </c>
      <c r="V214" s="13">
        <v>0</v>
      </c>
      <c r="W214" s="13">
        <v>0</v>
      </c>
      <c r="X214" s="12">
        <v>1</v>
      </c>
      <c r="Y214" s="13">
        <v>74.616</v>
      </c>
      <c r="Z214" s="13">
        <v>86.616</v>
      </c>
      <c r="AA214" s="12">
        <v>12</v>
      </c>
      <c r="AB214" s="13">
        <v>61.2</v>
      </c>
      <c r="AC214" s="13">
        <v>74.616</v>
      </c>
      <c r="AD214" s="12">
        <v>1</v>
      </c>
      <c r="AE214" s="12">
        <v>0</v>
      </c>
      <c r="AF214" s="12">
        <v>0</v>
      </c>
      <c r="AG214" s="12">
        <v>1</v>
      </c>
      <c r="AH214" s="12">
        <v>0</v>
      </c>
      <c r="AI214" s="12">
        <v>0</v>
      </c>
      <c r="AJ214" s="10">
        <v>6208360</v>
      </c>
      <c r="AK214" s="10" t="s">
        <v>47</v>
      </c>
      <c r="AL214" s="14" t="s">
        <v>233</v>
      </c>
      <c r="AM214" s="10" t="s">
        <v>49</v>
      </c>
      <c r="AN214" s="15">
        <v>202300058928</v>
      </c>
      <c r="AO214" s="16" t="s">
        <v>230</v>
      </c>
      <c r="AP214" s="17">
        <v>4365.34</v>
      </c>
      <c r="AQ214" s="10" t="s">
        <v>51</v>
      </c>
      <c r="AR214" s="10" t="s">
        <v>235</v>
      </c>
      <c r="AS214" s="12">
        <v>400</v>
      </c>
      <c r="AT214" s="10" t="s">
        <v>53</v>
      </c>
      <c r="AU214" s="10">
        <v>26101200</v>
      </c>
      <c r="AV214" s="10" t="s">
        <v>78</v>
      </c>
      <c r="AW214" s="10" t="s">
        <v>55</v>
      </c>
      <c r="AX214" s="10" t="s">
        <v>56</v>
      </c>
      <c r="AY214" s="10" t="s">
        <v>79</v>
      </c>
      <c r="AZ214" s="10" t="s">
        <v>80</v>
      </c>
      <c r="BG214" t="str">
        <v>Outbound</v>
      </c>
      <c r="BH214" t="str">
        <v>Land</v>
      </c>
      <c r="BI214" t="str">
        <v>FG-R-2201LE26</v>
      </c>
      <c r="BJ214" t="str">
        <v>JOHNSON ELECTRIC NORTH AMERICA, INC.</v>
      </c>
      <c r="BK214" t="str">
        <v xml:space="preserve">(TDS) Transcontinental Distribution Services, Inc 14213 Transportation Ave    </v>
      </c>
      <c r="BL214" t="str">
        <v>M46</v>
      </c>
      <c r="BM214" t="str">
        <v>1651-MYY0058EN</v>
      </c>
      <c r="BN214" s="24">
        <v>400</v>
      </c>
      <c r="BO214" s="23">
        <v>86.616</v>
      </c>
      <c r="BP214" s="26">
        <f t="shared" si="8"/>
        <v>1.2046001104800877E-2</v>
      </c>
      <c r="BQ214" s="21">
        <f t="shared" si="9"/>
        <v>59.25139173263404</v>
      </c>
    </row>
    <row r="215" spans="2:69" x14ac:dyDescent="0.35">
      <c r="B215" t="s">
        <v>261</v>
      </c>
      <c r="C215" t="s">
        <v>262</v>
      </c>
      <c r="D215" t="str" cm="1">
        <f t="array" ref="D215">_xlfn.REGEXEXTRACT(G215,"FG-R-\d{4}LE\d{2}")</f>
        <v>FG-R-2201LE26</v>
      </c>
      <c r="E215" t="s">
        <v>296</v>
      </c>
      <c r="F215" s="23" cm="1">
        <f t="array" ref="F215">_xlfn.SWITCH(TRUE,T215&gt;0,T215,Z215)</f>
        <v>2699.22</v>
      </c>
      <c r="G215" s="10" t="s">
        <v>225</v>
      </c>
      <c r="H215" s="10" t="s">
        <v>38</v>
      </c>
      <c r="I215" s="10" t="s">
        <v>226</v>
      </c>
      <c r="J215" s="11" t="s">
        <v>227</v>
      </c>
      <c r="K215" s="11" t="s">
        <v>227</v>
      </c>
      <c r="L215" s="10" t="s">
        <v>225</v>
      </c>
      <c r="M215" s="10" t="s">
        <v>228</v>
      </c>
      <c r="N215" s="10" t="s">
        <v>43</v>
      </c>
      <c r="O215" s="10" t="s">
        <v>60</v>
      </c>
      <c r="P215" s="10" t="s">
        <v>45</v>
      </c>
      <c r="Q215" s="10" t="s">
        <v>46</v>
      </c>
      <c r="R215" s="12">
        <v>6</v>
      </c>
      <c r="S215" s="13">
        <v>2588.2199999999998</v>
      </c>
      <c r="T215" s="13">
        <v>2699.22</v>
      </c>
      <c r="U215" s="12">
        <v>270</v>
      </c>
      <c r="V215" s="13">
        <v>2443.5</v>
      </c>
      <c r="W215" s="13">
        <v>2588.2199999999998</v>
      </c>
      <c r="X215" s="12">
        <v>0</v>
      </c>
      <c r="Y215" s="13">
        <v>0</v>
      </c>
      <c r="Z215" s="13">
        <v>0</v>
      </c>
      <c r="AA215" s="12">
        <v>0</v>
      </c>
      <c r="AB215" s="13">
        <v>0</v>
      </c>
      <c r="AC215" s="13">
        <v>0</v>
      </c>
      <c r="AD215" s="12">
        <v>6</v>
      </c>
      <c r="AE215" s="12">
        <v>0</v>
      </c>
      <c r="AF215" s="12">
        <v>0</v>
      </c>
      <c r="AG215" s="12">
        <v>6</v>
      </c>
      <c r="AH215" s="12">
        <v>0</v>
      </c>
      <c r="AI215" s="12">
        <v>0</v>
      </c>
      <c r="AJ215" s="10">
        <v>6208338</v>
      </c>
      <c r="AK215" s="10" t="s">
        <v>47</v>
      </c>
      <c r="AL215" s="14" t="s">
        <v>233</v>
      </c>
      <c r="AM215" s="10" t="s">
        <v>49</v>
      </c>
      <c r="AN215" s="15">
        <v>202300058922</v>
      </c>
      <c r="AO215" s="16" t="s">
        <v>230</v>
      </c>
      <c r="AP215" s="17">
        <v>20162.34</v>
      </c>
      <c r="AQ215" s="10" t="s">
        <v>51</v>
      </c>
      <c r="AR215" s="10" t="s">
        <v>159</v>
      </c>
      <c r="AS215" s="12">
        <v>6750</v>
      </c>
      <c r="AT215" s="10" t="s">
        <v>53</v>
      </c>
      <c r="AU215" s="10">
        <v>40151500</v>
      </c>
      <c r="AV215" s="10" t="s">
        <v>62</v>
      </c>
      <c r="AW215" s="10" t="s">
        <v>55</v>
      </c>
      <c r="AX215" s="10" t="s">
        <v>56</v>
      </c>
      <c r="AY215" s="10" t="s">
        <v>63</v>
      </c>
      <c r="AZ215" s="10" t="s">
        <v>64</v>
      </c>
      <c r="BG215" t="str">
        <v>Outbound</v>
      </c>
      <c r="BH215" t="str">
        <v>Land</v>
      </c>
      <c r="BI215" t="str">
        <v>FG-R-2201LE26</v>
      </c>
      <c r="BJ215" t="str">
        <v>JOHNSON ELECTRIC NORTH AMERICA, INC.</v>
      </c>
      <c r="BK215" t="str">
        <v xml:space="preserve">APX WH  6001 GLOBAL DISTRIBUTION WAY LOUISVILLE, KY 40228    </v>
      </c>
      <c r="BL215" t="str">
        <v>M45</v>
      </c>
      <c r="BM215" t="str">
        <v>1999-1E30015EN</v>
      </c>
      <c r="BN215" s="24">
        <v>6750</v>
      </c>
      <c r="BO215" s="23">
        <v>2699.22</v>
      </c>
      <c r="BP215" s="26">
        <f t="shared" si="8"/>
        <v>0.37539031012862084</v>
      </c>
      <c r="BQ215" s="21">
        <f t="shared" si="9"/>
        <v>1846.4549458825213</v>
      </c>
    </row>
    <row r="216" spans="2:69" x14ac:dyDescent="0.35">
      <c r="B216" t="s">
        <v>261</v>
      </c>
      <c r="C216" t="s">
        <v>262</v>
      </c>
      <c r="D216" t="str" cm="1">
        <f t="array" ref="D216">_xlfn.REGEXEXTRACT(G216,"FG-R-\d{4}LE\d{2}")</f>
        <v>FG-R-2201LE26</v>
      </c>
      <c r="E216" t="s">
        <v>296</v>
      </c>
      <c r="F216" s="23" cm="1">
        <f t="array" ref="F216">_xlfn.SWITCH(TRUE,T216&gt;0,T216,Z216)</f>
        <v>2699.22</v>
      </c>
      <c r="G216" s="10" t="s">
        <v>225</v>
      </c>
      <c r="H216" s="10" t="s">
        <v>38</v>
      </c>
      <c r="I216" s="10" t="s">
        <v>226</v>
      </c>
      <c r="J216" s="11" t="s">
        <v>227</v>
      </c>
      <c r="K216" s="11" t="s">
        <v>227</v>
      </c>
      <c r="L216" s="10" t="s">
        <v>225</v>
      </c>
      <c r="M216" s="10" t="s">
        <v>228</v>
      </c>
      <c r="N216" s="10" t="s">
        <v>43</v>
      </c>
      <c r="O216" s="10" t="s">
        <v>60</v>
      </c>
      <c r="P216" s="10" t="s">
        <v>45</v>
      </c>
      <c r="Q216" s="10" t="s">
        <v>46</v>
      </c>
      <c r="R216" s="12">
        <v>6</v>
      </c>
      <c r="S216" s="13">
        <v>2588.2199999999998</v>
      </c>
      <c r="T216" s="13">
        <v>2699.22</v>
      </c>
      <c r="U216" s="12">
        <v>270</v>
      </c>
      <c r="V216" s="13">
        <v>2443.5</v>
      </c>
      <c r="W216" s="13">
        <v>2588.2199999999998</v>
      </c>
      <c r="X216" s="12">
        <v>0</v>
      </c>
      <c r="Y216" s="13">
        <v>0</v>
      </c>
      <c r="Z216" s="13">
        <v>0</v>
      </c>
      <c r="AA216" s="12">
        <v>0</v>
      </c>
      <c r="AB216" s="13">
        <v>0</v>
      </c>
      <c r="AC216" s="13">
        <v>0</v>
      </c>
      <c r="AD216" s="12">
        <v>6</v>
      </c>
      <c r="AE216" s="12">
        <v>0</v>
      </c>
      <c r="AF216" s="12">
        <v>0</v>
      </c>
      <c r="AG216" s="12">
        <v>6</v>
      </c>
      <c r="AH216" s="12">
        <v>0</v>
      </c>
      <c r="AI216" s="12">
        <v>0</v>
      </c>
      <c r="AJ216" s="10">
        <v>6208339</v>
      </c>
      <c r="AK216" s="10" t="s">
        <v>47</v>
      </c>
      <c r="AL216" s="14" t="s">
        <v>233</v>
      </c>
      <c r="AM216" s="10" t="s">
        <v>49</v>
      </c>
      <c r="AN216" s="15">
        <v>202300058924</v>
      </c>
      <c r="AO216" s="16" t="s">
        <v>230</v>
      </c>
      <c r="AP216" s="17">
        <v>20162.34</v>
      </c>
      <c r="AQ216" s="10" t="s">
        <v>51</v>
      </c>
      <c r="AR216" s="10" t="s">
        <v>159</v>
      </c>
      <c r="AS216" s="12">
        <v>6750</v>
      </c>
      <c r="AT216" s="10" t="s">
        <v>53</v>
      </c>
      <c r="AU216" s="10">
        <v>40151500</v>
      </c>
      <c r="AV216" s="10" t="s">
        <v>62</v>
      </c>
      <c r="AW216" s="10" t="s">
        <v>55</v>
      </c>
      <c r="AX216" s="10" t="s">
        <v>56</v>
      </c>
      <c r="AY216" s="10" t="s">
        <v>63</v>
      </c>
      <c r="AZ216" s="10" t="s">
        <v>64</v>
      </c>
      <c r="BG216" t="str">
        <v>Outbound</v>
      </c>
      <c r="BH216" t="str">
        <v>Land</v>
      </c>
      <c r="BI216" t="str">
        <v>FG-R-2201LE26</v>
      </c>
      <c r="BJ216" t="str">
        <v>JOHNSON ELECTRIC NORTH AMERICA, INC.</v>
      </c>
      <c r="BK216" t="str">
        <v xml:space="preserve">APX WH  6001 GLOBAL DISTRIBUTION WAY LOUISVILLE, KY 40228    </v>
      </c>
      <c r="BL216" t="str">
        <v>M45</v>
      </c>
      <c r="BM216" t="str">
        <v>1999-1E30015EN</v>
      </c>
      <c r="BN216" s="24">
        <v>6750</v>
      </c>
      <c r="BO216" s="23">
        <v>2699.22</v>
      </c>
      <c r="BP216" s="26">
        <f t="shared" si="8"/>
        <v>0.37539031012862084</v>
      </c>
      <c r="BQ216" s="21">
        <f t="shared" si="9"/>
        <v>1846.4549458825213</v>
      </c>
    </row>
    <row r="217" spans="2:69" x14ac:dyDescent="0.35">
      <c r="B217" t="s">
        <v>261</v>
      </c>
      <c r="C217" t="s">
        <v>262</v>
      </c>
      <c r="D217" t="str" cm="1">
        <f t="array" ref="D217">_xlfn.REGEXEXTRACT(G217,"FG-R-\d{4}LE\d{2}")</f>
        <v>FG-R-2201LE26</v>
      </c>
      <c r="E217" t="s">
        <v>296</v>
      </c>
      <c r="F217" s="23" cm="1">
        <f t="array" ref="F217">_xlfn.SWITCH(TRUE,T217&gt;0,T217,Z217)</f>
        <v>899.74</v>
      </c>
      <c r="G217" s="10" t="s">
        <v>225</v>
      </c>
      <c r="H217" s="10" t="s">
        <v>38</v>
      </c>
      <c r="I217" s="10" t="s">
        <v>226</v>
      </c>
      <c r="J217" s="11" t="s">
        <v>227</v>
      </c>
      <c r="K217" s="11" t="s">
        <v>227</v>
      </c>
      <c r="L217" s="10" t="s">
        <v>225</v>
      </c>
      <c r="M217" s="10" t="s">
        <v>228</v>
      </c>
      <c r="N217" s="10" t="s">
        <v>43</v>
      </c>
      <c r="O217" s="10" t="s">
        <v>60</v>
      </c>
      <c r="P217" s="10" t="s">
        <v>45</v>
      </c>
      <c r="Q217" s="10" t="s">
        <v>46</v>
      </c>
      <c r="R217" s="12">
        <v>2</v>
      </c>
      <c r="S217" s="13">
        <v>862.74</v>
      </c>
      <c r="T217" s="13">
        <v>899.74</v>
      </c>
      <c r="U217" s="12">
        <v>90</v>
      </c>
      <c r="V217" s="13">
        <v>814.5</v>
      </c>
      <c r="W217" s="13">
        <v>862.74</v>
      </c>
      <c r="X217" s="12">
        <v>0</v>
      </c>
      <c r="Y217" s="13">
        <v>0</v>
      </c>
      <c r="Z217" s="13">
        <v>0</v>
      </c>
      <c r="AA217" s="12">
        <v>0</v>
      </c>
      <c r="AB217" s="13">
        <v>0</v>
      </c>
      <c r="AC217" s="13">
        <v>0</v>
      </c>
      <c r="AD217" s="12">
        <v>2</v>
      </c>
      <c r="AE217" s="12">
        <v>0</v>
      </c>
      <c r="AF217" s="12">
        <v>0</v>
      </c>
      <c r="AG217" s="12">
        <v>2</v>
      </c>
      <c r="AH217" s="12">
        <v>0</v>
      </c>
      <c r="AI217" s="12">
        <v>0</v>
      </c>
      <c r="AJ217" s="10">
        <v>6208340</v>
      </c>
      <c r="AK217" s="10" t="s">
        <v>47</v>
      </c>
      <c r="AL217" s="14" t="s">
        <v>233</v>
      </c>
      <c r="AM217" s="10" t="s">
        <v>49</v>
      </c>
      <c r="AN217" s="15">
        <v>202300058925</v>
      </c>
      <c r="AO217" s="16" t="s">
        <v>230</v>
      </c>
      <c r="AP217" s="17">
        <v>6720.78</v>
      </c>
      <c r="AQ217" s="10" t="s">
        <v>51</v>
      </c>
      <c r="AR217" s="10" t="s">
        <v>159</v>
      </c>
      <c r="AS217" s="12">
        <v>2250</v>
      </c>
      <c r="AT217" s="10" t="s">
        <v>53</v>
      </c>
      <c r="AU217" s="10">
        <v>40151500</v>
      </c>
      <c r="AV217" s="10" t="s">
        <v>62</v>
      </c>
      <c r="AW217" s="10" t="s">
        <v>55</v>
      </c>
      <c r="AX217" s="10" t="s">
        <v>56</v>
      </c>
      <c r="AY217" s="10" t="s">
        <v>63</v>
      </c>
      <c r="AZ217" s="10" t="s">
        <v>64</v>
      </c>
      <c r="BG217" t="str">
        <v>Outbound</v>
      </c>
      <c r="BH217" t="str">
        <v>Land</v>
      </c>
      <c r="BI217" t="str">
        <v>FG-R-2201LE26</v>
      </c>
      <c r="BJ217" t="str">
        <v>JOHNSON ELECTRIC NORTH AMERICA, INC.</v>
      </c>
      <c r="BK217" t="str">
        <v xml:space="preserve">APX WH  6001 GLOBAL DISTRIBUTION WAY LOUISVILLE, KY 40228    </v>
      </c>
      <c r="BL217" t="str">
        <v>M45</v>
      </c>
      <c r="BM217" t="str">
        <v>1999-1E30015EN</v>
      </c>
      <c r="BN217" s="24">
        <v>2250</v>
      </c>
      <c r="BO217" s="23">
        <v>899.74</v>
      </c>
      <c r="BP217" s="26">
        <f t="shared" si="8"/>
        <v>0.12513010337620695</v>
      </c>
      <c r="BQ217" s="21">
        <f t="shared" si="9"/>
        <v>615.4849819608404</v>
      </c>
    </row>
    <row r="218" spans="2:69" x14ac:dyDescent="0.35">
      <c r="B218" t="s">
        <v>261</v>
      </c>
      <c r="C218" t="s">
        <v>262</v>
      </c>
      <c r="D218" t="str" cm="1">
        <f t="array" ref="D218">_xlfn.REGEXEXTRACT(G218,"FG-R-\d{4}LE\d{2}")</f>
        <v>FG-R-2201LE26</v>
      </c>
      <c r="E218" t="s">
        <v>298</v>
      </c>
      <c r="F218" s="23" cm="1">
        <f t="array" ref="F218">_xlfn.SWITCH(TRUE,T218&gt;0,T218,Z218)</f>
        <v>62.46</v>
      </c>
      <c r="G218" s="10" t="s">
        <v>225</v>
      </c>
      <c r="H218" s="10" t="s">
        <v>38</v>
      </c>
      <c r="I218" s="10" t="s">
        <v>226</v>
      </c>
      <c r="J218" s="11" t="s">
        <v>227</v>
      </c>
      <c r="K218" s="11" t="s">
        <v>227</v>
      </c>
      <c r="L218" s="10" t="s">
        <v>225</v>
      </c>
      <c r="M218" s="10" t="s">
        <v>228</v>
      </c>
      <c r="N218" s="10" t="s">
        <v>43</v>
      </c>
      <c r="O218" s="10" t="s">
        <v>69</v>
      </c>
      <c r="P218" s="10" t="s">
        <v>45</v>
      </c>
      <c r="Q218" s="10" t="s">
        <v>46</v>
      </c>
      <c r="R218" s="12">
        <v>0</v>
      </c>
      <c r="S218" s="13">
        <v>0</v>
      </c>
      <c r="T218" s="13">
        <v>0</v>
      </c>
      <c r="U218" s="12">
        <v>0</v>
      </c>
      <c r="V218" s="13">
        <v>0</v>
      </c>
      <c r="W218" s="13">
        <v>0</v>
      </c>
      <c r="X218" s="12">
        <v>1</v>
      </c>
      <c r="Y218" s="13">
        <v>41.46</v>
      </c>
      <c r="Z218" s="13">
        <v>62.46</v>
      </c>
      <c r="AA218" s="12">
        <v>10</v>
      </c>
      <c r="AB218" s="13">
        <v>26.46</v>
      </c>
      <c r="AC218" s="13">
        <v>41.46</v>
      </c>
      <c r="AD218" s="12">
        <v>1</v>
      </c>
      <c r="AE218" s="12">
        <v>0</v>
      </c>
      <c r="AF218" s="12">
        <v>0</v>
      </c>
      <c r="AG218" s="12">
        <v>1</v>
      </c>
      <c r="AH218" s="12">
        <v>0</v>
      </c>
      <c r="AI218" s="12">
        <v>0</v>
      </c>
      <c r="AJ218" s="10">
        <v>6208361</v>
      </c>
      <c r="AK218" s="10" t="s">
        <v>47</v>
      </c>
      <c r="AL218" s="14" t="s">
        <v>233</v>
      </c>
      <c r="AM218" s="10" t="s">
        <v>49</v>
      </c>
      <c r="AN218" s="15">
        <v>202300058929</v>
      </c>
      <c r="AO218" s="16" t="s">
        <v>230</v>
      </c>
      <c r="AP218" s="17">
        <v>1328.25</v>
      </c>
      <c r="AQ218" s="10" t="s">
        <v>51</v>
      </c>
      <c r="AR218" s="10" t="s">
        <v>89</v>
      </c>
      <c r="AS218" s="12">
        <v>200</v>
      </c>
      <c r="AT218" s="10" t="s">
        <v>53</v>
      </c>
      <c r="AU218" s="10">
        <v>26101100</v>
      </c>
      <c r="AV218" s="10" t="s">
        <v>87</v>
      </c>
      <c r="AW218" s="10" t="s">
        <v>55</v>
      </c>
      <c r="AX218" s="10" t="s">
        <v>56</v>
      </c>
      <c r="AY218" s="10" t="s">
        <v>79</v>
      </c>
      <c r="AZ218" s="10" t="s">
        <v>80</v>
      </c>
      <c r="BG218" t="str">
        <v>Outbound</v>
      </c>
      <c r="BH218" t="str">
        <v>Land</v>
      </c>
      <c r="BI218" t="str">
        <v>FG-R-2201LE26</v>
      </c>
      <c r="BJ218" t="str">
        <v>JOHNSON ELECTRIC NORTH AMERICA, INC.</v>
      </c>
      <c r="BK218" t="str">
        <v xml:space="preserve">Memphis Distribution Services 3893 Crowfarn    </v>
      </c>
      <c r="BL218" t="str">
        <v>M46</v>
      </c>
      <c r="BM218" t="str">
        <v>1651-EQH0021EN</v>
      </c>
      <c r="BN218" s="24">
        <v>200</v>
      </c>
      <c r="BO218" s="23">
        <v>62.46</v>
      </c>
      <c r="BP218" s="26">
        <f t="shared" si="8"/>
        <v>8.6865386187986379E-3</v>
      </c>
      <c r="BQ218" s="21">
        <f t="shared" si="9"/>
        <v>42.727001103956802</v>
      </c>
    </row>
    <row r="219" spans="2:69" x14ac:dyDescent="0.35">
      <c r="B219" t="s">
        <v>261</v>
      </c>
      <c r="C219" t="s">
        <v>262</v>
      </c>
      <c r="D219" t="str" cm="1">
        <f t="array" ref="D219">_xlfn.REGEXEXTRACT(G219,"FG-R-\d{4}LE\d{2}")</f>
        <v>FG-R-2201LE26</v>
      </c>
      <c r="E219" t="s">
        <v>298</v>
      </c>
      <c r="F219" s="23" cm="1">
        <f t="array" ref="F219">_xlfn.SWITCH(TRUE,T219&gt;0,T219,Z219)</f>
        <v>354.2</v>
      </c>
      <c r="G219" s="10" t="s">
        <v>225</v>
      </c>
      <c r="H219" s="10" t="s">
        <v>38</v>
      </c>
      <c r="I219" s="10" t="s">
        <v>226</v>
      </c>
      <c r="J219" s="11" t="s">
        <v>227</v>
      </c>
      <c r="K219" s="11" t="s">
        <v>227</v>
      </c>
      <c r="L219" s="10" t="s">
        <v>225</v>
      </c>
      <c r="M219" s="10" t="s">
        <v>228</v>
      </c>
      <c r="N219" s="10" t="s">
        <v>43</v>
      </c>
      <c r="O219" s="10" t="s">
        <v>69</v>
      </c>
      <c r="P219" s="10" t="s">
        <v>45</v>
      </c>
      <c r="Q219" s="10" t="s">
        <v>46</v>
      </c>
      <c r="R219" s="12">
        <v>1</v>
      </c>
      <c r="S219" s="13">
        <v>333.2</v>
      </c>
      <c r="T219" s="13">
        <v>354.2</v>
      </c>
      <c r="U219" s="12">
        <v>50</v>
      </c>
      <c r="V219" s="13">
        <v>258.2</v>
      </c>
      <c r="W219" s="13">
        <v>333.2</v>
      </c>
      <c r="X219" s="12">
        <v>0</v>
      </c>
      <c r="Y219" s="13">
        <v>0</v>
      </c>
      <c r="Z219" s="13">
        <v>0</v>
      </c>
      <c r="AA219" s="12">
        <v>0</v>
      </c>
      <c r="AB219" s="13">
        <v>0</v>
      </c>
      <c r="AC219" s="13">
        <v>0</v>
      </c>
      <c r="AD219" s="12">
        <v>1</v>
      </c>
      <c r="AE219" s="12">
        <v>0</v>
      </c>
      <c r="AF219" s="12">
        <v>0</v>
      </c>
      <c r="AG219" s="12">
        <v>1</v>
      </c>
      <c r="AH219" s="12">
        <v>0</v>
      </c>
      <c r="AI219" s="12">
        <v>0</v>
      </c>
      <c r="AJ219" s="10">
        <v>6208342</v>
      </c>
      <c r="AK219" s="10" t="s">
        <v>47</v>
      </c>
      <c r="AL219" s="14" t="s">
        <v>233</v>
      </c>
      <c r="AM219" s="10" t="s">
        <v>49</v>
      </c>
      <c r="AN219" s="15">
        <v>202300058927</v>
      </c>
      <c r="AO219" s="16" t="s">
        <v>230</v>
      </c>
      <c r="AP219" s="17">
        <v>13165.54</v>
      </c>
      <c r="AQ219" s="10" t="s">
        <v>51</v>
      </c>
      <c r="AR219" s="10" t="s">
        <v>236</v>
      </c>
      <c r="AS219" s="12">
        <v>2000</v>
      </c>
      <c r="AT219" s="10" t="s">
        <v>53</v>
      </c>
      <c r="AU219" s="10">
        <v>26101100</v>
      </c>
      <c r="AV219" s="10" t="s">
        <v>87</v>
      </c>
      <c r="AW219" s="10" t="s">
        <v>55</v>
      </c>
      <c r="AX219" s="10" t="s">
        <v>56</v>
      </c>
      <c r="AY219" s="10" t="s">
        <v>79</v>
      </c>
      <c r="AZ219" s="10" t="s">
        <v>80</v>
      </c>
      <c r="BG219" t="str">
        <v>Outbound</v>
      </c>
      <c r="BH219" t="str">
        <v>Land</v>
      </c>
      <c r="BI219" t="str">
        <v>FG-R-2201LE26</v>
      </c>
      <c r="BJ219" t="str">
        <v>JOHNSON ELECTRIC NORTH AMERICA, INC.</v>
      </c>
      <c r="BK219" t="str">
        <v xml:space="preserve">Memphis Distribution Services 3893 Crowfarn    </v>
      </c>
      <c r="BL219" t="str">
        <v>M46</v>
      </c>
      <c r="BM219" t="str">
        <v>1651-EQH0028EN</v>
      </c>
      <c r="BN219" s="24">
        <v>2000</v>
      </c>
      <c r="BO219" s="23">
        <v>354.2</v>
      </c>
      <c r="BP219" s="26">
        <f t="shared" si="8"/>
        <v>4.925987798236435E-2</v>
      </c>
      <c r="BQ219" s="21">
        <f t="shared" si="9"/>
        <v>242.29753107623279</v>
      </c>
    </row>
    <row r="220" spans="2:69" x14ac:dyDescent="0.35">
      <c r="B220" t="s">
        <v>261</v>
      </c>
      <c r="C220" t="s">
        <v>262</v>
      </c>
      <c r="D220" t="str" cm="1">
        <f t="array" ref="D220">_xlfn.REGEXEXTRACT(G220,"FG-R-\d{4}LE\d{2}")</f>
        <v>FG-R-2204LE26</v>
      </c>
      <c r="E220" t="s">
        <v>298</v>
      </c>
      <c r="F220" s="23" cm="1">
        <f t="array" ref="F220">_xlfn.SWITCH(TRUE,T220&gt;0,T220,Z220)</f>
        <v>147.91999999999999</v>
      </c>
      <c r="G220" s="10" t="s">
        <v>237</v>
      </c>
      <c r="H220" s="10" t="s">
        <v>38</v>
      </c>
      <c r="I220" s="10" t="s">
        <v>200</v>
      </c>
      <c r="J220" s="11" t="s">
        <v>238</v>
      </c>
      <c r="K220" s="11" t="s">
        <v>238</v>
      </c>
      <c r="L220" s="10" t="s">
        <v>239</v>
      </c>
      <c r="M220" s="10" t="s">
        <v>240</v>
      </c>
      <c r="N220" s="10" t="s">
        <v>43</v>
      </c>
      <c r="O220" s="10" t="s">
        <v>44</v>
      </c>
      <c r="P220" s="10" t="s">
        <v>45</v>
      </c>
      <c r="Q220" s="10" t="s">
        <v>46</v>
      </c>
      <c r="R220" s="12">
        <v>0</v>
      </c>
      <c r="S220" s="13">
        <v>0</v>
      </c>
      <c r="T220" s="13">
        <v>0</v>
      </c>
      <c r="U220" s="12">
        <v>0</v>
      </c>
      <c r="V220" s="13">
        <v>0</v>
      </c>
      <c r="W220" s="13">
        <v>0</v>
      </c>
      <c r="X220" s="12">
        <v>1</v>
      </c>
      <c r="Y220" s="13">
        <v>123.9</v>
      </c>
      <c r="Z220" s="13">
        <v>147.91999999999999</v>
      </c>
      <c r="AA220" s="12">
        <v>19</v>
      </c>
      <c r="AB220" s="13">
        <v>81.72</v>
      </c>
      <c r="AC220" s="13">
        <v>123.9</v>
      </c>
      <c r="AD220" s="12">
        <v>0</v>
      </c>
      <c r="AE220" s="12">
        <v>1</v>
      </c>
      <c r="AF220" s="12">
        <v>0</v>
      </c>
      <c r="AG220" s="12">
        <v>1</v>
      </c>
      <c r="AH220" s="12">
        <v>0</v>
      </c>
      <c r="AI220" s="12">
        <v>0</v>
      </c>
      <c r="AJ220" s="10">
        <v>6212835</v>
      </c>
      <c r="AK220" s="10" t="s">
        <v>47</v>
      </c>
      <c r="AL220" s="14" t="s">
        <v>241</v>
      </c>
      <c r="AM220" s="10" t="s">
        <v>49</v>
      </c>
      <c r="AN220" s="15">
        <v>202300058956</v>
      </c>
      <c r="AO220" s="16" t="s">
        <v>242</v>
      </c>
      <c r="AP220" s="17">
        <v>1839.85</v>
      </c>
      <c r="AQ220" s="10" t="s">
        <v>51</v>
      </c>
      <c r="AR220" s="10" t="s">
        <v>122</v>
      </c>
      <c r="AS220" s="12">
        <v>908</v>
      </c>
      <c r="AT220" s="10" t="s">
        <v>53</v>
      </c>
      <c r="AU220" s="10">
        <v>26101200</v>
      </c>
      <c r="AV220" s="10" t="s">
        <v>78</v>
      </c>
      <c r="AW220" s="10" t="s">
        <v>55</v>
      </c>
      <c r="AX220" s="10" t="s">
        <v>56</v>
      </c>
      <c r="AY220" s="10" t="s">
        <v>79</v>
      </c>
      <c r="AZ220" s="10" t="s">
        <v>80</v>
      </c>
      <c r="BG220" t="str">
        <v>Outbound</v>
      </c>
      <c r="BH220" t="str">
        <v>Land</v>
      </c>
      <c r="BI220" t="str">
        <v>FG-R-2202LE26</v>
      </c>
      <c r="BJ220" t="str">
        <v>SAIA-BURGESS AUTOMOTIVE ACTUATORS, LLC</v>
      </c>
      <c r="BK220" t="str">
        <v xml:space="preserve">755 Bill Jones Drive      </v>
      </c>
      <c r="BL220" t="str">
        <v>M19</v>
      </c>
      <c r="BM220" t="str">
        <v>1999-5YY1255EN</v>
      </c>
      <c r="BN220" s="24">
        <v>5184</v>
      </c>
      <c r="BO220" s="23">
        <v>11245.248</v>
      </c>
      <c r="BP220" s="26">
        <f t="shared" si="8"/>
        <v>0.31413553594893934</v>
      </c>
      <c r="BQ220" s="21">
        <f t="shared" si="9"/>
        <v>1545.157395862552</v>
      </c>
    </row>
    <row r="221" spans="2:69" x14ac:dyDescent="0.35">
      <c r="B221" t="s">
        <v>261</v>
      </c>
      <c r="C221" t="s">
        <v>262</v>
      </c>
      <c r="D221" t="str" cm="1">
        <f t="array" ref="D221">_xlfn.REGEXEXTRACT(G221,"FG-R-\d{4}LE\d{2}")</f>
        <v>FG-R-2204LE26</v>
      </c>
      <c r="E221" t="s">
        <v>296</v>
      </c>
      <c r="F221" s="23" cm="1">
        <f t="array" ref="F221">_xlfn.SWITCH(TRUE,T221&gt;0,T221,Z221)</f>
        <v>3532.864</v>
      </c>
      <c r="G221" s="10" t="s">
        <v>239</v>
      </c>
      <c r="H221" s="10" t="s">
        <v>38</v>
      </c>
      <c r="I221" s="10" t="s">
        <v>200</v>
      </c>
      <c r="J221" s="11" t="s">
        <v>238</v>
      </c>
      <c r="K221" s="11" t="s">
        <v>238</v>
      </c>
      <c r="L221" s="10" t="s">
        <v>239</v>
      </c>
      <c r="M221" s="10" t="s">
        <v>240</v>
      </c>
      <c r="N221" s="10" t="s">
        <v>43</v>
      </c>
      <c r="O221" s="10" t="s">
        <v>60</v>
      </c>
      <c r="P221" s="10" t="s">
        <v>45</v>
      </c>
      <c r="Q221" s="10" t="s">
        <v>46</v>
      </c>
      <c r="R221" s="12">
        <v>8</v>
      </c>
      <c r="S221" s="13">
        <v>3384.864</v>
      </c>
      <c r="T221" s="13">
        <v>3532.864</v>
      </c>
      <c r="U221" s="12">
        <v>336</v>
      </c>
      <c r="V221" s="13">
        <v>3257.8560000000002</v>
      </c>
      <c r="W221" s="13">
        <v>3384.864</v>
      </c>
      <c r="X221" s="12">
        <v>0</v>
      </c>
      <c r="Y221" s="13">
        <v>0</v>
      </c>
      <c r="Z221" s="13">
        <v>0</v>
      </c>
      <c r="AA221" s="12">
        <v>0</v>
      </c>
      <c r="AB221" s="13">
        <v>0</v>
      </c>
      <c r="AC221" s="13">
        <v>0</v>
      </c>
      <c r="AD221" s="12">
        <v>8</v>
      </c>
      <c r="AE221" s="12">
        <v>0</v>
      </c>
      <c r="AF221" s="12">
        <v>0</v>
      </c>
      <c r="AG221" s="12">
        <v>8</v>
      </c>
      <c r="AH221" s="12">
        <v>0</v>
      </c>
      <c r="AI221" s="12">
        <v>0</v>
      </c>
      <c r="AJ221" s="10">
        <v>6213441</v>
      </c>
      <c r="AK221" s="10" t="s">
        <v>47</v>
      </c>
      <c r="AL221" s="14" t="s">
        <v>241</v>
      </c>
      <c r="AM221" s="10" t="s">
        <v>49</v>
      </c>
      <c r="AN221" s="15">
        <v>202300058980</v>
      </c>
      <c r="AO221" s="16" t="s">
        <v>243</v>
      </c>
      <c r="AP221" s="17">
        <v>24198.400000000001</v>
      </c>
      <c r="AQ221" s="10" t="s">
        <v>51</v>
      </c>
      <c r="AR221" s="10" t="s">
        <v>61</v>
      </c>
      <c r="AS221" s="12">
        <v>4032</v>
      </c>
      <c r="AT221" s="10" t="s">
        <v>53</v>
      </c>
      <c r="AU221" s="10">
        <v>40151500</v>
      </c>
      <c r="AV221" s="10" t="s">
        <v>62</v>
      </c>
      <c r="AW221" s="10" t="s">
        <v>55</v>
      </c>
      <c r="AX221" s="10" t="s">
        <v>56</v>
      </c>
      <c r="AY221" s="10" t="s">
        <v>63</v>
      </c>
      <c r="AZ221" s="10" t="s">
        <v>64</v>
      </c>
      <c r="BG221" t="str">
        <v>Outbound</v>
      </c>
      <c r="BH221" t="str">
        <v>Land</v>
      </c>
      <c r="BI221" t="str">
        <v>FG-R-2202LE26</v>
      </c>
      <c r="BJ221" t="str">
        <v>SAIA-BURGESS AUTOMOTIVE ACTUATORS, LLC</v>
      </c>
      <c r="BK221" t="str">
        <v xml:space="preserve">755 Bill Jones Drive      </v>
      </c>
      <c r="BL221" t="str">
        <v>M19</v>
      </c>
      <c r="BM221" t="str">
        <v>1999-5YY1255EN</v>
      </c>
      <c r="BN221" s="24">
        <v>5184</v>
      </c>
      <c r="BO221" s="23">
        <v>11245.248</v>
      </c>
      <c r="BP221" s="26">
        <f t="shared" si="8"/>
        <v>0.31413553594893934</v>
      </c>
      <c r="BQ221" s="21">
        <f t="shared" si="9"/>
        <v>1545.157395862552</v>
      </c>
    </row>
    <row r="222" spans="2:69" x14ac:dyDescent="0.35">
      <c r="B222" t="s">
        <v>261</v>
      </c>
      <c r="C222" t="s">
        <v>262</v>
      </c>
      <c r="D222" t="str" cm="1">
        <f t="array" ref="D222">_xlfn.REGEXEXTRACT(G222,"FG-R-\d{4}LE\d{2}")</f>
        <v>FG-R-2204LE26</v>
      </c>
      <c r="E222" t="s">
        <v>296</v>
      </c>
      <c r="F222" s="23" cm="1">
        <f t="array" ref="F222">_xlfn.SWITCH(TRUE,T222&gt;0,T222,Z222)</f>
        <v>7065.7280000000001</v>
      </c>
      <c r="G222" s="10" t="s">
        <v>239</v>
      </c>
      <c r="H222" s="10" t="s">
        <v>38</v>
      </c>
      <c r="I222" s="10" t="s">
        <v>200</v>
      </c>
      <c r="J222" s="11" t="s">
        <v>238</v>
      </c>
      <c r="K222" s="11" t="s">
        <v>238</v>
      </c>
      <c r="L222" s="10" t="s">
        <v>239</v>
      </c>
      <c r="M222" s="10" t="s">
        <v>240</v>
      </c>
      <c r="N222" s="10" t="s">
        <v>43</v>
      </c>
      <c r="O222" s="10" t="s">
        <v>60</v>
      </c>
      <c r="P222" s="10" t="s">
        <v>45</v>
      </c>
      <c r="Q222" s="10" t="s">
        <v>46</v>
      </c>
      <c r="R222" s="12">
        <v>16</v>
      </c>
      <c r="S222" s="13">
        <v>6769.7280000000001</v>
      </c>
      <c r="T222" s="13">
        <v>7065.7280000000001</v>
      </c>
      <c r="U222" s="12">
        <v>672</v>
      </c>
      <c r="V222" s="13">
        <v>6515.7120000000004</v>
      </c>
      <c r="W222" s="13">
        <v>6769.7280000000001</v>
      </c>
      <c r="X222" s="12">
        <v>0</v>
      </c>
      <c r="Y222" s="13">
        <v>0</v>
      </c>
      <c r="Z222" s="13">
        <v>0</v>
      </c>
      <c r="AA222" s="12">
        <v>0</v>
      </c>
      <c r="AB222" s="13">
        <v>0</v>
      </c>
      <c r="AC222" s="13">
        <v>0</v>
      </c>
      <c r="AD222" s="12">
        <v>16</v>
      </c>
      <c r="AE222" s="12">
        <v>0</v>
      </c>
      <c r="AF222" s="12">
        <v>0</v>
      </c>
      <c r="AG222" s="12">
        <v>16</v>
      </c>
      <c r="AH222" s="12">
        <v>0</v>
      </c>
      <c r="AI222" s="12">
        <v>0</v>
      </c>
      <c r="AJ222" s="10">
        <v>6213442</v>
      </c>
      <c r="AK222" s="10" t="s">
        <v>47</v>
      </c>
      <c r="AL222" s="14" t="s">
        <v>241</v>
      </c>
      <c r="AM222" s="10" t="s">
        <v>49</v>
      </c>
      <c r="AN222" s="15">
        <v>202300058981</v>
      </c>
      <c r="AO222" s="16" t="s">
        <v>243</v>
      </c>
      <c r="AP222" s="17">
        <v>48396.800000000003</v>
      </c>
      <c r="AQ222" s="10" t="s">
        <v>51</v>
      </c>
      <c r="AR222" s="10" t="s">
        <v>61</v>
      </c>
      <c r="AS222" s="12">
        <v>8064</v>
      </c>
      <c r="AT222" s="10" t="s">
        <v>53</v>
      </c>
      <c r="AU222" s="10">
        <v>40151500</v>
      </c>
      <c r="AV222" s="10" t="s">
        <v>62</v>
      </c>
      <c r="AW222" s="10" t="s">
        <v>55</v>
      </c>
      <c r="AX222" s="10" t="s">
        <v>56</v>
      </c>
      <c r="AY222" s="10" t="s">
        <v>63</v>
      </c>
      <c r="AZ222" s="10" t="s">
        <v>64</v>
      </c>
      <c r="BG222" t="str">
        <v>Outbound</v>
      </c>
      <c r="BH222" t="str">
        <v>Land</v>
      </c>
      <c r="BI222" t="str">
        <v>FG-R-2202LE26</v>
      </c>
      <c r="BJ222" t="str">
        <v>SAIA-BURGESS AUTOMOTIVE ACTUATORS, LLC</v>
      </c>
      <c r="BK222" t="str">
        <v xml:space="preserve">755 Bill Jones Drive      </v>
      </c>
      <c r="BL222" t="str">
        <v>M19</v>
      </c>
      <c r="BM222" t="str">
        <v>1999-5YY1445EN</v>
      </c>
      <c r="BN222" s="24">
        <v>1296</v>
      </c>
      <c r="BO222" s="23">
        <v>2851.4879999999998</v>
      </c>
      <c r="BP222" s="26">
        <f t="shared" si="8"/>
        <v>7.9656198879025975E-2</v>
      </c>
      <c r="BQ222" s="21">
        <f t="shared" si="9"/>
        <v>391.80974687381877</v>
      </c>
    </row>
    <row r="223" spans="2:69" x14ac:dyDescent="0.35">
      <c r="B223" t="s">
        <v>261</v>
      </c>
      <c r="C223" t="s">
        <v>262</v>
      </c>
      <c r="D223" t="str" cm="1">
        <f t="array" ref="D223">_xlfn.REGEXEXTRACT(G223,"FG-R-\d{4}LE\d{2}")</f>
        <v>FG-R-2204LE26</v>
      </c>
      <c r="E223" t="s">
        <v>296</v>
      </c>
      <c r="F223" s="23" cm="1">
        <f t="array" ref="F223">_xlfn.SWITCH(TRUE,T223&gt;0,T223,Z223)</f>
        <v>2649.6480000000001</v>
      </c>
      <c r="G223" s="10" t="s">
        <v>239</v>
      </c>
      <c r="H223" s="10" t="s">
        <v>38</v>
      </c>
      <c r="I223" s="10" t="s">
        <v>200</v>
      </c>
      <c r="J223" s="11" t="s">
        <v>238</v>
      </c>
      <c r="K223" s="11" t="s">
        <v>238</v>
      </c>
      <c r="L223" s="10" t="s">
        <v>239</v>
      </c>
      <c r="M223" s="10" t="s">
        <v>240</v>
      </c>
      <c r="N223" s="10" t="s">
        <v>43</v>
      </c>
      <c r="O223" s="10" t="s">
        <v>60</v>
      </c>
      <c r="P223" s="10" t="s">
        <v>45</v>
      </c>
      <c r="Q223" s="10" t="s">
        <v>46</v>
      </c>
      <c r="R223" s="12">
        <v>6</v>
      </c>
      <c r="S223" s="13">
        <v>2538.6480000000001</v>
      </c>
      <c r="T223" s="13">
        <v>2649.6480000000001</v>
      </c>
      <c r="U223" s="12">
        <v>252</v>
      </c>
      <c r="V223" s="13">
        <v>2443.3919999999998</v>
      </c>
      <c r="W223" s="13">
        <v>2538.6480000000001</v>
      </c>
      <c r="X223" s="12">
        <v>0</v>
      </c>
      <c r="Y223" s="13">
        <v>0</v>
      </c>
      <c r="Z223" s="13">
        <v>0</v>
      </c>
      <c r="AA223" s="12">
        <v>0</v>
      </c>
      <c r="AB223" s="13">
        <v>0</v>
      </c>
      <c r="AC223" s="13">
        <v>0</v>
      </c>
      <c r="AD223" s="12">
        <v>6</v>
      </c>
      <c r="AE223" s="12">
        <v>0</v>
      </c>
      <c r="AF223" s="12">
        <v>0</v>
      </c>
      <c r="AG223" s="12">
        <v>6</v>
      </c>
      <c r="AH223" s="12">
        <v>0</v>
      </c>
      <c r="AI223" s="12">
        <v>0</v>
      </c>
      <c r="AJ223" s="10">
        <v>6213443</v>
      </c>
      <c r="AK223" s="10" t="s">
        <v>47</v>
      </c>
      <c r="AL223" s="14" t="s">
        <v>241</v>
      </c>
      <c r="AM223" s="10" t="s">
        <v>49</v>
      </c>
      <c r="AN223" s="15">
        <v>202300058982</v>
      </c>
      <c r="AO223" s="16" t="s">
        <v>243</v>
      </c>
      <c r="AP223" s="17">
        <v>18148.8</v>
      </c>
      <c r="AQ223" s="10" t="s">
        <v>51</v>
      </c>
      <c r="AR223" s="10" t="s">
        <v>61</v>
      </c>
      <c r="AS223" s="12">
        <v>3024</v>
      </c>
      <c r="AT223" s="10" t="s">
        <v>53</v>
      </c>
      <c r="AU223" s="10">
        <v>40151500</v>
      </c>
      <c r="AV223" s="10" t="s">
        <v>62</v>
      </c>
      <c r="AW223" s="10" t="s">
        <v>55</v>
      </c>
      <c r="AX223" s="10" t="s">
        <v>56</v>
      </c>
      <c r="AY223" s="10" t="s">
        <v>63</v>
      </c>
      <c r="AZ223" s="10" t="s">
        <v>64</v>
      </c>
      <c r="BG223" t="str">
        <v>Outbound</v>
      </c>
      <c r="BH223" t="str">
        <v>Land</v>
      </c>
      <c r="BI223" t="str">
        <v>FG-R-2202LE26</v>
      </c>
      <c r="BJ223" t="str">
        <v>SAIA-BURGESS AUTOMOTIVE ACTUATORS, LLC</v>
      </c>
      <c r="BK223" t="str">
        <v xml:space="preserve">755 Bill Jones Drive      </v>
      </c>
      <c r="BL223" t="str">
        <v>M19</v>
      </c>
      <c r="BM223" t="str">
        <v>1999-5YY1445EN</v>
      </c>
      <c r="BN223" s="24">
        <v>1296</v>
      </c>
      <c r="BO223" s="23">
        <v>2851.4879999999998</v>
      </c>
      <c r="BP223" s="26">
        <f t="shared" si="8"/>
        <v>7.9656198879025975E-2</v>
      </c>
      <c r="BQ223" s="21">
        <f t="shared" si="9"/>
        <v>391.80974687381877</v>
      </c>
    </row>
    <row r="224" spans="2:69" x14ac:dyDescent="0.35">
      <c r="B224" t="s">
        <v>261</v>
      </c>
      <c r="C224" t="s">
        <v>262</v>
      </c>
      <c r="D224" t="str" cm="1">
        <f t="array" ref="D224">_xlfn.REGEXEXTRACT(G224,"FG-R-\d{4}LE\d{2}")</f>
        <v>FG-R-2204LE26</v>
      </c>
      <c r="E224" t="s">
        <v>296</v>
      </c>
      <c r="F224" s="23" cm="1">
        <f t="array" ref="F224">_xlfn.SWITCH(TRUE,T224&gt;0,T224,Z224)</f>
        <v>3532.864</v>
      </c>
      <c r="G224" s="10" t="s">
        <v>239</v>
      </c>
      <c r="H224" s="10" t="s">
        <v>38</v>
      </c>
      <c r="I224" s="10" t="s">
        <v>200</v>
      </c>
      <c r="J224" s="11" t="s">
        <v>238</v>
      </c>
      <c r="K224" s="11" t="s">
        <v>238</v>
      </c>
      <c r="L224" s="10" t="s">
        <v>239</v>
      </c>
      <c r="M224" s="10" t="s">
        <v>240</v>
      </c>
      <c r="N224" s="10" t="s">
        <v>43</v>
      </c>
      <c r="O224" s="10" t="s">
        <v>60</v>
      </c>
      <c r="P224" s="10" t="s">
        <v>45</v>
      </c>
      <c r="Q224" s="10" t="s">
        <v>46</v>
      </c>
      <c r="R224" s="12">
        <v>8</v>
      </c>
      <c r="S224" s="13">
        <v>3384.864</v>
      </c>
      <c r="T224" s="13">
        <v>3532.864</v>
      </c>
      <c r="U224" s="12">
        <v>336</v>
      </c>
      <c r="V224" s="13">
        <v>3257.8560000000002</v>
      </c>
      <c r="W224" s="13">
        <v>3384.864</v>
      </c>
      <c r="X224" s="12">
        <v>0</v>
      </c>
      <c r="Y224" s="13">
        <v>0</v>
      </c>
      <c r="Z224" s="13">
        <v>0</v>
      </c>
      <c r="AA224" s="12">
        <v>0</v>
      </c>
      <c r="AB224" s="13">
        <v>0</v>
      </c>
      <c r="AC224" s="13">
        <v>0</v>
      </c>
      <c r="AD224" s="12">
        <v>8</v>
      </c>
      <c r="AE224" s="12">
        <v>0</v>
      </c>
      <c r="AF224" s="12">
        <v>0</v>
      </c>
      <c r="AG224" s="12">
        <v>8</v>
      </c>
      <c r="AH224" s="12">
        <v>0</v>
      </c>
      <c r="AI224" s="12">
        <v>0</v>
      </c>
      <c r="AJ224" s="10">
        <v>6214267</v>
      </c>
      <c r="AK224" s="10" t="s">
        <v>47</v>
      </c>
      <c r="AL224" s="14" t="s">
        <v>241</v>
      </c>
      <c r="AM224" s="10" t="s">
        <v>49</v>
      </c>
      <c r="AN224" s="15">
        <v>202300058986</v>
      </c>
      <c r="AO224" s="16" t="s">
        <v>243</v>
      </c>
      <c r="AP224" s="17">
        <v>24198.400000000001</v>
      </c>
      <c r="AQ224" s="10" t="s">
        <v>51</v>
      </c>
      <c r="AR224" s="10" t="s">
        <v>61</v>
      </c>
      <c r="AS224" s="12">
        <v>4032</v>
      </c>
      <c r="AT224" s="10" t="s">
        <v>53</v>
      </c>
      <c r="AU224" s="10">
        <v>40151500</v>
      </c>
      <c r="AV224" s="10" t="s">
        <v>62</v>
      </c>
      <c r="AW224" s="10" t="s">
        <v>55</v>
      </c>
      <c r="AX224" s="10" t="s">
        <v>56</v>
      </c>
      <c r="AY224" s="10" t="s">
        <v>63</v>
      </c>
      <c r="AZ224" s="10" t="s">
        <v>64</v>
      </c>
      <c r="BG224" t="str">
        <v>Outbound</v>
      </c>
      <c r="BH224" t="str">
        <v>Land</v>
      </c>
      <c r="BI224" t="str">
        <v>FG-R-2202LE26</v>
      </c>
      <c r="BJ224" t="str">
        <v>SAIA-BURGESS AUTOMOTIVE ACTUATORS, LLC</v>
      </c>
      <c r="BK224" t="str">
        <v xml:space="preserve">755 Bill Jones Drive      </v>
      </c>
      <c r="BL224" t="str">
        <v>M19</v>
      </c>
      <c r="BM224" t="str">
        <v>1999-5YY1145EN</v>
      </c>
      <c r="BN224" s="24">
        <v>1728</v>
      </c>
      <c r="BO224" s="23">
        <v>3801.9839999999999</v>
      </c>
      <c r="BP224" s="26">
        <f t="shared" si="8"/>
        <v>0.10620826517203463</v>
      </c>
      <c r="BQ224" s="21">
        <f t="shared" si="9"/>
        <v>522.41299583175839</v>
      </c>
    </row>
    <row r="225" spans="2:69" x14ac:dyDescent="0.35">
      <c r="B225" t="s">
        <v>261</v>
      </c>
      <c r="C225" t="s">
        <v>262</v>
      </c>
      <c r="D225" t="str" cm="1">
        <f t="array" ref="D225">_xlfn.REGEXEXTRACT(G225,"FG-R-\d{4}LE\d{2}")</f>
        <v>FG-R-2204LE26</v>
      </c>
      <c r="E225" t="s">
        <v>296</v>
      </c>
      <c r="F225" s="23" cm="1">
        <f t="array" ref="F225">_xlfn.SWITCH(TRUE,T225&gt;0,T225,Z225)</f>
        <v>883.21600000000001</v>
      </c>
      <c r="G225" s="10" t="s">
        <v>239</v>
      </c>
      <c r="H225" s="10" t="s">
        <v>38</v>
      </c>
      <c r="I225" s="10" t="s">
        <v>200</v>
      </c>
      <c r="J225" s="11" t="s">
        <v>238</v>
      </c>
      <c r="K225" s="11" t="s">
        <v>238</v>
      </c>
      <c r="L225" s="10" t="s">
        <v>239</v>
      </c>
      <c r="M225" s="10" t="s">
        <v>240</v>
      </c>
      <c r="N225" s="10" t="s">
        <v>43</v>
      </c>
      <c r="O225" s="10" t="s">
        <v>60</v>
      </c>
      <c r="P225" s="10" t="s">
        <v>45</v>
      </c>
      <c r="Q225" s="10" t="s">
        <v>46</v>
      </c>
      <c r="R225" s="12">
        <v>2</v>
      </c>
      <c r="S225" s="13">
        <v>846.21600000000001</v>
      </c>
      <c r="T225" s="13">
        <v>883.21600000000001</v>
      </c>
      <c r="U225" s="12">
        <v>84</v>
      </c>
      <c r="V225" s="13">
        <v>814.46400000000006</v>
      </c>
      <c r="W225" s="13">
        <v>846.21600000000001</v>
      </c>
      <c r="X225" s="12">
        <v>0</v>
      </c>
      <c r="Y225" s="13">
        <v>0</v>
      </c>
      <c r="Z225" s="13">
        <v>0</v>
      </c>
      <c r="AA225" s="12">
        <v>0</v>
      </c>
      <c r="AB225" s="13">
        <v>0</v>
      </c>
      <c r="AC225" s="13">
        <v>0</v>
      </c>
      <c r="AD225" s="12">
        <v>2</v>
      </c>
      <c r="AE225" s="12">
        <v>0</v>
      </c>
      <c r="AF225" s="12">
        <v>0</v>
      </c>
      <c r="AG225" s="12">
        <v>2</v>
      </c>
      <c r="AH225" s="12">
        <v>0</v>
      </c>
      <c r="AI225" s="12">
        <v>0</v>
      </c>
      <c r="AJ225" s="10">
        <v>6214268</v>
      </c>
      <c r="AK225" s="10" t="s">
        <v>47</v>
      </c>
      <c r="AL225" s="14" t="s">
        <v>241</v>
      </c>
      <c r="AM225" s="10" t="s">
        <v>49</v>
      </c>
      <c r="AN225" s="15">
        <v>202300058987</v>
      </c>
      <c r="AO225" s="16" t="s">
        <v>243</v>
      </c>
      <c r="AP225" s="17">
        <v>6049.6</v>
      </c>
      <c r="AQ225" s="10" t="s">
        <v>51</v>
      </c>
      <c r="AR225" s="10" t="s">
        <v>61</v>
      </c>
      <c r="AS225" s="12">
        <v>1008</v>
      </c>
      <c r="AT225" s="10" t="s">
        <v>53</v>
      </c>
      <c r="AU225" s="10">
        <v>40151500</v>
      </c>
      <c r="AV225" s="10" t="s">
        <v>62</v>
      </c>
      <c r="AW225" s="10" t="s">
        <v>55</v>
      </c>
      <c r="AX225" s="10" t="s">
        <v>56</v>
      </c>
      <c r="AY225" s="10" t="s">
        <v>63</v>
      </c>
      <c r="AZ225" s="10" t="s">
        <v>64</v>
      </c>
      <c r="BG225" t="str">
        <v>Outbound</v>
      </c>
      <c r="BH225" t="str">
        <v>Land</v>
      </c>
      <c r="BI225" t="str">
        <v>FG-R-2202LE26</v>
      </c>
      <c r="BJ225" t="str">
        <v>SAIA-BURGESS AUTOMOTIVE ACTUATORS, LLC</v>
      </c>
      <c r="BK225" t="str">
        <v xml:space="preserve">755 Bill Jones Drive      </v>
      </c>
      <c r="BL225" t="str">
        <v>M19</v>
      </c>
      <c r="BM225" t="str">
        <v>1999-5YY1145EN</v>
      </c>
      <c r="BN225" s="24">
        <v>1728</v>
      </c>
      <c r="BO225" s="23">
        <v>3801.9839999999999</v>
      </c>
      <c r="BP225" s="26">
        <f t="shared" si="8"/>
        <v>0.10620826517203463</v>
      </c>
      <c r="BQ225" s="21">
        <f t="shared" si="9"/>
        <v>522.41299583175839</v>
      </c>
    </row>
    <row r="226" spans="2:69" x14ac:dyDescent="0.35">
      <c r="B226" t="s">
        <v>261</v>
      </c>
      <c r="C226" t="s">
        <v>262</v>
      </c>
      <c r="D226" t="str" cm="1">
        <f t="array" ref="D226">_xlfn.REGEXEXTRACT(G226,"FG-R-\d{4}LE\d{2}")</f>
        <v>FG-R-2204LE26</v>
      </c>
      <c r="E226" t="s">
        <v>296</v>
      </c>
      <c r="F226" s="23" cm="1">
        <f t="array" ref="F226">_xlfn.SWITCH(TRUE,T226&gt;0,T226,Z226)</f>
        <v>899.74</v>
      </c>
      <c r="G226" s="10" t="s">
        <v>239</v>
      </c>
      <c r="H226" s="10" t="s">
        <v>38</v>
      </c>
      <c r="I226" s="10" t="s">
        <v>200</v>
      </c>
      <c r="J226" s="11" t="s">
        <v>238</v>
      </c>
      <c r="K226" s="11" t="s">
        <v>238</v>
      </c>
      <c r="L226" s="10" t="s">
        <v>239</v>
      </c>
      <c r="M226" s="10" t="s">
        <v>240</v>
      </c>
      <c r="N226" s="10" t="s">
        <v>43</v>
      </c>
      <c r="O226" s="10" t="s">
        <v>60</v>
      </c>
      <c r="P226" s="10" t="s">
        <v>45</v>
      </c>
      <c r="Q226" s="10" t="s">
        <v>46</v>
      </c>
      <c r="R226" s="12">
        <v>2</v>
      </c>
      <c r="S226" s="13">
        <v>862.74</v>
      </c>
      <c r="T226" s="13">
        <v>899.74</v>
      </c>
      <c r="U226" s="12">
        <v>90</v>
      </c>
      <c r="V226" s="13">
        <v>814.5</v>
      </c>
      <c r="W226" s="13">
        <v>862.74</v>
      </c>
      <c r="X226" s="12">
        <v>0</v>
      </c>
      <c r="Y226" s="13">
        <v>0</v>
      </c>
      <c r="Z226" s="13">
        <v>0</v>
      </c>
      <c r="AA226" s="12">
        <v>0</v>
      </c>
      <c r="AB226" s="13">
        <v>0</v>
      </c>
      <c r="AC226" s="13">
        <v>0</v>
      </c>
      <c r="AD226" s="12">
        <v>2</v>
      </c>
      <c r="AE226" s="12">
        <v>0</v>
      </c>
      <c r="AF226" s="12">
        <v>0</v>
      </c>
      <c r="AG226" s="12">
        <v>2</v>
      </c>
      <c r="AH226" s="12">
        <v>0</v>
      </c>
      <c r="AI226" s="12">
        <v>0</v>
      </c>
      <c r="AJ226" s="10">
        <v>6213440</v>
      </c>
      <c r="AK226" s="10" t="s">
        <v>47</v>
      </c>
      <c r="AL226" s="14" t="s">
        <v>241</v>
      </c>
      <c r="AM226" s="10" t="s">
        <v>49</v>
      </c>
      <c r="AN226" s="15">
        <v>202300058979</v>
      </c>
      <c r="AO226" s="16" t="s">
        <v>243</v>
      </c>
      <c r="AP226" s="17">
        <v>6720.78</v>
      </c>
      <c r="AQ226" s="10" t="s">
        <v>51</v>
      </c>
      <c r="AR226" s="10" t="s">
        <v>159</v>
      </c>
      <c r="AS226" s="12">
        <v>2250</v>
      </c>
      <c r="AT226" s="10" t="s">
        <v>53</v>
      </c>
      <c r="AU226" s="10">
        <v>40151500</v>
      </c>
      <c r="AV226" s="10" t="s">
        <v>62</v>
      </c>
      <c r="AW226" s="10" t="s">
        <v>55</v>
      </c>
      <c r="AX226" s="10" t="s">
        <v>56</v>
      </c>
      <c r="AY226" s="10" t="s">
        <v>63</v>
      </c>
      <c r="AZ226" s="10" t="s">
        <v>64</v>
      </c>
      <c r="BG226" t="str">
        <v>Outbound</v>
      </c>
      <c r="BH226" t="str">
        <v>Land</v>
      </c>
      <c r="BI226" t="str">
        <v>FG-R-2203LE26</v>
      </c>
      <c r="BJ226" t="str">
        <v>JOHNSON ELECTRIC NORTH AMERICA, INC.</v>
      </c>
      <c r="BK226" t="str">
        <v xml:space="preserve">Memphis Distribution Services 3893 Crowfarn    </v>
      </c>
      <c r="BL226" t="str">
        <v>M01</v>
      </c>
      <c r="BM226" t="str">
        <v>1999-1WP0063AN</v>
      </c>
      <c r="BN226" s="24">
        <v>2000</v>
      </c>
      <c r="BO226" s="23">
        <v>580.67999999999995</v>
      </c>
      <c r="BP226" s="26">
        <f t="shared" si="8"/>
        <v>6.8503523109779779E-2</v>
      </c>
      <c r="BQ226" s="21">
        <f t="shared" si="9"/>
        <v>336.95240831627052</v>
      </c>
    </row>
    <row r="227" spans="2:69" x14ac:dyDescent="0.35">
      <c r="B227" t="s">
        <v>261</v>
      </c>
      <c r="C227" t="s">
        <v>262</v>
      </c>
      <c r="D227" t="str" cm="1">
        <f t="array" ref="D227">_xlfn.REGEXEXTRACT(G227,"FG-R-\d{4}LE\d{2}")</f>
        <v>FG-R-2206LE26</v>
      </c>
      <c r="E227" t="s">
        <v>299</v>
      </c>
      <c r="F227" s="23" cm="1">
        <f t="array" ref="F227">_xlfn.SWITCH(TRUE,T227&gt;0,T227,Z227)</f>
        <v>4685.5200000000004</v>
      </c>
      <c r="G227" s="10" t="s">
        <v>244</v>
      </c>
      <c r="H227" s="10" t="s">
        <v>38</v>
      </c>
      <c r="I227" s="10" t="s">
        <v>245</v>
      </c>
      <c r="J227" s="11" t="s">
        <v>238</v>
      </c>
      <c r="K227" s="11" t="s">
        <v>238</v>
      </c>
      <c r="L227" s="10" t="s">
        <v>244</v>
      </c>
      <c r="M227" s="10" t="s">
        <v>246</v>
      </c>
      <c r="N227" s="10" t="s">
        <v>93</v>
      </c>
      <c r="O227" s="10" t="s">
        <v>94</v>
      </c>
      <c r="P227" s="10" t="s">
        <v>95</v>
      </c>
      <c r="Q227" s="10" t="s">
        <v>96</v>
      </c>
      <c r="R227" s="12">
        <v>10</v>
      </c>
      <c r="S227" s="13">
        <v>4475.5200000000004</v>
      </c>
      <c r="T227" s="13">
        <v>4685.5200000000004</v>
      </c>
      <c r="U227" s="12">
        <v>540</v>
      </c>
      <c r="V227" s="13">
        <v>4201.2</v>
      </c>
      <c r="W227" s="13">
        <v>4475.5200000000004</v>
      </c>
      <c r="X227" s="12">
        <v>0</v>
      </c>
      <c r="Y227" s="13">
        <v>0</v>
      </c>
      <c r="Z227" s="13">
        <v>0</v>
      </c>
      <c r="AA227" s="12">
        <v>0</v>
      </c>
      <c r="AB227" s="13">
        <v>0</v>
      </c>
      <c r="AC227" s="13">
        <v>0</v>
      </c>
      <c r="AD227" s="12">
        <v>10</v>
      </c>
      <c r="AE227" s="12">
        <v>0</v>
      </c>
      <c r="AF227" s="12">
        <v>0</v>
      </c>
      <c r="AG227" s="12">
        <v>10</v>
      </c>
      <c r="AH227" s="12">
        <v>0</v>
      </c>
      <c r="AI227" s="12">
        <v>0</v>
      </c>
      <c r="AJ227" s="10">
        <v>6212840</v>
      </c>
      <c r="AK227" s="10" t="s">
        <v>47</v>
      </c>
      <c r="AL227" s="14" t="s">
        <v>241</v>
      </c>
      <c r="AM227" s="10" t="s">
        <v>97</v>
      </c>
      <c r="AN227" s="15">
        <v>202000290612</v>
      </c>
      <c r="AO227" s="16" t="s">
        <v>242</v>
      </c>
      <c r="AP227" s="17">
        <v>81885.45</v>
      </c>
      <c r="AQ227" s="10" t="s">
        <v>51</v>
      </c>
      <c r="AR227" s="10" t="s">
        <v>98</v>
      </c>
      <c r="AS227" s="12">
        <v>2160</v>
      </c>
      <c r="AT227" s="10" t="s">
        <v>53</v>
      </c>
      <c r="AU227" s="10">
        <v>26101200</v>
      </c>
      <c r="AV227" s="10" t="s">
        <v>78</v>
      </c>
      <c r="AW227" s="10" t="s">
        <v>55</v>
      </c>
      <c r="AX227" s="10" t="s">
        <v>56</v>
      </c>
      <c r="AY227" s="10" t="s">
        <v>99</v>
      </c>
      <c r="AZ227" s="10" t="s">
        <v>100</v>
      </c>
      <c r="BG227" t="str">
        <v>Outbound</v>
      </c>
      <c r="BH227" t="str">
        <v>Land</v>
      </c>
      <c r="BI227" t="str">
        <v>FG-R-2203LE26</v>
      </c>
      <c r="BJ227" t="str">
        <v>JOHNSON ELECTRIC NORTH AMERICA, INC.</v>
      </c>
      <c r="BK227" t="str">
        <v xml:space="preserve">Memphis Distribution Services 3893 Crowfarn    </v>
      </c>
      <c r="BL227" t="str">
        <v>M01</v>
      </c>
      <c r="BM227" t="str">
        <v>1999-1WP0045AN</v>
      </c>
      <c r="BN227" s="24">
        <v>10800</v>
      </c>
      <c r="BO227" s="23">
        <v>1238.586</v>
      </c>
      <c r="BP227" s="26">
        <f t="shared" si="8"/>
        <v>0.14611749100098112</v>
      </c>
      <c r="BQ227" s="21">
        <f t="shared" si="9"/>
        <v>718.71691053044071</v>
      </c>
    </row>
    <row r="228" spans="2:69" x14ac:dyDescent="0.35">
      <c r="B228" t="s">
        <v>261</v>
      </c>
      <c r="C228" t="s">
        <v>262</v>
      </c>
      <c r="D228" t="str" cm="1">
        <f t="array" ref="D228">_xlfn.REGEXEXTRACT(G228,"FG-R-\d{4}LE\d{2}")</f>
        <v>FG-R-2206LE26</v>
      </c>
      <c r="E228" t="s">
        <v>299</v>
      </c>
      <c r="F228" s="23" cm="1">
        <f t="array" ref="F228">_xlfn.SWITCH(TRUE,T228&gt;0,T228,Z228)</f>
        <v>2073.2399999999998</v>
      </c>
      <c r="G228" s="10" t="s">
        <v>244</v>
      </c>
      <c r="H228" s="10" t="s">
        <v>38</v>
      </c>
      <c r="I228" s="10" t="s">
        <v>245</v>
      </c>
      <c r="J228" s="11" t="s">
        <v>238</v>
      </c>
      <c r="K228" s="11" t="s">
        <v>238</v>
      </c>
      <c r="L228" s="10" t="s">
        <v>244</v>
      </c>
      <c r="M228" s="10" t="s">
        <v>246</v>
      </c>
      <c r="N228" s="10" t="s">
        <v>93</v>
      </c>
      <c r="O228" s="10" t="s">
        <v>94</v>
      </c>
      <c r="P228" s="10" t="s">
        <v>95</v>
      </c>
      <c r="Q228" s="10" t="s">
        <v>96</v>
      </c>
      <c r="R228" s="12">
        <v>5</v>
      </c>
      <c r="S228" s="13">
        <v>1914.24</v>
      </c>
      <c r="T228" s="13">
        <v>2073.2399999999998</v>
      </c>
      <c r="U228" s="12">
        <v>320</v>
      </c>
      <c r="V228" s="13">
        <v>1804.8</v>
      </c>
      <c r="W228" s="13">
        <v>1914.24</v>
      </c>
      <c r="X228" s="12">
        <v>0</v>
      </c>
      <c r="Y228" s="13">
        <v>0</v>
      </c>
      <c r="Z228" s="13">
        <v>0</v>
      </c>
      <c r="AA228" s="12">
        <v>0</v>
      </c>
      <c r="AB228" s="13">
        <v>0</v>
      </c>
      <c r="AC228" s="13">
        <v>0</v>
      </c>
      <c r="AD228" s="12">
        <v>5</v>
      </c>
      <c r="AE228" s="12">
        <v>0</v>
      </c>
      <c r="AF228" s="12">
        <v>0</v>
      </c>
      <c r="AG228" s="12">
        <v>5</v>
      </c>
      <c r="AH228" s="12">
        <v>0</v>
      </c>
      <c r="AI228" s="12">
        <v>0</v>
      </c>
      <c r="AJ228" s="10">
        <v>6212837</v>
      </c>
      <c r="AK228" s="10" t="s">
        <v>47</v>
      </c>
      <c r="AL228" s="14" t="s">
        <v>241</v>
      </c>
      <c r="AM228" s="10" t="s">
        <v>97</v>
      </c>
      <c r="AN228" s="15">
        <v>202000290607</v>
      </c>
      <c r="AO228" s="16" t="s">
        <v>242</v>
      </c>
      <c r="AP228" s="17">
        <v>5176.4799999999996</v>
      </c>
      <c r="AQ228" s="10" t="s">
        <v>51</v>
      </c>
      <c r="AR228" s="10" t="s">
        <v>101</v>
      </c>
      <c r="AS228" s="12">
        <v>1600</v>
      </c>
      <c r="AT228" s="10" t="s">
        <v>53</v>
      </c>
      <c r="AU228" s="10">
        <v>26101200</v>
      </c>
      <c r="AV228" s="10" t="s">
        <v>78</v>
      </c>
      <c r="AW228" s="10" t="s">
        <v>55</v>
      </c>
      <c r="AX228" s="10" t="s">
        <v>56</v>
      </c>
      <c r="AY228" s="10" t="s">
        <v>102</v>
      </c>
      <c r="AZ228" s="10" t="s">
        <v>103</v>
      </c>
      <c r="BG228" t="str">
        <v>Outbound</v>
      </c>
      <c r="BH228" t="str">
        <v>Land</v>
      </c>
      <c r="BI228" t="str">
        <v>FG-R-2203LE26</v>
      </c>
      <c r="BJ228" t="str">
        <v>JOHNSON ELECTRIC NORTH AMERICA, INC.</v>
      </c>
      <c r="BK228" t="str">
        <v xml:space="preserve">Memphis Distribution Services 3893 Crowfarn    </v>
      </c>
      <c r="BL228" t="str">
        <v>M01</v>
      </c>
      <c r="BM228" t="str">
        <v>1999-1WP0105EN</v>
      </c>
      <c r="BN228" s="24">
        <v>2100</v>
      </c>
      <c r="BO228" s="23">
        <v>297.91231900000002</v>
      </c>
      <c r="BP228" s="26">
        <f t="shared" si="8"/>
        <v>3.514507720139249E-2</v>
      </c>
      <c r="BQ228" s="21">
        <f t="shared" si="9"/>
        <v>172.87020967509653</v>
      </c>
    </row>
    <row r="229" spans="2:69" x14ac:dyDescent="0.35">
      <c r="B229" t="s">
        <v>261</v>
      </c>
      <c r="C229" t="s">
        <v>262</v>
      </c>
      <c r="D229" t="str" cm="1">
        <f t="array" ref="D229">_xlfn.REGEXEXTRACT(G229,"FG-R-\d{4}LE\d{2}")</f>
        <v>FG-R-2206LE26</v>
      </c>
      <c r="E229" t="s">
        <v>299</v>
      </c>
      <c r="F229" s="23" cm="1">
        <f t="array" ref="F229">_xlfn.SWITCH(TRUE,T229&gt;0,T229,Z229)</f>
        <v>2073.2399999999998</v>
      </c>
      <c r="G229" s="10" t="s">
        <v>244</v>
      </c>
      <c r="H229" s="10" t="s">
        <v>38</v>
      </c>
      <c r="I229" s="10" t="s">
        <v>245</v>
      </c>
      <c r="J229" s="11" t="s">
        <v>238</v>
      </c>
      <c r="K229" s="11" t="s">
        <v>238</v>
      </c>
      <c r="L229" s="10" t="s">
        <v>244</v>
      </c>
      <c r="M229" s="10" t="s">
        <v>246</v>
      </c>
      <c r="N229" s="10" t="s">
        <v>93</v>
      </c>
      <c r="O229" s="10" t="s">
        <v>94</v>
      </c>
      <c r="P229" s="10" t="s">
        <v>95</v>
      </c>
      <c r="Q229" s="10" t="s">
        <v>96</v>
      </c>
      <c r="R229" s="12">
        <v>5</v>
      </c>
      <c r="S229" s="13">
        <v>1914.24</v>
      </c>
      <c r="T229" s="13">
        <v>2073.2399999999998</v>
      </c>
      <c r="U229" s="12">
        <v>320</v>
      </c>
      <c r="V229" s="13">
        <v>1804.8</v>
      </c>
      <c r="W229" s="13">
        <v>1914.24</v>
      </c>
      <c r="X229" s="12">
        <v>0</v>
      </c>
      <c r="Y229" s="13">
        <v>0</v>
      </c>
      <c r="Z229" s="13">
        <v>0</v>
      </c>
      <c r="AA229" s="12">
        <v>0</v>
      </c>
      <c r="AB229" s="13">
        <v>0</v>
      </c>
      <c r="AC229" s="13">
        <v>0</v>
      </c>
      <c r="AD229" s="12">
        <v>5</v>
      </c>
      <c r="AE229" s="12">
        <v>0</v>
      </c>
      <c r="AF229" s="12">
        <v>0</v>
      </c>
      <c r="AG229" s="12">
        <v>5</v>
      </c>
      <c r="AH229" s="12">
        <v>0</v>
      </c>
      <c r="AI229" s="12">
        <v>0</v>
      </c>
      <c r="AJ229" s="10">
        <v>6212837</v>
      </c>
      <c r="AK229" s="10" t="s">
        <v>47</v>
      </c>
      <c r="AL229" s="14" t="s">
        <v>241</v>
      </c>
      <c r="AM229" s="10" t="s">
        <v>97</v>
      </c>
      <c r="AN229" s="15">
        <v>202000290608</v>
      </c>
      <c r="AO229" s="16" t="s">
        <v>242</v>
      </c>
      <c r="AP229" s="17">
        <v>20705.96</v>
      </c>
      <c r="AQ229" s="10" t="s">
        <v>51</v>
      </c>
      <c r="AR229" s="10" t="s">
        <v>101</v>
      </c>
      <c r="AS229" s="12">
        <v>1600</v>
      </c>
      <c r="AT229" s="10" t="s">
        <v>53</v>
      </c>
      <c r="AU229" s="10">
        <v>26101200</v>
      </c>
      <c r="AV229" s="10" t="s">
        <v>78</v>
      </c>
      <c r="AW229" s="10" t="s">
        <v>55</v>
      </c>
      <c r="AX229" s="10" t="s">
        <v>56</v>
      </c>
      <c r="AY229" s="10" t="s">
        <v>102</v>
      </c>
      <c r="AZ229" s="10" t="s">
        <v>103</v>
      </c>
      <c r="BG229" t="str">
        <v>Outbound</v>
      </c>
      <c r="BH229" t="str">
        <v>Land</v>
      </c>
      <c r="BI229" t="str">
        <v>FG-R-2203LE26</v>
      </c>
      <c r="BJ229" t="str">
        <v>JOHNSON ELECTRIC NORTH AMERICA, INC.</v>
      </c>
      <c r="BK229" t="str">
        <v xml:space="preserve">Memphis Distribution Services 3893 Crowfarn    </v>
      </c>
      <c r="BL229" t="str">
        <v>M01</v>
      </c>
      <c r="BM229" t="str">
        <v>1916-1010002EP/MX</v>
      </c>
      <c r="BN229" s="24">
        <v>4320</v>
      </c>
      <c r="BO229" s="23">
        <v>329.88</v>
      </c>
      <c r="BP229" s="26">
        <f t="shared" si="8"/>
        <v>3.8916343258686641E-2</v>
      </c>
      <c r="BQ229" s="21">
        <f t="shared" si="9"/>
        <v>191.42016335222729</v>
      </c>
    </row>
    <row r="230" spans="2:69" x14ac:dyDescent="0.35">
      <c r="B230" t="s">
        <v>261</v>
      </c>
      <c r="C230" t="s">
        <v>262</v>
      </c>
      <c r="D230" t="str" cm="1">
        <f t="array" ref="D230">_xlfn.REGEXEXTRACT(G230,"FG-R-\d{4}LE\d{2}")</f>
        <v>FG-R-2206LE26</v>
      </c>
      <c r="E230" t="s">
        <v>299</v>
      </c>
      <c r="F230" s="23" cm="1">
        <f t="array" ref="F230">_xlfn.SWITCH(TRUE,T230&gt;0,T230,Z230)</f>
        <v>937.10400000000004</v>
      </c>
      <c r="G230" s="10" t="s">
        <v>244</v>
      </c>
      <c r="H230" s="10" t="s">
        <v>38</v>
      </c>
      <c r="I230" s="10" t="s">
        <v>245</v>
      </c>
      <c r="J230" s="11" t="s">
        <v>238</v>
      </c>
      <c r="K230" s="11" t="s">
        <v>238</v>
      </c>
      <c r="L230" s="10" t="s">
        <v>244</v>
      </c>
      <c r="M230" s="10" t="s">
        <v>246</v>
      </c>
      <c r="N230" s="10" t="s">
        <v>93</v>
      </c>
      <c r="O230" s="10" t="s">
        <v>94</v>
      </c>
      <c r="P230" s="10" t="s">
        <v>95</v>
      </c>
      <c r="Q230" s="10" t="s">
        <v>96</v>
      </c>
      <c r="R230" s="12">
        <v>2</v>
      </c>
      <c r="S230" s="13">
        <v>895.10400000000004</v>
      </c>
      <c r="T230" s="13">
        <v>937.10400000000004</v>
      </c>
      <c r="U230" s="12">
        <v>108</v>
      </c>
      <c r="V230" s="13">
        <v>840.24</v>
      </c>
      <c r="W230" s="13">
        <v>895.10400000000004</v>
      </c>
      <c r="X230" s="12">
        <v>0</v>
      </c>
      <c r="Y230" s="13">
        <v>0</v>
      </c>
      <c r="Z230" s="13">
        <v>0</v>
      </c>
      <c r="AA230" s="12">
        <v>0</v>
      </c>
      <c r="AB230" s="13">
        <v>0</v>
      </c>
      <c r="AC230" s="13">
        <v>0</v>
      </c>
      <c r="AD230" s="12">
        <v>2</v>
      </c>
      <c r="AE230" s="12">
        <v>0</v>
      </c>
      <c r="AF230" s="12">
        <v>0</v>
      </c>
      <c r="AG230" s="12">
        <v>2</v>
      </c>
      <c r="AH230" s="12">
        <v>0</v>
      </c>
      <c r="AI230" s="12">
        <v>0</v>
      </c>
      <c r="AJ230" s="10">
        <v>6212838</v>
      </c>
      <c r="AK230" s="10" t="s">
        <v>47</v>
      </c>
      <c r="AL230" s="14" t="s">
        <v>241</v>
      </c>
      <c r="AM230" s="10" t="s">
        <v>97</v>
      </c>
      <c r="AN230" s="15">
        <v>202000290609</v>
      </c>
      <c r="AO230" s="16" t="s">
        <v>242</v>
      </c>
      <c r="AP230" s="17">
        <v>17931.29</v>
      </c>
      <c r="AQ230" s="10" t="s">
        <v>51</v>
      </c>
      <c r="AR230" s="10" t="s">
        <v>104</v>
      </c>
      <c r="AS230" s="12">
        <v>432</v>
      </c>
      <c r="AT230" s="10" t="s">
        <v>53</v>
      </c>
      <c r="AU230" s="10">
        <v>26101200</v>
      </c>
      <c r="AV230" s="10" t="s">
        <v>78</v>
      </c>
      <c r="AW230" s="10" t="s">
        <v>55</v>
      </c>
      <c r="AX230" s="10" t="s">
        <v>56</v>
      </c>
      <c r="AY230" s="10" t="s">
        <v>99</v>
      </c>
      <c r="AZ230" s="10" t="s">
        <v>100</v>
      </c>
      <c r="BG230" t="str">
        <v>Outbound</v>
      </c>
      <c r="BH230" t="str">
        <v>Land</v>
      </c>
      <c r="BI230" t="str">
        <v>FG-R-2203LE26</v>
      </c>
      <c r="BJ230" t="str">
        <v>JOHNSON ELECTRIC NORTH AMERICA, INC.</v>
      </c>
      <c r="BK230" t="str">
        <v xml:space="preserve">Memphis Distribution Services 3893 Crowfarn    </v>
      </c>
      <c r="BL230" t="str">
        <v>M01</v>
      </c>
      <c r="BM230" t="str">
        <v>1916-1010002EP/MX</v>
      </c>
      <c r="BN230" s="24">
        <v>2880</v>
      </c>
      <c r="BO230" s="23">
        <v>219.92</v>
      </c>
      <c r="BP230" s="26">
        <f t="shared" si="8"/>
        <v>2.5944228839124422E-2</v>
      </c>
      <c r="BQ230" s="21">
        <f t="shared" si="9"/>
        <v>127.61344223481817</v>
      </c>
    </row>
    <row r="231" spans="2:69" x14ac:dyDescent="0.35">
      <c r="B231" t="s">
        <v>261</v>
      </c>
      <c r="C231" t="s">
        <v>262</v>
      </c>
      <c r="D231" t="str" cm="1">
        <f t="array" ref="D231">_xlfn.REGEXEXTRACT(G231,"FG-R-\d{4}LE\d{2}")</f>
        <v>FG-R-2206LE26</v>
      </c>
      <c r="E231" t="s">
        <v>299</v>
      </c>
      <c r="F231" s="23" cm="1">
        <f t="array" ref="F231">_xlfn.SWITCH(TRUE,T231&gt;0,T231,Z231)</f>
        <v>5592.8159999999998</v>
      </c>
      <c r="G231" s="10" t="s">
        <v>244</v>
      </c>
      <c r="H231" s="10" t="s">
        <v>38</v>
      </c>
      <c r="I231" s="10" t="s">
        <v>245</v>
      </c>
      <c r="J231" s="11" t="s">
        <v>238</v>
      </c>
      <c r="K231" s="11" t="s">
        <v>238</v>
      </c>
      <c r="L231" s="10" t="s">
        <v>244</v>
      </c>
      <c r="M231" s="10" t="s">
        <v>246</v>
      </c>
      <c r="N231" s="10" t="s">
        <v>93</v>
      </c>
      <c r="O231" s="10" t="s">
        <v>94</v>
      </c>
      <c r="P231" s="10" t="s">
        <v>95</v>
      </c>
      <c r="Q231" s="10" t="s">
        <v>96</v>
      </c>
      <c r="R231" s="12">
        <v>12</v>
      </c>
      <c r="S231" s="13">
        <v>5340.8159999999998</v>
      </c>
      <c r="T231" s="13">
        <v>5592.8159999999998</v>
      </c>
      <c r="U231" s="12">
        <v>648</v>
      </c>
      <c r="V231" s="13">
        <v>5011.6319999999996</v>
      </c>
      <c r="W231" s="13">
        <v>5340.8159999999998</v>
      </c>
      <c r="X231" s="12">
        <v>0</v>
      </c>
      <c r="Y231" s="13">
        <v>0</v>
      </c>
      <c r="Z231" s="13">
        <v>0</v>
      </c>
      <c r="AA231" s="12">
        <v>0</v>
      </c>
      <c r="AB231" s="13">
        <v>0</v>
      </c>
      <c r="AC231" s="13">
        <v>0</v>
      </c>
      <c r="AD231" s="12">
        <v>12</v>
      </c>
      <c r="AE231" s="12">
        <v>0</v>
      </c>
      <c r="AF231" s="12">
        <v>0</v>
      </c>
      <c r="AG231" s="12">
        <v>12</v>
      </c>
      <c r="AH231" s="12">
        <v>0</v>
      </c>
      <c r="AI231" s="12">
        <v>0</v>
      </c>
      <c r="AJ231" s="10">
        <v>6212839</v>
      </c>
      <c r="AK231" s="10" t="s">
        <v>47</v>
      </c>
      <c r="AL231" s="14" t="s">
        <v>241</v>
      </c>
      <c r="AM231" s="10" t="s">
        <v>97</v>
      </c>
      <c r="AN231" s="15">
        <v>202000290610</v>
      </c>
      <c r="AO231" s="16" t="s">
        <v>242</v>
      </c>
      <c r="AP231" s="17">
        <v>78365.899999999994</v>
      </c>
      <c r="AQ231" s="10" t="s">
        <v>51</v>
      </c>
      <c r="AR231" s="10" t="s">
        <v>105</v>
      </c>
      <c r="AS231" s="12">
        <v>1944</v>
      </c>
      <c r="AT231" s="10" t="s">
        <v>53</v>
      </c>
      <c r="AU231" s="10">
        <v>26101200</v>
      </c>
      <c r="AV231" s="10" t="s">
        <v>78</v>
      </c>
      <c r="AW231" s="10" t="s">
        <v>55</v>
      </c>
      <c r="AX231" s="10" t="s">
        <v>56</v>
      </c>
      <c r="AY231" s="10" t="s">
        <v>102</v>
      </c>
      <c r="AZ231" s="10" t="s">
        <v>103</v>
      </c>
      <c r="BG231" t="str">
        <v>Outbound</v>
      </c>
      <c r="BH231" t="str">
        <v>Land</v>
      </c>
      <c r="BI231" t="str">
        <v>FG-R-2203LE26</v>
      </c>
      <c r="BJ231" t="str">
        <v>JOHNSON ELECTRIC NORTH AMERICA, INC.</v>
      </c>
      <c r="BK231" t="str">
        <v xml:space="preserve">Memphis Distribution Services 3893 Crowfarn    </v>
      </c>
      <c r="BL231" t="str">
        <v>M01</v>
      </c>
      <c r="BM231" t="str">
        <v>1916-1010002EP/MX</v>
      </c>
      <c r="BN231" s="24">
        <v>1440</v>
      </c>
      <c r="BO231" s="23">
        <v>109.96</v>
      </c>
      <c r="BP231" s="26">
        <f t="shared" si="8"/>
        <v>1.2972114419562211E-2</v>
      </c>
      <c r="BQ231" s="21">
        <f t="shared" si="9"/>
        <v>63.806721117409083</v>
      </c>
    </row>
    <row r="232" spans="2:69" x14ac:dyDescent="0.35">
      <c r="B232" t="s">
        <v>261</v>
      </c>
      <c r="C232" t="s">
        <v>262</v>
      </c>
      <c r="D232" t="str" cm="1">
        <f t="array" ref="D232">_xlfn.REGEXEXTRACT(G232,"FG-R-\d{4}LE\d{2}")</f>
        <v>FG-R-2206LE26</v>
      </c>
      <c r="E232" t="s">
        <v>299</v>
      </c>
      <c r="F232" s="23" cm="1">
        <f t="array" ref="F232">_xlfn.SWITCH(TRUE,T232&gt;0,T232,Z232)</f>
        <v>5592.8159999999998</v>
      </c>
      <c r="G232" s="10" t="s">
        <v>244</v>
      </c>
      <c r="H232" s="10" t="s">
        <v>38</v>
      </c>
      <c r="I232" s="10" t="s">
        <v>245</v>
      </c>
      <c r="J232" s="11" t="s">
        <v>238</v>
      </c>
      <c r="K232" s="11" t="s">
        <v>238</v>
      </c>
      <c r="L232" s="10" t="s">
        <v>244</v>
      </c>
      <c r="M232" s="10" t="s">
        <v>246</v>
      </c>
      <c r="N232" s="10" t="s">
        <v>93</v>
      </c>
      <c r="O232" s="10" t="s">
        <v>94</v>
      </c>
      <c r="P232" s="10" t="s">
        <v>95</v>
      </c>
      <c r="Q232" s="10" t="s">
        <v>96</v>
      </c>
      <c r="R232" s="12">
        <v>12</v>
      </c>
      <c r="S232" s="13">
        <v>5340.8159999999998</v>
      </c>
      <c r="T232" s="13">
        <v>5592.8159999999998</v>
      </c>
      <c r="U232" s="12">
        <v>648</v>
      </c>
      <c r="V232" s="13">
        <v>5011.6319999999996</v>
      </c>
      <c r="W232" s="13">
        <v>5340.8159999999998</v>
      </c>
      <c r="X232" s="12">
        <v>0</v>
      </c>
      <c r="Y232" s="13">
        <v>0</v>
      </c>
      <c r="Z232" s="13">
        <v>0</v>
      </c>
      <c r="AA232" s="12">
        <v>0</v>
      </c>
      <c r="AB232" s="13">
        <v>0</v>
      </c>
      <c r="AC232" s="13">
        <v>0</v>
      </c>
      <c r="AD232" s="12">
        <v>12</v>
      </c>
      <c r="AE232" s="12">
        <v>0</v>
      </c>
      <c r="AF232" s="12">
        <v>0</v>
      </c>
      <c r="AG232" s="12">
        <v>12</v>
      </c>
      <c r="AH232" s="12">
        <v>0</v>
      </c>
      <c r="AI232" s="12">
        <v>0</v>
      </c>
      <c r="AJ232" s="10">
        <v>6212839</v>
      </c>
      <c r="AK232" s="10" t="s">
        <v>47</v>
      </c>
      <c r="AL232" s="14" t="s">
        <v>241</v>
      </c>
      <c r="AM232" s="10" t="s">
        <v>97</v>
      </c>
      <c r="AN232" s="15">
        <v>202000290611</v>
      </c>
      <c r="AO232" s="16" t="s">
        <v>242</v>
      </c>
      <c r="AP232" s="17">
        <v>26121.96</v>
      </c>
      <c r="AQ232" s="10" t="s">
        <v>51</v>
      </c>
      <c r="AR232" s="10" t="s">
        <v>105</v>
      </c>
      <c r="AS232" s="12">
        <v>1944</v>
      </c>
      <c r="AT232" s="10" t="s">
        <v>53</v>
      </c>
      <c r="AU232" s="10">
        <v>26101200</v>
      </c>
      <c r="AV232" s="10" t="s">
        <v>78</v>
      </c>
      <c r="AW232" s="10" t="s">
        <v>55</v>
      </c>
      <c r="AX232" s="10" t="s">
        <v>56</v>
      </c>
      <c r="AY232" s="10" t="s">
        <v>102</v>
      </c>
      <c r="AZ232" s="10" t="s">
        <v>103</v>
      </c>
      <c r="BG232" t="str">
        <v>Outbound</v>
      </c>
      <c r="BH232" t="str">
        <v>Land</v>
      </c>
      <c r="BI232" t="str">
        <v>FG-R-2203LE26</v>
      </c>
      <c r="BJ232" t="str">
        <v>JOHNSON ELECTRIC NORTH AMERICA, INC.</v>
      </c>
      <c r="BK232" t="str">
        <v xml:space="preserve">Memphis Distribution Services 3893 Crowfarn    </v>
      </c>
      <c r="BL232" t="str">
        <v>M01</v>
      </c>
      <c r="BM232" t="str">
        <v>1916-1010002EP/MX</v>
      </c>
      <c r="BN232" s="24">
        <v>5760</v>
      </c>
      <c r="BO232" s="23">
        <v>439.84</v>
      </c>
      <c r="BP232" s="26">
        <f t="shared" si="8"/>
        <v>5.1888457678248845E-2</v>
      </c>
      <c r="BQ232" s="21">
        <f t="shared" si="9"/>
        <v>255.22688446963633</v>
      </c>
    </row>
    <row r="233" spans="2:69" x14ac:dyDescent="0.35">
      <c r="B233" t="s">
        <v>261</v>
      </c>
      <c r="C233" t="s">
        <v>262</v>
      </c>
      <c r="D233" t="str" cm="1">
        <f t="array" ref="D233">_xlfn.REGEXEXTRACT(G233,"FG-R-\d{4}LE\d{2}")</f>
        <v>FG-R-2205LE26</v>
      </c>
      <c r="E233" t="s">
        <v>299</v>
      </c>
      <c r="F233" s="23" cm="1">
        <f t="array" ref="F233">_xlfn.SWITCH(TRUE,T233&gt;0,T233,Z233)</f>
        <v>9371.0400000000009</v>
      </c>
      <c r="G233" s="10" t="s">
        <v>247</v>
      </c>
      <c r="H233" s="10" t="s">
        <v>38</v>
      </c>
      <c r="I233" s="10" t="s">
        <v>248</v>
      </c>
      <c r="J233" s="11" t="s">
        <v>238</v>
      </c>
      <c r="K233" s="11" t="s">
        <v>238</v>
      </c>
      <c r="L233" s="10" t="s">
        <v>247</v>
      </c>
      <c r="M233" s="10" t="s">
        <v>249</v>
      </c>
      <c r="N233" s="10" t="s">
        <v>93</v>
      </c>
      <c r="O233" s="10" t="s">
        <v>94</v>
      </c>
      <c r="P233" s="10" t="s">
        <v>95</v>
      </c>
      <c r="Q233" s="10" t="s">
        <v>96</v>
      </c>
      <c r="R233" s="12">
        <v>20</v>
      </c>
      <c r="S233" s="13">
        <v>8951.0400000000009</v>
      </c>
      <c r="T233" s="13">
        <v>9371.0400000000009</v>
      </c>
      <c r="U233" s="12">
        <v>1080</v>
      </c>
      <c r="V233" s="13">
        <v>8402.4</v>
      </c>
      <c r="W233" s="13">
        <v>8951.0400000000009</v>
      </c>
      <c r="X233" s="12">
        <v>0</v>
      </c>
      <c r="Y233" s="13">
        <v>0</v>
      </c>
      <c r="Z233" s="13">
        <v>0</v>
      </c>
      <c r="AA233" s="12">
        <v>0</v>
      </c>
      <c r="AB233" s="13">
        <v>0</v>
      </c>
      <c r="AC233" s="13">
        <v>0</v>
      </c>
      <c r="AD233" s="12">
        <v>20</v>
      </c>
      <c r="AE233" s="12">
        <v>0</v>
      </c>
      <c r="AF233" s="12">
        <v>0</v>
      </c>
      <c r="AG233" s="12">
        <v>20</v>
      </c>
      <c r="AH233" s="12">
        <v>0</v>
      </c>
      <c r="AI233" s="12">
        <v>0</v>
      </c>
      <c r="AJ233" s="10">
        <v>6212836</v>
      </c>
      <c r="AK233" s="10" t="s">
        <v>47</v>
      </c>
      <c r="AL233" s="14" t="s">
        <v>241</v>
      </c>
      <c r="AM233" s="10" t="s">
        <v>97</v>
      </c>
      <c r="AN233" s="15">
        <v>202000290605</v>
      </c>
      <c r="AO233" s="16" t="s">
        <v>242</v>
      </c>
      <c r="AP233" s="17">
        <v>11827.9</v>
      </c>
      <c r="AQ233" s="10" t="s">
        <v>51</v>
      </c>
      <c r="AR233" s="10" t="s">
        <v>98</v>
      </c>
      <c r="AS233" s="12">
        <v>4320</v>
      </c>
      <c r="AT233" s="10" t="s">
        <v>53</v>
      </c>
      <c r="AU233" s="10">
        <v>26101200</v>
      </c>
      <c r="AV233" s="10" t="s">
        <v>78</v>
      </c>
      <c r="AW233" s="10" t="s">
        <v>55</v>
      </c>
      <c r="AX233" s="10" t="s">
        <v>56</v>
      </c>
      <c r="AY233" s="10" t="s">
        <v>99</v>
      </c>
      <c r="AZ233" s="10" t="s">
        <v>100</v>
      </c>
      <c r="BG233" t="str">
        <v>Outbound</v>
      </c>
      <c r="BH233" t="str">
        <v>Land</v>
      </c>
      <c r="BI233" t="str">
        <v>FG-R-2203LE26</v>
      </c>
      <c r="BJ233" t="str">
        <v>JOHNSON ELECTRIC NORTH AMERICA, INC.</v>
      </c>
      <c r="BK233" t="str">
        <v xml:space="preserve">Memphis Distribution Services 3893 Crowfarn    </v>
      </c>
      <c r="BL233" t="str">
        <v>M01</v>
      </c>
      <c r="BM233" t="str">
        <v>1999-1WP0113EN</v>
      </c>
      <c r="BN233" s="24">
        <v>4800</v>
      </c>
      <c r="BO233" s="23">
        <v>633.24</v>
      </c>
      <c r="BP233" s="26">
        <f t="shared" si="8"/>
        <v>7.4704089987664382E-2</v>
      </c>
      <c r="BQ233" s="21">
        <f t="shared" si="9"/>
        <v>367.45151037093609</v>
      </c>
    </row>
    <row r="234" spans="2:69" x14ac:dyDescent="0.35">
      <c r="B234" t="s">
        <v>261</v>
      </c>
      <c r="C234" t="s">
        <v>262</v>
      </c>
      <c r="D234" t="str" cm="1">
        <f t="array" ref="D234">_xlfn.REGEXEXTRACT(G234,"FG-R-\d{4}LE\d{2}")</f>
        <v>FG-R-2205LE26</v>
      </c>
      <c r="E234" t="s">
        <v>299</v>
      </c>
      <c r="F234" s="23" cm="1">
        <f t="array" ref="F234">_xlfn.SWITCH(TRUE,T234&gt;0,T234,Z234)</f>
        <v>9371.0400000000009</v>
      </c>
      <c r="G234" s="10" t="s">
        <v>247</v>
      </c>
      <c r="H234" s="10" t="s">
        <v>38</v>
      </c>
      <c r="I234" s="10" t="s">
        <v>248</v>
      </c>
      <c r="J234" s="11" t="s">
        <v>238</v>
      </c>
      <c r="K234" s="11" t="s">
        <v>238</v>
      </c>
      <c r="L234" s="10" t="s">
        <v>247</v>
      </c>
      <c r="M234" s="10" t="s">
        <v>249</v>
      </c>
      <c r="N234" s="10" t="s">
        <v>93</v>
      </c>
      <c r="O234" s="10" t="s">
        <v>94</v>
      </c>
      <c r="P234" s="10" t="s">
        <v>95</v>
      </c>
      <c r="Q234" s="10" t="s">
        <v>96</v>
      </c>
      <c r="R234" s="12">
        <v>20</v>
      </c>
      <c r="S234" s="13">
        <v>8951.0400000000009</v>
      </c>
      <c r="T234" s="13">
        <v>9371.0400000000009</v>
      </c>
      <c r="U234" s="12">
        <v>1080</v>
      </c>
      <c r="V234" s="13">
        <v>8402.4</v>
      </c>
      <c r="W234" s="13">
        <v>8951.0400000000009</v>
      </c>
      <c r="X234" s="12">
        <v>0</v>
      </c>
      <c r="Y234" s="13">
        <v>0</v>
      </c>
      <c r="Z234" s="13">
        <v>0</v>
      </c>
      <c r="AA234" s="12">
        <v>0</v>
      </c>
      <c r="AB234" s="13">
        <v>0</v>
      </c>
      <c r="AC234" s="13">
        <v>0</v>
      </c>
      <c r="AD234" s="12">
        <v>20</v>
      </c>
      <c r="AE234" s="12">
        <v>0</v>
      </c>
      <c r="AF234" s="12">
        <v>0</v>
      </c>
      <c r="AG234" s="12">
        <v>20</v>
      </c>
      <c r="AH234" s="12">
        <v>0</v>
      </c>
      <c r="AI234" s="12">
        <v>0</v>
      </c>
      <c r="AJ234" s="10">
        <v>6212836</v>
      </c>
      <c r="AK234" s="10" t="s">
        <v>47</v>
      </c>
      <c r="AL234" s="14" t="s">
        <v>241</v>
      </c>
      <c r="AM234" s="10" t="s">
        <v>97</v>
      </c>
      <c r="AN234" s="15">
        <v>202000290606</v>
      </c>
      <c r="AO234" s="16" t="s">
        <v>242</v>
      </c>
      <c r="AP234" s="17">
        <v>151943</v>
      </c>
      <c r="AQ234" s="10" t="s">
        <v>51</v>
      </c>
      <c r="AR234" s="10" t="s">
        <v>98</v>
      </c>
      <c r="AS234" s="12">
        <v>4320</v>
      </c>
      <c r="AT234" s="10" t="s">
        <v>53</v>
      </c>
      <c r="AU234" s="10">
        <v>26101200</v>
      </c>
      <c r="AV234" s="10" t="s">
        <v>78</v>
      </c>
      <c r="AW234" s="10" t="s">
        <v>55</v>
      </c>
      <c r="AX234" s="10" t="s">
        <v>56</v>
      </c>
      <c r="AY234" s="10" t="s">
        <v>99</v>
      </c>
      <c r="AZ234" s="10" t="s">
        <v>100</v>
      </c>
      <c r="BG234" t="str">
        <v>Outbound</v>
      </c>
      <c r="BH234" t="str">
        <v>Land</v>
      </c>
      <c r="BI234" t="str">
        <v>FG-R-2203LE26</v>
      </c>
      <c r="BJ234" t="str">
        <v>JOHNSON ELECTRIC NORTH AMERICA, INC.</v>
      </c>
      <c r="BK234" t="str">
        <v xml:space="preserve">Memphis Distribution Services 3893 Crowfarn    </v>
      </c>
      <c r="BL234" t="str">
        <v>M01</v>
      </c>
      <c r="BM234" t="str">
        <v>1999-1WP0046AN</v>
      </c>
      <c r="BN234" s="24">
        <v>4320</v>
      </c>
      <c r="BO234" s="23">
        <v>622.226</v>
      </c>
      <c r="BP234" s="26">
        <f t="shared" si="8"/>
        <v>7.3404755063900665E-2</v>
      </c>
      <c r="BQ234" s="21">
        <f t="shared" si="9"/>
        <v>361.06039336123126</v>
      </c>
    </row>
    <row r="235" spans="2:69" x14ac:dyDescent="0.35">
      <c r="B235" t="s">
        <v>261</v>
      </c>
      <c r="C235" t="s">
        <v>262</v>
      </c>
      <c r="D235" t="str" cm="1">
        <f t="array" ref="D235">_xlfn.REGEXEXTRACT(G235,"FG-R-\d{4}LE\d{2}")</f>
        <v>FG-R-2205LE26</v>
      </c>
      <c r="E235" t="s">
        <v>299</v>
      </c>
      <c r="F235" s="23" cm="1">
        <f t="array" ref="F235">_xlfn.SWITCH(TRUE,T235&gt;0,T235,Z235)</f>
        <v>9065.7360000000008</v>
      </c>
      <c r="G235" s="10" t="s">
        <v>247</v>
      </c>
      <c r="H235" s="10" t="s">
        <v>38</v>
      </c>
      <c r="I235" s="10" t="s">
        <v>248</v>
      </c>
      <c r="J235" s="11" t="s">
        <v>238</v>
      </c>
      <c r="K235" s="11" t="s">
        <v>238</v>
      </c>
      <c r="L235" s="10" t="s">
        <v>247</v>
      </c>
      <c r="M235" s="10" t="s">
        <v>249</v>
      </c>
      <c r="N235" s="10" t="s">
        <v>93</v>
      </c>
      <c r="O235" s="10" t="s">
        <v>94</v>
      </c>
      <c r="P235" s="10" t="s">
        <v>95</v>
      </c>
      <c r="Q235" s="10" t="s">
        <v>96</v>
      </c>
      <c r="R235" s="12">
        <v>18</v>
      </c>
      <c r="S235" s="13">
        <v>8687.7360000000008</v>
      </c>
      <c r="T235" s="13">
        <v>9065.7360000000008</v>
      </c>
      <c r="U235" s="12">
        <v>972</v>
      </c>
      <c r="V235" s="13">
        <v>8193.9599999999991</v>
      </c>
      <c r="W235" s="13">
        <v>8687.7360000000008</v>
      </c>
      <c r="X235" s="12">
        <v>0</v>
      </c>
      <c r="Y235" s="13">
        <v>0</v>
      </c>
      <c r="Z235" s="13">
        <v>0</v>
      </c>
      <c r="AA235" s="12">
        <v>0</v>
      </c>
      <c r="AB235" s="13">
        <v>0</v>
      </c>
      <c r="AC235" s="13">
        <v>0</v>
      </c>
      <c r="AD235" s="12">
        <v>18</v>
      </c>
      <c r="AE235" s="12">
        <v>0</v>
      </c>
      <c r="AF235" s="12">
        <v>0</v>
      </c>
      <c r="AG235" s="12">
        <v>18</v>
      </c>
      <c r="AH235" s="12">
        <v>0</v>
      </c>
      <c r="AI235" s="12">
        <v>0</v>
      </c>
      <c r="AJ235" s="10">
        <v>6213249</v>
      </c>
      <c r="AK235" s="10" t="s">
        <v>47</v>
      </c>
      <c r="AL235" s="14" t="s">
        <v>241</v>
      </c>
      <c r="AM235" s="10" t="s">
        <v>97</v>
      </c>
      <c r="AN235" s="15">
        <v>202000290619</v>
      </c>
      <c r="AO235" s="16" t="s">
        <v>242</v>
      </c>
      <c r="AP235" s="17">
        <v>80385.2</v>
      </c>
      <c r="AQ235" s="10" t="s">
        <v>51</v>
      </c>
      <c r="AR235" s="10" t="s">
        <v>119</v>
      </c>
      <c r="AS235" s="12">
        <v>2916</v>
      </c>
      <c r="AT235" s="10" t="s">
        <v>53</v>
      </c>
      <c r="AU235" s="10">
        <v>26101200</v>
      </c>
      <c r="AV235" s="10" t="s">
        <v>78</v>
      </c>
      <c r="AW235" s="10" t="s">
        <v>55</v>
      </c>
      <c r="AX235" s="10" t="s">
        <v>56</v>
      </c>
      <c r="AY235" s="10" t="s">
        <v>102</v>
      </c>
      <c r="AZ235" s="10" t="s">
        <v>103</v>
      </c>
      <c r="BG235" t="str">
        <v>Outbound</v>
      </c>
      <c r="BH235" t="str">
        <v>Land</v>
      </c>
      <c r="BI235" t="str">
        <v>FG-R-2203LE26</v>
      </c>
      <c r="BJ235" t="str">
        <v>JOHNSON ELECTRIC NORTH AMERICA, INC.</v>
      </c>
      <c r="BK235" t="str">
        <v xml:space="preserve">Memphis Distribution Services 3893 Crowfarn    </v>
      </c>
      <c r="BL235" t="str">
        <v>M01</v>
      </c>
      <c r="BM235" t="str">
        <v>1999-1WP0055AN</v>
      </c>
      <c r="BN235" s="24">
        <v>14400</v>
      </c>
      <c r="BO235" s="23">
        <v>1513.8</v>
      </c>
      <c r="BP235" s="26">
        <f t="shared" si="8"/>
        <v>0.17858482001030626</v>
      </c>
      <c r="BQ235" s="21">
        <f t="shared" si="9"/>
        <v>878.41591876622294</v>
      </c>
    </row>
    <row r="236" spans="2:69" x14ac:dyDescent="0.35">
      <c r="B236" t="s">
        <v>261</v>
      </c>
      <c r="C236" t="s">
        <v>262</v>
      </c>
      <c r="D236" t="str" cm="1">
        <f t="array" ref="D236">_xlfn.REGEXEXTRACT(G236,"FG-R-\d{4}LE\d{2}")</f>
        <v>FG-R-2205LE26</v>
      </c>
      <c r="E236" t="s">
        <v>299</v>
      </c>
      <c r="F236" s="23" cm="1">
        <f t="array" ref="F236">_xlfn.SWITCH(TRUE,T236&gt;0,T236,Z236)</f>
        <v>9065.7360000000008</v>
      </c>
      <c r="G236" s="10" t="s">
        <v>247</v>
      </c>
      <c r="H236" s="10" t="s">
        <v>38</v>
      </c>
      <c r="I236" s="10" t="s">
        <v>248</v>
      </c>
      <c r="J236" s="11" t="s">
        <v>238</v>
      </c>
      <c r="K236" s="11" t="s">
        <v>238</v>
      </c>
      <c r="L236" s="10" t="s">
        <v>247</v>
      </c>
      <c r="M236" s="10" t="s">
        <v>249</v>
      </c>
      <c r="N236" s="10" t="s">
        <v>93</v>
      </c>
      <c r="O236" s="10" t="s">
        <v>94</v>
      </c>
      <c r="P236" s="10" t="s">
        <v>95</v>
      </c>
      <c r="Q236" s="10" t="s">
        <v>96</v>
      </c>
      <c r="R236" s="12">
        <v>18</v>
      </c>
      <c r="S236" s="13">
        <v>8687.7360000000008</v>
      </c>
      <c r="T236" s="13">
        <v>9065.7360000000008</v>
      </c>
      <c r="U236" s="12">
        <v>972</v>
      </c>
      <c r="V236" s="13">
        <v>8193.9599999999991</v>
      </c>
      <c r="W236" s="13">
        <v>8687.7360000000008</v>
      </c>
      <c r="X236" s="12">
        <v>0</v>
      </c>
      <c r="Y236" s="13">
        <v>0</v>
      </c>
      <c r="Z236" s="13">
        <v>0</v>
      </c>
      <c r="AA236" s="12">
        <v>0</v>
      </c>
      <c r="AB236" s="13">
        <v>0</v>
      </c>
      <c r="AC236" s="13">
        <v>0</v>
      </c>
      <c r="AD236" s="12">
        <v>18</v>
      </c>
      <c r="AE236" s="12">
        <v>0</v>
      </c>
      <c r="AF236" s="12">
        <v>0</v>
      </c>
      <c r="AG236" s="12">
        <v>18</v>
      </c>
      <c r="AH236" s="12">
        <v>0</v>
      </c>
      <c r="AI236" s="12">
        <v>0</v>
      </c>
      <c r="AJ236" s="10">
        <v>6213249</v>
      </c>
      <c r="AK236" s="10" t="s">
        <v>47</v>
      </c>
      <c r="AL236" s="14" t="s">
        <v>241</v>
      </c>
      <c r="AM236" s="10" t="s">
        <v>97</v>
      </c>
      <c r="AN236" s="15">
        <v>202000290620</v>
      </c>
      <c r="AO236" s="16" t="s">
        <v>242</v>
      </c>
      <c r="AP236" s="17">
        <v>51936.11</v>
      </c>
      <c r="AQ236" s="10" t="s">
        <v>51</v>
      </c>
      <c r="AR236" s="10" t="s">
        <v>119</v>
      </c>
      <c r="AS236" s="12">
        <v>2916</v>
      </c>
      <c r="AT236" s="10" t="s">
        <v>53</v>
      </c>
      <c r="AU236" s="10">
        <v>26101200</v>
      </c>
      <c r="AV236" s="10" t="s">
        <v>78</v>
      </c>
      <c r="AW236" s="10" t="s">
        <v>55</v>
      </c>
      <c r="AX236" s="10" t="s">
        <v>56</v>
      </c>
      <c r="AY236" s="10" t="s">
        <v>102</v>
      </c>
      <c r="AZ236" s="10" t="s">
        <v>103</v>
      </c>
      <c r="BG236" t="str">
        <v>Outbound</v>
      </c>
      <c r="BH236" t="str">
        <v>Land</v>
      </c>
      <c r="BI236" t="str">
        <v>FG-R-2203LE26</v>
      </c>
      <c r="BJ236" t="str">
        <v>JOHNSON ELECTRIC NORTH AMERICA, INC.</v>
      </c>
      <c r="BK236" t="str">
        <v xml:space="preserve">Memphis Distribution Services 3893 Crowfarn    </v>
      </c>
      <c r="BL236" t="str">
        <v>M01</v>
      </c>
      <c r="BM236" t="str">
        <v>1916-1010002EN/MX</v>
      </c>
      <c r="BN236" s="24">
        <v>1440</v>
      </c>
      <c r="BO236" s="23">
        <v>109.96</v>
      </c>
      <c r="BP236" s="26">
        <f t="shared" si="8"/>
        <v>1.2972114419562211E-2</v>
      </c>
      <c r="BQ236" s="21">
        <f t="shared" si="9"/>
        <v>63.806721117409083</v>
      </c>
    </row>
    <row r="237" spans="2:69" x14ac:dyDescent="0.35">
      <c r="B237" t="s">
        <v>261</v>
      </c>
      <c r="C237" t="s">
        <v>262</v>
      </c>
      <c r="D237" t="str" cm="1">
        <f t="array" ref="D237">_xlfn.REGEXEXTRACT(G237,"FG-R-\d{4}LE\d{2}")</f>
        <v>FG-R-2205LE26</v>
      </c>
      <c r="E237" t="s">
        <v>299</v>
      </c>
      <c r="F237" s="23" cm="1">
        <f t="array" ref="F237">_xlfn.SWITCH(TRUE,T237&gt;0,T237,Z237)</f>
        <v>9065.7360000000008</v>
      </c>
      <c r="G237" s="10" t="s">
        <v>247</v>
      </c>
      <c r="H237" s="10" t="s">
        <v>38</v>
      </c>
      <c r="I237" s="10" t="s">
        <v>248</v>
      </c>
      <c r="J237" s="11" t="s">
        <v>238</v>
      </c>
      <c r="K237" s="11" t="s">
        <v>238</v>
      </c>
      <c r="L237" s="10" t="s">
        <v>247</v>
      </c>
      <c r="M237" s="10" t="s">
        <v>249</v>
      </c>
      <c r="N237" s="10" t="s">
        <v>93</v>
      </c>
      <c r="O237" s="10" t="s">
        <v>94</v>
      </c>
      <c r="P237" s="10" t="s">
        <v>95</v>
      </c>
      <c r="Q237" s="10" t="s">
        <v>96</v>
      </c>
      <c r="R237" s="12">
        <v>18</v>
      </c>
      <c r="S237" s="13">
        <v>8687.7360000000008</v>
      </c>
      <c r="T237" s="13">
        <v>9065.7360000000008</v>
      </c>
      <c r="U237" s="12">
        <v>972</v>
      </c>
      <c r="V237" s="13">
        <v>8193.9599999999991</v>
      </c>
      <c r="W237" s="13">
        <v>8687.7360000000008</v>
      </c>
      <c r="X237" s="12">
        <v>0</v>
      </c>
      <c r="Y237" s="13">
        <v>0</v>
      </c>
      <c r="Z237" s="13">
        <v>0</v>
      </c>
      <c r="AA237" s="12">
        <v>0</v>
      </c>
      <c r="AB237" s="13">
        <v>0</v>
      </c>
      <c r="AC237" s="13">
        <v>0</v>
      </c>
      <c r="AD237" s="12">
        <v>18</v>
      </c>
      <c r="AE237" s="12">
        <v>0</v>
      </c>
      <c r="AF237" s="12">
        <v>0</v>
      </c>
      <c r="AG237" s="12">
        <v>18</v>
      </c>
      <c r="AH237" s="12">
        <v>0</v>
      </c>
      <c r="AI237" s="12">
        <v>0</v>
      </c>
      <c r="AJ237" s="10">
        <v>6213249</v>
      </c>
      <c r="AK237" s="10" t="s">
        <v>47</v>
      </c>
      <c r="AL237" s="14" t="s">
        <v>241</v>
      </c>
      <c r="AM237" s="10" t="s">
        <v>97</v>
      </c>
      <c r="AN237" s="15">
        <v>202000290621</v>
      </c>
      <c r="AO237" s="16" t="s">
        <v>242</v>
      </c>
      <c r="AP237" s="17">
        <v>28449.08</v>
      </c>
      <c r="AQ237" s="10" t="s">
        <v>51</v>
      </c>
      <c r="AR237" s="10" t="s">
        <v>119</v>
      </c>
      <c r="AS237" s="12">
        <v>2916</v>
      </c>
      <c r="AT237" s="10" t="s">
        <v>53</v>
      </c>
      <c r="AU237" s="10">
        <v>26101200</v>
      </c>
      <c r="AV237" s="10" t="s">
        <v>78</v>
      </c>
      <c r="AW237" s="10" t="s">
        <v>55</v>
      </c>
      <c r="AX237" s="10" t="s">
        <v>56</v>
      </c>
      <c r="AY237" s="10" t="s">
        <v>102</v>
      </c>
      <c r="AZ237" s="10" t="s">
        <v>103</v>
      </c>
      <c r="BG237" t="str">
        <v>Outbound</v>
      </c>
      <c r="BH237" t="str">
        <v>Land</v>
      </c>
      <c r="BI237" t="str">
        <v>FG-R-2203LE26</v>
      </c>
      <c r="BJ237" t="str">
        <v>JOHNSON ELECTRIC NORTH AMERICA, INC.</v>
      </c>
      <c r="BK237" t="str">
        <v xml:space="preserve">Memphis Distribution Services 3893 Crowfarn    </v>
      </c>
      <c r="BL237" t="str">
        <v>M01</v>
      </c>
      <c r="BM237" t="str">
        <v>1916-1010004EN</v>
      </c>
      <c r="BN237" s="24">
        <v>12960</v>
      </c>
      <c r="BO237" s="23">
        <v>1054.44</v>
      </c>
      <c r="BP237" s="26">
        <f t="shared" si="8"/>
        <v>0.12439356428304092</v>
      </c>
      <c r="BQ237" s="21">
        <f t="shared" si="9"/>
        <v>611.86212272681746</v>
      </c>
    </row>
    <row r="238" spans="2:69" x14ac:dyDescent="0.35">
      <c r="B238" t="s">
        <v>261</v>
      </c>
      <c r="C238" t="s">
        <v>262</v>
      </c>
      <c r="D238" t="str" cm="1">
        <f t="array" ref="D238">_xlfn.REGEXEXTRACT(G238,"FG-R-\d{4}LE\d{2}")</f>
        <v>FG-R-2203LE26</v>
      </c>
      <c r="E238" t="s">
        <v>297</v>
      </c>
      <c r="F238" s="23" cm="1">
        <f t="array" ref="F238">_xlfn.SWITCH(TRUE,T238&gt;0,T238,Z238)</f>
        <v>580.67999999999995</v>
      </c>
      <c r="G238" s="10" t="s">
        <v>250</v>
      </c>
      <c r="H238" s="10" t="s">
        <v>124</v>
      </c>
      <c r="I238" s="10" t="s">
        <v>251</v>
      </c>
      <c r="J238" s="11" t="s">
        <v>238</v>
      </c>
      <c r="K238" s="11" t="s">
        <v>238</v>
      </c>
      <c r="L238" s="10" t="s">
        <v>250</v>
      </c>
      <c r="M238" s="10" t="s">
        <v>252</v>
      </c>
      <c r="N238" s="10" t="s">
        <v>43</v>
      </c>
      <c r="O238" s="10" t="s">
        <v>69</v>
      </c>
      <c r="P238" s="10" t="s">
        <v>45</v>
      </c>
      <c r="Q238" s="10" t="s">
        <v>46</v>
      </c>
      <c r="R238" s="12">
        <v>1</v>
      </c>
      <c r="S238" s="13">
        <v>553.67999999999995</v>
      </c>
      <c r="T238" s="13">
        <v>580.67999999999995</v>
      </c>
      <c r="U238" s="12">
        <v>80</v>
      </c>
      <c r="V238" s="13">
        <v>216</v>
      </c>
      <c r="W238" s="13">
        <v>553.67999999999995</v>
      </c>
      <c r="X238" s="12">
        <v>0</v>
      </c>
      <c r="Y238" s="13">
        <v>0</v>
      </c>
      <c r="Z238" s="13">
        <v>0</v>
      </c>
      <c r="AA238" s="12">
        <v>0</v>
      </c>
      <c r="AB238" s="13">
        <v>0</v>
      </c>
      <c r="AC238" s="13">
        <v>0</v>
      </c>
      <c r="AD238" s="12">
        <v>1</v>
      </c>
      <c r="AE238" s="12">
        <v>0</v>
      </c>
      <c r="AF238" s="12">
        <v>0</v>
      </c>
      <c r="AG238" s="12">
        <v>1</v>
      </c>
      <c r="AH238" s="12">
        <v>0</v>
      </c>
      <c r="AI238" s="12">
        <v>0</v>
      </c>
      <c r="AJ238" s="10">
        <v>6212889</v>
      </c>
      <c r="AK238" s="10" t="s">
        <v>47</v>
      </c>
      <c r="AL238" s="14" t="s">
        <v>241</v>
      </c>
      <c r="AM238" s="10" t="s">
        <v>49</v>
      </c>
      <c r="AN238" s="15">
        <v>202300058965</v>
      </c>
      <c r="AO238" s="16" t="s">
        <v>242</v>
      </c>
      <c r="AP238" s="17">
        <v>3684.14</v>
      </c>
      <c r="AQ238" s="10" t="s">
        <v>51</v>
      </c>
      <c r="AR238" s="10" t="s">
        <v>72</v>
      </c>
      <c r="AS238" s="12">
        <v>2000</v>
      </c>
      <c r="AT238" s="10" t="s">
        <v>53</v>
      </c>
      <c r="AU238" s="10">
        <v>40151500</v>
      </c>
      <c r="AV238" s="10" t="s">
        <v>62</v>
      </c>
      <c r="AW238" s="10" t="s">
        <v>55</v>
      </c>
      <c r="AX238" s="10" t="s">
        <v>56</v>
      </c>
      <c r="AY238" s="10" t="s">
        <v>73</v>
      </c>
      <c r="AZ238" s="10" t="s">
        <v>74</v>
      </c>
      <c r="BG238" t="str">
        <v>Outbound</v>
      </c>
      <c r="BH238" t="str">
        <v>Land</v>
      </c>
      <c r="BI238" t="str">
        <v>FG-R-2203LE26</v>
      </c>
      <c r="BJ238" t="str">
        <v>JOHNSON ELECTRIC NORTH AMERICA, INC.</v>
      </c>
      <c r="BK238" t="str">
        <v xml:space="preserve">Memphis Distribution Services 3893 Crowfarn    </v>
      </c>
      <c r="BL238" t="str">
        <v>M46</v>
      </c>
      <c r="BM238" t="str">
        <v>1651-EQH0041EN</v>
      </c>
      <c r="BN238" s="24">
        <v>200</v>
      </c>
      <c r="BO238" s="23">
        <v>122.44</v>
      </c>
      <c r="BP238" s="26">
        <f t="shared" si="8"/>
        <v>1.444439513942522E-2</v>
      </c>
      <c r="BQ238" s="21">
        <f t="shared" si="9"/>
        <v>71.048517039064834</v>
      </c>
    </row>
    <row r="239" spans="2:69" x14ac:dyDescent="0.35">
      <c r="B239" t="s">
        <v>261</v>
      </c>
      <c r="C239" t="s">
        <v>262</v>
      </c>
      <c r="D239" t="str" cm="1">
        <f t="array" ref="D239">_xlfn.REGEXEXTRACT(G239,"FG-R-\d{4}LE\d{2}")</f>
        <v>FG-R-2203LE26</v>
      </c>
      <c r="E239" t="s">
        <v>297</v>
      </c>
      <c r="F239" s="23" cm="1">
        <f t="array" ref="F239">_xlfn.SWITCH(TRUE,T239&gt;0,T239,Z239)</f>
        <v>1238.586</v>
      </c>
      <c r="G239" s="10" t="s">
        <v>250</v>
      </c>
      <c r="H239" s="10" t="s">
        <v>124</v>
      </c>
      <c r="I239" s="10" t="s">
        <v>251</v>
      </c>
      <c r="J239" s="11" t="s">
        <v>238</v>
      </c>
      <c r="K239" s="11" t="s">
        <v>238</v>
      </c>
      <c r="L239" s="10" t="s">
        <v>250</v>
      </c>
      <c r="M239" s="10" t="s">
        <v>252</v>
      </c>
      <c r="N239" s="10" t="s">
        <v>43</v>
      </c>
      <c r="O239" s="10" t="s">
        <v>69</v>
      </c>
      <c r="P239" s="10" t="s">
        <v>45</v>
      </c>
      <c r="Q239" s="10" t="s">
        <v>46</v>
      </c>
      <c r="R239" s="12">
        <v>3</v>
      </c>
      <c r="S239" s="13">
        <v>1183.086</v>
      </c>
      <c r="T239" s="13">
        <v>1238.586</v>
      </c>
      <c r="U239" s="12">
        <v>270</v>
      </c>
      <c r="V239" s="13">
        <v>1101.5999999999999</v>
      </c>
      <c r="W239" s="13">
        <v>1183.086</v>
      </c>
      <c r="X239" s="12">
        <v>0</v>
      </c>
      <c r="Y239" s="13">
        <v>0</v>
      </c>
      <c r="Z239" s="13">
        <v>0</v>
      </c>
      <c r="AA239" s="12">
        <v>0</v>
      </c>
      <c r="AB239" s="13">
        <v>0</v>
      </c>
      <c r="AC239" s="13">
        <v>0</v>
      </c>
      <c r="AD239" s="12">
        <v>3</v>
      </c>
      <c r="AE239" s="12">
        <v>0</v>
      </c>
      <c r="AF239" s="12">
        <v>0</v>
      </c>
      <c r="AG239" s="12">
        <v>3</v>
      </c>
      <c r="AH239" s="12">
        <v>0</v>
      </c>
      <c r="AI239" s="12">
        <v>0</v>
      </c>
      <c r="AJ239" s="10">
        <v>6212885</v>
      </c>
      <c r="AK239" s="10" t="s">
        <v>47</v>
      </c>
      <c r="AL239" s="14" t="s">
        <v>241</v>
      </c>
      <c r="AM239" s="10" t="s">
        <v>49</v>
      </c>
      <c r="AN239" s="15">
        <v>202300058962</v>
      </c>
      <c r="AO239" s="16" t="s">
        <v>242</v>
      </c>
      <c r="AP239" s="17">
        <v>17175.03</v>
      </c>
      <c r="AQ239" s="10" t="s">
        <v>51</v>
      </c>
      <c r="AR239" s="10" t="s">
        <v>75</v>
      </c>
      <c r="AS239" s="12">
        <v>10800</v>
      </c>
      <c r="AT239" s="10" t="s">
        <v>53</v>
      </c>
      <c r="AU239" s="10">
        <v>40151500</v>
      </c>
      <c r="AV239" s="10" t="s">
        <v>62</v>
      </c>
      <c r="AW239" s="10" t="s">
        <v>55</v>
      </c>
      <c r="AX239" s="10" t="s">
        <v>56</v>
      </c>
      <c r="AY239" s="10" t="s">
        <v>73</v>
      </c>
      <c r="AZ239" s="10" t="s">
        <v>74</v>
      </c>
      <c r="BG239" t="str">
        <v>Outbound</v>
      </c>
      <c r="BH239" t="str">
        <v>Land</v>
      </c>
      <c r="BI239" t="str">
        <v>FG-R-2203LE26</v>
      </c>
      <c r="BJ239" t="str">
        <v>JOHNSON ELECTRIC NORTH AMERICA, INC.</v>
      </c>
      <c r="BK239" t="str">
        <v xml:space="preserve">Memphis Distribution Services 3893 Crowfarn    </v>
      </c>
      <c r="BL239" t="str">
        <v>M46</v>
      </c>
      <c r="BM239" t="str">
        <v>1651-EQH0040EN</v>
      </c>
      <c r="BN239" s="24">
        <v>200</v>
      </c>
      <c r="BO239" s="23">
        <v>122.44</v>
      </c>
      <c r="BP239" s="26">
        <f t="shared" si="8"/>
        <v>1.444439513942522E-2</v>
      </c>
      <c r="BQ239" s="21">
        <f t="shared" si="9"/>
        <v>71.048517039064834</v>
      </c>
    </row>
    <row r="240" spans="2:69" x14ac:dyDescent="0.35">
      <c r="B240" t="s">
        <v>261</v>
      </c>
      <c r="C240" t="s">
        <v>262</v>
      </c>
      <c r="D240" t="str" cm="1">
        <f t="array" ref="D240">_xlfn.REGEXEXTRACT(G240,"FG-R-\d{4}LE\d{2}")</f>
        <v>FG-R-2203LE26</v>
      </c>
      <c r="E240" t="s">
        <v>297</v>
      </c>
      <c r="F240" s="23" cm="1">
        <f t="array" ref="F240">_xlfn.SWITCH(TRUE,T240&gt;0,T240,Z240)</f>
        <v>297.91231900000002</v>
      </c>
      <c r="G240" s="10" t="s">
        <v>250</v>
      </c>
      <c r="H240" s="10" t="s">
        <v>124</v>
      </c>
      <c r="I240" s="10" t="s">
        <v>251</v>
      </c>
      <c r="J240" s="11" t="s">
        <v>238</v>
      </c>
      <c r="K240" s="11" t="s">
        <v>238</v>
      </c>
      <c r="L240" s="10" t="s">
        <v>250</v>
      </c>
      <c r="M240" s="10" t="s">
        <v>252</v>
      </c>
      <c r="N240" s="10" t="s">
        <v>43</v>
      </c>
      <c r="O240" s="10" t="s">
        <v>69</v>
      </c>
      <c r="P240" s="10" t="s">
        <v>45</v>
      </c>
      <c r="Q240" s="10" t="s">
        <v>46</v>
      </c>
      <c r="R240" s="12">
        <v>1</v>
      </c>
      <c r="S240" s="13">
        <v>278.91231900000002</v>
      </c>
      <c r="T240" s="13">
        <v>297.91231900000002</v>
      </c>
      <c r="U240" s="12">
        <v>70</v>
      </c>
      <c r="V240" s="13">
        <v>278.88</v>
      </c>
      <c r="W240" s="13">
        <v>278.91231900000002</v>
      </c>
      <c r="X240" s="12">
        <v>0</v>
      </c>
      <c r="Y240" s="13">
        <v>0</v>
      </c>
      <c r="Z240" s="13">
        <v>0</v>
      </c>
      <c r="AA240" s="12">
        <v>0</v>
      </c>
      <c r="AB240" s="13">
        <v>0</v>
      </c>
      <c r="AC240" s="13">
        <v>0</v>
      </c>
      <c r="AD240" s="12">
        <v>1</v>
      </c>
      <c r="AE240" s="12">
        <v>0</v>
      </c>
      <c r="AF240" s="12">
        <v>0</v>
      </c>
      <c r="AG240" s="12">
        <v>1</v>
      </c>
      <c r="AH240" s="12">
        <v>0</v>
      </c>
      <c r="AI240" s="12">
        <v>0</v>
      </c>
      <c r="AJ240" s="10">
        <v>6212890</v>
      </c>
      <c r="AK240" s="10" t="s">
        <v>47</v>
      </c>
      <c r="AL240" s="14" t="s">
        <v>241</v>
      </c>
      <c r="AM240" s="10" t="s">
        <v>49</v>
      </c>
      <c r="AN240" s="15">
        <v>202300058967</v>
      </c>
      <c r="AO240" s="16" t="s">
        <v>242</v>
      </c>
      <c r="AP240" s="17">
        <v>5376.11</v>
      </c>
      <c r="AQ240" s="10" t="s">
        <v>51</v>
      </c>
      <c r="AR240" s="10" t="s">
        <v>81</v>
      </c>
      <c r="AS240" s="12">
        <v>2100</v>
      </c>
      <c r="AT240" s="10" t="s">
        <v>53</v>
      </c>
      <c r="AU240" s="10">
        <v>25171506</v>
      </c>
      <c r="AV240" s="10" t="s">
        <v>82</v>
      </c>
      <c r="AW240" s="10" t="s">
        <v>55</v>
      </c>
      <c r="AX240" s="10" t="s">
        <v>56</v>
      </c>
      <c r="AY240" s="10" t="s">
        <v>73</v>
      </c>
      <c r="AZ240" s="10" t="s">
        <v>74</v>
      </c>
      <c r="BG240" t="str">
        <v>Outbound</v>
      </c>
      <c r="BH240" t="str">
        <v>Land</v>
      </c>
      <c r="BI240" t="str">
        <v>FG-R-2203LE26</v>
      </c>
      <c r="BJ240" t="str">
        <v>JOHNSON ELECTRIC NORTH AMERICA, INC.</v>
      </c>
      <c r="BK240" t="str">
        <v xml:space="preserve">Memphis Distribution Services 3893 Crowfarn    </v>
      </c>
      <c r="BL240" t="str">
        <v>M46</v>
      </c>
      <c r="BM240" t="str">
        <v>1651-EQH0040EN</v>
      </c>
      <c r="BN240" s="24">
        <v>200</v>
      </c>
      <c r="BO240" s="23">
        <v>122.44</v>
      </c>
      <c r="BP240" s="26">
        <f t="shared" si="8"/>
        <v>1.444439513942522E-2</v>
      </c>
      <c r="BQ240" s="21">
        <f t="shared" si="9"/>
        <v>71.048517039064834</v>
      </c>
    </row>
    <row r="241" spans="2:69" x14ac:dyDescent="0.35">
      <c r="B241" t="s">
        <v>261</v>
      </c>
      <c r="C241" t="s">
        <v>262</v>
      </c>
      <c r="D241" t="str" cm="1">
        <f t="array" ref="D241">_xlfn.REGEXEXTRACT(G241,"FG-R-\d{4}LE\d{2}")</f>
        <v>FG-R-2203LE26</v>
      </c>
      <c r="E241" t="s">
        <v>297</v>
      </c>
      <c r="F241" s="23" cm="1">
        <f t="array" ref="F241">_xlfn.SWITCH(TRUE,T241&gt;0,T241,Z241)</f>
        <v>329.88</v>
      </c>
      <c r="G241" s="10" t="s">
        <v>250</v>
      </c>
      <c r="H241" s="10" t="s">
        <v>124</v>
      </c>
      <c r="I241" s="10" t="s">
        <v>251</v>
      </c>
      <c r="J241" s="11" t="s">
        <v>238</v>
      </c>
      <c r="K241" s="11" t="s">
        <v>238</v>
      </c>
      <c r="L241" s="10" t="s">
        <v>250</v>
      </c>
      <c r="M241" s="10" t="s">
        <v>252</v>
      </c>
      <c r="N241" s="10" t="s">
        <v>43</v>
      </c>
      <c r="O241" s="10" t="s">
        <v>69</v>
      </c>
      <c r="P241" s="10" t="s">
        <v>45</v>
      </c>
      <c r="Q241" s="10" t="s">
        <v>46</v>
      </c>
      <c r="R241" s="12">
        <v>3</v>
      </c>
      <c r="S241" s="13">
        <v>254.88</v>
      </c>
      <c r="T241" s="13">
        <v>329.88</v>
      </c>
      <c r="U241" s="12">
        <v>0</v>
      </c>
      <c r="V241" s="13">
        <v>254.88</v>
      </c>
      <c r="W241" s="13">
        <v>254.88</v>
      </c>
      <c r="X241" s="12">
        <v>0</v>
      </c>
      <c r="Y241" s="13">
        <v>0</v>
      </c>
      <c r="Z241" s="13">
        <v>0</v>
      </c>
      <c r="AA241" s="12">
        <v>0</v>
      </c>
      <c r="AB241" s="13">
        <v>0</v>
      </c>
      <c r="AC241" s="13">
        <v>0</v>
      </c>
      <c r="AD241" s="12">
        <v>3</v>
      </c>
      <c r="AE241" s="12">
        <v>0</v>
      </c>
      <c r="AF241" s="12">
        <v>0</v>
      </c>
      <c r="AG241" s="12">
        <v>3</v>
      </c>
      <c r="AH241" s="12">
        <v>0</v>
      </c>
      <c r="AI241" s="12">
        <v>0</v>
      </c>
      <c r="AJ241" s="10">
        <v>6212909</v>
      </c>
      <c r="AK241" s="10" t="s">
        <v>47</v>
      </c>
      <c r="AL241" s="14" t="s">
        <v>241</v>
      </c>
      <c r="AM241" s="10" t="s">
        <v>49</v>
      </c>
      <c r="AN241" s="15">
        <v>202300058975</v>
      </c>
      <c r="AO241" s="16" t="s">
        <v>242</v>
      </c>
      <c r="AP241" s="17">
        <v>11555.28</v>
      </c>
      <c r="AQ241" s="10" t="s">
        <v>51</v>
      </c>
      <c r="AR241" s="10" t="s">
        <v>77</v>
      </c>
      <c r="AS241" s="12">
        <v>4320</v>
      </c>
      <c r="AT241" s="10" t="s">
        <v>53</v>
      </c>
      <c r="AU241" s="10">
        <v>26101200</v>
      </c>
      <c r="AV241" s="10" t="s">
        <v>78</v>
      </c>
      <c r="AW241" s="10" t="s">
        <v>55</v>
      </c>
      <c r="AX241" s="10" t="s">
        <v>56</v>
      </c>
      <c r="AY241" s="10" t="s">
        <v>79</v>
      </c>
      <c r="AZ241" s="10" t="s">
        <v>80</v>
      </c>
      <c r="BG241" t="str">
        <v>Outbound</v>
      </c>
      <c r="BH241" t="str">
        <v>Land</v>
      </c>
      <c r="BI241" t="str">
        <v>FG-R-2203LE26</v>
      </c>
      <c r="BJ241" t="str">
        <v>JOHNSON ELECTRIC NORTH AMERICA, INC.</v>
      </c>
      <c r="BK241" t="str">
        <v xml:space="preserve">Memphis Distribution Services 3893 Crowfarn    </v>
      </c>
      <c r="BL241" t="str">
        <v>M46</v>
      </c>
      <c r="BM241" t="str">
        <v>1651-EQH0040EN</v>
      </c>
      <c r="BN241" s="24">
        <v>200</v>
      </c>
      <c r="BO241" s="23">
        <v>122.44</v>
      </c>
      <c r="BP241" s="26">
        <f t="shared" si="8"/>
        <v>1.444439513942522E-2</v>
      </c>
      <c r="BQ241" s="21">
        <f t="shared" si="9"/>
        <v>71.048517039064834</v>
      </c>
    </row>
    <row r="242" spans="2:69" x14ac:dyDescent="0.35">
      <c r="B242" t="s">
        <v>261</v>
      </c>
      <c r="C242" t="s">
        <v>262</v>
      </c>
      <c r="D242" t="str" cm="1">
        <f t="array" ref="D242">_xlfn.REGEXEXTRACT(G242,"FG-R-\d{4}LE\d{2}")</f>
        <v>FG-R-2203LE26</v>
      </c>
      <c r="E242" t="s">
        <v>297</v>
      </c>
      <c r="F242" s="23" cm="1">
        <f t="array" ref="F242">_xlfn.SWITCH(TRUE,T242&gt;0,T242,Z242)</f>
        <v>219.92</v>
      </c>
      <c r="G242" s="10" t="s">
        <v>250</v>
      </c>
      <c r="H242" s="10" t="s">
        <v>124</v>
      </c>
      <c r="I242" s="10" t="s">
        <v>251</v>
      </c>
      <c r="J242" s="11" t="s">
        <v>238</v>
      </c>
      <c r="K242" s="11" t="s">
        <v>238</v>
      </c>
      <c r="L242" s="10" t="s">
        <v>250</v>
      </c>
      <c r="M242" s="10" t="s">
        <v>252</v>
      </c>
      <c r="N242" s="10" t="s">
        <v>43</v>
      </c>
      <c r="O242" s="10" t="s">
        <v>69</v>
      </c>
      <c r="P242" s="10" t="s">
        <v>45</v>
      </c>
      <c r="Q242" s="10" t="s">
        <v>46</v>
      </c>
      <c r="R242" s="12">
        <v>2</v>
      </c>
      <c r="S242" s="13">
        <v>169.92</v>
      </c>
      <c r="T242" s="13">
        <v>219.92</v>
      </c>
      <c r="U242" s="12">
        <v>0</v>
      </c>
      <c r="V242" s="13">
        <v>169.92</v>
      </c>
      <c r="W242" s="13">
        <v>169.92</v>
      </c>
      <c r="X242" s="12">
        <v>0</v>
      </c>
      <c r="Y242" s="13">
        <v>0</v>
      </c>
      <c r="Z242" s="13">
        <v>0</v>
      </c>
      <c r="AA242" s="12">
        <v>0</v>
      </c>
      <c r="AB242" s="13">
        <v>0</v>
      </c>
      <c r="AC242" s="13">
        <v>0</v>
      </c>
      <c r="AD242" s="12">
        <v>2</v>
      </c>
      <c r="AE242" s="12">
        <v>0</v>
      </c>
      <c r="AF242" s="12">
        <v>0</v>
      </c>
      <c r="AG242" s="12">
        <v>2</v>
      </c>
      <c r="AH242" s="12">
        <v>0</v>
      </c>
      <c r="AI242" s="12">
        <v>0</v>
      </c>
      <c r="AJ242" s="10">
        <v>6212910</v>
      </c>
      <c r="AK242" s="10" t="s">
        <v>47</v>
      </c>
      <c r="AL242" s="14" t="s">
        <v>241</v>
      </c>
      <c r="AM242" s="10" t="s">
        <v>49</v>
      </c>
      <c r="AN242" s="15">
        <v>202300058976</v>
      </c>
      <c r="AO242" s="16" t="s">
        <v>242</v>
      </c>
      <c r="AP242" s="17">
        <v>7703.52</v>
      </c>
      <c r="AQ242" s="10" t="s">
        <v>51</v>
      </c>
      <c r="AR242" s="10" t="s">
        <v>77</v>
      </c>
      <c r="AS242" s="12">
        <v>2880</v>
      </c>
      <c r="AT242" s="10" t="s">
        <v>53</v>
      </c>
      <c r="AU242" s="10">
        <v>26101200</v>
      </c>
      <c r="AV242" s="10" t="s">
        <v>78</v>
      </c>
      <c r="AW242" s="10" t="s">
        <v>55</v>
      </c>
      <c r="AX242" s="10" t="s">
        <v>56</v>
      </c>
      <c r="AY242" s="10" t="s">
        <v>79</v>
      </c>
      <c r="AZ242" s="10" t="s">
        <v>80</v>
      </c>
      <c r="BG242" t="str">
        <v>Outbound</v>
      </c>
      <c r="BH242" t="str">
        <v>Land</v>
      </c>
      <c r="BI242" t="str">
        <v>FG-R-2203LE26</v>
      </c>
      <c r="BJ242" t="str">
        <v>JOHNSON ELECTRIC NORTH AMERICA, INC.</v>
      </c>
      <c r="BK242" t="str">
        <v xml:space="preserve">Memphis Distribution Services 3893 Crowfarn    </v>
      </c>
      <c r="BL242" t="str">
        <v>M46</v>
      </c>
      <c r="BM242" t="str">
        <v>1651-EQH0040EN</v>
      </c>
      <c r="BN242" s="24">
        <v>200</v>
      </c>
      <c r="BO242" s="23">
        <v>122.44</v>
      </c>
      <c r="BP242" s="26">
        <f t="shared" si="8"/>
        <v>1.444439513942522E-2</v>
      </c>
      <c r="BQ242" s="21">
        <f t="shared" si="9"/>
        <v>71.048517039064834</v>
      </c>
    </row>
    <row r="243" spans="2:69" x14ac:dyDescent="0.35">
      <c r="B243" t="s">
        <v>261</v>
      </c>
      <c r="C243" t="s">
        <v>262</v>
      </c>
      <c r="D243" t="str" cm="1">
        <f t="array" ref="D243">_xlfn.REGEXEXTRACT(G243,"FG-R-\d{4}LE\d{2}")</f>
        <v>FG-R-2203LE26</v>
      </c>
      <c r="E243" t="s">
        <v>297</v>
      </c>
      <c r="F243" s="23" cm="1">
        <f t="array" ref="F243">_xlfn.SWITCH(TRUE,T243&gt;0,T243,Z243)</f>
        <v>109.96</v>
      </c>
      <c r="G243" s="10" t="s">
        <v>250</v>
      </c>
      <c r="H243" s="10" t="s">
        <v>124</v>
      </c>
      <c r="I243" s="10" t="s">
        <v>251</v>
      </c>
      <c r="J243" s="11" t="s">
        <v>238</v>
      </c>
      <c r="K243" s="11" t="s">
        <v>238</v>
      </c>
      <c r="L243" s="10" t="s">
        <v>250</v>
      </c>
      <c r="M243" s="10" t="s">
        <v>252</v>
      </c>
      <c r="N243" s="10" t="s">
        <v>43</v>
      </c>
      <c r="O243" s="10" t="s">
        <v>69</v>
      </c>
      <c r="P243" s="10" t="s">
        <v>45</v>
      </c>
      <c r="Q243" s="10" t="s">
        <v>46</v>
      </c>
      <c r="R243" s="12">
        <v>1</v>
      </c>
      <c r="S243" s="13">
        <v>84.96</v>
      </c>
      <c r="T243" s="13">
        <v>109.96</v>
      </c>
      <c r="U243" s="12">
        <v>0</v>
      </c>
      <c r="V243" s="13">
        <v>84.96</v>
      </c>
      <c r="W243" s="13">
        <v>84.96</v>
      </c>
      <c r="X243" s="12">
        <v>0</v>
      </c>
      <c r="Y243" s="13">
        <v>0</v>
      </c>
      <c r="Z243" s="13">
        <v>0</v>
      </c>
      <c r="AA243" s="12">
        <v>0</v>
      </c>
      <c r="AB243" s="13">
        <v>0</v>
      </c>
      <c r="AC243" s="13">
        <v>0</v>
      </c>
      <c r="AD243" s="12">
        <v>1</v>
      </c>
      <c r="AE243" s="12">
        <v>0</v>
      </c>
      <c r="AF243" s="12">
        <v>0</v>
      </c>
      <c r="AG243" s="12">
        <v>1</v>
      </c>
      <c r="AH243" s="12">
        <v>0</v>
      </c>
      <c r="AI243" s="12">
        <v>0</v>
      </c>
      <c r="AJ243" s="10">
        <v>6212912</v>
      </c>
      <c r="AK243" s="10" t="s">
        <v>47</v>
      </c>
      <c r="AL243" s="14" t="s">
        <v>241</v>
      </c>
      <c r="AM243" s="10" t="s">
        <v>49</v>
      </c>
      <c r="AN243" s="15">
        <v>202300058977</v>
      </c>
      <c r="AO243" s="16" t="s">
        <v>242</v>
      </c>
      <c r="AP243" s="17">
        <v>3851.76</v>
      </c>
      <c r="AQ243" s="10" t="s">
        <v>51</v>
      </c>
      <c r="AR243" s="10" t="s">
        <v>77</v>
      </c>
      <c r="AS243" s="12">
        <v>1440</v>
      </c>
      <c r="AT243" s="10" t="s">
        <v>53</v>
      </c>
      <c r="AU243" s="10">
        <v>26101200</v>
      </c>
      <c r="AV243" s="10" t="s">
        <v>78</v>
      </c>
      <c r="AW243" s="10" t="s">
        <v>55</v>
      </c>
      <c r="AX243" s="10" t="s">
        <v>56</v>
      </c>
      <c r="AY243" s="10" t="s">
        <v>79</v>
      </c>
      <c r="AZ243" s="10" t="s">
        <v>80</v>
      </c>
      <c r="BG243" t="str">
        <v>Outbound</v>
      </c>
      <c r="BH243" t="str">
        <v>Land</v>
      </c>
      <c r="BI243" t="str">
        <v>FG-R-2203LE26</v>
      </c>
      <c r="BJ243" t="str">
        <v>JOHNSON ELECTRIC NORTH AMERICA, INC.</v>
      </c>
      <c r="BK243" t="str">
        <v xml:space="preserve">Memphis Distribution Services 3893 Crowfarn    </v>
      </c>
      <c r="BL243" t="str">
        <v>M46</v>
      </c>
      <c r="BM243" t="str">
        <v>1410-EQH0041EN</v>
      </c>
      <c r="BN243" s="24">
        <v>1500</v>
      </c>
      <c r="BO243" s="23">
        <v>714</v>
      </c>
      <c r="BP243" s="26">
        <f t="shared" si="8"/>
        <v>8.4231445030624047E-2</v>
      </c>
      <c r="BQ243" s="21">
        <f t="shared" si="9"/>
        <v>414.3142859024199</v>
      </c>
    </row>
    <row r="244" spans="2:69" x14ac:dyDescent="0.35">
      <c r="B244" t="s">
        <v>261</v>
      </c>
      <c r="C244" t="s">
        <v>262</v>
      </c>
      <c r="D244" t="str" cm="1">
        <f t="array" ref="D244">_xlfn.REGEXEXTRACT(G244,"FG-R-\d{4}LE\d{2}")</f>
        <v>FG-R-2203LE26</v>
      </c>
      <c r="E244" t="s">
        <v>297</v>
      </c>
      <c r="F244" s="23" cm="1">
        <f t="array" ref="F244">_xlfn.SWITCH(TRUE,T244&gt;0,T244,Z244)</f>
        <v>439.84</v>
      </c>
      <c r="G244" s="10" t="s">
        <v>250</v>
      </c>
      <c r="H244" s="10" t="s">
        <v>124</v>
      </c>
      <c r="I244" s="10" t="s">
        <v>251</v>
      </c>
      <c r="J244" s="11" t="s">
        <v>238</v>
      </c>
      <c r="K244" s="11" t="s">
        <v>238</v>
      </c>
      <c r="L244" s="10" t="s">
        <v>250</v>
      </c>
      <c r="M244" s="10" t="s">
        <v>252</v>
      </c>
      <c r="N244" s="10" t="s">
        <v>43</v>
      </c>
      <c r="O244" s="10" t="s">
        <v>69</v>
      </c>
      <c r="P244" s="10" t="s">
        <v>45</v>
      </c>
      <c r="Q244" s="10" t="s">
        <v>46</v>
      </c>
      <c r="R244" s="12">
        <v>4</v>
      </c>
      <c r="S244" s="13">
        <v>339.84</v>
      </c>
      <c r="T244" s="13">
        <v>439.84</v>
      </c>
      <c r="U244" s="12">
        <v>0</v>
      </c>
      <c r="V244" s="13">
        <v>339.84</v>
      </c>
      <c r="W244" s="13">
        <v>339.84</v>
      </c>
      <c r="X244" s="12">
        <v>0</v>
      </c>
      <c r="Y244" s="13">
        <v>0</v>
      </c>
      <c r="Z244" s="13">
        <v>0</v>
      </c>
      <c r="AA244" s="12">
        <v>0</v>
      </c>
      <c r="AB244" s="13">
        <v>0</v>
      </c>
      <c r="AC244" s="13">
        <v>0</v>
      </c>
      <c r="AD244" s="12">
        <v>4</v>
      </c>
      <c r="AE244" s="12">
        <v>0</v>
      </c>
      <c r="AF244" s="12">
        <v>0</v>
      </c>
      <c r="AG244" s="12">
        <v>4</v>
      </c>
      <c r="AH244" s="12">
        <v>0</v>
      </c>
      <c r="AI244" s="12">
        <v>0</v>
      </c>
      <c r="AJ244" s="10">
        <v>6214241</v>
      </c>
      <c r="AK244" s="10" t="s">
        <v>47</v>
      </c>
      <c r="AL244" s="14" t="s">
        <v>241</v>
      </c>
      <c r="AM244" s="10" t="s">
        <v>49</v>
      </c>
      <c r="AN244" s="15">
        <v>202300058985</v>
      </c>
      <c r="AO244" s="16" t="s">
        <v>243</v>
      </c>
      <c r="AP244" s="17">
        <v>15407.04</v>
      </c>
      <c r="AQ244" s="10" t="s">
        <v>51</v>
      </c>
      <c r="AR244" s="10" t="s">
        <v>77</v>
      </c>
      <c r="AS244" s="12">
        <v>5760</v>
      </c>
      <c r="AT244" s="10" t="s">
        <v>53</v>
      </c>
      <c r="AU244" s="10">
        <v>26101200</v>
      </c>
      <c r="AV244" s="10" t="s">
        <v>78</v>
      </c>
      <c r="AW244" s="10" t="s">
        <v>55</v>
      </c>
      <c r="AX244" s="10" t="s">
        <v>56</v>
      </c>
      <c r="AY244" s="10" t="s">
        <v>79</v>
      </c>
      <c r="AZ244" s="10" t="s">
        <v>80</v>
      </c>
      <c r="BG244" t="str">
        <v>Outbound</v>
      </c>
      <c r="BH244" t="str">
        <v>Land</v>
      </c>
      <c r="BI244" t="str">
        <v>FG-R-2204LE26</v>
      </c>
      <c r="BJ244" t="str">
        <v>JOHNSON ELECTRIC NORTH AMERICA, INC.</v>
      </c>
      <c r="BK244" t="str">
        <v xml:space="preserve">(TDS) Transcontinental Distribution Services, Inc 14213 Transportation Ave    </v>
      </c>
      <c r="BL244" t="str">
        <v>M46</v>
      </c>
      <c r="BM244" t="str">
        <v>1651-EGN0004LN</v>
      </c>
      <c r="BN244" s="24">
        <v>908</v>
      </c>
      <c r="BO244" s="23">
        <v>147.91999999999999</v>
      </c>
      <c r="BP244" s="26">
        <f t="shared" si="8"/>
        <v>7.9050960935186949E-3</v>
      </c>
      <c r="BQ244" s="21">
        <f t="shared" si="9"/>
        <v>38.883272651744775</v>
      </c>
    </row>
    <row r="245" spans="2:69" x14ac:dyDescent="0.35">
      <c r="B245" t="s">
        <v>261</v>
      </c>
      <c r="C245" t="s">
        <v>262</v>
      </c>
      <c r="D245" t="str" cm="1">
        <f t="array" ref="D245">_xlfn.REGEXEXTRACT(G245,"FG-R-\d{4}LE\d{2}")</f>
        <v>FG-R-2203LE26</v>
      </c>
      <c r="E245" t="s">
        <v>297</v>
      </c>
      <c r="F245" s="23" cm="1">
        <f t="array" ref="F245">_xlfn.SWITCH(TRUE,T245&gt;0,T245,Z245)</f>
        <v>633.24</v>
      </c>
      <c r="G245" s="10" t="s">
        <v>250</v>
      </c>
      <c r="H245" s="10" t="s">
        <v>124</v>
      </c>
      <c r="I245" s="10" t="s">
        <v>251</v>
      </c>
      <c r="J245" s="11" t="s">
        <v>238</v>
      </c>
      <c r="K245" s="11" t="s">
        <v>238</v>
      </c>
      <c r="L245" s="10" t="s">
        <v>250</v>
      </c>
      <c r="M245" s="10" t="s">
        <v>252</v>
      </c>
      <c r="N245" s="10" t="s">
        <v>43</v>
      </c>
      <c r="O245" s="10" t="s">
        <v>69</v>
      </c>
      <c r="P245" s="10" t="s">
        <v>45</v>
      </c>
      <c r="Q245" s="10" t="s">
        <v>46</v>
      </c>
      <c r="R245" s="12">
        <v>1</v>
      </c>
      <c r="S245" s="13">
        <v>606.24</v>
      </c>
      <c r="T245" s="13">
        <v>633.24</v>
      </c>
      <c r="U245" s="12">
        <v>60</v>
      </c>
      <c r="V245" s="13">
        <v>570.24</v>
      </c>
      <c r="W245" s="13">
        <v>606.24</v>
      </c>
      <c r="X245" s="12">
        <v>0</v>
      </c>
      <c r="Y245" s="13">
        <v>0</v>
      </c>
      <c r="Z245" s="13">
        <v>0</v>
      </c>
      <c r="AA245" s="12">
        <v>0</v>
      </c>
      <c r="AB245" s="13">
        <v>0</v>
      </c>
      <c r="AC245" s="13">
        <v>0</v>
      </c>
      <c r="AD245" s="12">
        <v>1</v>
      </c>
      <c r="AE245" s="12">
        <v>0</v>
      </c>
      <c r="AF245" s="12">
        <v>0</v>
      </c>
      <c r="AG245" s="12">
        <v>1</v>
      </c>
      <c r="AH245" s="12">
        <v>0</v>
      </c>
      <c r="AI245" s="12">
        <v>0</v>
      </c>
      <c r="AJ245" s="10">
        <v>6212892</v>
      </c>
      <c r="AK245" s="10" t="s">
        <v>47</v>
      </c>
      <c r="AL245" s="14" t="s">
        <v>241</v>
      </c>
      <c r="AM245" s="10" t="s">
        <v>49</v>
      </c>
      <c r="AN245" s="15">
        <v>202300058966</v>
      </c>
      <c r="AO245" s="16" t="s">
        <v>242</v>
      </c>
      <c r="AP245" s="17">
        <v>10229.52</v>
      </c>
      <c r="AQ245" s="10" t="s">
        <v>51</v>
      </c>
      <c r="AR245" s="10" t="s">
        <v>85</v>
      </c>
      <c r="AS245" s="12">
        <v>4800</v>
      </c>
      <c r="AT245" s="10" t="s">
        <v>53</v>
      </c>
      <c r="AU245" s="10">
        <v>25171506</v>
      </c>
      <c r="AV245" s="10" t="s">
        <v>82</v>
      </c>
      <c r="AW245" s="10" t="s">
        <v>55</v>
      </c>
      <c r="AX245" s="10" t="s">
        <v>56</v>
      </c>
      <c r="AY245" s="10" t="s">
        <v>73</v>
      </c>
      <c r="AZ245" s="10" t="s">
        <v>74</v>
      </c>
      <c r="BG245" t="str">
        <v>Outbound</v>
      </c>
      <c r="BH245" t="str">
        <v>Land</v>
      </c>
      <c r="BI245" t="str">
        <v>FG-R-2204LE26</v>
      </c>
      <c r="BJ245" t="str">
        <v>JOHNSON ELECTRIC NORTH AMERICA, INC.</v>
      </c>
      <c r="BK245" t="str">
        <v xml:space="preserve">APX WH  6001 GLOBAL DISTRIBUTION WAY LOUISVILLE, KY 40228    </v>
      </c>
      <c r="BL245" t="str">
        <v>M45</v>
      </c>
      <c r="BM245" t="str">
        <v>1999-1E30016EU</v>
      </c>
      <c r="BN245" s="24">
        <v>4032</v>
      </c>
      <c r="BO245" s="23">
        <v>3532.864</v>
      </c>
      <c r="BP245" s="26">
        <f t="shared" si="8"/>
        <v>0.18880225395709055</v>
      </c>
      <c r="BQ245" s="21">
        <f t="shared" si="9"/>
        <v>928.67302699792901</v>
      </c>
    </row>
    <row r="246" spans="2:69" x14ac:dyDescent="0.35">
      <c r="B246" t="s">
        <v>261</v>
      </c>
      <c r="C246" t="s">
        <v>262</v>
      </c>
      <c r="D246" t="str" cm="1">
        <f t="array" ref="D246">_xlfn.REGEXEXTRACT(G246,"FG-R-\d{4}LE\d{2}")</f>
        <v>FG-R-2203LE26</v>
      </c>
      <c r="E246" t="s">
        <v>297</v>
      </c>
      <c r="F246" s="23" cm="1">
        <f t="array" ref="F246">_xlfn.SWITCH(TRUE,T246&gt;0,T246,Z246)</f>
        <v>622.226</v>
      </c>
      <c r="G246" s="10" t="s">
        <v>250</v>
      </c>
      <c r="H246" s="10" t="s">
        <v>124</v>
      </c>
      <c r="I246" s="10" t="s">
        <v>251</v>
      </c>
      <c r="J246" s="11" t="s">
        <v>238</v>
      </c>
      <c r="K246" s="11" t="s">
        <v>238</v>
      </c>
      <c r="L246" s="10" t="s">
        <v>250</v>
      </c>
      <c r="M246" s="10" t="s">
        <v>252</v>
      </c>
      <c r="N246" s="10" t="s">
        <v>43</v>
      </c>
      <c r="O246" s="10" t="s">
        <v>69</v>
      </c>
      <c r="P246" s="10" t="s">
        <v>45</v>
      </c>
      <c r="Q246" s="10" t="s">
        <v>46</v>
      </c>
      <c r="R246" s="12">
        <v>2</v>
      </c>
      <c r="S246" s="13">
        <v>584.226</v>
      </c>
      <c r="T246" s="13">
        <v>622.226</v>
      </c>
      <c r="U246" s="12">
        <v>180</v>
      </c>
      <c r="V246" s="13">
        <v>501.12</v>
      </c>
      <c r="W246" s="13">
        <v>584.226</v>
      </c>
      <c r="X246" s="12">
        <v>0</v>
      </c>
      <c r="Y246" s="13">
        <v>0</v>
      </c>
      <c r="Z246" s="13">
        <v>0</v>
      </c>
      <c r="AA246" s="12">
        <v>0</v>
      </c>
      <c r="AB246" s="13">
        <v>0</v>
      </c>
      <c r="AC246" s="13">
        <v>0</v>
      </c>
      <c r="AD246" s="12">
        <v>2</v>
      </c>
      <c r="AE246" s="12">
        <v>0</v>
      </c>
      <c r="AF246" s="12">
        <v>0</v>
      </c>
      <c r="AG246" s="12">
        <v>2</v>
      </c>
      <c r="AH246" s="12">
        <v>0</v>
      </c>
      <c r="AI246" s="12">
        <v>0</v>
      </c>
      <c r="AJ246" s="10">
        <v>6212887</v>
      </c>
      <c r="AK246" s="10" t="s">
        <v>47</v>
      </c>
      <c r="AL246" s="14" t="s">
        <v>241</v>
      </c>
      <c r="AM246" s="10" t="s">
        <v>49</v>
      </c>
      <c r="AN246" s="15">
        <v>202300058963</v>
      </c>
      <c r="AO246" s="16" t="s">
        <v>242</v>
      </c>
      <c r="AP246" s="17">
        <v>8068.68</v>
      </c>
      <c r="AQ246" s="10" t="s">
        <v>51</v>
      </c>
      <c r="AR246" s="10" t="s">
        <v>76</v>
      </c>
      <c r="AS246" s="12">
        <v>4320</v>
      </c>
      <c r="AT246" s="10" t="s">
        <v>53</v>
      </c>
      <c r="AU246" s="10">
        <v>40151500</v>
      </c>
      <c r="AV246" s="10" t="s">
        <v>62</v>
      </c>
      <c r="AW246" s="10" t="s">
        <v>55</v>
      </c>
      <c r="AX246" s="10" t="s">
        <v>56</v>
      </c>
      <c r="AY246" s="10" t="s">
        <v>73</v>
      </c>
      <c r="AZ246" s="10" t="s">
        <v>74</v>
      </c>
      <c r="BG246" t="str">
        <v>Outbound</v>
      </c>
      <c r="BH246" t="str">
        <v>Land</v>
      </c>
      <c r="BI246" t="str">
        <v>FG-R-2204LE26</v>
      </c>
      <c r="BJ246" t="str">
        <v>JOHNSON ELECTRIC NORTH AMERICA, INC.</v>
      </c>
      <c r="BK246" t="str">
        <v xml:space="preserve">APX WH  6001 GLOBAL DISTRIBUTION WAY LOUISVILLE, KY 40228    </v>
      </c>
      <c r="BL246" t="str">
        <v>M45</v>
      </c>
      <c r="BM246" t="str">
        <v>1999-1E30016EU</v>
      </c>
      <c r="BN246" s="24">
        <v>8064</v>
      </c>
      <c r="BO246" s="23">
        <v>7065.7280000000001</v>
      </c>
      <c r="BP246" s="26">
        <f t="shared" si="8"/>
        <v>0.3776045079141811</v>
      </c>
      <c r="BQ246" s="21">
        <f t="shared" si="9"/>
        <v>1857.346053995858</v>
      </c>
    </row>
    <row r="247" spans="2:69" x14ac:dyDescent="0.35">
      <c r="B247" t="s">
        <v>261</v>
      </c>
      <c r="C247" t="s">
        <v>262</v>
      </c>
      <c r="D247" t="str" cm="1">
        <f t="array" ref="D247">_xlfn.REGEXEXTRACT(G247,"FG-R-\d{4}LE\d{2}")</f>
        <v>FG-R-2203LE26</v>
      </c>
      <c r="E247" t="s">
        <v>297</v>
      </c>
      <c r="F247" s="23" cm="1">
        <f t="array" ref="F247">_xlfn.SWITCH(TRUE,T247&gt;0,T247,Z247)</f>
        <v>1513.8</v>
      </c>
      <c r="G247" s="10" t="s">
        <v>250</v>
      </c>
      <c r="H247" s="10" t="s">
        <v>124</v>
      </c>
      <c r="I247" s="10" t="s">
        <v>251</v>
      </c>
      <c r="J247" s="11" t="s">
        <v>238</v>
      </c>
      <c r="K247" s="11" t="s">
        <v>238</v>
      </c>
      <c r="L247" s="10" t="s">
        <v>250</v>
      </c>
      <c r="M247" s="10" t="s">
        <v>252</v>
      </c>
      <c r="N247" s="10" t="s">
        <v>43</v>
      </c>
      <c r="O247" s="10" t="s">
        <v>69</v>
      </c>
      <c r="P247" s="10" t="s">
        <v>45</v>
      </c>
      <c r="Q247" s="10" t="s">
        <v>46</v>
      </c>
      <c r="R247" s="12">
        <v>3</v>
      </c>
      <c r="S247" s="13">
        <v>1432.8</v>
      </c>
      <c r="T247" s="13">
        <v>1513.8</v>
      </c>
      <c r="U247" s="12">
        <v>180</v>
      </c>
      <c r="V247" s="13">
        <v>1324.8</v>
      </c>
      <c r="W247" s="13">
        <v>1432.8</v>
      </c>
      <c r="X247" s="12">
        <v>0</v>
      </c>
      <c r="Y247" s="13">
        <v>0</v>
      </c>
      <c r="Z247" s="13">
        <v>0</v>
      </c>
      <c r="AA247" s="12">
        <v>0</v>
      </c>
      <c r="AB247" s="13">
        <v>0</v>
      </c>
      <c r="AC247" s="13">
        <v>0</v>
      </c>
      <c r="AD247" s="12">
        <v>3</v>
      </c>
      <c r="AE247" s="12">
        <v>0</v>
      </c>
      <c r="AF247" s="12">
        <v>0</v>
      </c>
      <c r="AG247" s="12">
        <v>3</v>
      </c>
      <c r="AH247" s="12">
        <v>0</v>
      </c>
      <c r="AI247" s="12">
        <v>0</v>
      </c>
      <c r="AJ247" s="10">
        <v>6212888</v>
      </c>
      <c r="AK247" s="10" t="s">
        <v>47</v>
      </c>
      <c r="AL247" s="14" t="s">
        <v>241</v>
      </c>
      <c r="AM247" s="10" t="s">
        <v>49</v>
      </c>
      <c r="AN247" s="15">
        <v>202300058964</v>
      </c>
      <c r="AO247" s="16" t="s">
        <v>242</v>
      </c>
      <c r="AP247" s="17">
        <v>21870.87</v>
      </c>
      <c r="AQ247" s="10" t="s">
        <v>51</v>
      </c>
      <c r="AR247" s="10" t="s">
        <v>84</v>
      </c>
      <c r="AS247" s="12">
        <v>14400</v>
      </c>
      <c r="AT247" s="10" t="s">
        <v>53</v>
      </c>
      <c r="AU247" s="10">
        <v>40151500</v>
      </c>
      <c r="AV247" s="10" t="s">
        <v>62</v>
      </c>
      <c r="AW247" s="10" t="s">
        <v>55</v>
      </c>
      <c r="AX247" s="10" t="s">
        <v>56</v>
      </c>
      <c r="AY247" s="10" t="s">
        <v>73</v>
      </c>
      <c r="AZ247" s="10" t="s">
        <v>74</v>
      </c>
      <c r="BG247" t="str">
        <v>Outbound</v>
      </c>
      <c r="BH247" t="str">
        <v>Land</v>
      </c>
      <c r="BI247" t="str">
        <v>FG-R-2204LE26</v>
      </c>
      <c r="BJ247" t="str">
        <v>JOHNSON ELECTRIC NORTH AMERICA, INC.</v>
      </c>
      <c r="BK247" t="str">
        <v xml:space="preserve">APX WH  6001 GLOBAL DISTRIBUTION WAY LOUISVILLE, KY 40228    </v>
      </c>
      <c r="BL247" t="str">
        <v>M45</v>
      </c>
      <c r="BM247" t="str">
        <v>1999-1E30016EU</v>
      </c>
      <c r="BN247" s="24">
        <v>3024</v>
      </c>
      <c r="BO247" s="23">
        <v>2649.6480000000001</v>
      </c>
      <c r="BP247" s="26">
        <f t="shared" si="8"/>
        <v>0.14160169046781793</v>
      </c>
      <c r="BQ247" s="21">
        <f t="shared" si="9"/>
        <v>696.5047702484469</v>
      </c>
    </row>
    <row r="248" spans="2:69" x14ac:dyDescent="0.35">
      <c r="B248" t="s">
        <v>261</v>
      </c>
      <c r="C248" t="s">
        <v>262</v>
      </c>
      <c r="D248" t="str" cm="1">
        <f t="array" ref="D248">_xlfn.REGEXEXTRACT(G248,"FG-R-\d{4}LE\d{2}")</f>
        <v>FG-R-2203LE26</v>
      </c>
      <c r="E248" t="s">
        <v>297</v>
      </c>
      <c r="F248" s="23" cm="1">
        <f t="array" ref="F248">_xlfn.SWITCH(TRUE,T248&gt;0,T248,Z248)</f>
        <v>109.96</v>
      </c>
      <c r="G248" s="10" t="s">
        <v>250</v>
      </c>
      <c r="H248" s="10" t="s">
        <v>124</v>
      </c>
      <c r="I248" s="10" t="s">
        <v>251</v>
      </c>
      <c r="J248" s="11" t="s">
        <v>238</v>
      </c>
      <c r="K248" s="11" t="s">
        <v>238</v>
      </c>
      <c r="L248" s="10" t="s">
        <v>250</v>
      </c>
      <c r="M248" s="10" t="s">
        <v>252</v>
      </c>
      <c r="N248" s="10" t="s">
        <v>43</v>
      </c>
      <c r="O248" s="10" t="s">
        <v>69</v>
      </c>
      <c r="P248" s="10" t="s">
        <v>45</v>
      </c>
      <c r="Q248" s="10" t="s">
        <v>46</v>
      </c>
      <c r="R248" s="12">
        <v>1</v>
      </c>
      <c r="S248" s="13">
        <v>84.96</v>
      </c>
      <c r="T248" s="13">
        <v>109.96</v>
      </c>
      <c r="U248" s="12">
        <v>0</v>
      </c>
      <c r="V248" s="13">
        <v>84.96</v>
      </c>
      <c r="W248" s="13">
        <v>84.96</v>
      </c>
      <c r="X248" s="12">
        <v>0</v>
      </c>
      <c r="Y248" s="13">
        <v>0</v>
      </c>
      <c r="Z248" s="13">
        <v>0</v>
      </c>
      <c r="AA248" s="12">
        <v>0</v>
      </c>
      <c r="AB248" s="13">
        <v>0</v>
      </c>
      <c r="AC248" s="13">
        <v>0</v>
      </c>
      <c r="AD248" s="12">
        <v>1</v>
      </c>
      <c r="AE248" s="12">
        <v>0</v>
      </c>
      <c r="AF248" s="12">
        <v>0</v>
      </c>
      <c r="AG248" s="12">
        <v>1</v>
      </c>
      <c r="AH248" s="12">
        <v>0</v>
      </c>
      <c r="AI248" s="12">
        <v>0</v>
      </c>
      <c r="AJ248" s="10">
        <v>6214240</v>
      </c>
      <c r="AK248" s="10" t="s">
        <v>47</v>
      </c>
      <c r="AL248" s="14" t="s">
        <v>241</v>
      </c>
      <c r="AM248" s="10" t="s">
        <v>49</v>
      </c>
      <c r="AN248" s="15">
        <v>202300058984</v>
      </c>
      <c r="AO248" s="16" t="s">
        <v>243</v>
      </c>
      <c r="AP248" s="17">
        <v>3851.76</v>
      </c>
      <c r="AQ248" s="10" t="s">
        <v>51</v>
      </c>
      <c r="AR248" s="10" t="s">
        <v>210</v>
      </c>
      <c r="AS248" s="12">
        <v>1440</v>
      </c>
      <c r="AT248" s="10" t="s">
        <v>53</v>
      </c>
      <c r="AU248" s="10">
        <v>26101200</v>
      </c>
      <c r="AV248" s="10" t="s">
        <v>78</v>
      </c>
      <c r="AW248" s="10" t="s">
        <v>55</v>
      </c>
      <c r="AX248" s="10" t="s">
        <v>56</v>
      </c>
      <c r="AY248" s="10" t="s">
        <v>79</v>
      </c>
      <c r="AZ248" s="10" t="s">
        <v>80</v>
      </c>
      <c r="BG248" t="str">
        <v>Outbound</v>
      </c>
      <c r="BH248" t="str">
        <v>Land</v>
      </c>
      <c r="BI248" t="str">
        <v>FG-R-2204LE26</v>
      </c>
      <c r="BJ248" t="str">
        <v>JOHNSON ELECTRIC NORTH AMERICA, INC.</v>
      </c>
      <c r="BK248" t="str">
        <v xml:space="preserve">APX WH  6001 GLOBAL DISTRIBUTION WAY LOUISVILLE, KY 40228    </v>
      </c>
      <c r="BL248" t="str">
        <v>M45</v>
      </c>
      <c r="BM248" t="str">
        <v>1999-1E30016EU</v>
      </c>
      <c r="BN248" s="24">
        <v>4032</v>
      </c>
      <c r="BO248" s="23">
        <v>3532.864</v>
      </c>
      <c r="BP248" s="26">
        <f t="shared" si="8"/>
        <v>0.18880225395709055</v>
      </c>
      <c r="BQ248" s="21">
        <f t="shared" si="9"/>
        <v>928.67302699792901</v>
      </c>
    </row>
    <row r="249" spans="2:69" x14ac:dyDescent="0.35">
      <c r="B249" t="s">
        <v>261</v>
      </c>
      <c r="C249" t="s">
        <v>262</v>
      </c>
      <c r="D249" t="str" cm="1">
        <f t="array" ref="D249">_xlfn.REGEXEXTRACT(G249,"FG-R-\d{4}LE\d{2}")</f>
        <v>FG-R-2203LE26</v>
      </c>
      <c r="E249" t="s">
        <v>297</v>
      </c>
      <c r="F249" s="23" cm="1">
        <f t="array" ref="F249">_xlfn.SWITCH(TRUE,T249&gt;0,T249,Z249)</f>
        <v>1054.44</v>
      </c>
      <c r="G249" s="10" t="s">
        <v>250</v>
      </c>
      <c r="H249" s="10" t="s">
        <v>124</v>
      </c>
      <c r="I249" s="10" t="s">
        <v>251</v>
      </c>
      <c r="J249" s="11" t="s">
        <v>238</v>
      </c>
      <c r="K249" s="11" t="s">
        <v>238</v>
      </c>
      <c r="L249" s="10" t="s">
        <v>250</v>
      </c>
      <c r="M249" s="10" t="s">
        <v>252</v>
      </c>
      <c r="N249" s="10" t="s">
        <v>43</v>
      </c>
      <c r="O249" s="10" t="s">
        <v>69</v>
      </c>
      <c r="P249" s="10" t="s">
        <v>45</v>
      </c>
      <c r="Q249" s="10" t="s">
        <v>46</v>
      </c>
      <c r="R249" s="12">
        <v>9</v>
      </c>
      <c r="S249" s="13">
        <v>829.44</v>
      </c>
      <c r="T249" s="13">
        <v>1054.44</v>
      </c>
      <c r="U249" s="12">
        <v>0</v>
      </c>
      <c r="V249" s="13">
        <v>829.44</v>
      </c>
      <c r="W249" s="13">
        <v>829.44</v>
      </c>
      <c r="X249" s="12">
        <v>0</v>
      </c>
      <c r="Y249" s="13">
        <v>0</v>
      </c>
      <c r="Z249" s="13">
        <v>0</v>
      </c>
      <c r="AA249" s="12">
        <v>0</v>
      </c>
      <c r="AB249" s="13">
        <v>0</v>
      </c>
      <c r="AC249" s="13">
        <v>0</v>
      </c>
      <c r="AD249" s="12">
        <v>9</v>
      </c>
      <c r="AE249" s="12">
        <v>0</v>
      </c>
      <c r="AF249" s="12">
        <v>0</v>
      </c>
      <c r="AG249" s="12">
        <v>9</v>
      </c>
      <c r="AH249" s="12">
        <v>0</v>
      </c>
      <c r="AI249" s="12">
        <v>0</v>
      </c>
      <c r="AJ249" s="10">
        <v>6212919</v>
      </c>
      <c r="AK249" s="10" t="s">
        <v>47</v>
      </c>
      <c r="AL249" s="14" t="s">
        <v>241</v>
      </c>
      <c r="AM249" s="10" t="s">
        <v>49</v>
      </c>
      <c r="AN249" s="15">
        <v>202300058973</v>
      </c>
      <c r="AO249" s="16" t="s">
        <v>242</v>
      </c>
      <c r="AP249" s="17">
        <v>35987.49</v>
      </c>
      <c r="AQ249" s="10" t="s">
        <v>51</v>
      </c>
      <c r="AR249" s="10" t="s">
        <v>83</v>
      </c>
      <c r="AS249" s="12">
        <v>12960</v>
      </c>
      <c r="AT249" s="10" t="s">
        <v>53</v>
      </c>
      <c r="AU249" s="10">
        <v>26101200</v>
      </c>
      <c r="AV249" s="10" t="s">
        <v>78</v>
      </c>
      <c r="AW249" s="10" t="s">
        <v>55</v>
      </c>
      <c r="AX249" s="10" t="s">
        <v>56</v>
      </c>
      <c r="AY249" s="10" t="s">
        <v>79</v>
      </c>
      <c r="AZ249" s="10" t="s">
        <v>80</v>
      </c>
      <c r="BG249" t="str">
        <v>Outbound</v>
      </c>
      <c r="BH249" t="str">
        <v>Land</v>
      </c>
      <c r="BI249" t="str">
        <v>FG-R-2204LE26</v>
      </c>
      <c r="BJ249" t="str">
        <v>JOHNSON ELECTRIC NORTH AMERICA, INC.</v>
      </c>
      <c r="BK249" t="str">
        <v xml:space="preserve">APX WH  6001 GLOBAL DISTRIBUTION WAY LOUISVILLE, KY 40228    </v>
      </c>
      <c r="BL249" t="str">
        <v>M45</v>
      </c>
      <c r="BM249" t="str">
        <v>1999-1E30016EU</v>
      </c>
      <c r="BN249" s="24">
        <v>1008</v>
      </c>
      <c r="BO249" s="23">
        <v>883.21600000000001</v>
      </c>
      <c r="BP249" s="26">
        <f t="shared" si="8"/>
        <v>4.7200563489272637E-2</v>
      </c>
      <c r="BQ249" s="21">
        <f t="shared" si="9"/>
        <v>232.16825674948225</v>
      </c>
    </row>
    <row r="250" spans="2:69" x14ac:dyDescent="0.35">
      <c r="B250" t="s">
        <v>261</v>
      </c>
      <c r="C250" t="s">
        <v>262</v>
      </c>
      <c r="D250" t="str" cm="1">
        <f t="array" ref="D250">_xlfn.REGEXEXTRACT(G250,"FG-R-\d{4}LE\d{2}")</f>
        <v>FG-R-2203LE26</v>
      </c>
      <c r="E250" t="s">
        <v>298</v>
      </c>
      <c r="F250" s="23" cm="1">
        <f t="array" ref="F250">_xlfn.SWITCH(TRUE,T250&gt;0,T250,Z250)</f>
        <v>122.44</v>
      </c>
      <c r="G250" s="10" t="s">
        <v>250</v>
      </c>
      <c r="H250" s="10" t="s">
        <v>124</v>
      </c>
      <c r="I250" s="10" t="s">
        <v>251</v>
      </c>
      <c r="J250" s="11" t="s">
        <v>238</v>
      </c>
      <c r="K250" s="11" t="s">
        <v>238</v>
      </c>
      <c r="L250" s="10" t="s">
        <v>250</v>
      </c>
      <c r="M250" s="10" t="s">
        <v>252</v>
      </c>
      <c r="N250" s="10" t="s">
        <v>43</v>
      </c>
      <c r="O250" s="10" t="s">
        <v>69</v>
      </c>
      <c r="P250" s="10" t="s">
        <v>45</v>
      </c>
      <c r="Q250" s="10" t="s">
        <v>46</v>
      </c>
      <c r="R250" s="12">
        <v>1</v>
      </c>
      <c r="S250" s="13">
        <v>101.44</v>
      </c>
      <c r="T250" s="13">
        <v>122.44</v>
      </c>
      <c r="U250" s="12">
        <v>50</v>
      </c>
      <c r="V250" s="13">
        <v>26.44</v>
      </c>
      <c r="W250" s="13">
        <v>101.44</v>
      </c>
      <c r="X250" s="12">
        <v>0</v>
      </c>
      <c r="Y250" s="13">
        <v>0</v>
      </c>
      <c r="Z250" s="13">
        <v>0</v>
      </c>
      <c r="AA250" s="12">
        <v>0</v>
      </c>
      <c r="AB250" s="13">
        <v>0</v>
      </c>
      <c r="AC250" s="13">
        <v>0</v>
      </c>
      <c r="AD250" s="12">
        <v>1</v>
      </c>
      <c r="AE250" s="12">
        <v>0</v>
      </c>
      <c r="AF250" s="12">
        <v>0</v>
      </c>
      <c r="AG250" s="12">
        <v>1</v>
      </c>
      <c r="AH250" s="12">
        <v>0</v>
      </c>
      <c r="AI250" s="12">
        <v>0</v>
      </c>
      <c r="AJ250" s="10">
        <v>6212900</v>
      </c>
      <c r="AK250" s="10" t="s">
        <v>47</v>
      </c>
      <c r="AL250" s="14" t="s">
        <v>241</v>
      </c>
      <c r="AM250" s="10" t="s">
        <v>49</v>
      </c>
      <c r="AN250" s="15">
        <v>202300058971</v>
      </c>
      <c r="AO250" s="16" t="s">
        <v>242</v>
      </c>
      <c r="AP250" s="17">
        <v>1842.63</v>
      </c>
      <c r="AQ250" s="10" t="s">
        <v>51</v>
      </c>
      <c r="AR250" s="10" t="s">
        <v>253</v>
      </c>
      <c r="AS250" s="12">
        <v>200</v>
      </c>
      <c r="AT250" s="10" t="s">
        <v>53</v>
      </c>
      <c r="AU250" s="10">
        <v>26101100</v>
      </c>
      <c r="AV250" s="10" t="s">
        <v>87</v>
      </c>
      <c r="AW250" s="10" t="s">
        <v>55</v>
      </c>
      <c r="AX250" s="10" t="s">
        <v>56</v>
      </c>
      <c r="AY250" s="10" t="s">
        <v>79</v>
      </c>
      <c r="AZ250" s="10" t="s">
        <v>80</v>
      </c>
      <c r="BG250" t="str">
        <v>Outbound</v>
      </c>
      <c r="BH250" t="str">
        <v>Land</v>
      </c>
      <c r="BI250" t="str">
        <v>FG-R-2204LE26</v>
      </c>
      <c r="BJ250" t="str">
        <v>JOHNSON ELECTRIC NORTH AMERICA, INC.</v>
      </c>
      <c r="BK250" t="str">
        <v xml:space="preserve">APX WH  6001 GLOBAL DISTRIBUTION WAY LOUISVILLE, KY 40228    </v>
      </c>
      <c r="BL250" t="str">
        <v>M45</v>
      </c>
      <c r="BM250" t="str">
        <v>1999-1E30015EN</v>
      </c>
      <c r="BN250" s="24">
        <v>2250</v>
      </c>
      <c r="BO250" s="23">
        <v>899.74</v>
      </c>
      <c r="BP250" s="26">
        <f t="shared" si="8"/>
        <v>4.808363412102834E-2</v>
      </c>
      <c r="BQ250" s="21">
        <f t="shared" si="9"/>
        <v>236.51186949486782</v>
      </c>
    </row>
    <row r="251" spans="2:69" x14ac:dyDescent="0.35">
      <c r="B251" t="s">
        <v>261</v>
      </c>
      <c r="C251" t="s">
        <v>262</v>
      </c>
      <c r="D251" t="str" cm="1">
        <f t="array" ref="D251">_xlfn.REGEXEXTRACT(G251,"FG-R-\d{4}LE\d{2}")</f>
        <v>FG-R-2203LE26</v>
      </c>
      <c r="E251" t="s">
        <v>298</v>
      </c>
      <c r="F251" s="23" cm="1">
        <f t="array" ref="F251">_xlfn.SWITCH(TRUE,T251&gt;0,T251,Z251)</f>
        <v>122.44</v>
      </c>
      <c r="G251" s="10" t="s">
        <v>250</v>
      </c>
      <c r="H251" s="10" t="s">
        <v>124</v>
      </c>
      <c r="I251" s="10" t="s">
        <v>251</v>
      </c>
      <c r="J251" s="11" t="s">
        <v>238</v>
      </c>
      <c r="K251" s="11" t="s">
        <v>238</v>
      </c>
      <c r="L251" s="10" t="s">
        <v>250</v>
      </c>
      <c r="M251" s="10" t="s">
        <v>252</v>
      </c>
      <c r="N251" s="10" t="s">
        <v>43</v>
      </c>
      <c r="O251" s="10" t="s">
        <v>69</v>
      </c>
      <c r="P251" s="10" t="s">
        <v>45</v>
      </c>
      <c r="Q251" s="10" t="s">
        <v>46</v>
      </c>
      <c r="R251" s="12">
        <v>1</v>
      </c>
      <c r="S251" s="13">
        <v>101.44</v>
      </c>
      <c r="T251" s="13">
        <v>122.44</v>
      </c>
      <c r="U251" s="12">
        <v>50</v>
      </c>
      <c r="V251" s="13">
        <v>26.44</v>
      </c>
      <c r="W251" s="13">
        <v>101.44</v>
      </c>
      <c r="X251" s="12">
        <v>0</v>
      </c>
      <c r="Y251" s="13">
        <v>0</v>
      </c>
      <c r="Z251" s="13">
        <v>0</v>
      </c>
      <c r="AA251" s="12">
        <v>0</v>
      </c>
      <c r="AB251" s="13">
        <v>0</v>
      </c>
      <c r="AC251" s="13">
        <v>0</v>
      </c>
      <c r="AD251" s="12">
        <v>1</v>
      </c>
      <c r="AE251" s="12">
        <v>0</v>
      </c>
      <c r="AF251" s="12">
        <v>0</v>
      </c>
      <c r="AG251" s="12">
        <v>1</v>
      </c>
      <c r="AH251" s="12">
        <v>0</v>
      </c>
      <c r="AI251" s="12">
        <v>0</v>
      </c>
      <c r="AJ251" s="10">
        <v>6212895</v>
      </c>
      <c r="AK251" s="10" t="s">
        <v>47</v>
      </c>
      <c r="AL251" s="14" t="s">
        <v>241</v>
      </c>
      <c r="AM251" s="10" t="s">
        <v>49</v>
      </c>
      <c r="AN251" s="15">
        <v>202300058968</v>
      </c>
      <c r="AO251" s="16" t="s">
        <v>242</v>
      </c>
      <c r="AP251" s="17">
        <v>1346.81</v>
      </c>
      <c r="AQ251" s="10" t="s">
        <v>51</v>
      </c>
      <c r="AR251" s="10" t="s">
        <v>86</v>
      </c>
      <c r="AS251" s="12">
        <v>200</v>
      </c>
      <c r="AT251" s="10" t="s">
        <v>53</v>
      </c>
      <c r="AU251" s="10">
        <v>26101100</v>
      </c>
      <c r="AV251" s="10" t="s">
        <v>87</v>
      </c>
      <c r="AW251" s="10" t="s">
        <v>55</v>
      </c>
      <c r="AX251" s="10" t="s">
        <v>56</v>
      </c>
      <c r="AY251" s="10" t="s">
        <v>79</v>
      </c>
      <c r="AZ251" s="10" t="s">
        <v>80</v>
      </c>
      <c r="BG251" t="str">
        <v>Outbound</v>
      </c>
      <c r="BH251" t="str">
        <v>Land</v>
      </c>
      <c r="BI251" t="str">
        <v>FG-R-2205LE26</v>
      </c>
      <c r="BJ251" t="str">
        <v>SAIA-BURGESS AUTOMOTIVE ACTUATORS, LLC</v>
      </c>
      <c r="BK251" t="str">
        <v xml:space="preserve">755 Bill Jones Drive      </v>
      </c>
      <c r="BL251" t="str">
        <v>M19</v>
      </c>
      <c r="BM251" t="str">
        <v>1999-5YY1255EN</v>
      </c>
      <c r="BN251" s="24">
        <v>4320</v>
      </c>
      <c r="BO251" s="23">
        <v>9371.0400000000009</v>
      </c>
      <c r="BP251" s="26">
        <f t="shared" si="8"/>
        <v>0.20398748887880022</v>
      </c>
      <c r="BQ251" s="21">
        <f t="shared" si="9"/>
        <v>1003.365557329817</v>
      </c>
    </row>
    <row r="252" spans="2:69" x14ac:dyDescent="0.35">
      <c r="B252" t="s">
        <v>261</v>
      </c>
      <c r="C252" t="s">
        <v>262</v>
      </c>
      <c r="D252" t="str" cm="1">
        <f t="array" ref="D252">_xlfn.REGEXEXTRACT(G252,"FG-R-\d{4}LE\d{2}")</f>
        <v>FG-R-2203LE26</v>
      </c>
      <c r="E252" t="s">
        <v>298</v>
      </c>
      <c r="F252" s="23" cm="1">
        <f t="array" ref="F252">_xlfn.SWITCH(TRUE,T252&gt;0,T252,Z252)</f>
        <v>122.44</v>
      </c>
      <c r="G252" s="10" t="s">
        <v>250</v>
      </c>
      <c r="H252" s="10" t="s">
        <v>124</v>
      </c>
      <c r="I252" s="10" t="s">
        <v>251</v>
      </c>
      <c r="J252" s="11" t="s">
        <v>238</v>
      </c>
      <c r="K252" s="11" t="s">
        <v>238</v>
      </c>
      <c r="L252" s="10" t="s">
        <v>250</v>
      </c>
      <c r="M252" s="10" t="s">
        <v>252</v>
      </c>
      <c r="N252" s="10" t="s">
        <v>43</v>
      </c>
      <c r="O252" s="10" t="s">
        <v>69</v>
      </c>
      <c r="P252" s="10" t="s">
        <v>45</v>
      </c>
      <c r="Q252" s="10" t="s">
        <v>46</v>
      </c>
      <c r="R252" s="12">
        <v>1</v>
      </c>
      <c r="S252" s="13">
        <v>101.44</v>
      </c>
      <c r="T252" s="13">
        <v>122.44</v>
      </c>
      <c r="U252" s="12">
        <v>50</v>
      </c>
      <c r="V252" s="13">
        <v>26.44</v>
      </c>
      <c r="W252" s="13">
        <v>101.44</v>
      </c>
      <c r="X252" s="12">
        <v>0</v>
      </c>
      <c r="Y252" s="13">
        <v>0</v>
      </c>
      <c r="Z252" s="13">
        <v>0</v>
      </c>
      <c r="AA252" s="12">
        <v>0</v>
      </c>
      <c r="AB252" s="13">
        <v>0</v>
      </c>
      <c r="AC252" s="13">
        <v>0</v>
      </c>
      <c r="AD252" s="12">
        <v>1</v>
      </c>
      <c r="AE252" s="12">
        <v>0</v>
      </c>
      <c r="AF252" s="12">
        <v>0</v>
      </c>
      <c r="AG252" s="12">
        <v>1</v>
      </c>
      <c r="AH252" s="12">
        <v>0</v>
      </c>
      <c r="AI252" s="12">
        <v>0</v>
      </c>
      <c r="AJ252" s="10">
        <v>6212897</v>
      </c>
      <c r="AK252" s="10" t="s">
        <v>47</v>
      </c>
      <c r="AL252" s="14" t="s">
        <v>241</v>
      </c>
      <c r="AM252" s="10" t="s">
        <v>49</v>
      </c>
      <c r="AN252" s="15">
        <v>202300058969</v>
      </c>
      <c r="AO252" s="16" t="s">
        <v>242</v>
      </c>
      <c r="AP252" s="17">
        <v>1346.81</v>
      </c>
      <c r="AQ252" s="10" t="s">
        <v>51</v>
      </c>
      <c r="AR252" s="10" t="s">
        <v>86</v>
      </c>
      <c r="AS252" s="12">
        <v>200</v>
      </c>
      <c r="AT252" s="10" t="s">
        <v>53</v>
      </c>
      <c r="AU252" s="10">
        <v>26101100</v>
      </c>
      <c r="AV252" s="10" t="s">
        <v>87</v>
      </c>
      <c r="AW252" s="10" t="s">
        <v>55</v>
      </c>
      <c r="AX252" s="10" t="s">
        <v>56</v>
      </c>
      <c r="AY252" s="10" t="s">
        <v>79</v>
      </c>
      <c r="AZ252" s="10" t="s">
        <v>80</v>
      </c>
      <c r="BG252" t="str">
        <v>Outbound</v>
      </c>
      <c r="BH252" t="str">
        <v>Land</v>
      </c>
      <c r="BI252" t="str">
        <v>FG-R-2205LE26</v>
      </c>
      <c r="BJ252" t="str">
        <v>SAIA-BURGESS AUTOMOTIVE ACTUATORS, LLC</v>
      </c>
      <c r="BK252" t="str">
        <v xml:space="preserve">755 Bill Jones Drive      </v>
      </c>
      <c r="BL252" t="str">
        <v>M19</v>
      </c>
      <c r="BM252" t="str">
        <v>1999-5YY1255EN</v>
      </c>
      <c r="BN252" s="24">
        <v>4320</v>
      </c>
      <c r="BO252" s="23">
        <v>9371.0400000000009</v>
      </c>
      <c r="BP252" s="26">
        <f t="shared" si="8"/>
        <v>0.20398748887880022</v>
      </c>
      <c r="BQ252" s="21">
        <f t="shared" si="9"/>
        <v>1003.365557329817</v>
      </c>
    </row>
    <row r="253" spans="2:69" x14ac:dyDescent="0.35">
      <c r="B253" t="s">
        <v>261</v>
      </c>
      <c r="C253" t="s">
        <v>262</v>
      </c>
      <c r="D253" t="str" cm="1">
        <f t="array" ref="D253">_xlfn.REGEXEXTRACT(G253,"FG-R-\d{4}LE\d{2}")</f>
        <v>FG-R-2203LE26</v>
      </c>
      <c r="E253" t="s">
        <v>298</v>
      </c>
      <c r="F253" s="23" cm="1">
        <f t="array" ref="F253">_xlfn.SWITCH(TRUE,T253&gt;0,T253,Z253)</f>
        <v>122.44</v>
      </c>
      <c r="G253" s="10" t="s">
        <v>250</v>
      </c>
      <c r="H253" s="10" t="s">
        <v>124</v>
      </c>
      <c r="I253" s="10" t="s">
        <v>251</v>
      </c>
      <c r="J253" s="11" t="s">
        <v>238</v>
      </c>
      <c r="K253" s="11" t="s">
        <v>238</v>
      </c>
      <c r="L253" s="10" t="s">
        <v>250</v>
      </c>
      <c r="M253" s="10" t="s">
        <v>252</v>
      </c>
      <c r="N253" s="10" t="s">
        <v>43</v>
      </c>
      <c r="O253" s="10" t="s">
        <v>69</v>
      </c>
      <c r="P253" s="10" t="s">
        <v>45</v>
      </c>
      <c r="Q253" s="10" t="s">
        <v>46</v>
      </c>
      <c r="R253" s="12">
        <v>1</v>
      </c>
      <c r="S253" s="13">
        <v>101.44</v>
      </c>
      <c r="T253" s="13">
        <v>122.44</v>
      </c>
      <c r="U253" s="12">
        <v>50</v>
      </c>
      <c r="V253" s="13">
        <v>26.44</v>
      </c>
      <c r="W253" s="13">
        <v>101.44</v>
      </c>
      <c r="X253" s="12">
        <v>0</v>
      </c>
      <c r="Y253" s="13">
        <v>0</v>
      </c>
      <c r="Z253" s="13">
        <v>0</v>
      </c>
      <c r="AA253" s="12">
        <v>0</v>
      </c>
      <c r="AB253" s="13">
        <v>0</v>
      </c>
      <c r="AC253" s="13">
        <v>0</v>
      </c>
      <c r="AD253" s="12">
        <v>1</v>
      </c>
      <c r="AE253" s="12">
        <v>0</v>
      </c>
      <c r="AF253" s="12">
        <v>0</v>
      </c>
      <c r="AG253" s="12">
        <v>1</v>
      </c>
      <c r="AH253" s="12">
        <v>0</v>
      </c>
      <c r="AI253" s="12">
        <v>0</v>
      </c>
      <c r="AJ253" s="10">
        <v>6212899</v>
      </c>
      <c r="AK253" s="10" t="s">
        <v>47</v>
      </c>
      <c r="AL253" s="14" t="s">
        <v>241</v>
      </c>
      <c r="AM253" s="10" t="s">
        <v>49</v>
      </c>
      <c r="AN253" s="15">
        <v>202300058970</v>
      </c>
      <c r="AO253" s="16" t="s">
        <v>242</v>
      </c>
      <c r="AP253" s="17">
        <v>1346.81</v>
      </c>
      <c r="AQ253" s="10" t="s">
        <v>51</v>
      </c>
      <c r="AR253" s="10" t="s">
        <v>86</v>
      </c>
      <c r="AS253" s="12">
        <v>200</v>
      </c>
      <c r="AT253" s="10" t="s">
        <v>53</v>
      </c>
      <c r="AU253" s="10">
        <v>26101100</v>
      </c>
      <c r="AV253" s="10" t="s">
        <v>87</v>
      </c>
      <c r="AW253" s="10" t="s">
        <v>55</v>
      </c>
      <c r="AX253" s="10" t="s">
        <v>56</v>
      </c>
      <c r="AY253" s="10" t="s">
        <v>79</v>
      </c>
      <c r="AZ253" s="10" t="s">
        <v>80</v>
      </c>
      <c r="BG253" t="str">
        <v>Outbound</v>
      </c>
      <c r="BH253" t="str">
        <v>Land</v>
      </c>
      <c r="BI253" t="str">
        <v>FG-R-2205LE26</v>
      </c>
      <c r="BJ253" t="str">
        <v>SAIA-BURGESS AUTOMOTIVE ACTUATORS, LLC</v>
      </c>
      <c r="BK253" t="str">
        <v xml:space="preserve">755 Bill Jones Drive      </v>
      </c>
      <c r="BL253" t="str">
        <v>M19</v>
      </c>
      <c r="BM253" t="str">
        <v>1999-5YY2044EN</v>
      </c>
      <c r="BN253" s="24">
        <v>2916</v>
      </c>
      <c r="BO253" s="23">
        <v>9065.7360000000008</v>
      </c>
      <c r="BP253" s="26">
        <f t="shared" si="8"/>
        <v>0.19734167408079986</v>
      </c>
      <c r="BQ253" s="21">
        <f t="shared" si="9"/>
        <v>970.67638749220839</v>
      </c>
    </row>
    <row r="254" spans="2:69" x14ac:dyDescent="0.35">
      <c r="B254" t="s">
        <v>261</v>
      </c>
      <c r="C254" t="s">
        <v>262</v>
      </c>
      <c r="D254" t="str" cm="1">
        <f t="array" ref="D254">_xlfn.REGEXEXTRACT(G254,"FG-R-\d{4}LE\d{2}")</f>
        <v>FG-R-2203LE26</v>
      </c>
      <c r="E254" t="s">
        <v>298</v>
      </c>
      <c r="F254" s="23" cm="1">
        <f t="array" ref="F254">_xlfn.SWITCH(TRUE,T254&gt;0,T254,Z254)</f>
        <v>122.44</v>
      </c>
      <c r="G254" s="10" t="s">
        <v>250</v>
      </c>
      <c r="H254" s="10" t="s">
        <v>124</v>
      </c>
      <c r="I254" s="10" t="s">
        <v>251</v>
      </c>
      <c r="J254" s="11" t="s">
        <v>238</v>
      </c>
      <c r="K254" s="11" t="s">
        <v>238</v>
      </c>
      <c r="L254" s="10" t="s">
        <v>250</v>
      </c>
      <c r="M254" s="10" t="s">
        <v>252</v>
      </c>
      <c r="N254" s="10" t="s">
        <v>43</v>
      </c>
      <c r="O254" s="10" t="s">
        <v>69</v>
      </c>
      <c r="P254" s="10" t="s">
        <v>45</v>
      </c>
      <c r="Q254" s="10" t="s">
        <v>46</v>
      </c>
      <c r="R254" s="12">
        <v>1</v>
      </c>
      <c r="S254" s="13">
        <v>101.44</v>
      </c>
      <c r="T254" s="13">
        <v>122.44</v>
      </c>
      <c r="U254" s="12">
        <v>50</v>
      </c>
      <c r="V254" s="13">
        <v>26.44</v>
      </c>
      <c r="W254" s="13">
        <v>101.44</v>
      </c>
      <c r="X254" s="12">
        <v>0</v>
      </c>
      <c r="Y254" s="13">
        <v>0</v>
      </c>
      <c r="Z254" s="13">
        <v>0</v>
      </c>
      <c r="AA254" s="12">
        <v>0</v>
      </c>
      <c r="AB254" s="13">
        <v>0</v>
      </c>
      <c r="AC254" s="13">
        <v>0</v>
      </c>
      <c r="AD254" s="12">
        <v>1</v>
      </c>
      <c r="AE254" s="12">
        <v>0</v>
      </c>
      <c r="AF254" s="12">
        <v>0</v>
      </c>
      <c r="AG254" s="12">
        <v>1</v>
      </c>
      <c r="AH254" s="12">
        <v>0</v>
      </c>
      <c r="AI254" s="12">
        <v>0</v>
      </c>
      <c r="AJ254" s="10">
        <v>6214239</v>
      </c>
      <c r="AK254" s="10" t="s">
        <v>47</v>
      </c>
      <c r="AL254" s="14" t="s">
        <v>241</v>
      </c>
      <c r="AM254" s="10" t="s">
        <v>49</v>
      </c>
      <c r="AN254" s="15">
        <v>202300058983</v>
      </c>
      <c r="AO254" s="16" t="s">
        <v>243</v>
      </c>
      <c r="AP254" s="17">
        <v>1346.81</v>
      </c>
      <c r="AQ254" s="10" t="s">
        <v>51</v>
      </c>
      <c r="AR254" s="10" t="s">
        <v>86</v>
      </c>
      <c r="AS254" s="12">
        <v>200</v>
      </c>
      <c r="AT254" s="10" t="s">
        <v>53</v>
      </c>
      <c r="AU254" s="10">
        <v>26101100</v>
      </c>
      <c r="AV254" s="10" t="s">
        <v>87</v>
      </c>
      <c r="AW254" s="10" t="s">
        <v>55</v>
      </c>
      <c r="AX254" s="10" t="s">
        <v>56</v>
      </c>
      <c r="AY254" s="10" t="s">
        <v>79</v>
      </c>
      <c r="AZ254" s="10" t="s">
        <v>80</v>
      </c>
      <c r="BG254" t="str">
        <v>Outbound</v>
      </c>
      <c r="BH254" t="str">
        <v>Land</v>
      </c>
      <c r="BI254" t="str">
        <v>FG-R-2205LE26</v>
      </c>
      <c r="BJ254" t="str">
        <v>SAIA-BURGESS AUTOMOTIVE ACTUATORS, LLC</v>
      </c>
      <c r="BK254" t="str">
        <v xml:space="preserve">755 Bill Jones Drive      </v>
      </c>
      <c r="BL254" t="str">
        <v>M19</v>
      </c>
      <c r="BM254" t="str">
        <v>1999-5YY2044EN</v>
      </c>
      <c r="BN254" s="24">
        <v>2916</v>
      </c>
      <c r="BO254" s="23">
        <v>9065.7360000000008</v>
      </c>
      <c r="BP254" s="26">
        <f t="shared" si="8"/>
        <v>0.19734167408079986</v>
      </c>
      <c r="BQ254" s="21">
        <f t="shared" si="9"/>
        <v>970.67638749220839</v>
      </c>
    </row>
    <row r="255" spans="2:69" x14ac:dyDescent="0.35">
      <c r="B255" t="s">
        <v>261</v>
      </c>
      <c r="C255" t="s">
        <v>262</v>
      </c>
      <c r="D255" t="str" cm="1">
        <f t="array" ref="D255">_xlfn.REGEXEXTRACT(G255,"FG-R-\d{4}LE\d{2}")</f>
        <v>FG-R-2203LE26</v>
      </c>
      <c r="E255" t="s">
        <v>298</v>
      </c>
      <c r="F255" s="23" cm="1">
        <f t="array" ref="F255">_xlfn.SWITCH(TRUE,T255&gt;0,T255,Z255)</f>
        <v>714</v>
      </c>
      <c r="G255" s="10" t="s">
        <v>250</v>
      </c>
      <c r="H255" s="10" t="s">
        <v>124</v>
      </c>
      <c r="I255" s="10" t="s">
        <v>251</v>
      </c>
      <c r="J255" s="11" t="s">
        <v>238</v>
      </c>
      <c r="K255" s="11" t="s">
        <v>238</v>
      </c>
      <c r="L255" s="10" t="s">
        <v>250</v>
      </c>
      <c r="M255" s="10" t="s">
        <v>252</v>
      </c>
      <c r="N255" s="10" t="s">
        <v>43</v>
      </c>
      <c r="O255" s="10" t="s">
        <v>69</v>
      </c>
      <c r="P255" s="10" t="s">
        <v>45</v>
      </c>
      <c r="Q255" s="10" t="s">
        <v>46</v>
      </c>
      <c r="R255" s="12">
        <v>2</v>
      </c>
      <c r="S255" s="13">
        <v>672</v>
      </c>
      <c r="T255" s="13">
        <v>714</v>
      </c>
      <c r="U255" s="12">
        <v>250</v>
      </c>
      <c r="V255" s="13">
        <v>297</v>
      </c>
      <c r="W255" s="13">
        <v>672</v>
      </c>
      <c r="X255" s="12">
        <v>0</v>
      </c>
      <c r="Y255" s="13">
        <v>0</v>
      </c>
      <c r="Z255" s="13">
        <v>0</v>
      </c>
      <c r="AA255" s="12">
        <v>0</v>
      </c>
      <c r="AB255" s="13">
        <v>0</v>
      </c>
      <c r="AC255" s="13">
        <v>0</v>
      </c>
      <c r="AD255" s="12">
        <v>2</v>
      </c>
      <c r="AE255" s="12">
        <v>0</v>
      </c>
      <c r="AF255" s="12">
        <v>0</v>
      </c>
      <c r="AG255" s="12">
        <v>2</v>
      </c>
      <c r="AH255" s="12">
        <v>0</v>
      </c>
      <c r="AI255" s="12">
        <v>0</v>
      </c>
      <c r="AJ255" s="10">
        <v>6212926</v>
      </c>
      <c r="AK255" s="10" t="s">
        <v>47</v>
      </c>
      <c r="AL255" s="14" t="s">
        <v>241</v>
      </c>
      <c r="AM255" s="10" t="s">
        <v>49</v>
      </c>
      <c r="AN255" s="15">
        <v>202300058972</v>
      </c>
      <c r="AO255" s="16" t="s">
        <v>242</v>
      </c>
      <c r="AP255" s="17">
        <v>10903.48</v>
      </c>
      <c r="AQ255" s="10" t="s">
        <v>51</v>
      </c>
      <c r="AR255" s="10" t="s">
        <v>130</v>
      </c>
      <c r="AS255" s="12">
        <v>1500</v>
      </c>
      <c r="AT255" s="10" t="s">
        <v>53</v>
      </c>
      <c r="AU255" s="10">
        <v>26101100</v>
      </c>
      <c r="AV255" s="10" t="s">
        <v>87</v>
      </c>
      <c r="AW255" s="10" t="s">
        <v>55</v>
      </c>
      <c r="AX255" s="10" t="s">
        <v>56</v>
      </c>
      <c r="AY255" s="10" t="s">
        <v>79</v>
      </c>
      <c r="AZ255" s="10" t="s">
        <v>80</v>
      </c>
      <c r="BG255" t="str">
        <v>Outbound</v>
      </c>
      <c r="BH255" t="str">
        <v>Land</v>
      </c>
      <c r="BI255" t="str">
        <v>FG-R-2205LE26</v>
      </c>
      <c r="BJ255" t="str">
        <v>SAIA-BURGESS AUTOMOTIVE ACTUATORS, LLC</v>
      </c>
      <c r="BK255" t="str">
        <v xml:space="preserve">755 Bill Jones Drive      </v>
      </c>
      <c r="BL255" t="str">
        <v>M19</v>
      </c>
      <c r="BM255" t="str">
        <v>1999-5YY2044EN</v>
      </c>
      <c r="BN255" s="24">
        <v>2916</v>
      </c>
      <c r="BO255" s="23">
        <v>9065.7360000000008</v>
      </c>
      <c r="BP255" s="26">
        <f t="shared" si="8"/>
        <v>0.19734167408079986</v>
      </c>
      <c r="BQ255" s="21">
        <f t="shared" si="9"/>
        <v>970.67638749220839</v>
      </c>
    </row>
    <row r="256" spans="2:69" x14ac:dyDescent="0.35">
      <c r="B256" t="s">
        <v>261</v>
      </c>
      <c r="C256" t="s">
        <v>262</v>
      </c>
      <c r="D256" t="str" cm="1">
        <f t="array" ref="D256">_xlfn.REGEXEXTRACT(G256,"FG-R-\d{4}LE\d{2}")</f>
        <v>FG-R-2206LE26</v>
      </c>
      <c r="E256" t="s">
        <v>299</v>
      </c>
      <c r="F256" s="23" cm="1">
        <f t="array" ref="F256">_xlfn.SWITCH(TRUE,T256&gt;0,T256,Z256)</f>
        <v>4277.232</v>
      </c>
      <c r="G256" s="10" t="s">
        <v>244</v>
      </c>
      <c r="H256" s="10" t="s">
        <v>38</v>
      </c>
      <c r="I256" s="10" t="s">
        <v>245</v>
      </c>
      <c r="J256" s="11" t="s">
        <v>238</v>
      </c>
      <c r="K256" s="11" t="s">
        <v>238</v>
      </c>
      <c r="L256" s="10" t="s">
        <v>244</v>
      </c>
      <c r="M256" s="10" t="s">
        <v>246</v>
      </c>
      <c r="N256" s="10" t="s">
        <v>93</v>
      </c>
      <c r="O256" s="10" t="s">
        <v>94</v>
      </c>
      <c r="P256" s="10" t="s">
        <v>95</v>
      </c>
      <c r="Q256" s="10" t="s">
        <v>96</v>
      </c>
      <c r="R256" s="12">
        <v>9</v>
      </c>
      <c r="S256" s="13">
        <v>4088.232</v>
      </c>
      <c r="T256" s="13">
        <v>4277.232</v>
      </c>
      <c r="U256" s="12">
        <v>486</v>
      </c>
      <c r="V256" s="13">
        <v>3841.3440000000001</v>
      </c>
      <c r="W256" s="13">
        <v>4088.232</v>
      </c>
      <c r="X256" s="12">
        <v>0</v>
      </c>
      <c r="Y256" s="13">
        <v>0</v>
      </c>
      <c r="Z256" s="13">
        <v>0</v>
      </c>
      <c r="AA256" s="12">
        <v>0</v>
      </c>
      <c r="AB256" s="13">
        <v>0</v>
      </c>
      <c r="AC256" s="13">
        <v>0</v>
      </c>
      <c r="AD256" s="12">
        <v>9</v>
      </c>
      <c r="AE256" s="12">
        <v>0</v>
      </c>
      <c r="AF256" s="12">
        <v>0</v>
      </c>
      <c r="AG256" s="12">
        <v>9</v>
      </c>
      <c r="AH256" s="12">
        <v>0</v>
      </c>
      <c r="AI256" s="12">
        <v>0</v>
      </c>
      <c r="AJ256" s="10">
        <v>6214314</v>
      </c>
      <c r="AK256" s="10" t="s">
        <v>47</v>
      </c>
      <c r="AL256" s="14" t="s">
        <v>254</v>
      </c>
      <c r="AM256" s="10" t="s">
        <v>97</v>
      </c>
      <c r="AN256" s="15">
        <v>202000290624</v>
      </c>
      <c r="AO256" s="16" t="s">
        <v>243</v>
      </c>
      <c r="AP256" s="17">
        <v>26060.94</v>
      </c>
      <c r="AQ256" s="10" t="s">
        <v>51</v>
      </c>
      <c r="AR256" s="10" t="s">
        <v>145</v>
      </c>
      <c r="AS256" s="12">
        <v>1944</v>
      </c>
      <c r="AT256" s="10" t="s">
        <v>53</v>
      </c>
      <c r="AU256" s="10">
        <v>26101200</v>
      </c>
      <c r="AV256" s="10" t="s">
        <v>78</v>
      </c>
      <c r="AW256" s="10" t="s">
        <v>55</v>
      </c>
      <c r="AX256" s="10" t="s">
        <v>56</v>
      </c>
      <c r="AY256" s="10" t="s">
        <v>99</v>
      </c>
      <c r="AZ256" s="10" t="s">
        <v>100</v>
      </c>
      <c r="BG256" t="str">
        <v>Outbound</v>
      </c>
      <c r="BH256" t="str">
        <v>Land</v>
      </c>
      <c r="BI256" t="str">
        <v>FG-R-2206LE26</v>
      </c>
      <c r="BJ256" t="str">
        <v>SAIA-BURGESS AUTOMOTIVE ACTUATORS, LLC</v>
      </c>
      <c r="BK256" t="str">
        <v xml:space="preserve">755 Bill Jones Drive      </v>
      </c>
      <c r="BL256" t="str">
        <v>M19</v>
      </c>
      <c r="BM256" t="str">
        <v>1999-5YY1255EN</v>
      </c>
      <c r="BN256" s="24">
        <v>2160</v>
      </c>
      <c r="BO256" s="23">
        <v>4685.5200000000004</v>
      </c>
      <c r="BP256" s="26">
        <f t="shared" si="8"/>
        <v>0.15878166808995164</v>
      </c>
      <c r="BQ256" s="21">
        <f t="shared" si="9"/>
        <v>781.00896173828801</v>
      </c>
    </row>
    <row r="257" spans="2:75" x14ac:dyDescent="0.35">
      <c r="B257" t="s">
        <v>261</v>
      </c>
      <c r="C257" t="s">
        <v>262</v>
      </c>
      <c r="D257" t="str" cm="1">
        <f t="array" ref="D257">_xlfn.REGEXEXTRACT(G257,"FG-R-\d{4}LE\d{2}")</f>
        <v>FG-R-2206LE26</v>
      </c>
      <c r="E257" t="s">
        <v>299</v>
      </c>
      <c r="F257" s="23" cm="1">
        <f t="array" ref="F257">_xlfn.SWITCH(TRUE,T257&gt;0,T257,Z257)</f>
        <v>4277.232</v>
      </c>
      <c r="G257" s="10" t="s">
        <v>244</v>
      </c>
      <c r="H257" s="10" t="s">
        <v>38</v>
      </c>
      <c r="I257" s="10" t="s">
        <v>245</v>
      </c>
      <c r="J257" s="11" t="s">
        <v>238</v>
      </c>
      <c r="K257" s="11" t="s">
        <v>238</v>
      </c>
      <c r="L257" s="10" t="s">
        <v>244</v>
      </c>
      <c r="M257" s="10" t="s">
        <v>246</v>
      </c>
      <c r="N257" s="10" t="s">
        <v>93</v>
      </c>
      <c r="O257" s="10" t="s">
        <v>94</v>
      </c>
      <c r="P257" s="10" t="s">
        <v>95</v>
      </c>
      <c r="Q257" s="10" t="s">
        <v>96</v>
      </c>
      <c r="R257" s="12">
        <v>9</v>
      </c>
      <c r="S257" s="13">
        <v>4088.232</v>
      </c>
      <c r="T257" s="13">
        <v>4277.232</v>
      </c>
      <c r="U257" s="12">
        <v>486</v>
      </c>
      <c r="V257" s="13">
        <v>3841.3440000000001</v>
      </c>
      <c r="W257" s="13">
        <v>4088.232</v>
      </c>
      <c r="X257" s="12">
        <v>0</v>
      </c>
      <c r="Y257" s="13">
        <v>0</v>
      </c>
      <c r="Z257" s="13">
        <v>0</v>
      </c>
      <c r="AA257" s="12">
        <v>0</v>
      </c>
      <c r="AB257" s="13">
        <v>0</v>
      </c>
      <c r="AC257" s="13">
        <v>0</v>
      </c>
      <c r="AD257" s="12">
        <v>9</v>
      </c>
      <c r="AE257" s="12">
        <v>0</v>
      </c>
      <c r="AF257" s="12">
        <v>0</v>
      </c>
      <c r="AG257" s="12">
        <v>9</v>
      </c>
      <c r="AH257" s="12">
        <v>0</v>
      </c>
      <c r="AI257" s="12">
        <v>0</v>
      </c>
      <c r="AJ257" s="10">
        <v>6214314</v>
      </c>
      <c r="AK257" s="10" t="s">
        <v>47</v>
      </c>
      <c r="AL257" s="14" t="s">
        <v>254</v>
      </c>
      <c r="AM257" s="10" t="s">
        <v>97</v>
      </c>
      <c r="AN257" s="15">
        <v>202000290625</v>
      </c>
      <c r="AO257" s="16" t="s">
        <v>243</v>
      </c>
      <c r="AP257" s="17">
        <v>52121.89</v>
      </c>
      <c r="AQ257" s="10" t="s">
        <v>51</v>
      </c>
      <c r="AR257" s="10" t="s">
        <v>145</v>
      </c>
      <c r="AS257" s="12">
        <v>1944</v>
      </c>
      <c r="AT257" s="10" t="s">
        <v>53</v>
      </c>
      <c r="AU257" s="10">
        <v>26101200</v>
      </c>
      <c r="AV257" s="10" t="s">
        <v>78</v>
      </c>
      <c r="AW257" s="10" t="s">
        <v>55</v>
      </c>
      <c r="AX257" s="10" t="s">
        <v>56</v>
      </c>
      <c r="AY257" s="10" t="s">
        <v>99</v>
      </c>
      <c r="AZ257" s="10" t="s">
        <v>100</v>
      </c>
      <c r="BG257" t="str">
        <v>Outbound</v>
      </c>
      <c r="BH257" t="str">
        <v>Land</v>
      </c>
      <c r="BI257" t="str">
        <v>FG-R-2206LE26</v>
      </c>
      <c r="BJ257" t="str">
        <v>SAIA-BURGESS AUTOMOTIVE ACTUATORS, LLC</v>
      </c>
      <c r="BK257" t="str">
        <v xml:space="preserve">755 Bill Jones Drive      </v>
      </c>
      <c r="BL257" t="str">
        <v>M19</v>
      </c>
      <c r="BM257" t="str">
        <v>1999-5YY0898EN</v>
      </c>
      <c r="BN257" s="24">
        <v>1600</v>
      </c>
      <c r="BO257" s="23">
        <v>2073.2399999999998</v>
      </c>
      <c r="BP257" s="26">
        <f t="shared" si="8"/>
        <v>7.0257411248017571E-2</v>
      </c>
      <c r="BQ257" s="21">
        <f t="shared" si="9"/>
        <v>345.57936362117505</v>
      </c>
    </row>
    <row r="258" spans="2:75" x14ac:dyDescent="0.35">
      <c r="B258" t="s">
        <v>261</v>
      </c>
      <c r="C258" t="s">
        <v>262</v>
      </c>
      <c r="D258" t="str" cm="1">
        <f t="array" ref="D258">_xlfn.REGEXEXTRACT(G258,"FG-R-\d{4}LE\d{2}")</f>
        <v>FG-R-2202LE26</v>
      </c>
      <c r="E258" t="s">
        <v>299</v>
      </c>
      <c r="F258" s="23" cm="1">
        <f t="array" ref="F258">_xlfn.SWITCH(TRUE,T258&gt;0,T258,Z258)</f>
        <v>11245.248</v>
      </c>
      <c r="G258" s="10" t="s">
        <v>255</v>
      </c>
      <c r="H258" s="10" t="s">
        <v>172</v>
      </c>
      <c r="I258" s="10" t="s">
        <v>256</v>
      </c>
      <c r="J258" s="11" t="s">
        <v>257</v>
      </c>
      <c r="K258" s="11" t="s">
        <v>257</v>
      </c>
      <c r="L258" s="10" t="s">
        <v>255</v>
      </c>
      <c r="M258" s="10" t="s">
        <v>258</v>
      </c>
      <c r="N258" s="10" t="s">
        <v>93</v>
      </c>
      <c r="O258" s="10" t="s">
        <v>94</v>
      </c>
      <c r="P258" s="10" t="s">
        <v>95</v>
      </c>
      <c r="Q258" s="10" t="s">
        <v>96</v>
      </c>
      <c r="R258" s="12">
        <v>24</v>
      </c>
      <c r="S258" s="13">
        <v>10741.248</v>
      </c>
      <c r="T258" s="13">
        <v>11245.248</v>
      </c>
      <c r="U258" s="12">
        <v>1296</v>
      </c>
      <c r="V258" s="13">
        <v>10082.879999999999</v>
      </c>
      <c r="W258" s="13">
        <v>10741.248</v>
      </c>
      <c r="X258" s="12">
        <v>0</v>
      </c>
      <c r="Y258" s="13">
        <v>0</v>
      </c>
      <c r="Z258" s="13">
        <v>0</v>
      </c>
      <c r="AA258" s="12">
        <v>0</v>
      </c>
      <c r="AB258" s="13">
        <v>0</v>
      </c>
      <c r="AC258" s="13">
        <v>0</v>
      </c>
      <c r="AD258" s="12">
        <v>24</v>
      </c>
      <c r="AE258" s="12">
        <v>0</v>
      </c>
      <c r="AF258" s="12">
        <v>0</v>
      </c>
      <c r="AG258" s="12">
        <v>24</v>
      </c>
      <c r="AH258" s="12">
        <v>0</v>
      </c>
      <c r="AI258" s="12">
        <v>0</v>
      </c>
      <c r="AJ258" s="10">
        <v>6217295</v>
      </c>
      <c r="AK258" s="10" t="s">
        <v>47</v>
      </c>
      <c r="AL258" s="14" t="s">
        <v>259</v>
      </c>
      <c r="AM258" s="10" t="s">
        <v>97</v>
      </c>
      <c r="AN258" s="15">
        <v>202000290649</v>
      </c>
      <c r="AO258" s="16" t="s">
        <v>260</v>
      </c>
      <c r="AP258" s="17">
        <v>110090.44</v>
      </c>
      <c r="AQ258" s="10" t="s">
        <v>51</v>
      </c>
      <c r="AR258" s="10" t="s">
        <v>98</v>
      </c>
      <c r="AS258" s="12">
        <v>5184</v>
      </c>
      <c r="AT258" s="10" t="s">
        <v>53</v>
      </c>
      <c r="AU258" s="10">
        <v>26101200</v>
      </c>
      <c r="AV258" s="10" t="s">
        <v>78</v>
      </c>
      <c r="AW258" s="10" t="s">
        <v>55</v>
      </c>
      <c r="AX258" s="10" t="s">
        <v>56</v>
      </c>
      <c r="AY258" s="10" t="s">
        <v>99</v>
      </c>
      <c r="AZ258" s="10" t="s">
        <v>100</v>
      </c>
      <c r="BG258" t="str">
        <v>Outbound</v>
      </c>
      <c r="BH258" t="str">
        <v>Land</v>
      </c>
      <c r="BI258" t="str">
        <v>FG-R-2206LE26</v>
      </c>
      <c r="BJ258" t="str">
        <v>SAIA-BURGESS AUTOMOTIVE ACTUATORS, LLC</v>
      </c>
      <c r="BK258" t="str">
        <v xml:space="preserve">755 Bill Jones Drive      </v>
      </c>
      <c r="BL258" t="str">
        <v>M19</v>
      </c>
      <c r="BM258" t="str">
        <v>1999-5YY0898EN</v>
      </c>
      <c r="BN258" s="24">
        <v>1600</v>
      </c>
      <c r="BO258" s="23">
        <v>2073.2399999999998</v>
      </c>
      <c r="BP258" s="26">
        <f t="shared" si="8"/>
        <v>7.0257411248017571E-2</v>
      </c>
      <c r="BQ258" s="21">
        <f t="shared" si="9"/>
        <v>345.57936362117505</v>
      </c>
    </row>
    <row r="259" spans="2:75" x14ac:dyDescent="0.35">
      <c r="B259" t="s">
        <v>261</v>
      </c>
      <c r="C259" t="s">
        <v>262</v>
      </c>
      <c r="D259" t="str" cm="1">
        <f t="array" ref="D259">_xlfn.REGEXEXTRACT(G259,"FG-R-\d{4}LE\d{2}")</f>
        <v>FG-R-2202LE26</v>
      </c>
      <c r="E259" t="s">
        <v>299</v>
      </c>
      <c r="F259" s="23" cm="1">
        <f t="array" ref="F259">_xlfn.SWITCH(TRUE,T259&gt;0,T259,Z259)</f>
        <v>11245.248</v>
      </c>
      <c r="G259" s="10" t="s">
        <v>255</v>
      </c>
      <c r="H259" s="10" t="s">
        <v>172</v>
      </c>
      <c r="I259" s="10" t="s">
        <v>256</v>
      </c>
      <c r="J259" s="11" t="s">
        <v>257</v>
      </c>
      <c r="K259" s="11" t="s">
        <v>257</v>
      </c>
      <c r="L259" s="10" t="s">
        <v>255</v>
      </c>
      <c r="M259" s="10" t="s">
        <v>258</v>
      </c>
      <c r="N259" s="10" t="s">
        <v>93</v>
      </c>
      <c r="O259" s="10" t="s">
        <v>94</v>
      </c>
      <c r="P259" s="10" t="s">
        <v>95</v>
      </c>
      <c r="Q259" s="10" t="s">
        <v>96</v>
      </c>
      <c r="R259" s="12">
        <v>24</v>
      </c>
      <c r="S259" s="13">
        <v>10741.248</v>
      </c>
      <c r="T259" s="13">
        <v>11245.248</v>
      </c>
      <c r="U259" s="12">
        <v>1296</v>
      </c>
      <c r="V259" s="13">
        <v>10082.879999999999</v>
      </c>
      <c r="W259" s="13">
        <v>10741.248</v>
      </c>
      <c r="X259" s="12">
        <v>0</v>
      </c>
      <c r="Y259" s="13">
        <v>0</v>
      </c>
      <c r="Z259" s="13">
        <v>0</v>
      </c>
      <c r="AA259" s="12">
        <v>0</v>
      </c>
      <c r="AB259" s="13">
        <v>0</v>
      </c>
      <c r="AC259" s="13">
        <v>0</v>
      </c>
      <c r="AD259" s="12">
        <v>24</v>
      </c>
      <c r="AE259" s="12">
        <v>0</v>
      </c>
      <c r="AF259" s="12">
        <v>0</v>
      </c>
      <c r="AG259" s="12">
        <v>24</v>
      </c>
      <c r="AH259" s="12">
        <v>0</v>
      </c>
      <c r="AI259" s="12">
        <v>0</v>
      </c>
      <c r="AJ259" s="10">
        <v>6217295</v>
      </c>
      <c r="AK259" s="10" t="s">
        <v>47</v>
      </c>
      <c r="AL259" s="14" t="s">
        <v>259</v>
      </c>
      <c r="AM259" s="10" t="s">
        <v>97</v>
      </c>
      <c r="AN259" s="15">
        <v>202000290650</v>
      </c>
      <c r="AO259" s="16" t="s">
        <v>260</v>
      </c>
      <c r="AP259" s="17">
        <v>86434.64</v>
      </c>
      <c r="AQ259" s="10" t="s">
        <v>51</v>
      </c>
      <c r="AR259" s="10" t="s">
        <v>98</v>
      </c>
      <c r="AS259" s="12">
        <v>5184</v>
      </c>
      <c r="AT259" s="10" t="s">
        <v>53</v>
      </c>
      <c r="AU259" s="10">
        <v>26101200</v>
      </c>
      <c r="AV259" s="10" t="s">
        <v>78</v>
      </c>
      <c r="AW259" s="10" t="s">
        <v>55</v>
      </c>
      <c r="AX259" s="10" t="s">
        <v>56</v>
      </c>
      <c r="AY259" s="10" t="s">
        <v>99</v>
      </c>
      <c r="AZ259" s="10" t="s">
        <v>100</v>
      </c>
      <c r="BG259" t="str">
        <v>Outbound</v>
      </c>
      <c r="BH259" t="str">
        <v>Land</v>
      </c>
      <c r="BI259" t="str">
        <v>FG-R-2206LE26</v>
      </c>
      <c r="BJ259" t="str">
        <v>SAIA-BURGESS AUTOMOTIVE ACTUATORS, LLC</v>
      </c>
      <c r="BK259" t="str">
        <v xml:space="preserve">755 Bill Jones Drive      </v>
      </c>
      <c r="BL259" t="str">
        <v>M19</v>
      </c>
      <c r="BM259" t="str">
        <v>1999-5YY1256EN</v>
      </c>
      <c r="BN259" s="24">
        <v>432</v>
      </c>
      <c r="BO259" s="23">
        <v>937.10400000000004</v>
      </c>
      <c r="BP259" s="26">
        <f t="shared" si="8"/>
        <v>3.1756333617990323E-2</v>
      </c>
      <c r="BQ259" s="21">
        <f t="shared" si="9"/>
        <v>156.20179234765757</v>
      </c>
    </row>
    <row r="260" spans="2:75" x14ac:dyDescent="0.35">
      <c r="B260" t="s">
        <v>261</v>
      </c>
      <c r="C260" t="s">
        <v>262</v>
      </c>
      <c r="D260" t="str" cm="1">
        <f t="array" ref="D260">_xlfn.REGEXEXTRACT(G260,"FG-R-\d{4}LE\d{2}")</f>
        <v>FG-R-2202LE26</v>
      </c>
      <c r="E260" t="s">
        <v>299</v>
      </c>
      <c r="F260" s="23" cm="1">
        <f t="array" ref="F260">_xlfn.SWITCH(TRUE,T260&gt;0,T260,Z260)</f>
        <v>2851.4879999999998</v>
      </c>
      <c r="G260" s="10" t="s">
        <v>255</v>
      </c>
      <c r="H260" s="10" t="s">
        <v>172</v>
      </c>
      <c r="I260" s="10" t="s">
        <v>256</v>
      </c>
      <c r="J260" s="11" t="s">
        <v>257</v>
      </c>
      <c r="K260" s="11" t="s">
        <v>257</v>
      </c>
      <c r="L260" s="10" t="s">
        <v>255</v>
      </c>
      <c r="M260" s="10" t="s">
        <v>258</v>
      </c>
      <c r="N260" s="10" t="s">
        <v>93</v>
      </c>
      <c r="O260" s="10" t="s">
        <v>94</v>
      </c>
      <c r="P260" s="10" t="s">
        <v>95</v>
      </c>
      <c r="Q260" s="10" t="s">
        <v>96</v>
      </c>
      <c r="R260" s="12">
        <v>6</v>
      </c>
      <c r="S260" s="13">
        <v>2725.4879999999998</v>
      </c>
      <c r="T260" s="13">
        <v>2851.4879999999998</v>
      </c>
      <c r="U260" s="12">
        <v>324</v>
      </c>
      <c r="V260" s="13">
        <v>2560.8960000000002</v>
      </c>
      <c r="W260" s="13">
        <v>2725.4879999999998</v>
      </c>
      <c r="X260" s="12">
        <v>0</v>
      </c>
      <c r="Y260" s="13">
        <v>0</v>
      </c>
      <c r="Z260" s="13">
        <v>0</v>
      </c>
      <c r="AA260" s="12">
        <v>0</v>
      </c>
      <c r="AB260" s="13">
        <v>0</v>
      </c>
      <c r="AC260" s="13">
        <v>0</v>
      </c>
      <c r="AD260" s="12">
        <v>6</v>
      </c>
      <c r="AE260" s="12">
        <v>0</v>
      </c>
      <c r="AF260" s="12">
        <v>0</v>
      </c>
      <c r="AG260" s="12">
        <v>6</v>
      </c>
      <c r="AH260" s="12">
        <v>0</v>
      </c>
      <c r="AI260" s="12">
        <v>0</v>
      </c>
      <c r="AJ260" s="10">
        <v>6217296</v>
      </c>
      <c r="AK260" s="10" t="s">
        <v>47</v>
      </c>
      <c r="AL260" s="14" t="s">
        <v>259</v>
      </c>
      <c r="AM260" s="10" t="s">
        <v>97</v>
      </c>
      <c r="AN260" s="15">
        <v>202000290651</v>
      </c>
      <c r="AO260" s="16" t="s">
        <v>260</v>
      </c>
      <c r="AP260" s="17">
        <v>37846.61</v>
      </c>
      <c r="AQ260" s="10" t="s">
        <v>51</v>
      </c>
      <c r="AR260" s="10" t="s">
        <v>118</v>
      </c>
      <c r="AS260" s="12">
        <v>1296</v>
      </c>
      <c r="AT260" s="10" t="s">
        <v>53</v>
      </c>
      <c r="AU260" s="10">
        <v>26101200</v>
      </c>
      <c r="AV260" s="10" t="s">
        <v>78</v>
      </c>
      <c r="AW260" s="10" t="s">
        <v>55</v>
      </c>
      <c r="AX260" s="10" t="s">
        <v>56</v>
      </c>
      <c r="AY260" s="10" t="s">
        <v>99</v>
      </c>
      <c r="AZ260" s="10" t="s">
        <v>100</v>
      </c>
      <c r="BG260" t="str">
        <v>Outbound</v>
      </c>
      <c r="BH260" t="str">
        <v>Land</v>
      </c>
      <c r="BI260" t="str">
        <v>FG-R-2206LE26</v>
      </c>
      <c r="BJ260" t="str">
        <v>SAIA-BURGESS AUTOMOTIVE ACTUATORS, LLC</v>
      </c>
      <c r="BK260" t="str">
        <v xml:space="preserve">755 Bill Jones Drive      </v>
      </c>
      <c r="BL260" t="str">
        <v>M19</v>
      </c>
      <c r="BM260" t="str">
        <v>1999-5YY2043EN</v>
      </c>
      <c r="BN260" s="24">
        <v>1944</v>
      </c>
      <c r="BO260" s="23">
        <v>5592.8159999999998</v>
      </c>
      <c r="BP260" s="26">
        <f t="shared" si="8"/>
        <v>0.18952787605221424</v>
      </c>
      <c r="BQ260" s="21">
        <f t="shared" si="9"/>
        <v>932.24218813563584</v>
      </c>
    </row>
    <row r="261" spans="2:75" x14ac:dyDescent="0.35">
      <c r="B261" t="s">
        <v>261</v>
      </c>
      <c r="C261" t="s">
        <v>262</v>
      </c>
      <c r="D261" t="str" cm="1">
        <f t="array" ref="D261">_xlfn.REGEXEXTRACT(G261,"FG-R-\d{4}LE\d{2}")</f>
        <v>FG-R-2202LE26</v>
      </c>
      <c r="E261" t="s">
        <v>299</v>
      </c>
      <c r="F261" s="23" cm="1">
        <f t="array" ref="F261">_xlfn.SWITCH(TRUE,T261&gt;0,T261,Z261)</f>
        <v>2851.4879999999998</v>
      </c>
      <c r="G261" s="10" t="s">
        <v>255</v>
      </c>
      <c r="H261" s="10" t="s">
        <v>172</v>
      </c>
      <c r="I261" s="10" t="s">
        <v>256</v>
      </c>
      <c r="J261" s="11" t="s">
        <v>257</v>
      </c>
      <c r="K261" s="11" t="s">
        <v>257</v>
      </c>
      <c r="L261" s="10" t="s">
        <v>255</v>
      </c>
      <c r="M261" s="10" t="s">
        <v>258</v>
      </c>
      <c r="N261" s="10" t="s">
        <v>93</v>
      </c>
      <c r="O261" s="10" t="s">
        <v>94</v>
      </c>
      <c r="P261" s="10" t="s">
        <v>95</v>
      </c>
      <c r="Q261" s="10" t="s">
        <v>96</v>
      </c>
      <c r="R261" s="12">
        <v>6</v>
      </c>
      <c r="S261" s="13">
        <v>2725.4879999999998</v>
      </c>
      <c r="T261" s="13">
        <v>2851.4879999999998</v>
      </c>
      <c r="U261" s="12">
        <v>324</v>
      </c>
      <c r="V261" s="13">
        <v>2560.8960000000002</v>
      </c>
      <c r="W261" s="13">
        <v>2725.4879999999998</v>
      </c>
      <c r="X261" s="12">
        <v>0</v>
      </c>
      <c r="Y261" s="13">
        <v>0</v>
      </c>
      <c r="Z261" s="13">
        <v>0</v>
      </c>
      <c r="AA261" s="12">
        <v>0</v>
      </c>
      <c r="AB261" s="13">
        <v>0</v>
      </c>
      <c r="AC261" s="13">
        <v>0</v>
      </c>
      <c r="AD261" s="12">
        <v>6</v>
      </c>
      <c r="AE261" s="12">
        <v>0</v>
      </c>
      <c r="AF261" s="12">
        <v>0</v>
      </c>
      <c r="AG261" s="12">
        <v>6</v>
      </c>
      <c r="AH261" s="12">
        <v>0</v>
      </c>
      <c r="AI261" s="12">
        <v>0</v>
      </c>
      <c r="AJ261" s="10">
        <v>6217296</v>
      </c>
      <c r="AK261" s="10" t="s">
        <v>47</v>
      </c>
      <c r="AL261" s="14" t="s">
        <v>259</v>
      </c>
      <c r="AM261" s="10" t="s">
        <v>97</v>
      </c>
      <c r="AN261" s="15">
        <v>202000290652</v>
      </c>
      <c r="AO261" s="16" t="s">
        <v>260</v>
      </c>
      <c r="AP261" s="17">
        <v>16172.34</v>
      </c>
      <c r="AQ261" s="10" t="s">
        <v>51</v>
      </c>
      <c r="AR261" s="10" t="s">
        <v>118</v>
      </c>
      <c r="AS261" s="12">
        <v>1296</v>
      </c>
      <c r="AT261" s="10" t="s">
        <v>53</v>
      </c>
      <c r="AU261" s="10">
        <v>26101200</v>
      </c>
      <c r="AV261" s="10" t="s">
        <v>78</v>
      </c>
      <c r="AW261" s="10" t="s">
        <v>55</v>
      </c>
      <c r="AX261" s="10" t="s">
        <v>56</v>
      </c>
      <c r="AY261" s="10" t="s">
        <v>99</v>
      </c>
      <c r="AZ261" s="10" t="s">
        <v>100</v>
      </c>
      <c r="BG261" t="str">
        <v>Outbound</v>
      </c>
      <c r="BH261" t="str">
        <v>Land</v>
      </c>
      <c r="BI261" t="str">
        <v>FG-R-2206LE26</v>
      </c>
      <c r="BJ261" t="str">
        <v>SAIA-BURGESS AUTOMOTIVE ACTUATORS, LLC</v>
      </c>
      <c r="BK261" t="str">
        <v xml:space="preserve">755 Bill Jones Drive      </v>
      </c>
      <c r="BL261" t="str">
        <v>M19</v>
      </c>
      <c r="BM261" t="str">
        <v>1999-5YY2043EN</v>
      </c>
      <c r="BN261" s="24">
        <v>1944</v>
      </c>
      <c r="BO261" s="23">
        <v>5592.8159999999998</v>
      </c>
      <c r="BP261" s="26">
        <f t="shared" si="8"/>
        <v>0.18952787605221424</v>
      </c>
      <c r="BQ261" s="21">
        <f t="shared" si="9"/>
        <v>932.24218813563584</v>
      </c>
    </row>
    <row r="262" spans="2:75" x14ac:dyDescent="0.35">
      <c r="B262" t="s">
        <v>261</v>
      </c>
      <c r="C262" t="s">
        <v>262</v>
      </c>
      <c r="D262" t="str" cm="1">
        <f t="array" ref="D262">_xlfn.REGEXEXTRACT(G262,"FG-R-\d{4}LE\d{2}")</f>
        <v>FG-R-2202LE26</v>
      </c>
      <c r="E262" t="s">
        <v>299</v>
      </c>
      <c r="F262" s="23" cm="1">
        <f t="array" ref="F262">_xlfn.SWITCH(TRUE,T262&gt;0,T262,Z262)</f>
        <v>3801.9839999999999</v>
      </c>
      <c r="G262" s="10" t="s">
        <v>255</v>
      </c>
      <c r="H262" s="10" t="s">
        <v>172</v>
      </c>
      <c r="I262" s="10" t="s">
        <v>256</v>
      </c>
      <c r="J262" s="11" t="s">
        <v>257</v>
      </c>
      <c r="K262" s="11" t="s">
        <v>257</v>
      </c>
      <c r="L262" s="10" t="s">
        <v>255</v>
      </c>
      <c r="M262" s="10" t="s">
        <v>258</v>
      </c>
      <c r="N262" s="10" t="s">
        <v>93</v>
      </c>
      <c r="O262" s="10" t="s">
        <v>94</v>
      </c>
      <c r="P262" s="10" t="s">
        <v>95</v>
      </c>
      <c r="Q262" s="10" t="s">
        <v>96</v>
      </c>
      <c r="R262" s="12">
        <v>8</v>
      </c>
      <c r="S262" s="13">
        <v>3633.9839999999999</v>
      </c>
      <c r="T262" s="13">
        <v>3801.9839999999999</v>
      </c>
      <c r="U262" s="12">
        <v>432</v>
      </c>
      <c r="V262" s="13">
        <v>3414.5279999999998</v>
      </c>
      <c r="W262" s="13">
        <v>3633.9839999999999</v>
      </c>
      <c r="X262" s="12">
        <v>0</v>
      </c>
      <c r="Y262" s="13">
        <v>0</v>
      </c>
      <c r="Z262" s="13">
        <v>0</v>
      </c>
      <c r="AA262" s="12">
        <v>0</v>
      </c>
      <c r="AB262" s="13">
        <v>0</v>
      </c>
      <c r="AC262" s="13">
        <v>0</v>
      </c>
      <c r="AD262" s="12">
        <v>8</v>
      </c>
      <c r="AE262" s="12">
        <v>0</v>
      </c>
      <c r="AF262" s="12">
        <v>0</v>
      </c>
      <c r="AG262" s="12">
        <v>8</v>
      </c>
      <c r="AH262" s="12">
        <v>0</v>
      </c>
      <c r="AI262" s="12">
        <v>0</v>
      </c>
      <c r="AJ262" s="10">
        <v>6217294</v>
      </c>
      <c r="AK262" s="10" t="s">
        <v>47</v>
      </c>
      <c r="AL262" s="14" t="s">
        <v>259</v>
      </c>
      <c r="AM262" s="10" t="s">
        <v>97</v>
      </c>
      <c r="AN262" s="15">
        <v>202000290645</v>
      </c>
      <c r="AO262" s="16" t="s">
        <v>260</v>
      </c>
      <c r="AP262" s="17">
        <v>34747.919999999998</v>
      </c>
      <c r="AQ262" s="10" t="s">
        <v>51</v>
      </c>
      <c r="AR262" s="10" t="s">
        <v>145</v>
      </c>
      <c r="AS262" s="12">
        <v>1728</v>
      </c>
      <c r="AT262" s="10" t="s">
        <v>53</v>
      </c>
      <c r="AU262" s="10">
        <v>26101200</v>
      </c>
      <c r="AV262" s="10" t="s">
        <v>78</v>
      </c>
      <c r="AW262" s="10" t="s">
        <v>55</v>
      </c>
      <c r="AX262" s="10" t="s">
        <v>56</v>
      </c>
      <c r="AY262" s="10" t="s">
        <v>99</v>
      </c>
      <c r="AZ262" s="10" t="s">
        <v>100</v>
      </c>
      <c r="BG262" t="str">
        <v>Outbound</v>
      </c>
      <c r="BH262" t="str">
        <v>Land</v>
      </c>
      <c r="BI262" t="str">
        <v>FG-R-2206LE26</v>
      </c>
      <c r="BJ262" t="str">
        <v>SAIA-BURGESS AUTOMOTIVE ACTUATORS, LLC</v>
      </c>
      <c r="BK262" t="str">
        <v xml:space="preserve">755 Bill Jones Drive      </v>
      </c>
      <c r="BL262" t="str">
        <v>M19</v>
      </c>
      <c r="BM262" t="str">
        <v>1999-5YY1145EN</v>
      </c>
      <c r="BN262" s="24">
        <v>1944</v>
      </c>
      <c r="BO262" s="23">
        <v>4277.232</v>
      </c>
      <c r="BP262" s="26">
        <f t="shared" si="8"/>
        <v>0.14494571184579724</v>
      </c>
      <c r="BQ262" s="21">
        <f t="shared" si="9"/>
        <v>712.95320976834603</v>
      </c>
    </row>
    <row r="263" spans="2:75" x14ac:dyDescent="0.35">
      <c r="B263" t="s">
        <v>261</v>
      </c>
      <c r="C263" t="s">
        <v>262</v>
      </c>
      <c r="D263" t="str" cm="1">
        <f t="array" ref="D263">_xlfn.REGEXEXTRACT(G263,"FG-R-\d{4}LE\d{2}")</f>
        <v>FG-R-2202LE26</v>
      </c>
      <c r="E263" t="s">
        <v>299</v>
      </c>
      <c r="F263" s="23" cm="1">
        <f t="array" ref="F263">_xlfn.SWITCH(TRUE,T263&gt;0,T263,Z263)</f>
        <v>3801.9839999999999</v>
      </c>
      <c r="G263" s="10" t="s">
        <v>255</v>
      </c>
      <c r="H263" s="10" t="s">
        <v>172</v>
      </c>
      <c r="I263" s="10" t="s">
        <v>256</v>
      </c>
      <c r="J263" s="11" t="s">
        <v>257</v>
      </c>
      <c r="K263" s="11" t="s">
        <v>257</v>
      </c>
      <c r="L263" s="10" t="s">
        <v>255</v>
      </c>
      <c r="M263" s="10" t="s">
        <v>258</v>
      </c>
      <c r="N263" s="10" t="s">
        <v>93</v>
      </c>
      <c r="O263" s="10" t="s">
        <v>94</v>
      </c>
      <c r="P263" s="10" t="s">
        <v>95</v>
      </c>
      <c r="Q263" s="10" t="s">
        <v>96</v>
      </c>
      <c r="R263" s="12">
        <v>8</v>
      </c>
      <c r="S263" s="13">
        <v>3633.9839999999999</v>
      </c>
      <c r="T263" s="13">
        <v>3801.9839999999999</v>
      </c>
      <c r="U263" s="12">
        <v>432</v>
      </c>
      <c r="V263" s="13">
        <v>3414.5279999999998</v>
      </c>
      <c r="W263" s="13">
        <v>3633.9839999999999</v>
      </c>
      <c r="X263" s="12">
        <v>0</v>
      </c>
      <c r="Y263" s="13">
        <v>0</v>
      </c>
      <c r="Z263" s="13">
        <v>0</v>
      </c>
      <c r="AA263" s="12">
        <v>0</v>
      </c>
      <c r="AB263" s="13">
        <v>0</v>
      </c>
      <c r="AC263" s="13">
        <v>0</v>
      </c>
      <c r="AD263" s="12">
        <v>8</v>
      </c>
      <c r="AE263" s="12">
        <v>0</v>
      </c>
      <c r="AF263" s="12">
        <v>0</v>
      </c>
      <c r="AG263" s="12">
        <v>8</v>
      </c>
      <c r="AH263" s="12">
        <v>0</v>
      </c>
      <c r="AI263" s="12">
        <v>0</v>
      </c>
      <c r="AJ263" s="10">
        <v>6217294</v>
      </c>
      <c r="AK263" s="10" t="s">
        <v>47</v>
      </c>
      <c r="AL263" s="14" t="s">
        <v>259</v>
      </c>
      <c r="AM263" s="10" t="s">
        <v>97</v>
      </c>
      <c r="AN263" s="15">
        <v>202000290646</v>
      </c>
      <c r="AO263" s="16" t="s">
        <v>260</v>
      </c>
      <c r="AP263" s="17">
        <v>34747.919999999998</v>
      </c>
      <c r="AQ263" s="10" t="s">
        <v>51</v>
      </c>
      <c r="AR263" s="10" t="s">
        <v>145</v>
      </c>
      <c r="AS263" s="12">
        <v>1728</v>
      </c>
      <c r="AT263" s="10" t="s">
        <v>53</v>
      </c>
      <c r="AU263" s="10">
        <v>26101200</v>
      </c>
      <c r="AV263" s="10" t="s">
        <v>78</v>
      </c>
      <c r="AW263" s="10" t="s">
        <v>55</v>
      </c>
      <c r="AX263" s="10" t="s">
        <v>56</v>
      </c>
      <c r="AY263" s="10" t="s">
        <v>99</v>
      </c>
      <c r="AZ263" s="10" t="s">
        <v>100</v>
      </c>
      <c r="BG263" t="str">
        <v>Outbound</v>
      </c>
      <c r="BH263" t="str">
        <v>Land</v>
      </c>
      <c r="BI263" t="str">
        <v>FG-R-2206LE26</v>
      </c>
      <c r="BJ263" t="str">
        <v>SAIA-BURGESS AUTOMOTIVE ACTUATORS, LLC</v>
      </c>
      <c r="BK263" t="str">
        <v xml:space="preserve">755 Bill Jones Drive      </v>
      </c>
      <c r="BL263" t="str">
        <v>M19</v>
      </c>
      <c r="BM263" t="str">
        <v>1999-5YY1145EN</v>
      </c>
      <c r="BN263" s="24">
        <v>1944</v>
      </c>
      <c r="BO263" s="23">
        <v>4277.232</v>
      </c>
      <c r="BP263" s="26">
        <f t="shared" si="8"/>
        <v>0.14494571184579724</v>
      </c>
      <c r="BQ263" s="21">
        <f t="shared" si="9"/>
        <v>712.95320976834603</v>
      </c>
    </row>
    <row r="268" spans="2:75" x14ac:dyDescent="0.35">
      <c r="B268" t="s">
        <v>4206</v>
      </c>
    </row>
    <row r="269" spans="2:75" ht="16" x14ac:dyDescent="0.4">
      <c r="B269" s="42" t="s">
        <v>4207</v>
      </c>
    </row>
    <row r="270" spans="2:75" x14ac:dyDescent="0.35">
      <c r="BG270" s="27" t="s">
        <v>4208</v>
      </c>
      <c r="BH270" s="27"/>
      <c r="BI270" s="27"/>
      <c r="BJ270" s="27"/>
      <c r="BK270" s="27"/>
      <c r="BL270" s="27"/>
      <c r="BM270" s="27"/>
      <c r="BN270" s="27"/>
      <c r="BO270" s="27"/>
      <c r="BP270" s="27"/>
      <c r="BQ270" s="27"/>
      <c r="BR270" s="27"/>
      <c r="BS270" t="s">
        <v>4209</v>
      </c>
      <c r="BW270" t="s">
        <v>4210</v>
      </c>
    </row>
    <row r="271" spans="2:75" x14ac:dyDescent="0.35">
      <c r="BG271" s="41" t="s">
        <v>0</v>
      </c>
      <c r="BH271" s="41" t="s">
        <v>1</v>
      </c>
      <c r="BI271" s="41" t="s">
        <v>2</v>
      </c>
      <c r="BJ271" s="41" t="s">
        <v>294</v>
      </c>
      <c r="BK271" s="41" t="s">
        <v>301</v>
      </c>
      <c r="BL271" s="41" t="s">
        <v>17</v>
      </c>
      <c r="BM271" s="41" t="s">
        <v>18</v>
      </c>
      <c r="BN271" s="41" t="s">
        <v>32</v>
      </c>
      <c r="BO271" s="41" t="s">
        <v>266</v>
      </c>
      <c r="BP271" s="41" t="s">
        <v>305</v>
      </c>
      <c r="BQ271" s="41" t="s">
        <v>306</v>
      </c>
      <c r="BR271" s="41"/>
      <c r="BS271" s="41" t="s">
        <v>294</v>
      </c>
      <c r="BT271" s="41" t="s">
        <v>311</v>
      </c>
      <c r="BU271" s="41" t="s">
        <v>312</v>
      </c>
      <c r="BW271">
        <v>1500</v>
      </c>
    </row>
  </sheetData>
  <mergeCells count="10">
    <mergeCell ref="AJ7:AL7"/>
    <mergeCell ref="AM7:AQ7"/>
    <mergeCell ref="AR7:AT7"/>
    <mergeCell ref="AU7:AZ7"/>
    <mergeCell ref="R7:T7"/>
    <mergeCell ref="U7:W7"/>
    <mergeCell ref="X7:Z7"/>
    <mergeCell ref="AA7:AC7"/>
    <mergeCell ref="AD7:AF7"/>
    <mergeCell ref="AG7:AI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3029E-C9C9-4954-B562-5D0CC8168577}">
  <dimension ref="A1:CY1217"/>
  <sheetViews>
    <sheetView topLeftCell="CS1" workbookViewId="0">
      <selection activeCell="CZ20" sqref="CZ20"/>
    </sheetView>
  </sheetViews>
  <sheetFormatPr defaultRowHeight="14.5" x14ac:dyDescent="0.35"/>
  <cols>
    <col min="3" max="3" width="20.453125" bestFit="1" customWidth="1"/>
    <col min="16" max="16" width="19" bestFit="1" customWidth="1"/>
    <col min="19" max="19" width="30.90625" customWidth="1"/>
    <col min="44" max="44" width="9.81640625" bestFit="1" customWidth="1"/>
    <col min="54" max="54" width="15.81640625" bestFit="1" customWidth="1"/>
    <col min="57" max="66" width="2.6328125" customWidth="1"/>
    <col min="67" max="67" width="19.1796875" bestFit="1" customWidth="1"/>
    <col min="88" max="88" width="13.1796875" bestFit="1" customWidth="1"/>
    <col min="89" max="90" width="13.1796875" customWidth="1"/>
    <col min="92" max="92" width="6" bestFit="1" customWidth="1"/>
    <col min="93" max="93" width="19" bestFit="1" customWidth="1"/>
    <col min="94" max="94" width="16.6328125" bestFit="1" customWidth="1"/>
    <col min="95" max="95" width="16.90625" bestFit="1" customWidth="1"/>
    <col min="96" max="96" width="13.453125" bestFit="1" customWidth="1"/>
    <col min="97" max="97" width="9.54296875" bestFit="1" customWidth="1"/>
    <col min="98" max="98" width="13.1796875" bestFit="1" customWidth="1"/>
    <col min="99" max="100" width="9.90625" bestFit="1" customWidth="1"/>
    <col min="102" max="102" width="11.54296875" bestFit="1" customWidth="1"/>
  </cols>
  <sheetData>
    <row r="1" spans="2:103" x14ac:dyDescent="0.35">
      <c r="B1" s="35" cm="1">
        <f t="array" ref="B1:CH1">_xlfn.SEQUENCE(1,85)</f>
        <v>1</v>
      </c>
      <c r="C1" s="35">
        <v>2</v>
      </c>
      <c r="D1" s="35">
        <v>3</v>
      </c>
      <c r="E1" s="35">
        <v>4</v>
      </c>
      <c r="F1" s="35">
        <v>5</v>
      </c>
      <c r="G1" s="35">
        <v>6</v>
      </c>
      <c r="H1" s="35">
        <v>7</v>
      </c>
      <c r="I1" s="35">
        <v>8</v>
      </c>
      <c r="J1" s="35">
        <v>9</v>
      </c>
      <c r="K1" s="35">
        <v>10</v>
      </c>
      <c r="L1" s="35">
        <v>11</v>
      </c>
      <c r="M1" s="35">
        <v>12</v>
      </c>
      <c r="N1" s="35">
        <v>13</v>
      </c>
      <c r="O1" s="35">
        <v>14</v>
      </c>
      <c r="P1" s="35">
        <v>15</v>
      </c>
      <c r="Q1" s="35">
        <v>16</v>
      </c>
      <c r="R1" s="35">
        <v>17</v>
      </c>
      <c r="S1" s="35">
        <v>18</v>
      </c>
      <c r="T1" s="35">
        <v>19</v>
      </c>
      <c r="U1" s="35">
        <v>20</v>
      </c>
      <c r="V1" s="35">
        <v>21</v>
      </c>
      <c r="W1" s="35">
        <v>22</v>
      </c>
      <c r="X1" s="35">
        <v>23</v>
      </c>
      <c r="Y1" s="35">
        <v>24</v>
      </c>
      <c r="Z1" s="35">
        <v>25</v>
      </c>
      <c r="AA1" s="35">
        <v>26</v>
      </c>
      <c r="AB1" s="35">
        <v>27</v>
      </c>
      <c r="AC1" s="35">
        <v>28</v>
      </c>
      <c r="AD1" s="35">
        <v>29</v>
      </c>
      <c r="AE1" s="35">
        <v>30</v>
      </c>
      <c r="AF1" s="35">
        <v>31</v>
      </c>
      <c r="AG1" s="35">
        <v>32</v>
      </c>
      <c r="AH1" s="35">
        <v>33</v>
      </c>
      <c r="AI1" s="35">
        <v>34</v>
      </c>
      <c r="AJ1" s="35">
        <v>35</v>
      </c>
      <c r="AK1" s="35">
        <v>36</v>
      </c>
      <c r="AL1" s="35">
        <v>37</v>
      </c>
      <c r="AM1" s="35">
        <v>38</v>
      </c>
      <c r="AN1" s="35">
        <v>39</v>
      </c>
      <c r="AO1" s="35">
        <v>40</v>
      </c>
      <c r="AP1" s="35">
        <v>41</v>
      </c>
      <c r="AQ1" s="35">
        <v>42</v>
      </c>
      <c r="AR1" s="35">
        <v>43</v>
      </c>
      <c r="AS1" s="35">
        <v>44</v>
      </c>
      <c r="AT1" s="35">
        <v>45</v>
      </c>
      <c r="AU1" s="35">
        <v>46</v>
      </c>
      <c r="AV1" s="35">
        <v>47</v>
      </c>
      <c r="AW1" s="35">
        <v>48</v>
      </c>
      <c r="AX1" s="35">
        <v>49</v>
      </c>
      <c r="AY1" s="35">
        <v>50</v>
      </c>
      <c r="AZ1" s="35">
        <v>51</v>
      </c>
      <c r="BA1" s="35">
        <v>52</v>
      </c>
      <c r="BB1" s="35">
        <v>53</v>
      </c>
      <c r="BC1" s="35">
        <v>54</v>
      </c>
      <c r="BD1" s="35">
        <v>55</v>
      </c>
      <c r="BE1" s="35">
        <v>56</v>
      </c>
      <c r="BF1" s="35">
        <v>57</v>
      </c>
      <c r="BG1" s="35">
        <v>58</v>
      </c>
      <c r="BH1" s="35">
        <v>59</v>
      </c>
      <c r="BI1" s="35">
        <v>60</v>
      </c>
      <c r="BJ1" s="35">
        <v>61</v>
      </c>
      <c r="BK1" s="35">
        <v>62</v>
      </c>
      <c r="BL1" s="35">
        <v>63</v>
      </c>
      <c r="BM1" s="35">
        <v>64</v>
      </c>
      <c r="BN1" s="35">
        <v>65</v>
      </c>
      <c r="BO1" s="35">
        <v>66</v>
      </c>
      <c r="BP1" s="35">
        <v>67</v>
      </c>
      <c r="BQ1" s="35">
        <v>68</v>
      </c>
      <c r="BR1" s="35">
        <v>69</v>
      </c>
      <c r="BS1" s="35">
        <v>70</v>
      </c>
      <c r="BT1" s="35">
        <v>71</v>
      </c>
      <c r="BU1" s="35">
        <v>72</v>
      </c>
      <c r="BV1" s="35">
        <v>73</v>
      </c>
      <c r="BW1" s="35">
        <v>74</v>
      </c>
      <c r="BX1" s="35">
        <v>75</v>
      </c>
      <c r="BY1" s="35">
        <v>76</v>
      </c>
      <c r="BZ1" s="35">
        <v>77</v>
      </c>
      <c r="CA1" s="35">
        <v>78</v>
      </c>
      <c r="CB1" s="35">
        <v>79</v>
      </c>
      <c r="CC1" s="35">
        <v>80</v>
      </c>
      <c r="CD1" s="35">
        <v>81</v>
      </c>
      <c r="CE1" s="35">
        <v>82</v>
      </c>
      <c r="CF1" s="35">
        <v>83</v>
      </c>
      <c r="CG1" s="35">
        <v>84</v>
      </c>
      <c r="CH1" s="35">
        <v>85</v>
      </c>
      <c r="CI1" s="35"/>
      <c r="CJ1" s="35"/>
      <c r="CK1" s="35"/>
      <c r="CL1" s="35"/>
      <c r="CM1" s="35"/>
      <c r="CN1" cm="1">
        <f t="array" ref="CN1:CQ1">_xlfn.TOROW(IF($B$2:$CH$2="X",_xlfn.ANCHORARRAY(B1),1/0),3)</f>
        <v>1</v>
      </c>
      <c r="CO1">
        <v>15</v>
      </c>
      <c r="CP1">
        <v>51</v>
      </c>
      <c r="CQ1">
        <v>66</v>
      </c>
      <c r="CS1" t="s">
        <v>3502</v>
      </c>
    </row>
    <row r="2" spans="2:103" x14ac:dyDescent="0.35">
      <c r="B2" s="35" t="s">
        <v>300</v>
      </c>
      <c r="C2" s="35"/>
      <c r="D2" s="35"/>
      <c r="E2" s="35"/>
      <c r="F2" s="35"/>
      <c r="G2" s="35"/>
      <c r="H2" s="35"/>
      <c r="I2" s="35"/>
      <c r="J2" s="35"/>
      <c r="K2" s="35"/>
      <c r="L2" s="35"/>
      <c r="M2" s="35"/>
      <c r="N2" s="35"/>
      <c r="O2" s="35"/>
      <c r="P2" s="35" t="s">
        <v>300</v>
      </c>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t="s">
        <v>1188</v>
      </c>
      <c r="AX2" s="35"/>
      <c r="AY2" s="35"/>
      <c r="AZ2" s="35" t="s">
        <v>300</v>
      </c>
      <c r="BA2" s="35"/>
      <c r="BB2" s="35"/>
      <c r="BC2" s="35"/>
      <c r="BD2" s="35"/>
      <c r="BE2" s="35"/>
      <c r="BF2" s="35"/>
      <c r="BG2" s="35"/>
      <c r="BH2" s="35"/>
      <c r="BI2" s="35"/>
      <c r="BJ2" s="35"/>
      <c r="BK2" s="35"/>
      <c r="BL2" s="35"/>
      <c r="BM2" s="35"/>
      <c r="BN2" s="35"/>
      <c r="BO2" s="35" t="s">
        <v>300</v>
      </c>
      <c r="BP2" s="35"/>
      <c r="BQ2" s="35"/>
      <c r="BR2" s="35"/>
      <c r="BS2" s="35"/>
      <c r="BT2" s="35"/>
      <c r="BU2" s="35"/>
      <c r="BV2" s="35"/>
      <c r="BW2" s="35"/>
      <c r="BX2" s="35"/>
      <c r="BY2" s="35"/>
      <c r="BZ2" s="35"/>
      <c r="CA2" s="35"/>
      <c r="CB2" s="35"/>
      <c r="CC2" s="35"/>
      <c r="CD2" s="35"/>
      <c r="CE2" s="35"/>
      <c r="CF2" s="35"/>
      <c r="CG2" s="35"/>
      <c r="CH2" s="35"/>
      <c r="CI2" s="35"/>
      <c r="CJ2" s="35"/>
      <c r="CK2" s="35"/>
      <c r="CL2" s="35"/>
      <c r="CM2" s="35"/>
      <c r="CN2" t="str" cm="1">
        <f t="array" ref="CN2:CQ2">_xlfn.TOROW(IF($B$2:$CH$2="X",B5:CH5,1/0),3)</f>
        <v>BU</v>
      </c>
      <c r="CO2" t="str">
        <v>Item Code</v>
      </c>
      <c r="CP2" t="str">
        <v>Container Number</v>
      </c>
      <c r="CQ2" t="str">
        <v>Total Gross Weight</v>
      </c>
      <c r="CS2">
        <v>2500</v>
      </c>
    </row>
    <row r="3" spans="2:103" x14ac:dyDescent="0.35">
      <c r="AR3" s="23">
        <f>AR8/AQ8</f>
        <v>50000</v>
      </c>
      <c r="AS3">
        <f>AR3*0.0001</f>
        <v>5</v>
      </c>
      <c r="AZ3" t="s">
        <v>3498</v>
      </c>
    </row>
    <row r="5" spans="2:103" x14ac:dyDescent="0.35">
      <c r="B5" s="22" t="s">
        <v>294</v>
      </c>
      <c r="C5" t="s">
        <v>313</v>
      </c>
      <c r="D5" t="s">
        <v>314</v>
      </c>
      <c r="E5" t="s">
        <v>315</v>
      </c>
      <c r="F5" t="s">
        <v>316</v>
      </c>
      <c r="G5" t="s">
        <v>317</v>
      </c>
      <c r="H5" t="s">
        <v>318</v>
      </c>
      <c r="I5" t="s">
        <v>319</v>
      </c>
      <c r="J5" t="s">
        <v>320</v>
      </c>
      <c r="K5" t="s">
        <v>321</v>
      </c>
      <c r="L5" t="s">
        <v>322</v>
      </c>
      <c r="M5" t="s">
        <v>323</v>
      </c>
      <c r="N5" t="s">
        <v>324</v>
      </c>
      <c r="O5" t="s">
        <v>325</v>
      </c>
      <c r="P5" s="33" t="s">
        <v>326</v>
      </c>
      <c r="Q5" t="s">
        <v>327</v>
      </c>
      <c r="R5" t="s">
        <v>328</v>
      </c>
      <c r="S5" t="s">
        <v>329</v>
      </c>
      <c r="T5" t="s">
        <v>330</v>
      </c>
      <c r="U5" t="s">
        <v>331</v>
      </c>
      <c r="V5" t="s">
        <v>332</v>
      </c>
      <c r="W5" t="s">
        <v>333</v>
      </c>
      <c r="X5" t="s">
        <v>334</v>
      </c>
      <c r="Y5" t="s">
        <v>335</v>
      </c>
      <c r="Z5" t="s">
        <v>336</v>
      </c>
      <c r="AA5" t="s">
        <v>337</v>
      </c>
      <c r="AB5" t="s">
        <v>338</v>
      </c>
      <c r="AC5" t="s">
        <v>339</v>
      </c>
      <c r="AD5" t="s">
        <v>340</v>
      </c>
      <c r="AE5" t="s">
        <v>341</v>
      </c>
      <c r="AF5" t="s">
        <v>342</v>
      </c>
      <c r="AG5" t="s">
        <v>343</v>
      </c>
      <c r="AH5" t="s">
        <v>344</v>
      </c>
      <c r="AI5" t="s">
        <v>345</v>
      </c>
      <c r="AJ5" t="s">
        <v>346</v>
      </c>
      <c r="AK5" t="s">
        <v>347</v>
      </c>
      <c r="AL5" t="s">
        <v>348</v>
      </c>
      <c r="AM5" t="s">
        <v>349</v>
      </c>
      <c r="AN5" t="s">
        <v>350</v>
      </c>
      <c r="AO5" t="s">
        <v>351</v>
      </c>
      <c r="AP5" t="s">
        <v>352</v>
      </c>
      <c r="AQ5" t="s">
        <v>353</v>
      </c>
      <c r="AR5" t="s">
        <v>354</v>
      </c>
      <c r="AS5" t="s">
        <v>355</v>
      </c>
      <c r="AT5" t="s">
        <v>356</v>
      </c>
      <c r="AU5" t="s">
        <v>357</v>
      </c>
      <c r="AV5" t="s">
        <v>358</v>
      </c>
      <c r="AW5" t="s">
        <v>359</v>
      </c>
      <c r="AX5" t="s">
        <v>360</v>
      </c>
      <c r="AY5" t="s">
        <v>361</v>
      </c>
      <c r="AZ5" s="33" t="s">
        <v>12</v>
      </c>
      <c r="BA5" t="s">
        <v>362</v>
      </c>
      <c r="BB5" t="s">
        <v>363</v>
      </c>
      <c r="BC5" t="s">
        <v>364</v>
      </c>
      <c r="BD5" t="s">
        <v>365</v>
      </c>
      <c r="BE5" t="s">
        <v>366</v>
      </c>
      <c r="BF5" t="s">
        <v>367</v>
      </c>
      <c r="BG5" t="s">
        <v>368</v>
      </c>
      <c r="BH5" t="s">
        <v>369</v>
      </c>
      <c r="BI5" t="s">
        <v>370</v>
      </c>
      <c r="BJ5" t="s">
        <v>371</v>
      </c>
      <c r="BK5" t="s">
        <v>372</v>
      </c>
      <c r="BL5" t="s">
        <v>365</v>
      </c>
      <c r="BM5" t="s">
        <v>373</v>
      </c>
      <c r="BN5" t="s">
        <v>374</v>
      </c>
      <c r="BO5" s="33" t="s">
        <v>375</v>
      </c>
      <c r="BP5" t="s">
        <v>376</v>
      </c>
      <c r="BQ5" t="s">
        <v>377</v>
      </c>
      <c r="BR5" t="s">
        <v>378</v>
      </c>
      <c r="BS5" t="s">
        <v>379</v>
      </c>
      <c r="BT5" t="s">
        <v>380</v>
      </c>
      <c r="BU5" t="s">
        <v>381</v>
      </c>
      <c r="BV5" t="s">
        <v>382</v>
      </c>
      <c r="BW5" t="s">
        <v>383</v>
      </c>
      <c r="BX5" t="s">
        <v>384</v>
      </c>
      <c r="BY5" t="s">
        <v>385</v>
      </c>
      <c r="BZ5" t="s">
        <v>386</v>
      </c>
      <c r="CA5" t="s">
        <v>387</v>
      </c>
      <c r="CB5" t="s">
        <v>388</v>
      </c>
      <c r="CC5" t="s">
        <v>389</v>
      </c>
      <c r="CD5" t="s">
        <v>390</v>
      </c>
      <c r="CE5" t="s">
        <v>391</v>
      </c>
      <c r="CF5" t="s">
        <v>392</v>
      </c>
      <c r="CG5" t="s">
        <v>393</v>
      </c>
      <c r="CJ5" t="s">
        <v>3499</v>
      </c>
      <c r="CN5" s="32" t="s">
        <v>294</v>
      </c>
      <c r="CO5" s="32" t="s">
        <v>326</v>
      </c>
      <c r="CP5" s="32" t="s">
        <v>12</v>
      </c>
      <c r="CQ5" s="32" t="s">
        <v>375</v>
      </c>
      <c r="CR5" s="32" t="s">
        <v>3500</v>
      </c>
      <c r="CS5" s="32" t="s">
        <v>3501</v>
      </c>
      <c r="CU5" s="32" t="s">
        <v>3504</v>
      </c>
      <c r="CV5" s="32" t="s">
        <v>3505</v>
      </c>
      <c r="CW5" s="32" t="s">
        <v>3506</v>
      </c>
      <c r="CX5" s="32" t="s">
        <v>3507</v>
      </c>
    </row>
    <row r="6" spans="2:103" x14ac:dyDescent="0.35">
      <c r="B6" t="s">
        <v>297</v>
      </c>
      <c r="C6" t="s">
        <v>394</v>
      </c>
      <c r="D6" t="s">
        <v>395</v>
      </c>
      <c r="E6" t="s">
        <v>395</v>
      </c>
      <c r="F6" t="s">
        <v>396</v>
      </c>
      <c r="G6" t="s">
        <v>397</v>
      </c>
      <c r="H6" t="s">
        <v>398</v>
      </c>
      <c r="I6" t="s">
        <v>399</v>
      </c>
      <c r="J6" t="s">
        <v>400</v>
      </c>
      <c r="K6" t="s">
        <v>401</v>
      </c>
      <c r="L6" t="s">
        <v>402</v>
      </c>
      <c r="M6" t="s">
        <v>403</v>
      </c>
      <c r="N6">
        <v>2</v>
      </c>
      <c r="O6">
        <v>1</v>
      </c>
      <c r="P6" t="s">
        <v>404</v>
      </c>
      <c r="Q6" t="s">
        <v>405</v>
      </c>
      <c r="R6" t="s">
        <v>406</v>
      </c>
      <c r="S6" t="s">
        <v>407</v>
      </c>
      <c r="T6" t="s">
        <v>408</v>
      </c>
      <c r="U6">
        <v>50950080806</v>
      </c>
      <c r="W6">
        <v>153120</v>
      </c>
      <c r="X6" t="s">
        <v>409</v>
      </c>
      <c r="Y6" t="s">
        <v>410</v>
      </c>
      <c r="Z6" t="s">
        <v>410</v>
      </c>
      <c r="AA6" t="s">
        <v>411</v>
      </c>
      <c r="AB6" t="s">
        <v>412</v>
      </c>
      <c r="AC6" t="s">
        <v>411</v>
      </c>
      <c r="AD6">
        <v>46083</v>
      </c>
      <c r="AE6">
        <v>46153</v>
      </c>
      <c r="AF6">
        <v>46090</v>
      </c>
      <c r="AG6" t="s">
        <v>413</v>
      </c>
      <c r="AH6">
        <v>6123034</v>
      </c>
      <c r="AI6">
        <v>46083</v>
      </c>
      <c r="AJ6">
        <v>46083</v>
      </c>
      <c r="AK6">
        <v>153120</v>
      </c>
      <c r="AL6" t="s">
        <v>396</v>
      </c>
      <c r="AM6" t="s">
        <v>414</v>
      </c>
      <c r="AN6">
        <v>46083</v>
      </c>
      <c r="AO6">
        <v>46083.637824074074</v>
      </c>
      <c r="AP6" t="s">
        <v>51</v>
      </c>
      <c r="AQ6">
        <v>3.3480000000000003E-2</v>
      </c>
      <c r="AR6">
        <v>5126.46</v>
      </c>
      <c r="AS6" t="s">
        <v>51</v>
      </c>
      <c r="AT6">
        <v>5126.46</v>
      </c>
      <c r="AU6" t="s">
        <v>415</v>
      </c>
      <c r="AV6" t="s">
        <v>416</v>
      </c>
      <c r="AW6" t="s">
        <v>417</v>
      </c>
      <c r="AX6">
        <v>46093</v>
      </c>
      <c r="AY6">
        <v>46142</v>
      </c>
      <c r="AZ6" t="s">
        <v>418</v>
      </c>
      <c r="BA6" t="s">
        <v>419</v>
      </c>
      <c r="BB6" t="s">
        <v>420</v>
      </c>
      <c r="BO6">
        <v>1500</v>
      </c>
      <c r="CG6" t="s">
        <v>421</v>
      </c>
      <c r="CJ6" t="str" cm="1">
        <f t="array" ref="CJ6:CJ64">_xlfn._xlws.SORT(_xlfn.UNIQUE(_xlfn._xlws.FILTER($AZ$6:$AZ$1217,$AZ$6:$AZ$1217&lt;&gt;"")))</f>
        <v>AMFU4236030</v>
      </c>
      <c r="CN6" t="str" cm="1">
        <f t="array" ref="CN6:CQ1167">_xlfn.LET(_xlpm.list,_xlfn.ANCHORARRAY(CJ6),_xlpm.data,_xlfn.CHOOSECOLS($B$5:$CG$1217,1,15,51,66),_xlpm.out,_xlfn.DROP(_xlfn.REDUCE("",_xlfn.SEQUENCE(ROWS(_xlpm.list)),_xlfn.LAMBDA(_xlpm.a,_xlpm.b,_xlfn.VSTACK(_xlpm.a,_xlfn._xlws.FILTER(_xlpm.data,_xlfn.CHOOSECOLS(_xlpm.data,3)=INDEX(_xlpm.list,_xlpm.b),"No data")))),1),_xlpm.out)</f>
        <v>Capex</v>
      </c>
      <c r="CO6" t="str">
        <v>CAPEX-08</v>
      </c>
      <c r="CP6" t="str">
        <v>AMFU4236030</v>
      </c>
      <c r="CQ6" s="23">
        <v>0</v>
      </c>
      <c r="CR6" s="25">
        <f t="shared" ref="CR6:CR69" si="0">IFERROR(CQ6/(SUMIFS(CQ:CQ,CP:CP,CP6)),100%)</f>
        <v>1</v>
      </c>
      <c r="CS6" s="21">
        <f>CR6*$CS$2</f>
        <v>2500</v>
      </c>
      <c r="CU6" t="str" cm="1">
        <f t="array" ref="CU6:CU12">_xlfn._xlws.SORT(_xlfn.UNIQUE(CN6:CN1167))</f>
        <v>Capex</v>
      </c>
      <c r="CV6" s="21">
        <f>SUMIFS(CS:CS,CN:CN,CU6)</f>
        <v>7500</v>
      </c>
      <c r="CW6">
        <v>0</v>
      </c>
      <c r="CX6" s="21"/>
    </row>
    <row r="7" spans="2:103" x14ac:dyDescent="0.35">
      <c r="B7" t="s">
        <v>297</v>
      </c>
      <c r="C7" t="s">
        <v>422</v>
      </c>
      <c r="D7" t="s">
        <v>395</v>
      </c>
      <c r="E7" t="s">
        <v>395</v>
      </c>
      <c r="F7" t="s">
        <v>396</v>
      </c>
      <c r="G7" t="s">
        <v>397</v>
      </c>
      <c r="H7" t="s">
        <v>398</v>
      </c>
      <c r="I7" t="s">
        <v>399</v>
      </c>
      <c r="J7" t="s">
        <v>400</v>
      </c>
      <c r="K7" t="s">
        <v>401</v>
      </c>
      <c r="L7" t="s">
        <v>402</v>
      </c>
      <c r="M7" t="s">
        <v>403</v>
      </c>
      <c r="N7">
        <v>4</v>
      </c>
      <c r="O7">
        <v>1</v>
      </c>
      <c r="P7" t="s">
        <v>423</v>
      </c>
      <c r="Q7" t="s">
        <v>424</v>
      </c>
      <c r="R7" t="s">
        <v>425</v>
      </c>
      <c r="S7" t="s">
        <v>426</v>
      </c>
      <c r="T7" t="s">
        <v>408</v>
      </c>
      <c r="U7">
        <v>50950080808</v>
      </c>
      <c r="W7">
        <v>50000</v>
      </c>
      <c r="X7" t="s">
        <v>409</v>
      </c>
      <c r="Y7" t="s">
        <v>410</v>
      </c>
      <c r="Z7" t="s">
        <v>410</v>
      </c>
      <c r="AA7" t="s">
        <v>411</v>
      </c>
      <c r="AB7" t="s">
        <v>412</v>
      </c>
      <c r="AC7" t="s">
        <v>411</v>
      </c>
      <c r="AD7">
        <v>46083</v>
      </c>
      <c r="AE7">
        <v>46139</v>
      </c>
      <c r="AF7">
        <v>46090</v>
      </c>
      <c r="AG7" t="s">
        <v>413</v>
      </c>
      <c r="AH7">
        <v>6123037</v>
      </c>
      <c r="AI7">
        <v>46083</v>
      </c>
      <c r="AJ7">
        <v>46083</v>
      </c>
      <c r="AK7">
        <v>50000</v>
      </c>
      <c r="AL7" t="s">
        <v>396</v>
      </c>
      <c r="AM7" t="s">
        <v>427</v>
      </c>
      <c r="AN7">
        <v>46083</v>
      </c>
      <c r="AO7">
        <v>46083.637824074074</v>
      </c>
      <c r="AP7" t="s">
        <v>51</v>
      </c>
      <c r="AQ7">
        <v>2.018E-2</v>
      </c>
      <c r="AR7">
        <v>1009</v>
      </c>
      <c r="AS7" t="s">
        <v>51</v>
      </c>
      <c r="AT7">
        <v>1009</v>
      </c>
      <c r="AU7" t="s">
        <v>415</v>
      </c>
      <c r="AV7" t="s">
        <v>416</v>
      </c>
      <c r="AW7" t="s">
        <v>417</v>
      </c>
      <c r="AX7">
        <v>46093</v>
      </c>
      <c r="AY7">
        <v>46142</v>
      </c>
      <c r="AZ7" t="s">
        <v>418</v>
      </c>
      <c r="BA7" t="s">
        <v>419</v>
      </c>
      <c r="BB7" t="s">
        <v>420</v>
      </c>
      <c r="BE7">
        <v>0</v>
      </c>
      <c r="BF7">
        <v>0</v>
      </c>
      <c r="BM7">
        <v>0</v>
      </c>
      <c r="BN7">
        <v>0</v>
      </c>
      <c r="BO7">
        <v>20</v>
      </c>
      <c r="CG7" t="s">
        <v>421</v>
      </c>
      <c r="CJ7" t="str">
        <v>CAAU7526547</v>
      </c>
      <c r="CN7" t="str">
        <v>Capex</v>
      </c>
      <c r="CO7" t="str">
        <v>CAPEX-08</v>
      </c>
      <c r="CP7" t="str">
        <v>AMFU4236030</v>
      </c>
      <c r="CQ7" s="23">
        <v>0</v>
      </c>
      <c r="CR7" s="25">
        <f t="shared" si="0"/>
        <v>1</v>
      </c>
      <c r="CS7" s="21">
        <f t="shared" ref="CS7:CS70" si="1">CR7*$CS$2</f>
        <v>2500</v>
      </c>
      <c r="CU7" s="23" t="str">
        <v>M01</v>
      </c>
      <c r="CV7" s="21">
        <f t="shared" ref="CV7:CV12" si="2">SUMIFS(CS:CS,CN:CN,CU7)</f>
        <v>20068.384603953826</v>
      </c>
      <c r="CW7">
        <v>1</v>
      </c>
      <c r="CX7" s="21">
        <f>CV7</f>
        <v>20068.384603953826</v>
      </c>
      <c r="CY7" s="25">
        <f>CX7/$CX$13</f>
        <v>0.14803944801784374</v>
      </c>
    </row>
    <row r="8" spans="2:103" x14ac:dyDescent="0.35">
      <c r="B8" t="s">
        <v>297</v>
      </c>
      <c r="C8" t="s">
        <v>428</v>
      </c>
      <c r="D8" t="s">
        <v>395</v>
      </c>
      <c r="E8" t="s">
        <v>395</v>
      </c>
      <c r="F8" t="s">
        <v>396</v>
      </c>
      <c r="G8" t="s">
        <v>397</v>
      </c>
      <c r="H8" t="s">
        <v>398</v>
      </c>
      <c r="I8" t="s">
        <v>399</v>
      </c>
      <c r="J8" t="s">
        <v>400</v>
      </c>
      <c r="K8" t="s">
        <v>401</v>
      </c>
      <c r="L8" t="s">
        <v>402</v>
      </c>
      <c r="M8" t="s">
        <v>403</v>
      </c>
      <c r="N8">
        <v>6</v>
      </c>
      <c r="O8">
        <v>1</v>
      </c>
      <c r="P8" t="s">
        <v>429</v>
      </c>
      <c r="Q8" t="s">
        <v>430</v>
      </c>
      <c r="R8" t="s">
        <v>431</v>
      </c>
      <c r="S8" t="s">
        <v>432</v>
      </c>
      <c r="T8" t="s">
        <v>408</v>
      </c>
      <c r="U8">
        <v>50950080812</v>
      </c>
      <c r="W8">
        <v>50000</v>
      </c>
      <c r="X8" t="s">
        <v>409</v>
      </c>
      <c r="Y8" t="s">
        <v>410</v>
      </c>
      <c r="Z8" t="s">
        <v>410</v>
      </c>
      <c r="AA8" t="s">
        <v>411</v>
      </c>
      <c r="AB8" t="s">
        <v>412</v>
      </c>
      <c r="AC8" t="s">
        <v>411</v>
      </c>
      <c r="AD8">
        <v>46083</v>
      </c>
      <c r="AE8">
        <v>46153</v>
      </c>
      <c r="AF8">
        <v>46090</v>
      </c>
      <c r="AG8" t="s">
        <v>413</v>
      </c>
      <c r="AH8">
        <v>6123036</v>
      </c>
      <c r="AI8">
        <v>46083</v>
      </c>
      <c r="AJ8">
        <v>46083</v>
      </c>
      <c r="AK8">
        <v>50000</v>
      </c>
      <c r="AL8" t="s">
        <v>396</v>
      </c>
      <c r="AM8" t="s">
        <v>433</v>
      </c>
      <c r="AN8">
        <v>46083</v>
      </c>
      <c r="AO8">
        <v>46083.637824074074</v>
      </c>
      <c r="AP8" t="s">
        <v>51</v>
      </c>
      <c r="AQ8">
        <v>9.4119999999999995E-2</v>
      </c>
      <c r="AR8">
        <v>4706</v>
      </c>
      <c r="AS8" t="s">
        <v>51</v>
      </c>
      <c r="AT8">
        <v>4706</v>
      </c>
      <c r="AU8" t="s">
        <v>415</v>
      </c>
      <c r="AV8" t="s">
        <v>416</v>
      </c>
      <c r="AW8" t="s">
        <v>417</v>
      </c>
      <c r="AX8">
        <v>46093</v>
      </c>
      <c r="AY8">
        <v>46142</v>
      </c>
      <c r="AZ8" t="s">
        <v>418</v>
      </c>
      <c r="BA8" t="s">
        <v>419</v>
      </c>
      <c r="BB8" t="s">
        <v>420</v>
      </c>
      <c r="BE8">
        <v>0</v>
      </c>
      <c r="BF8">
        <v>0</v>
      </c>
      <c r="BM8">
        <v>0</v>
      </c>
      <c r="BN8">
        <v>0</v>
      </c>
      <c r="BO8">
        <v>10</v>
      </c>
      <c r="CG8" t="s">
        <v>421</v>
      </c>
      <c r="CJ8" t="str">
        <v>CAIU8394197</v>
      </c>
      <c r="CN8" t="str">
        <v>M19</v>
      </c>
      <c r="CO8" t="str">
        <v>1275-5YY0561EN</v>
      </c>
      <c r="CP8" t="str">
        <v>CAAU7526547</v>
      </c>
      <c r="CQ8" s="23">
        <v>1065.008</v>
      </c>
      <c r="CR8" s="25">
        <f>IFERROR(CQ8/(SUMIFS(CQ:CQ,CP:CP,CP8)),100%)</f>
        <v>9.4077190169878463E-2</v>
      </c>
      <c r="CS8" s="21">
        <f t="shared" si="1"/>
        <v>235.19297542469616</v>
      </c>
      <c r="CU8" s="23" t="str">
        <v>M19</v>
      </c>
      <c r="CV8" s="21">
        <f t="shared" si="2"/>
        <v>67070.157774454216</v>
      </c>
      <c r="CW8">
        <v>1</v>
      </c>
      <c r="CX8" s="21">
        <f>CV8</f>
        <v>67070.157774454216</v>
      </c>
      <c r="CY8" s="25">
        <f t="shared" ref="CY8:CY11" si="3">CX8/$CX$13</f>
        <v>0.49475975926052856</v>
      </c>
    </row>
    <row r="9" spans="2:103" x14ac:dyDescent="0.35">
      <c r="B9" t="s">
        <v>297</v>
      </c>
      <c r="C9" t="s">
        <v>434</v>
      </c>
      <c r="D9" t="s">
        <v>395</v>
      </c>
      <c r="E9" t="s">
        <v>395</v>
      </c>
      <c r="F9" t="s">
        <v>396</v>
      </c>
      <c r="G9" t="s">
        <v>397</v>
      </c>
      <c r="H9" t="s">
        <v>398</v>
      </c>
      <c r="I9" t="s">
        <v>399</v>
      </c>
      <c r="J9" t="s">
        <v>400</v>
      </c>
      <c r="K9" t="s">
        <v>401</v>
      </c>
      <c r="L9" t="s">
        <v>402</v>
      </c>
      <c r="M9" t="s">
        <v>403</v>
      </c>
      <c r="N9">
        <v>7</v>
      </c>
      <c r="O9">
        <v>1</v>
      </c>
      <c r="P9" t="s">
        <v>435</v>
      </c>
      <c r="Q9" t="s">
        <v>424</v>
      </c>
      <c r="R9" t="s">
        <v>431</v>
      </c>
      <c r="S9" t="s">
        <v>432</v>
      </c>
      <c r="T9" t="s">
        <v>408</v>
      </c>
      <c r="U9">
        <v>50950080817</v>
      </c>
      <c r="W9">
        <v>80000</v>
      </c>
      <c r="X9" t="s">
        <v>409</v>
      </c>
      <c r="Y9" t="s">
        <v>410</v>
      </c>
      <c r="Z9" t="s">
        <v>410</v>
      </c>
      <c r="AA9" t="s">
        <v>411</v>
      </c>
      <c r="AB9" t="s">
        <v>412</v>
      </c>
      <c r="AC9" t="s">
        <v>411</v>
      </c>
      <c r="AD9">
        <v>46083</v>
      </c>
      <c r="AE9">
        <v>46132</v>
      </c>
      <c r="AF9">
        <v>46090</v>
      </c>
      <c r="AG9" t="s">
        <v>413</v>
      </c>
      <c r="AH9">
        <v>6123035</v>
      </c>
      <c r="AI9">
        <v>46083</v>
      </c>
      <c r="AJ9">
        <v>46083</v>
      </c>
      <c r="AK9">
        <v>80000</v>
      </c>
      <c r="AL9" t="s">
        <v>396</v>
      </c>
      <c r="AM9" t="s">
        <v>436</v>
      </c>
      <c r="AN9">
        <v>46083</v>
      </c>
      <c r="AO9">
        <v>46083.637824074074</v>
      </c>
      <c r="AP9" t="s">
        <v>51</v>
      </c>
      <c r="AQ9">
        <v>5.2150000000000002E-2</v>
      </c>
      <c r="AR9">
        <v>4172</v>
      </c>
      <c r="AS9" t="s">
        <v>51</v>
      </c>
      <c r="AT9">
        <v>4172</v>
      </c>
      <c r="AU9" t="s">
        <v>415</v>
      </c>
      <c r="AV9" t="s">
        <v>416</v>
      </c>
      <c r="AW9" t="s">
        <v>417</v>
      </c>
      <c r="AX9">
        <v>46093</v>
      </c>
      <c r="AY9">
        <v>46142</v>
      </c>
      <c r="AZ9" t="s">
        <v>418</v>
      </c>
      <c r="BA9" t="s">
        <v>419</v>
      </c>
      <c r="BB9" t="s">
        <v>420</v>
      </c>
      <c r="BE9">
        <v>0</v>
      </c>
      <c r="BF9">
        <v>0</v>
      </c>
      <c r="BM9">
        <v>0</v>
      </c>
      <c r="BN9">
        <v>0</v>
      </c>
      <c r="BO9">
        <v>10</v>
      </c>
      <c r="CG9" t="s">
        <v>421</v>
      </c>
      <c r="CJ9" t="str">
        <v>CCLU7673540</v>
      </c>
      <c r="CN9" t="str">
        <v>M19</v>
      </c>
      <c r="CO9" t="str">
        <v>1275-5YY0783EN</v>
      </c>
      <c r="CP9" t="str">
        <v>CAAU7526547</v>
      </c>
      <c r="CQ9" s="23">
        <v>198.31280000000001</v>
      </c>
      <c r="CR9" s="25">
        <f t="shared" si="0"/>
        <v>1.7517906906540679E-2</v>
      </c>
      <c r="CS9" s="21">
        <f t="shared" si="1"/>
        <v>43.794767266351698</v>
      </c>
      <c r="CU9" s="23" t="str">
        <v>M23</v>
      </c>
      <c r="CV9" s="21">
        <f t="shared" si="2"/>
        <v>4647.2024077952083</v>
      </c>
      <c r="CW9">
        <v>1</v>
      </c>
      <c r="CX9" s="21">
        <f t="shared" ref="CX9:CX11" si="4">CV9</f>
        <v>4647.2024077952083</v>
      </c>
      <c r="CY9" s="25">
        <f t="shared" si="3"/>
        <v>3.428124848382938E-2</v>
      </c>
    </row>
    <row r="10" spans="2:103" x14ac:dyDescent="0.35">
      <c r="B10" t="s">
        <v>297</v>
      </c>
      <c r="C10" t="s">
        <v>434</v>
      </c>
      <c r="D10" t="s">
        <v>395</v>
      </c>
      <c r="E10" t="s">
        <v>395</v>
      </c>
      <c r="F10" t="s">
        <v>396</v>
      </c>
      <c r="G10" t="s">
        <v>397</v>
      </c>
      <c r="H10" t="s">
        <v>398</v>
      </c>
      <c r="I10" t="s">
        <v>399</v>
      </c>
      <c r="J10" t="s">
        <v>400</v>
      </c>
      <c r="K10" t="s">
        <v>401</v>
      </c>
      <c r="L10" t="s">
        <v>402</v>
      </c>
      <c r="M10" t="s">
        <v>403</v>
      </c>
      <c r="N10">
        <v>5</v>
      </c>
      <c r="O10">
        <v>1</v>
      </c>
      <c r="P10" t="s">
        <v>435</v>
      </c>
      <c r="Q10" t="s">
        <v>424</v>
      </c>
      <c r="R10" t="s">
        <v>431</v>
      </c>
      <c r="S10" t="s">
        <v>432</v>
      </c>
      <c r="T10" t="s">
        <v>408</v>
      </c>
      <c r="U10">
        <v>50950080817</v>
      </c>
      <c r="W10">
        <v>40000</v>
      </c>
      <c r="X10" t="s">
        <v>409</v>
      </c>
      <c r="Y10" t="s">
        <v>410</v>
      </c>
      <c r="Z10" t="s">
        <v>410</v>
      </c>
      <c r="AA10" t="s">
        <v>411</v>
      </c>
      <c r="AB10" t="s">
        <v>412</v>
      </c>
      <c r="AC10" t="s">
        <v>411</v>
      </c>
      <c r="AD10">
        <v>46083</v>
      </c>
      <c r="AE10">
        <v>46139</v>
      </c>
      <c r="AF10">
        <v>46090</v>
      </c>
      <c r="AG10" t="s">
        <v>413</v>
      </c>
      <c r="AH10">
        <v>6123035</v>
      </c>
      <c r="AI10">
        <v>46083</v>
      </c>
      <c r="AJ10">
        <v>46083</v>
      </c>
      <c r="AK10">
        <v>40000</v>
      </c>
      <c r="AL10" t="s">
        <v>396</v>
      </c>
      <c r="AM10" t="s">
        <v>436</v>
      </c>
      <c r="AN10">
        <v>46083</v>
      </c>
      <c r="AO10">
        <v>46083.637824074074</v>
      </c>
      <c r="AP10" t="s">
        <v>51</v>
      </c>
      <c r="AQ10">
        <v>5.2150000000000002E-2</v>
      </c>
      <c r="AR10">
        <v>2086</v>
      </c>
      <c r="AS10" t="s">
        <v>51</v>
      </c>
      <c r="AT10">
        <v>2086</v>
      </c>
      <c r="AU10" t="s">
        <v>415</v>
      </c>
      <c r="AV10" t="s">
        <v>416</v>
      </c>
      <c r="AW10" t="s">
        <v>417</v>
      </c>
      <c r="AX10">
        <v>46093</v>
      </c>
      <c r="AY10">
        <v>46142</v>
      </c>
      <c r="AZ10" t="s">
        <v>418</v>
      </c>
      <c r="BA10" t="s">
        <v>419</v>
      </c>
      <c r="BB10" t="s">
        <v>420</v>
      </c>
      <c r="BE10">
        <v>0</v>
      </c>
      <c r="BF10">
        <v>0</v>
      </c>
      <c r="BM10">
        <v>0</v>
      </c>
      <c r="BN10">
        <v>0</v>
      </c>
      <c r="BO10">
        <v>10</v>
      </c>
      <c r="CG10" t="s">
        <v>421</v>
      </c>
      <c r="CJ10" t="str">
        <v>CCLU7843605</v>
      </c>
      <c r="CN10" t="str">
        <v>M19</v>
      </c>
      <c r="CO10" t="str">
        <v>1275-5YY0564EN</v>
      </c>
      <c r="CP10" t="str">
        <v>CAAU7526547</v>
      </c>
      <c r="CQ10" s="23">
        <v>354.47160000000002</v>
      </c>
      <c r="CR10" s="25">
        <f t="shared" si="0"/>
        <v>3.1312151761321128E-2</v>
      </c>
      <c r="CS10" s="21">
        <f t="shared" si="1"/>
        <v>78.280379403302817</v>
      </c>
      <c r="CU10" s="23" t="str">
        <v>M45</v>
      </c>
      <c r="CV10" s="21">
        <f t="shared" si="2"/>
        <v>39522.267226995849</v>
      </c>
      <c r="CW10">
        <v>1</v>
      </c>
      <c r="CX10" s="21">
        <f t="shared" si="4"/>
        <v>39522.267226995849</v>
      </c>
      <c r="CY10" s="25">
        <f t="shared" si="3"/>
        <v>0.29154586879630856</v>
      </c>
    </row>
    <row r="11" spans="2:103" x14ac:dyDescent="0.35">
      <c r="B11" t="s">
        <v>297</v>
      </c>
      <c r="C11" t="s">
        <v>437</v>
      </c>
      <c r="D11" t="s">
        <v>395</v>
      </c>
      <c r="E11" t="s">
        <v>395</v>
      </c>
      <c r="F11" t="s">
        <v>396</v>
      </c>
      <c r="G11" t="s">
        <v>397</v>
      </c>
      <c r="H11" t="s">
        <v>398</v>
      </c>
      <c r="I11" t="s">
        <v>399</v>
      </c>
      <c r="J11" t="s">
        <v>400</v>
      </c>
      <c r="K11" t="s">
        <v>401</v>
      </c>
      <c r="L11" t="s">
        <v>402</v>
      </c>
      <c r="M11" t="s">
        <v>403</v>
      </c>
      <c r="N11">
        <v>4</v>
      </c>
      <c r="O11">
        <v>1</v>
      </c>
      <c r="P11" t="s">
        <v>438</v>
      </c>
      <c r="Q11" t="s">
        <v>424</v>
      </c>
      <c r="R11" t="s">
        <v>439</v>
      </c>
      <c r="S11" t="s">
        <v>440</v>
      </c>
      <c r="T11" t="s">
        <v>408</v>
      </c>
      <c r="U11">
        <v>50950080814</v>
      </c>
      <c r="W11">
        <v>92800</v>
      </c>
      <c r="X11" t="s">
        <v>409</v>
      </c>
      <c r="Y11" t="s">
        <v>410</v>
      </c>
      <c r="Z11" t="s">
        <v>410</v>
      </c>
      <c r="AA11" t="s">
        <v>411</v>
      </c>
      <c r="AB11" t="s">
        <v>412</v>
      </c>
      <c r="AC11" t="s">
        <v>411</v>
      </c>
      <c r="AD11">
        <v>46083</v>
      </c>
      <c r="AE11">
        <v>46139</v>
      </c>
      <c r="AF11">
        <v>46090</v>
      </c>
      <c r="AG11" t="s">
        <v>413</v>
      </c>
      <c r="AH11">
        <v>6123038</v>
      </c>
      <c r="AI11">
        <v>46083</v>
      </c>
      <c r="AJ11">
        <v>46083</v>
      </c>
      <c r="AK11">
        <v>92800</v>
      </c>
      <c r="AL11" t="s">
        <v>396</v>
      </c>
      <c r="AM11" t="s">
        <v>441</v>
      </c>
      <c r="AN11">
        <v>46083</v>
      </c>
      <c r="AO11">
        <v>46083.637824074074</v>
      </c>
      <c r="AP11" t="s">
        <v>51</v>
      </c>
      <c r="AQ11">
        <v>2.512E-2</v>
      </c>
      <c r="AR11">
        <v>2331.14</v>
      </c>
      <c r="AS11" t="s">
        <v>51</v>
      </c>
      <c r="AT11">
        <v>2331.14</v>
      </c>
      <c r="AU11" t="s">
        <v>415</v>
      </c>
      <c r="AV11" t="s">
        <v>416</v>
      </c>
      <c r="AW11" t="s">
        <v>417</v>
      </c>
      <c r="AX11">
        <v>46093</v>
      </c>
      <c r="AY11">
        <v>46142</v>
      </c>
      <c r="AZ11" t="s">
        <v>418</v>
      </c>
      <c r="BA11" t="s">
        <v>419</v>
      </c>
      <c r="BB11" t="s">
        <v>420</v>
      </c>
      <c r="BE11">
        <v>0</v>
      </c>
      <c r="BF11">
        <v>0</v>
      </c>
      <c r="BM11">
        <v>0</v>
      </c>
      <c r="BN11">
        <v>0</v>
      </c>
      <c r="BO11">
        <v>1500</v>
      </c>
      <c r="CG11" t="s">
        <v>421</v>
      </c>
      <c r="CJ11" t="str">
        <v>CSGU2004557</v>
      </c>
      <c r="CN11" t="str">
        <v>M19</v>
      </c>
      <c r="CO11" t="str">
        <v>1275-5YY0696EN</v>
      </c>
      <c r="CP11" t="str">
        <v>CAAU7526547</v>
      </c>
      <c r="CQ11" s="23">
        <v>224.11760000000001</v>
      </c>
      <c r="CR11" s="25">
        <f t="shared" si="0"/>
        <v>1.9797366851344547E-2</v>
      </c>
      <c r="CS11" s="21">
        <f t="shared" si="1"/>
        <v>49.493417128361365</v>
      </c>
      <c r="CU11" s="23" t="str">
        <v>M46</v>
      </c>
      <c r="CV11" s="21">
        <f t="shared" si="2"/>
        <v>4253.0487220105442</v>
      </c>
      <c r="CW11">
        <v>1</v>
      </c>
      <c r="CX11" s="21">
        <f t="shared" si="4"/>
        <v>4253.0487220105442</v>
      </c>
      <c r="CY11" s="25">
        <f t="shared" si="3"/>
        <v>3.137367544148973E-2</v>
      </c>
    </row>
    <row r="12" spans="2:103" x14ac:dyDescent="0.35">
      <c r="B12" t="s">
        <v>297</v>
      </c>
      <c r="C12" t="s">
        <v>442</v>
      </c>
      <c r="D12" t="s">
        <v>395</v>
      </c>
      <c r="E12" t="s">
        <v>395</v>
      </c>
      <c r="F12" t="s">
        <v>396</v>
      </c>
      <c r="G12" t="s">
        <v>397</v>
      </c>
      <c r="H12" t="s">
        <v>398</v>
      </c>
      <c r="I12" t="s">
        <v>399</v>
      </c>
      <c r="J12" t="s">
        <v>400</v>
      </c>
      <c r="K12" t="s">
        <v>401</v>
      </c>
      <c r="L12" t="s">
        <v>402</v>
      </c>
      <c r="M12" t="s">
        <v>403</v>
      </c>
      <c r="N12">
        <v>1</v>
      </c>
      <c r="O12">
        <v>1</v>
      </c>
      <c r="P12" t="s">
        <v>443</v>
      </c>
      <c r="Q12" t="s">
        <v>424</v>
      </c>
      <c r="R12" t="s">
        <v>444</v>
      </c>
      <c r="S12" t="s">
        <v>445</v>
      </c>
      <c r="T12" t="s">
        <v>408</v>
      </c>
      <c r="U12">
        <v>50950081370</v>
      </c>
      <c r="W12">
        <v>1475.48</v>
      </c>
      <c r="X12" t="s">
        <v>409</v>
      </c>
      <c r="Y12" t="s">
        <v>410</v>
      </c>
      <c r="Z12" t="s">
        <v>410</v>
      </c>
      <c r="AA12" t="s">
        <v>411</v>
      </c>
      <c r="AB12" t="s">
        <v>412</v>
      </c>
      <c r="AC12" t="s">
        <v>411</v>
      </c>
      <c r="AD12">
        <v>46084</v>
      </c>
      <c r="AE12">
        <v>46146</v>
      </c>
      <c r="AF12">
        <v>46090</v>
      </c>
      <c r="AG12" t="s">
        <v>413</v>
      </c>
      <c r="AH12">
        <v>6123069</v>
      </c>
      <c r="AI12">
        <v>46083</v>
      </c>
      <c r="AJ12">
        <v>46083</v>
      </c>
      <c r="AK12">
        <v>1475.48</v>
      </c>
      <c r="AL12" t="s">
        <v>396</v>
      </c>
      <c r="AM12" t="s">
        <v>446</v>
      </c>
      <c r="AN12">
        <v>46083</v>
      </c>
      <c r="AO12">
        <v>46083.637824074074</v>
      </c>
      <c r="AP12" t="s">
        <v>51</v>
      </c>
      <c r="AQ12">
        <v>12.332750000000001</v>
      </c>
      <c r="AR12">
        <v>18196.73</v>
      </c>
      <c r="AS12" t="s">
        <v>51</v>
      </c>
      <c r="AT12">
        <v>18196.73</v>
      </c>
      <c r="AU12" t="s">
        <v>415</v>
      </c>
      <c r="AV12" t="s">
        <v>416</v>
      </c>
      <c r="AW12" t="s">
        <v>417</v>
      </c>
      <c r="AX12">
        <v>46093</v>
      </c>
      <c r="AY12">
        <v>46142</v>
      </c>
      <c r="AZ12" t="s">
        <v>418</v>
      </c>
      <c r="BA12" t="s">
        <v>419</v>
      </c>
      <c r="BB12" t="s">
        <v>420</v>
      </c>
      <c r="BO12" s="23">
        <f>AR12/AQ12</f>
        <v>1475.480326772212</v>
      </c>
      <c r="CG12" t="s">
        <v>421</v>
      </c>
      <c r="CJ12" t="str">
        <v>CSGU6547742</v>
      </c>
      <c r="CN12" t="str">
        <v>M45</v>
      </c>
      <c r="CO12" t="str">
        <v>1346-12C0011EN</v>
      </c>
      <c r="CP12" t="str">
        <v>CAAU7526547</v>
      </c>
      <c r="CQ12" s="23">
        <v>472.52820000000003</v>
      </c>
      <c r="CR12" s="25">
        <f t="shared" si="0"/>
        <v>4.174064920829737E-2</v>
      </c>
      <c r="CS12" s="21">
        <f t="shared" si="1"/>
        <v>104.35162302074343</v>
      </c>
      <c r="CU12" s="23" t="str">
        <v>MCS</v>
      </c>
      <c r="CV12" s="21">
        <f t="shared" si="2"/>
        <v>6938.9392647904806</v>
      </c>
      <c r="CX12" s="21"/>
    </row>
    <row r="13" spans="2:103" x14ac:dyDescent="0.35">
      <c r="B13" t="s">
        <v>297</v>
      </c>
      <c r="C13" t="s">
        <v>447</v>
      </c>
      <c r="D13" t="s">
        <v>395</v>
      </c>
      <c r="E13" t="s">
        <v>395</v>
      </c>
      <c r="F13" t="s">
        <v>396</v>
      </c>
      <c r="G13" t="s">
        <v>397</v>
      </c>
      <c r="H13" t="s">
        <v>398</v>
      </c>
      <c r="I13" t="s">
        <v>399</v>
      </c>
      <c r="J13" t="s">
        <v>400</v>
      </c>
      <c r="K13" t="s">
        <v>401</v>
      </c>
      <c r="L13" t="s">
        <v>402</v>
      </c>
      <c r="M13" t="s">
        <v>403</v>
      </c>
      <c r="N13">
        <v>2</v>
      </c>
      <c r="O13">
        <v>1</v>
      </c>
      <c r="P13" t="s">
        <v>438</v>
      </c>
      <c r="Q13" t="s">
        <v>424</v>
      </c>
      <c r="R13" t="s">
        <v>439</v>
      </c>
      <c r="S13" t="s">
        <v>440</v>
      </c>
      <c r="T13" t="s">
        <v>408</v>
      </c>
      <c r="U13">
        <v>50950081525</v>
      </c>
      <c r="W13">
        <v>92800</v>
      </c>
      <c r="X13" t="s">
        <v>448</v>
      </c>
      <c r="Y13" t="s">
        <v>410</v>
      </c>
      <c r="Z13" t="s">
        <v>410</v>
      </c>
      <c r="AA13" t="s">
        <v>411</v>
      </c>
      <c r="AB13" t="s">
        <v>412</v>
      </c>
      <c r="AC13" t="s">
        <v>411</v>
      </c>
      <c r="AD13">
        <v>46083</v>
      </c>
      <c r="AE13">
        <v>46097</v>
      </c>
      <c r="AF13">
        <v>46090</v>
      </c>
      <c r="AG13" t="s">
        <v>413</v>
      </c>
      <c r="AH13">
        <v>6122651</v>
      </c>
      <c r="AI13">
        <v>46083</v>
      </c>
      <c r="AJ13">
        <v>46083</v>
      </c>
      <c r="AK13">
        <v>92800</v>
      </c>
      <c r="AL13" t="s">
        <v>396</v>
      </c>
      <c r="AM13" t="s">
        <v>449</v>
      </c>
      <c r="AN13">
        <v>46083</v>
      </c>
      <c r="AO13">
        <v>46083.439687500002</v>
      </c>
      <c r="AP13" t="s">
        <v>51</v>
      </c>
      <c r="AQ13">
        <v>2.512E-2</v>
      </c>
      <c r="AR13">
        <v>2331.14</v>
      </c>
      <c r="AS13" t="s">
        <v>51</v>
      </c>
      <c r="AT13">
        <v>2331.14</v>
      </c>
      <c r="AU13" t="s">
        <v>450</v>
      </c>
      <c r="AV13" t="s">
        <v>448</v>
      </c>
      <c r="AW13" t="s">
        <v>451</v>
      </c>
      <c r="AX13">
        <v>46087</v>
      </c>
      <c r="AY13">
        <v>46095</v>
      </c>
      <c r="BA13" t="s">
        <v>448</v>
      </c>
      <c r="BB13" t="s">
        <v>452</v>
      </c>
      <c r="BE13">
        <v>0</v>
      </c>
      <c r="BF13">
        <v>0</v>
      </c>
      <c r="BM13">
        <v>0</v>
      </c>
      <c r="BN13">
        <v>0</v>
      </c>
      <c r="BO13">
        <v>4000</v>
      </c>
      <c r="CG13" t="s">
        <v>421</v>
      </c>
      <c r="CJ13" t="str">
        <v>CSLU6094186</v>
      </c>
      <c r="CN13" t="str">
        <v>M19</v>
      </c>
      <c r="CO13" t="str">
        <v>1330-5YY0182EN</v>
      </c>
      <c r="CP13" t="str">
        <v>CAAU7526547</v>
      </c>
      <c r="CQ13" s="23">
        <v>1229.4492</v>
      </c>
      <c r="CR13" s="25">
        <f t="shared" si="0"/>
        <v>0.10860305856163047</v>
      </c>
      <c r="CS13" s="21">
        <f t="shared" si="1"/>
        <v>271.50764640407618</v>
      </c>
      <c r="CU13" s="23" t="s">
        <v>3503</v>
      </c>
      <c r="CV13" s="21">
        <f>SUM(CV6:CV12)</f>
        <v>150000.00000000012</v>
      </c>
      <c r="CX13" s="21">
        <f>SUM(CX7:CX12)</f>
        <v>135561.06073520964</v>
      </c>
    </row>
    <row r="14" spans="2:103" x14ac:dyDescent="0.35">
      <c r="B14" t="s">
        <v>297</v>
      </c>
      <c r="C14" t="s">
        <v>447</v>
      </c>
      <c r="D14" t="s">
        <v>395</v>
      </c>
      <c r="E14" t="s">
        <v>395</v>
      </c>
      <c r="F14" t="s">
        <v>396</v>
      </c>
      <c r="G14" t="s">
        <v>397</v>
      </c>
      <c r="H14" t="s">
        <v>398</v>
      </c>
      <c r="I14" t="s">
        <v>399</v>
      </c>
      <c r="J14" t="s">
        <v>400</v>
      </c>
      <c r="K14" t="s">
        <v>401</v>
      </c>
      <c r="L14" t="s">
        <v>402</v>
      </c>
      <c r="M14" t="s">
        <v>403</v>
      </c>
      <c r="N14">
        <v>3</v>
      </c>
      <c r="O14">
        <v>1</v>
      </c>
      <c r="P14" t="s">
        <v>438</v>
      </c>
      <c r="Q14" t="s">
        <v>424</v>
      </c>
      <c r="R14" t="s">
        <v>439</v>
      </c>
      <c r="S14" t="s">
        <v>440</v>
      </c>
      <c r="T14" t="s">
        <v>408</v>
      </c>
      <c r="U14">
        <v>50950081525</v>
      </c>
      <c r="W14">
        <v>92800</v>
      </c>
      <c r="X14" t="s">
        <v>448</v>
      </c>
      <c r="Y14" t="s">
        <v>410</v>
      </c>
      <c r="Z14" t="s">
        <v>410</v>
      </c>
      <c r="AA14" t="s">
        <v>411</v>
      </c>
      <c r="AB14" t="s">
        <v>412</v>
      </c>
      <c r="AC14" t="s">
        <v>411</v>
      </c>
      <c r="AD14">
        <v>46083</v>
      </c>
      <c r="AE14">
        <v>46132</v>
      </c>
      <c r="AF14">
        <v>46090</v>
      </c>
      <c r="AG14" t="s">
        <v>413</v>
      </c>
      <c r="AH14">
        <v>6122651</v>
      </c>
      <c r="AI14">
        <v>46083</v>
      </c>
      <c r="AJ14">
        <v>46083</v>
      </c>
      <c r="AK14">
        <v>92800</v>
      </c>
      <c r="AL14" t="s">
        <v>396</v>
      </c>
      <c r="AM14" t="s">
        <v>449</v>
      </c>
      <c r="AN14">
        <v>46083</v>
      </c>
      <c r="AO14">
        <v>46083.439687500002</v>
      </c>
      <c r="AP14" t="s">
        <v>51</v>
      </c>
      <c r="AQ14">
        <v>2.512E-2</v>
      </c>
      <c r="AR14">
        <v>2331.14</v>
      </c>
      <c r="AS14" t="s">
        <v>51</v>
      </c>
      <c r="AT14">
        <v>2331.14</v>
      </c>
      <c r="AU14" t="s">
        <v>450</v>
      </c>
      <c r="AV14" t="s">
        <v>448</v>
      </c>
      <c r="AW14" t="s">
        <v>451</v>
      </c>
      <c r="AX14">
        <v>46087</v>
      </c>
      <c r="AY14">
        <v>46095</v>
      </c>
      <c r="BA14" t="s">
        <v>448</v>
      </c>
      <c r="BB14" t="s">
        <v>452</v>
      </c>
      <c r="BE14">
        <v>0</v>
      </c>
      <c r="BF14">
        <v>0</v>
      </c>
      <c r="BM14">
        <v>0</v>
      </c>
      <c r="BN14">
        <v>0</v>
      </c>
      <c r="BO14">
        <v>4000</v>
      </c>
      <c r="CG14" t="s">
        <v>421</v>
      </c>
      <c r="CJ14" t="str">
        <v>CSLU6140168</v>
      </c>
      <c r="CN14" t="str">
        <v>M19</v>
      </c>
      <c r="CO14" t="str">
        <v>1330-5YY0256EN</v>
      </c>
      <c r="CP14" t="str">
        <v>CAAU7526547</v>
      </c>
      <c r="CQ14" s="23">
        <v>217.00200000000001</v>
      </c>
      <c r="CR14" s="25">
        <f t="shared" si="0"/>
        <v>1.9168812273000733E-2</v>
      </c>
      <c r="CS14" s="21">
        <f t="shared" si="1"/>
        <v>47.922030682501834</v>
      </c>
      <c r="CU14" s="23"/>
    </row>
    <row r="15" spans="2:103" x14ac:dyDescent="0.35">
      <c r="B15" t="s">
        <v>297</v>
      </c>
      <c r="C15" t="s">
        <v>447</v>
      </c>
      <c r="D15" t="s">
        <v>395</v>
      </c>
      <c r="E15" t="s">
        <v>395</v>
      </c>
      <c r="F15" t="s">
        <v>396</v>
      </c>
      <c r="G15" t="s">
        <v>397</v>
      </c>
      <c r="H15" t="s">
        <v>398</v>
      </c>
      <c r="I15" t="s">
        <v>399</v>
      </c>
      <c r="J15" t="s">
        <v>400</v>
      </c>
      <c r="K15" t="s">
        <v>401</v>
      </c>
      <c r="L15" t="s">
        <v>402</v>
      </c>
      <c r="M15" t="s">
        <v>403</v>
      </c>
      <c r="N15">
        <v>1</v>
      </c>
      <c r="O15">
        <v>1</v>
      </c>
      <c r="P15" t="s">
        <v>438</v>
      </c>
      <c r="Q15" t="s">
        <v>424</v>
      </c>
      <c r="R15" t="s">
        <v>439</v>
      </c>
      <c r="S15" t="s">
        <v>440</v>
      </c>
      <c r="T15" t="s">
        <v>408</v>
      </c>
      <c r="U15">
        <v>50950081525</v>
      </c>
      <c r="W15">
        <v>92800</v>
      </c>
      <c r="X15" t="s">
        <v>448</v>
      </c>
      <c r="Y15" t="s">
        <v>410</v>
      </c>
      <c r="Z15" t="s">
        <v>410</v>
      </c>
      <c r="AA15" t="s">
        <v>411</v>
      </c>
      <c r="AB15" t="s">
        <v>412</v>
      </c>
      <c r="AC15" t="s">
        <v>411</v>
      </c>
      <c r="AD15">
        <v>46083</v>
      </c>
      <c r="AE15">
        <v>46139</v>
      </c>
      <c r="AF15">
        <v>46090</v>
      </c>
      <c r="AG15" t="s">
        <v>413</v>
      </c>
      <c r="AH15">
        <v>6122651</v>
      </c>
      <c r="AI15">
        <v>46083</v>
      </c>
      <c r="AJ15">
        <v>46083</v>
      </c>
      <c r="AK15">
        <v>92800</v>
      </c>
      <c r="AL15" t="s">
        <v>396</v>
      </c>
      <c r="AM15" t="s">
        <v>449</v>
      </c>
      <c r="AN15">
        <v>46083</v>
      </c>
      <c r="AO15">
        <v>46083.439687500002</v>
      </c>
      <c r="AP15" t="s">
        <v>51</v>
      </c>
      <c r="AQ15">
        <v>2.512E-2</v>
      </c>
      <c r="AR15">
        <v>2331.14</v>
      </c>
      <c r="AS15" t="s">
        <v>51</v>
      </c>
      <c r="AT15">
        <v>2331.14</v>
      </c>
      <c r="AU15" t="s">
        <v>450</v>
      </c>
      <c r="AV15" t="s">
        <v>448</v>
      </c>
      <c r="AW15" t="s">
        <v>451</v>
      </c>
      <c r="AX15">
        <v>46087</v>
      </c>
      <c r="AY15">
        <v>46095</v>
      </c>
      <c r="BA15" t="s">
        <v>448</v>
      </c>
      <c r="BB15" t="s">
        <v>452</v>
      </c>
      <c r="BE15">
        <v>0</v>
      </c>
      <c r="BF15">
        <v>0</v>
      </c>
      <c r="BM15">
        <v>0</v>
      </c>
      <c r="BN15">
        <v>0</v>
      </c>
      <c r="BO15">
        <v>4000</v>
      </c>
      <c r="CG15" t="s">
        <v>421</v>
      </c>
      <c r="CJ15" t="str">
        <v>CSLU6151413</v>
      </c>
      <c r="CN15" t="str">
        <v>M19</v>
      </c>
      <c r="CO15" t="str">
        <v>1330-5YY0168EN</v>
      </c>
      <c r="CP15" t="str">
        <v>CAAU7526547</v>
      </c>
      <c r="CQ15" s="23">
        <v>256.99200000000002</v>
      </c>
      <c r="CR15" s="25">
        <f t="shared" si="0"/>
        <v>2.2701317977083184E-2</v>
      </c>
      <c r="CS15" s="21">
        <f t="shared" si="1"/>
        <v>56.75329494270796</v>
      </c>
      <c r="CU15" s="23"/>
    </row>
    <row r="16" spans="2:103" x14ac:dyDescent="0.35">
      <c r="B16" t="s">
        <v>299</v>
      </c>
      <c r="C16" t="s">
        <v>453</v>
      </c>
      <c r="D16" t="s">
        <v>395</v>
      </c>
      <c r="E16" t="s">
        <v>395</v>
      </c>
      <c r="F16" t="s">
        <v>396</v>
      </c>
      <c r="G16" t="s">
        <v>397</v>
      </c>
      <c r="H16" t="s">
        <v>454</v>
      </c>
      <c r="I16" t="s">
        <v>399</v>
      </c>
      <c r="J16" t="s">
        <v>400</v>
      </c>
      <c r="K16" t="s">
        <v>455</v>
      </c>
      <c r="L16" t="s">
        <v>456</v>
      </c>
      <c r="M16" t="s">
        <v>403</v>
      </c>
      <c r="N16">
        <v>1</v>
      </c>
      <c r="O16">
        <v>1</v>
      </c>
      <c r="P16" t="s">
        <v>457</v>
      </c>
      <c r="Q16" t="s">
        <v>424</v>
      </c>
      <c r="R16" t="s">
        <v>458</v>
      </c>
      <c r="S16" t="s">
        <v>459</v>
      </c>
      <c r="T16" t="s">
        <v>408</v>
      </c>
      <c r="U16">
        <v>50950079458</v>
      </c>
      <c r="W16">
        <v>40000</v>
      </c>
      <c r="X16" t="s">
        <v>409</v>
      </c>
      <c r="Y16" t="s">
        <v>410</v>
      </c>
      <c r="Z16" t="s">
        <v>410</v>
      </c>
      <c r="AA16" t="s">
        <v>411</v>
      </c>
      <c r="AB16" t="s">
        <v>412</v>
      </c>
      <c r="AC16" t="s">
        <v>411</v>
      </c>
      <c r="AD16">
        <v>46083</v>
      </c>
      <c r="AE16">
        <v>46139</v>
      </c>
      <c r="AF16">
        <v>46090</v>
      </c>
      <c r="AG16" t="s">
        <v>460</v>
      </c>
      <c r="AH16">
        <v>6123033</v>
      </c>
      <c r="AI16">
        <v>46083</v>
      </c>
      <c r="AJ16">
        <v>46083</v>
      </c>
      <c r="AK16">
        <v>40000</v>
      </c>
      <c r="AL16" t="s">
        <v>396</v>
      </c>
      <c r="AM16" t="s">
        <v>461</v>
      </c>
      <c r="AN16">
        <v>46083</v>
      </c>
      <c r="AO16">
        <v>46083.637824074074</v>
      </c>
      <c r="AP16" t="s">
        <v>51</v>
      </c>
      <c r="AQ16">
        <v>6.3299999999999995E-2</v>
      </c>
      <c r="AR16">
        <v>2532</v>
      </c>
      <c r="AS16" t="s">
        <v>51</v>
      </c>
      <c r="AT16">
        <v>2532</v>
      </c>
      <c r="AU16" t="s">
        <v>415</v>
      </c>
      <c r="AV16" t="s">
        <v>416</v>
      </c>
      <c r="AW16" t="s">
        <v>417</v>
      </c>
      <c r="AX16">
        <v>46093</v>
      </c>
      <c r="AY16">
        <v>46142</v>
      </c>
      <c r="AZ16" t="s">
        <v>418</v>
      </c>
      <c r="BA16" t="s">
        <v>419</v>
      </c>
      <c r="BB16" t="s">
        <v>420</v>
      </c>
      <c r="BE16">
        <v>0</v>
      </c>
      <c r="BF16">
        <v>0</v>
      </c>
      <c r="BM16">
        <v>0</v>
      </c>
      <c r="BN16">
        <v>0</v>
      </c>
      <c r="BO16">
        <v>150</v>
      </c>
      <c r="CG16" t="s">
        <v>421</v>
      </c>
      <c r="CJ16" t="str">
        <v>CSNU6595689</v>
      </c>
      <c r="CN16" t="str">
        <v>M19</v>
      </c>
      <c r="CO16" t="str">
        <v>1301-5YY0306EN0093</v>
      </c>
      <c r="CP16" t="str">
        <v>CAAU7526547</v>
      </c>
      <c r="CQ16" s="23">
        <v>493.40627999999998</v>
      </c>
      <c r="CR16" s="25">
        <f t="shared" si="0"/>
        <v>4.3584908690425139E-2</v>
      </c>
      <c r="CS16" s="21">
        <f t="shared" si="1"/>
        <v>108.96227172606285</v>
      </c>
      <c r="CU16" s="23"/>
      <c r="CV16" s="21"/>
    </row>
    <row r="17" spans="2:100" x14ac:dyDescent="0.35">
      <c r="B17" t="s">
        <v>299</v>
      </c>
      <c r="C17" t="s">
        <v>462</v>
      </c>
      <c r="D17" t="s">
        <v>395</v>
      </c>
      <c r="E17" t="s">
        <v>395</v>
      </c>
      <c r="F17" t="s">
        <v>396</v>
      </c>
      <c r="G17" t="s">
        <v>397</v>
      </c>
      <c r="H17" t="s">
        <v>454</v>
      </c>
      <c r="I17" t="s">
        <v>399</v>
      </c>
      <c r="J17" t="s">
        <v>400</v>
      </c>
      <c r="K17" t="s">
        <v>455</v>
      </c>
      <c r="L17" t="s">
        <v>456</v>
      </c>
      <c r="M17" t="s">
        <v>403</v>
      </c>
      <c r="N17">
        <v>1</v>
      </c>
      <c r="O17">
        <v>1</v>
      </c>
      <c r="P17" t="s">
        <v>463</v>
      </c>
      <c r="Q17" t="s">
        <v>430</v>
      </c>
      <c r="R17" t="s">
        <v>464</v>
      </c>
      <c r="S17" t="s">
        <v>465</v>
      </c>
      <c r="T17" t="s">
        <v>408</v>
      </c>
      <c r="U17">
        <v>50950081209</v>
      </c>
      <c r="W17">
        <v>64000</v>
      </c>
      <c r="X17" t="s">
        <v>409</v>
      </c>
      <c r="Y17" t="s">
        <v>410</v>
      </c>
      <c r="Z17" t="s">
        <v>410</v>
      </c>
      <c r="AA17" t="s">
        <v>411</v>
      </c>
      <c r="AB17" t="s">
        <v>412</v>
      </c>
      <c r="AC17" t="s">
        <v>411</v>
      </c>
      <c r="AD17">
        <v>46083</v>
      </c>
      <c r="AE17">
        <v>46153</v>
      </c>
      <c r="AF17">
        <v>46090</v>
      </c>
      <c r="AG17" t="s">
        <v>460</v>
      </c>
      <c r="AH17">
        <v>6123031</v>
      </c>
      <c r="AI17">
        <v>46083</v>
      </c>
      <c r="AJ17">
        <v>46083</v>
      </c>
      <c r="AK17">
        <v>64000</v>
      </c>
      <c r="AL17" t="s">
        <v>396</v>
      </c>
      <c r="AM17" t="s">
        <v>466</v>
      </c>
      <c r="AN17">
        <v>46083</v>
      </c>
      <c r="AO17">
        <v>46083.637824074074</v>
      </c>
      <c r="AP17" t="s">
        <v>51</v>
      </c>
      <c r="AQ17">
        <v>5.2599999999999999E-3</v>
      </c>
      <c r="AR17">
        <v>336.64</v>
      </c>
      <c r="AS17" t="s">
        <v>51</v>
      </c>
      <c r="AT17">
        <v>336.64</v>
      </c>
      <c r="AU17" t="s">
        <v>415</v>
      </c>
      <c r="AV17" t="s">
        <v>416</v>
      </c>
      <c r="AW17" t="s">
        <v>417</v>
      </c>
      <c r="AX17">
        <v>46093</v>
      </c>
      <c r="AY17">
        <v>46142</v>
      </c>
      <c r="AZ17" t="s">
        <v>418</v>
      </c>
      <c r="BA17" t="s">
        <v>419</v>
      </c>
      <c r="BB17" t="s">
        <v>420</v>
      </c>
      <c r="BE17">
        <v>0</v>
      </c>
      <c r="BF17">
        <v>0</v>
      </c>
      <c r="BM17">
        <v>0</v>
      </c>
      <c r="BN17">
        <v>0</v>
      </c>
      <c r="BO17">
        <v>20</v>
      </c>
      <c r="CG17" t="s">
        <v>421</v>
      </c>
      <c r="CJ17" t="str">
        <v>CSNU7139997</v>
      </c>
      <c r="CN17" t="str">
        <v>M01</v>
      </c>
      <c r="CO17" t="str">
        <v>1102-0039190EN</v>
      </c>
      <c r="CP17" t="str">
        <v>CAAU7526547</v>
      </c>
      <c r="CQ17" s="23">
        <v>1197.24</v>
      </c>
      <c r="CR17" s="25">
        <f t="shared" si="0"/>
        <v>0.1057578676958157</v>
      </c>
      <c r="CS17" s="21">
        <f t="shared" si="1"/>
        <v>264.39466923953927</v>
      </c>
      <c r="CU17" s="23"/>
      <c r="CV17" s="25"/>
    </row>
    <row r="18" spans="2:100" x14ac:dyDescent="0.35">
      <c r="B18" t="s">
        <v>299</v>
      </c>
      <c r="C18" t="s">
        <v>467</v>
      </c>
      <c r="D18" t="s">
        <v>395</v>
      </c>
      <c r="E18" t="s">
        <v>395</v>
      </c>
      <c r="F18" t="s">
        <v>396</v>
      </c>
      <c r="G18" t="s">
        <v>397</v>
      </c>
      <c r="H18" t="s">
        <v>454</v>
      </c>
      <c r="I18" t="s">
        <v>399</v>
      </c>
      <c r="J18" t="s">
        <v>400</v>
      </c>
      <c r="K18" t="s">
        <v>455</v>
      </c>
      <c r="L18" t="s">
        <v>456</v>
      </c>
      <c r="M18" t="s">
        <v>403</v>
      </c>
      <c r="N18">
        <v>1</v>
      </c>
      <c r="O18">
        <v>1</v>
      </c>
      <c r="P18" t="s">
        <v>463</v>
      </c>
      <c r="Q18" t="s">
        <v>430</v>
      </c>
      <c r="R18" t="s">
        <v>464</v>
      </c>
      <c r="S18" t="s">
        <v>465</v>
      </c>
      <c r="T18" t="s">
        <v>408</v>
      </c>
      <c r="U18">
        <v>50950081247</v>
      </c>
      <c r="W18">
        <v>64000</v>
      </c>
      <c r="X18" t="s">
        <v>409</v>
      </c>
      <c r="Y18" t="s">
        <v>410</v>
      </c>
      <c r="Z18" t="s">
        <v>410</v>
      </c>
      <c r="AA18" t="s">
        <v>411</v>
      </c>
      <c r="AB18" t="s">
        <v>412</v>
      </c>
      <c r="AC18" t="s">
        <v>411</v>
      </c>
      <c r="AD18">
        <v>46083</v>
      </c>
      <c r="AE18">
        <v>46139</v>
      </c>
      <c r="AF18">
        <v>46090</v>
      </c>
      <c r="AG18" t="s">
        <v>460</v>
      </c>
      <c r="AH18">
        <v>6123032</v>
      </c>
      <c r="AI18">
        <v>46083</v>
      </c>
      <c r="AJ18">
        <v>46083</v>
      </c>
      <c r="AK18">
        <v>64000</v>
      </c>
      <c r="AL18" t="s">
        <v>396</v>
      </c>
      <c r="AM18" t="s">
        <v>468</v>
      </c>
      <c r="AN18">
        <v>46083</v>
      </c>
      <c r="AO18">
        <v>46083.637824074074</v>
      </c>
      <c r="AP18" t="s">
        <v>51</v>
      </c>
      <c r="AQ18">
        <v>5.2599999999999999E-3</v>
      </c>
      <c r="AR18">
        <v>336.64</v>
      </c>
      <c r="AS18" t="s">
        <v>51</v>
      </c>
      <c r="AT18">
        <v>336.64</v>
      </c>
      <c r="AU18" t="s">
        <v>415</v>
      </c>
      <c r="AV18" t="s">
        <v>416</v>
      </c>
      <c r="AW18" t="s">
        <v>417</v>
      </c>
      <c r="AX18">
        <v>46093</v>
      </c>
      <c r="AY18">
        <v>46142</v>
      </c>
      <c r="AZ18" t="s">
        <v>418</v>
      </c>
      <c r="BA18" t="s">
        <v>419</v>
      </c>
      <c r="BB18" t="s">
        <v>420</v>
      </c>
      <c r="BE18">
        <v>0</v>
      </c>
      <c r="BF18">
        <v>0</v>
      </c>
      <c r="BM18">
        <v>0</v>
      </c>
      <c r="BN18">
        <v>0</v>
      </c>
      <c r="BO18">
        <v>20</v>
      </c>
      <c r="CG18" t="s">
        <v>421</v>
      </c>
      <c r="CJ18" t="str">
        <v>CSNU7460163</v>
      </c>
      <c r="CN18" t="str">
        <v>M45</v>
      </c>
      <c r="CO18" t="str">
        <v>1301-12B0010EN</v>
      </c>
      <c r="CP18" t="str">
        <v>CAAU7526547</v>
      </c>
      <c r="CQ18" s="23">
        <v>296.29151999999999</v>
      </c>
      <c r="CR18" s="25">
        <f t="shared" si="0"/>
        <v>2.6172830319361306E-2</v>
      </c>
      <c r="CS18" s="21">
        <f t="shared" si="1"/>
        <v>65.432075798403261</v>
      </c>
      <c r="CU18" s="23"/>
    </row>
    <row r="19" spans="2:100" x14ac:dyDescent="0.35">
      <c r="B19" t="s">
        <v>3497</v>
      </c>
      <c r="C19" t="s">
        <v>469</v>
      </c>
      <c r="D19" t="s">
        <v>395</v>
      </c>
      <c r="E19" t="s">
        <v>395</v>
      </c>
      <c r="F19" t="s">
        <v>396</v>
      </c>
      <c r="G19" t="s">
        <v>397</v>
      </c>
      <c r="H19" t="s">
        <v>470</v>
      </c>
      <c r="I19" t="s">
        <v>399</v>
      </c>
      <c r="J19" t="s">
        <v>400</v>
      </c>
      <c r="K19" t="s">
        <v>471</v>
      </c>
      <c r="L19" t="s">
        <v>472</v>
      </c>
      <c r="M19" t="s">
        <v>403</v>
      </c>
      <c r="N19">
        <v>1</v>
      </c>
      <c r="O19">
        <v>1</v>
      </c>
      <c r="P19" t="s">
        <v>473</v>
      </c>
      <c r="Q19" t="s">
        <v>424</v>
      </c>
      <c r="R19" t="s">
        <v>474</v>
      </c>
      <c r="S19" t="s">
        <v>475</v>
      </c>
      <c r="T19" t="s">
        <v>408</v>
      </c>
      <c r="U19">
        <v>50950080782</v>
      </c>
      <c r="W19">
        <v>500</v>
      </c>
      <c r="X19" t="s">
        <v>409</v>
      </c>
      <c r="Y19" t="s">
        <v>410</v>
      </c>
      <c r="Z19" t="s">
        <v>410</v>
      </c>
      <c r="AA19" t="s">
        <v>411</v>
      </c>
      <c r="AB19" t="s">
        <v>412</v>
      </c>
      <c r="AC19" t="s">
        <v>411</v>
      </c>
      <c r="AD19">
        <v>46083</v>
      </c>
      <c r="AE19">
        <v>46146</v>
      </c>
      <c r="AF19">
        <v>46090</v>
      </c>
      <c r="AG19" t="s">
        <v>476</v>
      </c>
      <c r="AH19">
        <v>6122375</v>
      </c>
      <c r="AI19">
        <v>46083</v>
      </c>
      <c r="AJ19">
        <v>46083</v>
      </c>
      <c r="AK19">
        <v>500</v>
      </c>
      <c r="AL19" t="s">
        <v>396</v>
      </c>
      <c r="AM19" t="s">
        <v>477</v>
      </c>
      <c r="AN19">
        <v>46083</v>
      </c>
      <c r="AO19">
        <v>46083.350694444445</v>
      </c>
      <c r="AP19" t="s">
        <v>51</v>
      </c>
      <c r="AQ19">
        <v>3.7082299999999999</v>
      </c>
      <c r="AR19">
        <v>1854.12</v>
      </c>
      <c r="AS19" t="s">
        <v>51</v>
      </c>
      <c r="AT19">
        <v>1854.12</v>
      </c>
      <c r="AU19" t="s">
        <v>415</v>
      </c>
      <c r="AV19" t="s">
        <v>416</v>
      </c>
      <c r="AW19" t="s">
        <v>417</v>
      </c>
      <c r="AX19">
        <v>46093</v>
      </c>
      <c r="AY19">
        <v>46142</v>
      </c>
      <c r="AZ19" t="s">
        <v>418</v>
      </c>
      <c r="BA19" t="s">
        <v>419</v>
      </c>
      <c r="BB19" t="s">
        <v>420</v>
      </c>
      <c r="BE19">
        <v>0</v>
      </c>
      <c r="BF19">
        <v>0</v>
      </c>
      <c r="BM19">
        <v>0</v>
      </c>
      <c r="BN19">
        <v>0</v>
      </c>
      <c r="BO19" s="23">
        <f t="shared" ref="BO19:BO20" si="5">AR19/AQ19</f>
        <v>500.00134835217881</v>
      </c>
      <c r="CG19" t="s">
        <v>421</v>
      </c>
      <c r="CJ19" t="str">
        <v>CSNU7568097</v>
      </c>
      <c r="CN19" t="str">
        <v>M45</v>
      </c>
      <c r="CO19" t="str">
        <v>1163-12B0002EN0093</v>
      </c>
      <c r="CP19" t="str">
        <v>CAAU7526547</v>
      </c>
      <c r="CQ19" s="23">
        <v>42.22</v>
      </c>
      <c r="CR19" s="25">
        <f t="shared" si="0"/>
        <v>3.7294921436949475E-3</v>
      </c>
      <c r="CS19" s="21">
        <f t="shared" si="1"/>
        <v>9.3237303592373681</v>
      </c>
      <c r="CU19" s="23"/>
    </row>
    <row r="20" spans="2:100" x14ac:dyDescent="0.35">
      <c r="B20" t="s">
        <v>3497</v>
      </c>
      <c r="C20" t="s">
        <v>478</v>
      </c>
      <c r="D20" t="s">
        <v>395</v>
      </c>
      <c r="E20" t="s">
        <v>395</v>
      </c>
      <c r="F20" t="s">
        <v>396</v>
      </c>
      <c r="G20" t="s">
        <v>397</v>
      </c>
      <c r="H20" t="s">
        <v>470</v>
      </c>
      <c r="I20" t="s">
        <v>399</v>
      </c>
      <c r="J20" t="s">
        <v>400</v>
      </c>
      <c r="K20" t="s">
        <v>471</v>
      </c>
      <c r="L20" t="s">
        <v>472</v>
      </c>
      <c r="M20" t="s">
        <v>403</v>
      </c>
      <c r="N20">
        <v>1</v>
      </c>
      <c r="O20">
        <v>1</v>
      </c>
      <c r="P20" t="s">
        <v>479</v>
      </c>
      <c r="Q20" t="s">
        <v>424</v>
      </c>
      <c r="R20" t="s">
        <v>480</v>
      </c>
      <c r="S20" t="s">
        <v>481</v>
      </c>
      <c r="T20" t="s">
        <v>408</v>
      </c>
      <c r="U20">
        <v>50950081100</v>
      </c>
      <c r="W20">
        <v>4000</v>
      </c>
      <c r="X20" t="s">
        <v>409</v>
      </c>
      <c r="Y20" t="s">
        <v>410</v>
      </c>
      <c r="Z20" t="s">
        <v>410</v>
      </c>
      <c r="AA20" t="s">
        <v>411</v>
      </c>
      <c r="AB20" t="s">
        <v>412</v>
      </c>
      <c r="AC20" t="s">
        <v>411</v>
      </c>
      <c r="AD20">
        <v>46083</v>
      </c>
      <c r="AE20">
        <v>46139</v>
      </c>
      <c r="AF20">
        <v>46090</v>
      </c>
      <c r="AG20" t="s">
        <v>476</v>
      </c>
      <c r="AH20">
        <v>6122376</v>
      </c>
      <c r="AI20">
        <v>46083</v>
      </c>
      <c r="AJ20">
        <v>46083</v>
      </c>
      <c r="AK20">
        <v>4000</v>
      </c>
      <c r="AL20" t="s">
        <v>396</v>
      </c>
      <c r="AM20" t="s">
        <v>482</v>
      </c>
      <c r="AN20">
        <v>46083</v>
      </c>
      <c r="AO20">
        <v>46083.350694444445</v>
      </c>
      <c r="AP20" t="s">
        <v>51</v>
      </c>
      <c r="AQ20">
        <v>3.04074</v>
      </c>
      <c r="AR20">
        <v>12162.96</v>
      </c>
      <c r="AS20" t="s">
        <v>51</v>
      </c>
      <c r="AT20">
        <v>12162.96</v>
      </c>
      <c r="AU20" t="s">
        <v>415</v>
      </c>
      <c r="AV20" t="s">
        <v>416</v>
      </c>
      <c r="AW20" t="s">
        <v>417</v>
      </c>
      <c r="AX20">
        <v>46093</v>
      </c>
      <c r="AY20">
        <v>46142</v>
      </c>
      <c r="AZ20" t="s">
        <v>418</v>
      </c>
      <c r="BA20" t="s">
        <v>419</v>
      </c>
      <c r="BB20" t="s">
        <v>420</v>
      </c>
      <c r="BE20">
        <v>0</v>
      </c>
      <c r="BF20">
        <v>0</v>
      </c>
      <c r="BM20">
        <v>0</v>
      </c>
      <c r="BN20">
        <v>0</v>
      </c>
      <c r="BO20" s="23">
        <f t="shared" si="5"/>
        <v>3999.9999999999995</v>
      </c>
      <c r="CG20" t="s">
        <v>421</v>
      </c>
      <c r="CJ20" t="str">
        <v>FBIU5071920</v>
      </c>
      <c r="CN20" t="str">
        <v>M45</v>
      </c>
      <c r="CO20" t="str">
        <v>AYSP61AS871EN</v>
      </c>
      <c r="CP20" t="str">
        <v>CAAU7526547</v>
      </c>
      <c r="CQ20" s="23">
        <v>946.40020000000004</v>
      </c>
      <c r="CR20" s="25">
        <f t="shared" si="0"/>
        <v>8.360000262177468E-2</v>
      </c>
      <c r="CS20" s="21">
        <f t="shared" si="1"/>
        <v>209.00000655443671</v>
      </c>
      <c r="CU20" s="23"/>
    </row>
    <row r="21" spans="2:100" x14ac:dyDescent="0.35">
      <c r="B21" t="s">
        <v>296</v>
      </c>
      <c r="C21" t="s">
        <v>483</v>
      </c>
      <c r="D21" t="s">
        <v>395</v>
      </c>
      <c r="E21" t="s">
        <v>395</v>
      </c>
      <c r="F21" t="s">
        <v>396</v>
      </c>
      <c r="G21" t="s">
        <v>397</v>
      </c>
      <c r="H21" t="s">
        <v>398</v>
      </c>
      <c r="I21" t="s">
        <v>399</v>
      </c>
      <c r="J21" t="s">
        <v>400</v>
      </c>
      <c r="K21" t="s">
        <v>484</v>
      </c>
      <c r="L21" t="s">
        <v>485</v>
      </c>
      <c r="M21" t="s">
        <v>403</v>
      </c>
      <c r="N21">
        <v>1</v>
      </c>
      <c r="O21">
        <v>1</v>
      </c>
      <c r="P21" t="s">
        <v>486</v>
      </c>
      <c r="Q21" t="s">
        <v>430</v>
      </c>
      <c r="R21" t="s">
        <v>487</v>
      </c>
      <c r="S21" t="s">
        <v>488</v>
      </c>
      <c r="T21" t="s">
        <v>408</v>
      </c>
      <c r="U21">
        <v>50950080037</v>
      </c>
      <c r="W21">
        <v>60000</v>
      </c>
      <c r="X21" t="s">
        <v>409</v>
      </c>
      <c r="Y21" t="s">
        <v>410</v>
      </c>
      <c r="Z21" t="s">
        <v>410</v>
      </c>
      <c r="AA21" t="s">
        <v>411</v>
      </c>
      <c r="AB21" t="s">
        <v>412</v>
      </c>
      <c r="AC21" t="s">
        <v>411</v>
      </c>
      <c r="AD21">
        <v>46083</v>
      </c>
      <c r="AE21">
        <v>46139</v>
      </c>
      <c r="AF21">
        <v>46090</v>
      </c>
      <c r="AG21" t="s">
        <v>489</v>
      </c>
      <c r="AH21">
        <v>6123040</v>
      </c>
      <c r="AI21">
        <v>46083</v>
      </c>
      <c r="AJ21">
        <v>46083</v>
      </c>
      <c r="AK21">
        <v>60000</v>
      </c>
      <c r="AL21" t="s">
        <v>396</v>
      </c>
      <c r="AM21" t="s">
        <v>490</v>
      </c>
      <c r="AN21">
        <v>46083</v>
      </c>
      <c r="AO21">
        <v>46083.637824074074</v>
      </c>
      <c r="AP21" t="s">
        <v>51</v>
      </c>
      <c r="AQ21">
        <v>0.13125999999999999</v>
      </c>
      <c r="AR21">
        <v>7875.6</v>
      </c>
      <c r="AS21" t="s">
        <v>51</v>
      </c>
      <c r="AT21">
        <v>7875.6</v>
      </c>
      <c r="AU21" t="s">
        <v>415</v>
      </c>
      <c r="AV21" t="s">
        <v>416</v>
      </c>
      <c r="AW21" t="s">
        <v>417</v>
      </c>
      <c r="AX21">
        <v>46093</v>
      </c>
      <c r="AY21">
        <v>46142</v>
      </c>
      <c r="AZ21" t="s">
        <v>418</v>
      </c>
      <c r="BA21" t="s">
        <v>419</v>
      </c>
      <c r="BB21" t="s">
        <v>420</v>
      </c>
      <c r="BE21">
        <v>0</v>
      </c>
      <c r="BF21">
        <v>0</v>
      </c>
      <c r="BM21">
        <v>0</v>
      </c>
      <c r="BN21">
        <v>0</v>
      </c>
      <c r="BO21">
        <v>50</v>
      </c>
      <c r="CG21" t="s">
        <v>421</v>
      </c>
      <c r="CJ21" t="str">
        <v>FFAU1272834</v>
      </c>
      <c r="CN21" t="str">
        <v>M45</v>
      </c>
      <c r="CO21" t="str">
        <v>AYSP61AS981EN</v>
      </c>
      <c r="CP21" t="str">
        <v>CAAU7526547</v>
      </c>
      <c r="CQ21" s="23">
        <v>2365.8006</v>
      </c>
      <c r="CR21" s="25">
        <f t="shared" si="0"/>
        <v>0.20898234844265259</v>
      </c>
      <c r="CS21" s="21">
        <f t="shared" si="1"/>
        <v>522.45587110663143</v>
      </c>
      <c r="CU21" s="23"/>
    </row>
    <row r="22" spans="2:100" x14ac:dyDescent="0.35">
      <c r="B22" t="s">
        <v>296</v>
      </c>
      <c r="C22" t="s">
        <v>491</v>
      </c>
      <c r="D22" t="s">
        <v>395</v>
      </c>
      <c r="E22" t="s">
        <v>395</v>
      </c>
      <c r="F22" t="s">
        <v>396</v>
      </c>
      <c r="G22" t="s">
        <v>397</v>
      </c>
      <c r="H22" t="s">
        <v>398</v>
      </c>
      <c r="I22" t="s">
        <v>399</v>
      </c>
      <c r="J22" t="s">
        <v>400</v>
      </c>
      <c r="K22" t="s">
        <v>484</v>
      </c>
      <c r="L22" t="s">
        <v>485</v>
      </c>
      <c r="M22" t="s">
        <v>403</v>
      </c>
      <c r="N22">
        <v>1</v>
      </c>
      <c r="O22">
        <v>1</v>
      </c>
      <c r="P22" t="s">
        <v>492</v>
      </c>
      <c r="Q22" t="s">
        <v>430</v>
      </c>
      <c r="R22" t="s">
        <v>493</v>
      </c>
      <c r="S22" t="s">
        <v>494</v>
      </c>
      <c r="T22" t="s">
        <v>408</v>
      </c>
      <c r="U22">
        <v>50950080933</v>
      </c>
      <c r="W22">
        <v>120000</v>
      </c>
      <c r="X22" t="s">
        <v>409</v>
      </c>
      <c r="Y22" t="s">
        <v>410</v>
      </c>
      <c r="Z22" t="s">
        <v>410</v>
      </c>
      <c r="AA22" t="s">
        <v>411</v>
      </c>
      <c r="AB22" t="s">
        <v>412</v>
      </c>
      <c r="AC22" t="s">
        <v>411</v>
      </c>
      <c r="AD22">
        <v>46083</v>
      </c>
      <c r="AE22">
        <v>46139</v>
      </c>
      <c r="AF22">
        <v>46090</v>
      </c>
      <c r="AG22" t="s">
        <v>489</v>
      </c>
      <c r="AH22">
        <v>6123039</v>
      </c>
      <c r="AI22">
        <v>46083</v>
      </c>
      <c r="AJ22">
        <v>46083</v>
      </c>
      <c r="AK22">
        <v>120000</v>
      </c>
      <c r="AL22" t="s">
        <v>396</v>
      </c>
      <c r="AM22" t="s">
        <v>495</v>
      </c>
      <c r="AN22">
        <v>46083</v>
      </c>
      <c r="AO22">
        <v>46083.637824074074</v>
      </c>
      <c r="AP22" t="s">
        <v>51</v>
      </c>
      <c r="AQ22">
        <v>4.4589999999999998E-2</v>
      </c>
      <c r="AR22">
        <v>5350.8</v>
      </c>
      <c r="AS22" t="s">
        <v>51</v>
      </c>
      <c r="AT22">
        <v>5350.8</v>
      </c>
      <c r="AU22" t="s">
        <v>415</v>
      </c>
      <c r="AV22" t="s">
        <v>416</v>
      </c>
      <c r="AW22" t="s">
        <v>417</v>
      </c>
      <c r="AX22">
        <v>46093</v>
      </c>
      <c r="AY22">
        <v>46142</v>
      </c>
      <c r="AZ22" t="s">
        <v>418</v>
      </c>
      <c r="BA22" t="s">
        <v>419</v>
      </c>
      <c r="BB22" t="s">
        <v>420</v>
      </c>
      <c r="BE22">
        <v>0</v>
      </c>
      <c r="BF22">
        <v>0</v>
      </c>
      <c r="BM22">
        <v>0</v>
      </c>
      <c r="BN22">
        <v>0</v>
      </c>
      <c r="BO22">
        <v>50</v>
      </c>
      <c r="CG22" t="s">
        <v>421</v>
      </c>
      <c r="CJ22" t="str">
        <v>FFAU3131007</v>
      </c>
      <c r="CN22" t="str">
        <v>M45</v>
      </c>
      <c r="CO22" t="str">
        <v>AYSP61BS362EN</v>
      </c>
      <c r="CP22" t="str">
        <v>CAAU7526547</v>
      </c>
      <c r="CQ22" s="23">
        <v>764.09619999999995</v>
      </c>
      <c r="CR22" s="25">
        <f t="shared" si="0"/>
        <v>6.7496228681363402E-2</v>
      </c>
      <c r="CS22" s="21">
        <f t="shared" si="1"/>
        <v>168.74057170340851</v>
      </c>
      <c r="CU22" s="23"/>
    </row>
    <row r="23" spans="2:100" x14ac:dyDescent="0.35">
      <c r="B23" t="s">
        <v>296</v>
      </c>
      <c r="C23" t="s">
        <v>496</v>
      </c>
      <c r="D23" t="s">
        <v>395</v>
      </c>
      <c r="E23" t="s">
        <v>395</v>
      </c>
      <c r="F23" t="s">
        <v>396</v>
      </c>
      <c r="G23" t="s">
        <v>397</v>
      </c>
      <c r="H23" t="s">
        <v>398</v>
      </c>
      <c r="I23" t="s">
        <v>399</v>
      </c>
      <c r="J23" t="s">
        <v>400</v>
      </c>
      <c r="K23" t="s">
        <v>484</v>
      </c>
      <c r="L23" t="s">
        <v>497</v>
      </c>
      <c r="M23" t="s">
        <v>403</v>
      </c>
      <c r="N23">
        <v>1</v>
      </c>
      <c r="O23">
        <v>1</v>
      </c>
      <c r="P23" t="s">
        <v>498</v>
      </c>
      <c r="Q23" t="s">
        <v>424</v>
      </c>
      <c r="R23" t="s">
        <v>499</v>
      </c>
      <c r="S23" t="s">
        <v>500</v>
      </c>
      <c r="T23" t="s">
        <v>408</v>
      </c>
      <c r="U23">
        <v>50950075206</v>
      </c>
      <c r="W23">
        <v>60000</v>
      </c>
      <c r="X23" t="s">
        <v>409</v>
      </c>
      <c r="Y23" t="s">
        <v>410</v>
      </c>
      <c r="Z23" t="s">
        <v>410</v>
      </c>
      <c r="AA23" t="s">
        <v>411</v>
      </c>
      <c r="AB23" t="s">
        <v>412</v>
      </c>
      <c r="AC23" t="s">
        <v>411</v>
      </c>
      <c r="AD23">
        <v>46083</v>
      </c>
      <c r="AE23">
        <v>46146</v>
      </c>
      <c r="AF23">
        <v>46090</v>
      </c>
      <c r="AG23" t="s">
        <v>489</v>
      </c>
      <c r="AH23">
        <v>6123042</v>
      </c>
      <c r="AI23">
        <v>46083</v>
      </c>
      <c r="AJ23">
        <v>46083</v>
      </c>
      <c r="AK23">
        <v>60000</v>
      </c>
      <c r="AL23" t="s">
        <v>396</v>
      </c>
      <c r="AM23" t="s">
        <v>501</v>
      </c>
      <c r="AN23">
        <v>46083</v>
      </c>
      <c r="AO23">
        <v>46083.637824074074</v>
      </c>
      <c r="AP23" t="s">
        <v>51</v>
      </c>
      <c r="AQ23">
        <v>1.259E-2</v>
      </c>
      <c r="AR23">
        <v>755.4</v>
      </c>
      <c r="AS23" t="s">
        <v>51</v>
      </c>
      <c r="AT23">
        <v>755.4</v>
      </c>
      <c r="AU23" t="s">
        <v>415</v>
      </c>
      <c r="AV23" t="s">
        <v>416</v>
      </c>
      <c r="AW23" t="s">
        <v>417</v>
      </c>
      <c r="AX23">
        <v>46093</v>
      </c>
      <c r="AY23">
        <v>46142</v>
      </c>
      <c r="AZ23" t="s">
        <v>418</v>
      </c>
      <c r="BA23" t="s">
        <v>419</v>
      </c>
      <c r="BB23" t="s">
        <v>420</v>
      </c>
      <c r="BE23">
        <v>0</v>
      </c>
      <c r="BF23">
        <v>0</v>
      </c>
      <c r="BM23">
        <v>0</v>
      </c>
      <c r="BN23">
        <v>0</v>
      </c>
      <c r="BO23">
        <v>0.1</v>
      </c>
      <c r="CG23" t="s">
        <v>421</v>
      </c>
      <c r="CJ23" t="str">
        <v>FFAU5676599</v>
      </c>
      <c r="CN23" t="str">
        <v>M01</v>
      </c>
      <c r="CO23" t="str">
        <v>1102-0039190EN</v>
      </c>
      <c r="CP23" t="str">
        <v>CAAU7526547</v>
      </c>
      <c r="CQ23" s="23">
        <v>1197.24</v>
      </c>
      <c r="CR23" s="25">
        <f t="shared" si="0"/>
        <v>0.1057578676958157</v>
      </c>
      <c r="CS23" s="21">
        <f t="shared" si="1"/>
        <v>264.39466923953927</v>
      </c>
      <c r="CU23" s="23"/>
    </row>
    <row r="24" spans="2:100" x14ac:dyDescent="0.35">
      <c r="B24" t="s">
        <v>296</v>
      </c>
      <c r="C24" t="s">
        <v>502</v>
      </c>
      <c r="D24" t="s">
        <v>395</v>
      </c>
      <c r="E24" t="s">
        <v>395</v>
      </c>
      <c r="F24" t="s">
        <v>396</v>
      </c>
      <c r="G24" t="s">
        <v>397</v>
      </c>
      <c r="H24" t="s">
        <v>398</v>
      </c>
      <c r="I24" t="s">
        <v>399</v>
      </c>
      <c r="J24" t="s">
        <v>400</v>
      </c>
      <c r="K24" t="s">
        <v>484</v>
      </c>
      <c r="L24" t="s">
        <v>497</v>
      </c>
      <c r="M24" t="s">
        <v>403</v>
      </c>
      <c r="N24">
        <v>1</v>
      </c>
      <c r="O24">
        <v>1</v>
      </c>
      <c r="P24" t="s">
        <v>503</v>
      </c>
      <c r="Q24" t="s">
        <v>424</v>
      </c>
      <c r="R24" t="s">
        <v>504</v>
      </c>
      <c r="S24" t="s">
        <v>505</v>
      </c>
      <c r="T24" t="s">
        <v>408</v>
      </c>
      <c r="U24">
        <v>50950081473</v>
      </c>
      <c r="W24">
        <v>40000</v>
      </c>
      <c r="X24" t="s">
        <v>448</v>
      </c>
      <c r="Y24" t="s">
        <v>410</v>
      </c>
      <c r="Z24" t="s">
        <v>410</v>
      </c>
      <c r="AA24" t="s">
        <v>411</v>
      </c>
      <c r="AB24" t="s">
        <v>412</v>
      </c>
      <c r="AC24" t="s">
        <v>411</v>
      </c>
      <c r="AD24">
        <v>46083</v>
      </c>
      <c r="AE24">
        <v>46139</v>
      </c>
      <c r="AF24">
        <v>46090</v>
      </c>
      <c r="AG24" t="s">
        <v>489</v>
      </c>
      <c r="AH24">
        <v>6122652</v>
      </c>
      <c r="AI24">
        <v>46083</v>
      </c>
      <c r="AJ24">
        <v>46083</v>
      </c>
      <c r="AK24">
        <v>40000</v>
      </c>
      <c r="AL24" t="s">
        <v>396</v>
      </c>
      <c r="AM24" t="s">
        <v>506</v>
      </c>
      <c r="AN24">
        <v>46083</v>
      </c>
      <c r="AO24">
        <v>46083.439687500002</v>
      </c>
      <c r="AP24" t="s">
        <v>51</v>
      </c>
      <c r="AQ24">
        <v>4.7879999999999999E-2</v>
      </c>
      <c r="AR24">
        <v>1915.2</v>
      </c>
      <c r="AS24" t="s">
        <v>51</v>
      </c>
      <c r="AT24">
        <v>1915.2</v>
      </c>
      <c r="AU24" t="s">
        <v>450</v>
      </c>
      <c r="AV24" t="s">
        <v>448</v>
      </c>
      <c r="AW24" t="s">
        <v>507</v>
      </c>
      <c r="AX24">
        <v>46084</v>
      </c>
      <c r="AY24">
        <v>46095</v>
      </c>
      <c r="BA24" t="s">
        <v>448</v>
      </c>
      <c r="BB24" t="s">
        <v>508</v>
      </c>
      <c r="BE24">
        <v>0</v>
      </c>
      <c r="BF24">
        <v>0</v>
      </c>
      <c r="BM24">
        <v>0</v>
      </c>
      <c r="BN24">
        <v>0</v>
      </c>
      <c r="BO24">
        <v>50</v>
      </c>
      <c r="CG24" t="s">
        <v>421</v>
      </c>
      <c r="CJ24" t="str">
        <v>FFAU5865735</v>
      </c>
      <c r="CN24" t="str">
        <v>M01</v>
      </c>
      <c r="CO24" t="str">
        <v>1999-1010399E1</v>
      </c>
      <c r="CP24" t="str">
        <v>CAIU8394197</v>
      </c>
      <c r="CQ24" s="23">
        <v>417.88</v>
      </c>
      <c r="CR24" s="25">
        <f t="shared" si="0"/>
        <v>2.8035526430167153E-2</v>
      </c>
      <c r="CS24" s="21">
        <f t="shared" si="1"/>
        <v>70.088816075417881</v>
      </c>
      <c r="CU24" s="23"/>
    </row>
    <row r="25" spans="2:100" x14ac:dyDescent="0.35">
      <c r="B25" t="s">
        <v>296</v>
      </c>
      <c r="C25" t="s">
        <v>509</v>
      </c>
      <c r="D25" t="s">
        <v>395</v>
      </c>
      <c r="E25" t="s">
        <v>395</v>
      </c>
      <c r="F25" t="s">
        <v>396</v>
      </c>
      <c r="G25" t="s">
        <v>397</v>
      </c>
      <c r="H25" t="s">
        <v>398</v>
      </c>
      <c r="I25" t="s">
        <v>399</v>
      </c>
      <c r="J25" t="s">
        <v>400</v>
      </c>
      <c r="K25" t="s">
        <v>484</v>
      </c>
      <c r="L25" t="s">
        <v>497</v>
      </c>
      <c r="M25" t="s">
        <v>403</v>
      </c>
      <c r="N25">
        <v>1</v>
      </c>
      <c r="O25">
        <v>1</v>
      </c>
      <c r="P25" t="s">
        <v>510</v>
      </c>
      <c r="Q25" t="s">
        <v>424</v>
      </c>
      <c r="R25" t="s">
        <v>511</v>
      </c>
      <c r="S25" t="s">
        <v>512</v>
      </c>
      <c r="T25" t="s">
        <v>408</v>
      </c>
      <c r="U25">
        <v>50950081532</v>
      </c>
      <c r="W25">
        <v>1575.97</v>
      </c>
      <c r="X25" t="s">
        <v>409</v>
      </c>
      <c r="Y25" t="s">
        <v>410</v>
      </c>
      <c r="Z25" t="s">
        <v>410</v>
      </c>
      <c r="AA25" t="s">
        <v>411</v>
      </c>
      <c r="AB25" t="s">
        <v>412</v>
      </c>
      <c r="AC25" t="s">
        <v>411</v>
      </c>
      <c r="AD25">
        <v>46083</v>
      </c>
      <c r="AE25">
        <v>46139</v>
      </c>
      <c r="AF25">
        <v>46090</v>
      </c>
      <c r="AG25" t="s">
        <v>489</v>
      </c>
      <c r="AH25">
        <v>6123043</v>
      </c>
      <c r="AI25">
        <v>46083</v>
      </c>
      <c r="AJ25">
        <v>46083</v>
      </c>
      <c r="AK25">
        <v>1575.97</v>
      </c>
      <c r="AL25" t="s">
        <v>396</v>
      </c>
      <c r="AM25" t="s">
        <v>513</v>
      </c>
      <c r="AN25">
        <v>46083</v>
      </c>
      <c r="AO25">
        <v>46083.637824074074</v>
      </c>
      <c r="AP25" t="s">
        <v>51</v>
      </c>
      <c r="AQ25">
        <v>6.5605200000000004</v>
      </c>
      <c r="AR25">
        <v>10339.18</v>
      </c>
      <c r="AS25" t="s">
        <v>51</v>
      </c>
      <c r="AT25">
        <v>10339.18</v>
      </c>
      <c r="AU25" t="s">
        <v>415</v>
      </c>
      <c r="AV25" t="s">
        <v>416</v>
      </c>
      <c r="AW25" t="s">
        <v>417</v>
      </c>
      <c r="AX25">
        <v>46093</v>
      </c>
      <c r="AY25">
        <v>46142</v>
      </c>
      <c r="AZ25" t="s">
        <v>418</v>
      </c>
      <c r="BA25" t="s">
        <v>419</v>
      </c>
      <c r="BB25" t="s">
        <v>420</v>
      </c>
      <c r="BO25" s="23">
        <f>AR25/AQ25</f>
        <v>1575.9695877765787</v>
      </c>
      <c r="CG25" t="s">
        <v>421</v>
      </c>
      <c r="CJ25" t="str">
        <v>GAOU7040650</v>
      </c>
      <c r="CN25" t="str">
        <v>M19</v>
      </c>
      <c r="CO25" t="str">
        <v>1275-5YY0783EN</v>
      </c>
      <c r="CP25" t="str">
        <v>CAIU8394197</v>
      </c>
      <c r="CQ25" s="23">
        <v>991.56399999999996</v>
      </c>
      <c r="CR25" s="25">
        <f t="shared" si="0"/>
        <v>6.6523927273863942E-2</v>
      </c>
      <c r="CS25" s="21">
        <f t="shared" si="1"/>
        <v>166.30981818465986</v>
      </c>
      <c r="CU25" s="23"/>
    </row>
    <row r="26" spans="2:100" x14ac:dyDescent="0.35">
      <c r="B26" t="s">
        <v>296</v>
      </c>
      <c r="C26" t="s">
        <v>509</v>
      </c>
      <c r="D26" t="s">
        <v>395</v>
      </c>
      <c r="E26" t="s">
        <v>395</v>
      </c>
      <c r="F26" t="s">
        <v>396</v>
      </c>
      <c r="G26" t="s">
        <v>397</v>
      </c>
      <c r="H26" t="s">
        <v>398</v>
      </c>
      <c r="I26" t="s">
        <v>399</v>
      </c>
      <c r="J26" t="s">
        <v>400</v>
      </c>
      <c r="K26" t="s">
        <v>484</v>
      </c>
      <c r="L26" t="s">
        <v>497</v>
      </c>
      <c r="M26" t="s">
        <v>403</v>
      </c>
      <c r="N26">
        <v>2</v>
      </c>
      <c r="O26">
        <v>1</v>
      </c>
      <c r="P26" t="s">
        <v>510</v>
      </c>
      <c r="Q26" t="s">
        <v>424</v>
      </c>
      <c r="R26" t="s">
        <v>511</v>
      </c>
      <c r="S26" t="s">
        <v>512</v>
      </c>
      <c r="T26" t="s">
        <v>408</v>
      </c>
      <c r="U26">
        <v>50950081532</v>
      </c>
      <c r="W26">
        <v>1641.13</v>
      </c>
      <c r="X26" t="s">
        <v>409</v>
      </c>
      <c r="Y26" t="s">
        <v>410</v>
      </c>
      <c r="Z26" t="s">
        <v>410</v>
      </c>
      <c r="AA26" t="s">
        <v>411</v>
      </c>
      <c r="AB26" t="s">
        <v>412</v>
      </c>
      <c r="AC26" t="s">
        <v>411</v>
      </c>
      <c r="AD26">
        <v>46083</v>
      </c>
      <c r="AE26">
        <v>46160</v>
      </c>
      <c r="AF26">
        <v>46090</v>
      </c>
      <c r="AG26" t="s">
        <v>489</v>
      </c>
      <c r="AH26">
        <v>6123043</v>
      </c>
      <c r="AI26">
        <v>46083</v>
      </c>
      <c r="AJ26">
        <v>46083</v>
      </c>
      <c r="AK26">
        <v>1641.13</v>
      </c>
      <c r="AL26" t="s">
        <v>396</v>
      </c>
      <c r="AM26" t="s">
        <v>513</v>
      </c>
      <c r="AN26">
        <v>46083</v>
      </c>
      <c r="AO26">
        <v>46083.637824074074</v>
      </c>
      <c r="AP26" t="s">
        <v>51</v>
      </c>
      <c r="AQ26">
        <v>6.5605200000000004</v>
      </c>
      <c r="AR26">
        <v>10766.67</v>
      </c>
      <c r="AS26" t="s">
        <v>51</v>
      </c>
      <c r="AT26">
        <v>10766.67</v>
      </c>
      <c r="AU26" t="s">
        <v>415</v>
      </c>
      <c r="AV26" t="s">
        <v>416</v>
      </c>
      <c r="AW26" t="s">
        <v>417</v>
      </c>
      <c r="AX26">
        <v>46093</v>
      </c>
      <c r="AY26">
        <v>46142</v>
      </c>
      <c r="AZ26" t="s">
        <v>418</v>
      </c>
      <c r="BA26" t="s">
        <v>419</v>
      </c>
      <c r="BB26" t="s">
        <v>420</v>
      </c>
      <c r="BO26" s="23">
        <f>AR26/AQ26</f>
        <v>1641.1305811124728</v>
      </c>
      <c r="CG26" t="s">
        <v>421</v>
      </c>
      <c r="CJ26" t="str">
        <v>JXLU4392928</v>
      </c>
      <c r="CN26" t="str">
        <v>M19</v>
      </c>
      <c r="CO26" t="str">
        <v>1275-5YY0685EN</v>
      </c>
      <c r="CP26" t="str">
        <v>CAIU8394197</v>
      </c>
      <c r="CQ26" s="23">
        <v>104.008</v>
      </c>
      <c r="CR26" s="25">
        <f t="shared" si="0"/>
        <v>6.9778860748272841E-3</v>
      </c>
      <c r="CS26" s="21">
        <f t="shared" si="1"/>
        <v>17.444715187068212</v>
      </c>
      <c r="CU26" s="23"/>
    </row>
    <row r="27" spans="2:100" x14ac:dyDescent="0.35">
      <c r="B27" t="s">
        <v>296</v>
      </c>
      <c r="C27" t="s">
        <v>514</v>
      </c>
      <c r="D27" t="s">
        <v>395</v>
      </c>
      <c r="E27" t="s">
        <v>395</v>
      </c>
      <c r="F27" t="s">
        <v>396</v>
      </c>
      <c r="G27" t="s">
        <v>397</v>
      </c>
      <c r="H27" t="s">
        <v>398</v>
      </c>
      <c r="I27" t="s">
        <v>399</v>
      </c>
      <c r="J27" t="s">
        <v>400</v>
      </c>
      <c r="K27" t="s">
        <v>515</v>
      </c>
      <c r="L27" t="s">
        <v>472</v>
      </c>
      <c r="M27" t="s">
        <v>403</v>
      </c>
      <c r="N27">
        <v>1</v>
      </c>
      <c r="O27">
        <v>1</v>
      </c>
      <c r="P27" t="s">
        <v>516</v>
      </c>
      <c r="Q27" t="s">
        <v>430</v>
      </c>
      <c r="R27" t="s">
        <v>517</v>
      </c>
      <c r="S27" t="s">
        <v>518</v>
      </c>
      <c r="T27" t="s">
        <v>408</v>
      </c>
      <c r="U27">
        <v>50950078779</v>
      </c>
      <c r="W27">
        <v>76800</v>
      </c>
      <c r="X27" t="s">
        <v>409</v>
      </c>
      <c r="Y27" t="s">
        <v>410</v>
      </c>
      <c r="Z27" t="s">
        <v>410</v>
      </c>
      <c r="AA27" t="s">
        <v>411</v>
      </c>
      <c r="AB27" t="s">
        <v>412</v>
      </c>
      <c r="AC27" t="s">
        <v>411</v>
      </c>
      <c r="AD27">
        <v>46083</v>
      </c>
      <c r="AE27">
        <v>46139</v>
      </c>
      <c r="AF27">
        <v>46090</v>
      </c>
      <c r="AG27" t="s">
        <v>519</v>
      </c>
      <c r="AH27">
        <v>6122727</v>
      </c>
      <c r="AI27">
        <v>46083</v>
      </c>
      <c r="AJ27">
        <v>46084</v>
      </c>
      <c r="AK27">
        <v>76800</v>
      </c>
      <c r="AL27" t="s">
        <v>396</v>
      </c>
      <c r="AM27" t="s">
        <v>520</v>
      </c>
      <c r="AN27">
        <v>46084</v>
      </c>
      <c r="AO27">
        <v>46084.403310185182</v>
      </c>
      <c r="AP27" t="s">
        <v>51</v>
      </c>
      <c r="AQ27">
        <v>8.8459999999999997E-2</v>
      </c>
      <c r="AR27">
        <v>6793.73</v>
      </c>
      <c r="AS27" t="s">
        <v>51</v>
      </c>
      <c r="AT27">
        <v>6793.73</v>
      </c>
      <c r="AU27" t="s">
        <v>415</v>
      </c>
      <c r="AV27" t="s">
        <v>416</v>
      </c>
      <c r="AW27" t="s">
        <v>417</v>
      </c>
      <c r="AX27">
        <v>46093</v>
      </c>
      <c r="AY27">
        <v>46142</v>
      </c>
      <c r="AZ27" t="s">
        <v>418</v>
      </c>
      <c r="BA27" t="s">
        <v>419</v>
      </c>
      <c r="BB27" t="s">
        <v>420</v>
      </c>
      <c r="BC27">
        <v>3200</v>
      </c>
      <c r="BD27" t="s">
        <v>521</v>
      </c>
      <c r="BE27">
        <v>5.4577999999999998</v>
      </c>
      <c r="BH27">
        <v>395</v>
      </c>
      <c r="BI27">
        <v>295</v>
      </c>
      <c r="BJ27">
        <v>120</v>
      </c>
      <c r="BK27">
        <v>8</v>
      </c>
      <c r="BL27" t="s">
        <v>521</v>
      </c>
      <c r="BM27">
        <v>51.662399999999998</v>
      </c>
      <c r="BN27">
        <v>37.862400000000001</v>
      </c>
      <c r="BO27">
        <v>154.9872</v>
      </c>
      <c r="BP27" t="s">
        <v>522</v>
      </c>
      <c r="BQ27">
        <v>800</v>
      </c>
      <c r="BR27">
        <v>300</v>
      </c>
      <c r="BS27">
        <v>608</v>
      </c>
      <c r="BT27">
        <v>3</v>
      </c>
      <c r="BU27">
        <v>0</v>
      </c>
      <c r="BV27">
        <v>3</v>
      </c>
      <c r="BW27">
        <v>24</v>
      </c>
      <c r="BX27">
        <v>0</v>
      </c>
      <c r="BY27">
        <v>24</v>
      </c>
      <c r="BZ27">
        <v>76800</v>
      </c>
      <c r="CA27">
        <v>0</v>
      </c>
      <c r="CB27">
        <v>76800</v>
      </c>
      <c r="CC27">
        <v>113.5872</v>
      </c>
      <c r="CD27" t="s">
        <v>523</v>
      </c>
      <c r="CE27" t="s">
        <v>524</v>
      </c>
      <c r="CG27" t="s">
        <v>421</v>
      </c>
      <c r="CJ27" t="str">
        <v>JXLU6016257</v>
      </c>
      <c r="CN27" t="str">
        <v>M45</v>
      </c>
      <c r="CO27" t="str">
        <v>1346-12C0011EN</v>
      </c>
      <c r="CP27" t="str">
        <v>CAIU8394197</v>
      </c>
      <c r="CQ27" s="23">
        <v>157.5094</v>
      </c>
      <c r="CR27" s="25">
        <f t="shared" si="0"/>
        <v>1.05672895249827E-2</v>
      </c>
      <c r="CS27" s="21">
        <f t="shared" si="1"/>
        <v>26.418223812456752</v>
      </c>
      <c r="CU27" s="23"/>
    </row>
    <row r="28" spans="2:100" x14ac:dyDescent="0.35">
      <c r="B28" t="s">
        <v>299</v>
      </c>
      <c r="C28" t="s">
        <v>525</v>
      </c>
      <c r="D28" t="s">
        <v>395</v>
      </c>
      <c r="E28" t="s">
        <v>395</v>
      </c>
      <c r="F28" t="s">
        <v>396</v>
      </c>
      <c r="G28" t="s">
        <v>397</v>
      </c>
      <c r="H28" t="s">
        <v>454</v>
      </c>
      <c r="I28" t="s">
        <v>399</v>
      </c>
      <c r="J28" t="s">
        <v>400</v>
      </c>
      <c r="K28" t="s">
        <v>526</v>
      </c>
      <c r="L28" t="s">
        <v>472</v>
      </c>
      <c r="M28" t="s">
        <v>403</v>
      </c>
      <c r="N28">
        <v>1</v>
      </c>
      <c r="O28">
        <v>1</v>
      </c>
      <c r="P28" t="s">
        <v>527</v>
      </c>
      <c r="Q28" t="s">
        <v>424</v>
      </c>
      <c r="R28" t="s">
        <v>528</v>
      </c>
      <c r="S28" t="s">
        <v>529</v>
      </c>
      <c r="T28" t="s">
        <v>408</v>
      </c>
      <c r="U28">
        <v>50950080272</v>
      </c>
      <c r="W28">
        <v>40320</v>
      </c>
      <c r="X28" t="s">
        <v>409</v>
      </c>
      <c r="Y28" t="s">
        <v>410</v>
      </c>
      <c r="Z28" t="s">
        <v>410</v>
      </c>
      <c r="AA28" t="s">
        <v>411</v>
      </c>
      <c r="AB28" t="s">
        <v>412</v>
      </c>
      <c r="AC28" t="s">
        <v>411</v>
      </c>
      <c r="AD28">
        <v>46077</v>
      </c>
      <c r="AE28">
        <v>46146</v>
      </c>
      <c r="AF28">
        <v>46097</v>
      </c>
      <c r="AG28" t="s">
        <v>476</v>
      </c>
      <c r="AH28">
        <v>6125143</v>
      </c>
      <c r="AI28">
        <v>46084</v>
      </c>
      <c r="AJ28">
        <v>46084</v>
      </c>
      <c r="AK28">
        <v>40320</v>
      </c>
      <c r="AL28" t="s">
        <v>396</v>
      </c>
      <c r="AM28" t="s">
        <v>530</v>
      </c>
      <c r="AN28">
        <v>46084</v>
      </c>
      <c r="AO28">
        <v>46084.721875000003</v>
      </c>
      <c r="AP28" t="s">
        <v>51</v>
      </c>
      <c r="AQ28">
        <v>8.9230000000000004E-2</v>
      </c>
      <c r="AR28">
        <v>3597.75</v>
      </c>
      <c r="AS28" t="s">
        <v>51</v>
      </c>
      <c r="AT28">
        <v>3597.75</v>
      </c>
      <c r="AU28" t="s">
        <v>415</v>
      </c>
      <c r="AV28" t="s">
        <v>416</v>
      </c>
      <c r="AW28" t="s">
        <v>417</v>
      </c>
      <c r="AX28">
        <v>46093</v>
      </c>
      <c r="AY28">
        <v>46142</v>
      </c>
      <c r="AZ28" t="s">
        <v>418</v>
      </c>
      <c r="BA28" t="s">
        <v>419</v>
      </c>
      <c r="BB28" t="s">
        <v>420</v>
      </c>
      <c r="BO28">
        <v>1500</v>
      </c>
      <c r="CG28" t="s">
        <v>421</v>
      </c>
      <c r="CJ28" t="str">
        <v>MEDU4556686</v>
      </c>
      <c r="CN28" t="str">
        <v>M45</v>
      </c>
      <c r="CO28" t="str">
        <v>1346-12C0011EN</v>
      </c>
      <c r="CP28" t="str">
        <v>CAIU8394197</v>
      </c>
      <c r="CQ28" s="23">
        <v>157.5094</v>
      </c>
      <c r="CR28" s="25">
        <f t="shared" si="0"/>
        <v>1.05672895249827E-2</v>
      </c>
      <c r="CS28" s="21">
        <f t="shared" si="1"/>
        <v>26.418223812456752</v>
      </c>
      <c r="CU28" s="23"/>
    </row>
    <row r="29" spans="2:100" x14ac:dyDescent="0.35">
      <c r="B29" t="s">
        <v>295</v>
      </c>
      <c r="C29" t="s">
        <v>531</v>
      </c>
      <c r="D29" t="s">
        <v>395</v>
      </c>
      <c r="E29" t="s">
        <v>395</v>
      </c>
      <c r="F29" t="s">
        <v>396</v>
      </c>
      <c r="G29" t="s">
        <v>397</v>
      </c>
      <c r="H29" t="s">
        <v>532</v>
      </c>
      <c r="I29" t="s">
        <v>399</v>
      </c>
      <c r="J29" t="s">
        <v>400</v>
      </c>
      <c r="K29" t="s">
        <v>533</v>
      </c>
      <c r="L29" t="s">
        <v>534</v>
      </c>
      <c r="M29" t="s">
        <v>403</v>
      </c>
      <c r="N29">
        <v>1</v>
      </c>
      <c r="O29">
        <v>1</v>
      </c>
      <c r="P29" t="s">
        <v>535</v>
      </c>
      <c r="Q29" t="s">
        <v>405</v>
      </c>
      <c r="R29" t="s">
        <v>536</v>
      </c>
      <c r="S29" t="s">
        <v>537</v>
      </c>
      <c r="T29" t="s">
        <v>408</v>
      </c>
      <c r="U29">
        <v>50950079964</v>
      </c>
      <c r="W29">
        <v>2880</v>
      </c>
      <c r="X29" t="s">
        <v>409</v>
      </c>
      <c r="Y29" t="s">
        <v>410</v>
      </c>
      <c r="Z29" t="s">
        <v>410</v>
      </c>
      <c r="AA29" t="s">
        <v>411</v>
      </c>
      <c r="AB29" t="s">
        <v>412</v>
      </c>
      <c r="AC29" t="s">
        <v>411</v>
      </c>
      <c r="AD29">
        <v>46076</v>
      </c>
      <c r="AE29">
        <v>46132</v>
      </c>
      <c r="AF29">
        <v>46093</v>
      </c>
      <c r="AG29" t="s">
        <v>538</v>
      </c>
      <c r="AH29">
        <v>6124987</v>
      </c>
      <c r="AI29">
        <v>46084</v>
      </c>
      <c r="AJ29">
        <v>46085</v>
      </c>
      <c r="AK29">
        <v>2880</v>
      </c>
      <c r="AL29" t="s">
        <v>396</v>
      </c>
      <c r="AM29" t="s">
        <v>539</v>
      </c>
      <c r="AN29">
        <v>46085</v>
      </c>
      <c r="AO29">
        <v>46085.421446759261</v>
      </c>
      <c r="AP29" t="s">
        <v>51</v>
      </c>
      <c r="AQ29">
        <v>10.162140000000001</v>
      </c>
      <c r="AR29">
        <v>29266.92</v>
      </c>
      <c r="AS29" t="s">
        <v>51</v>
      </c>
      <c r="AT29">
        <v>29266.92</v>
      </c>
      <c r="AU29" t="s">
        <v>415</v>
      </c>
      <c r="AV29" t="s">
        <v>416</v>
      </c>
      <c r="AW29" t="s">
        <v>417</v>
      </c>
      <c r="AX29">
        <v>46093</v>
      </c>
      <c r="AY29">
        <v>46142</v>
      </c>
      <c r="AZ29" t="s">
        <v>418</v>
      </c>
      <c r="BA29" t="s">
        <v>419</v>
      </c>
      <c r="BB29" t="s">
        <v>420</v>
      </c>
      <c r="BC29">
        <v>40</v>
      </c>
      <c r="BD29" t="s">
        <v>521</v>
      </c>
      <c r="BE29">
        <v>42.085999999999999</v>
      </c>
      <c r="BF29">
        <v>40</v>
      </c>
      <c r="BG29" t="s">
        <v>522</v>
      </c>
      <c r="BH29">
        <v>340</v>
      </c>
      <c r="BI29">
        <v>340</v>
      </c>
      <c r="BJ29">
        <v>384</v>
      </c>
      <c r="BK29">
        <v>6</v>
      </c>
      <c r="BL29" t="s">
        <v>521</v>
      </c>
      <c r="BM29">
        <v>277.51600000000002</v>
      </c>
      <c r="BN29">
        <v>240</v>
      </c>
      <c r="BO29">
        <v>3330.192</v>
      </c>
      <c r="BP29" t="s">
        <v>522</v>
      </c>
      <c r="BQ29">
        <v>1070</v>
      </c>
      <c r="BR29">
        <v>750</v>
      </c>
      <c r="BS29">
        <v>545</v>
      </c>
      <c r="BT29">
        <v>12</v>
      </c>
      <c r="BU29">
        <v>0</v>
      </c>
      <c r="BV29">
        <v>12</v>
      </c>
      <c r="BW29">
        <v>72</v>
      </c>
      <c r="BX29">
        <v>0</v>
      </c>
      <c r="BY29">
        <v>72</v>
      </c>
      <c r="BZ29">
        <v>2880</v>
      </c>
      <c r="CA29">
        <v>0</v>
      </c>
      <c r="CB29">
        <v>2880</v>
      </c>
      <c r="CC29">
        <v>2880</v>
      </c>
      <c r="CD29" t="s">
        <v>540</v>
      </c>
      <c r="CE29" t="s">
        <v>541</v>
      </c>
      <c r="CG29" t="s">
        <v>421</v>
      </c>
      <c r="CJ29" t="str">
        <v>MEDU4622772</v>
      </c>
      <c r="CN29" t="str">
        <v>M19</v>
      </c>
      <c r="CO29" t="str">
        <v>1330-5YY0182EN</v>
      </c>
      <c r="CP29" t="str">
        <v>CAIU8394197</v>
      </c>
      <c r="CQ29" s="23">
        <v>1405.0848000000001</v>
      </c>
      <c r="CR29" s="25">
        <f t="shared" si="0"/>
        <v>9.42669954221933E-2</v>
      </c>
      <c r="CS29" s="21">
        <f t="shared" si="1"/>
        <v>235.66748855548326</v>
      </c>
      <c r="CU29" s="23"/>
    </row>
    <row r="30" spans="2:100" x14ac:dyDescent="0.35">
      <c r="B30" t="s">
        <v>295</v>
      </c>
      <c r="C30" t="s">
        <v>542</v>
      </c>
      <c r="D30" t="s">
        <v>395</v>
      </c>
      <c r="E30" t="s">
        <v>395</v>
      </c>
      <c r="F30" t="s">
        <v>396</v>
      </c>
      <c r="G30" t="s">
        <v>397</v>
      </c>
      <c r="H30" t="s">
        <v>532</v>
      </c>
      <c r="I30" t="s">
        <v>399</v>
      </c>
      <c r="J30" t="s">
        <v>400</v>
      </c>
      <c r="K30" t="s">
        <v>533</v>
      </c>
      <c r="L30" t="s">
        <v>534</v>
      </c>
      <c r="M30" t="s">
        <v>403</v>
      </c>
      <c r="N30">
        <v>1</v>
      </c>
      <c r="O30">
        <v>1</v>
      </c>
      <c r="P30" t="s">
        <v>535</v>
      </c>
      <c r="Q30" t="s">
        <v>405</v>
      </c>
      <c r="R30" t="s">
        <v>536</v>
      </c>
      <c r="S30" t="s">
        <v>537</v>
      </c>
      <c r="T30" t="s">
        <v>408</v>
      </c>
      <c r="U30">
        <v>50950080686</v>
      </c>
      <c r="W30">
        <v>2880</v>
      </c>
      <c r="X30" t="s">
        <v>409</v>
      </c>
      <c r="Y30" t="s">
        <v>410</v>
      </c>
      <c r="Z30" t="s">
        <v>410</v>
      </c>
      <c r="AA30" t="s">
        <v>411</v>
      </c>
      <c r="AB30" t="s">
        <v>412</v>
      </c>
      <c r="AC30" t="s">
        <v>411</v>
      </c>
      <c r="AD30">
        <v>46090</v>
      </c>
      <c r="AE30">
        <v>46146</v>
      </c>
      <c r="AF30">
        <v>46093</v>
      </c>
      <c r="AG30" t="s">
        <v>538</v>
      </c>
      <c r="AH30">
        <v>6124988</v>
      </c>
      <c r="AI30">
        <v>46084</v>
      </c>
      <c r="AJ30">
        <v>46085</v>
      </c>
      <c r="AK30">
        <v>2880</v>
      </c>
      <c r="AL30" t="s">
        <v>396</v>
      </c>
      <c r="AM30" t="s">
        <v>543</v>
      </c>
      <c r="AN30">
        <v>46085</v>
      </c>
      <c r="AO30">
        <v>46085.421446759261</v>
      </c>
      <c r="AP30" t="s">
        <v>51</v>
      </c>
      <c r="AQ30">
        <v>10.162140000000001</v>
      </c>
      <c r="AR30">
        <v>29266.92</v>
      </c>
      <c r="AS30" t="s">
        <v>51</v>
      </c>
      <c r="AT30">
        <v>29266.92</v>
      </c>
      <c r="AU30" t="s">
        <v>415</v>
      </c>
      <c r="AV30" t="s">
        <v>416</v>
      </c>
      <c r="AW30" t="s">
        <v>417</v>
      </c>
      <c r="AX30">
        <v>46093</v>
      </c>
      <c r="AY30">
        <v>46142</v>
      </c>
      <c r="AZ30" t="s">
        <v>418</v>
      </c>
      <c r="BA30" t="s">
        <v>419</v>
      </c>
      <c r="BB30" t="s">
        <v>420</v>
      </c>
      <c r="BC30">
        <v>40</v>
      </c>
      <c r="BD30" t="s">
        <v>521</v>
      </c>
      <c r="BE30">
        <v>42.085999999999999</v>
      </c>
      <c r="BF30">
        <v>40</v>
      </c>
      <c r="BG30" t="s">
        <v>522</v>
      </c>
      <c r="BH30">
        <v>340</v>
      </c>
      <c r="BI30">
        <v>340</v>
      </c>
      <c r="BJ30">
        <v>384</v>
      </c>
      <c r="BK30">
        <v>6</v>
      </c>
      <c r="BL30" t="s">
        <v>521</v>
      </c>
      <c r="BM30">
        <v>277.51600000000002</v>
      </c>
      <c r="BN30">
        <v>240</v>
      </c>
      <c r="BO30">
        <v>3330.192</v>
      </c>
      <c r="BP30" t="s">
        <v>522</v>
      </c>
      <c r="BQ30">
        <v>1070</v>
      </c>
      <c r="BR30">
        <v>750</v>
      </c>
      <c r="BS30">
        <v>545</v>
      </c>
      <c r="BT30">
        <v>12</v>
      </c>
      <c r="BU30">
        <v>0</v>
      </c>
      <c r="BV30">
        <v>12</v>
      </c>
      <c r="BW30">
        <v>72</v>
      </c>
      <c r="BX30">
        <v>0</v>
      </c>
      <c r="BY30">
        <v>72</v>
      </c>
      <c r="BZ30">
        <v>2880</v>
      </c>
      <c r="CA30">
        <v>0</v>
      </c>
      <c r="CB30">
        <v>2880</v>
      </c>
      <c r="CC30">
        <v>2880</v>
      </c>
      <c r="CD30" t="s">
        <v>540</v>
      </c>
      <c r="CE30" t="s">
        <v>541</v>
      </c>
      <c r="CG30" t="s">
        <v>421</v>
      </c>
      <c r="CJ30" t="str">
        <v>MEDU5320611</v>
      </c>
      <c r="CN30" t="str">
        <v>M19</v>
      </c>
      <c r="CO30" t="str">
        <v>1330-5YY0183EN</v>
      </c>
      <c r="CP30" t="str">
        <v>CAIU8394197</v>
      </c>
      <c r="CQ30" s="23">
        <v>1546.1856</v>
      </c>
      <c r="CR30" s="25">
        <f t="shared" si="0"/>
        <v>0.10373343365258893</v>
      </c>
      <c r="CS30" s="21">
        <f t="shared" si="1"/>
        <v>259.33358413147232</v>
      </c>
      <c r="CU30" s="23"/>
    </row>
    <row r="31" spans="2:100" x14ac:dyDescent="0.35">
      <c r="B31" t="s">
        <v>3497</v>
      </c>
      <c r="C31" t="s">
        <v>544</v>
      </c>
      <c r="D31" t="s">
        <v>395</v>
      </c>
      <c r="E31" t="s">
        <v>395</v>
      </c>
      <c r="F31" t="s">
        <v>396</v>
      </c>
      <c r="G31" t="s">
        <v>397</v>
      </c>
      <c r="H31" t="s">
        <v>470</v>
      </c>
      <c r="I31" t="s">
        <v>399</v>
      </c>
      <c r="J31" t="s">
        <v>400</v>
      </c>
      <c r="K31" t="s">
        <v>471</v>
      </c>
      <c r="L31" t="s">
        <v>472</v>
      </c>
      <c r="M31" t="s">
        <v>403</v>
      </c>
      <c r="N31">
        <v>1</v>
      </c>
      <c r="O31">
        <v>1</v>
      </c>
      <c r="P31" t="s">
        <v>545</v>
      </c>
      <c r="Q31" t="s">
        <v>424</v>
      </c>
      <c r="R31" t="s">
        <v>528</v>
      </c>
      <c r="S31" t="s">
        <v>546</v>
      </c>
      <c r="T31" t="s">
        <v>408</v>
      </c>
      <c r="U31">
        <v>50950081224</v>
      </c>
      <c r="W31">
        <v>1000</v>
      </c>
      <c r="X31" t="s">
        <v>409</v>
      </c>
      <c r="Y31" t="s">
        <v>410</v>
      </c>
      <c r="Z31" t="s">
        <v>410</v>
      </c>
      <c r="AA31" t="s">
        <v>411</v>
      </c>
      <c r="AB31" t="s">
        <v>412</v>
      </c>
      <c r="AC31" t="s">
        <v>411</v>
      </c>
      <c r="AD31">
        <v>46083</v>
      </c>
      <c r="AE31">
        <v>46153</v>
      </c>
      <c r="AF31">
        <v>46090</v>
      </c>
      <c r="AG31" t="s">
        <v>476</v>
      </c>
      <c r="AH31">
        <v>6125991</v>
      </c>
      <c r="AI31">
        <v>46085</v>
      </c>
      <c r="AJ31">
        <v>46085</v>
      </c>
      <c r="AK31">
        <v>1000</v>
      </c>
      <c r="AL31" t="s">
        <v>396</v>
      </c>
      <c r="AM31" t="s">
        <v>547</v>
      </c>
      <c r="AN31">
        <v>46085</v>
      </c>
      <c r="AO31">
        <v>46085.386886574073</v>
      </c>
      <c r="AP31" t="s">
        <v>51</v>
      </c>
      <c r="AQ31">
        <v>6.2474999999999996</v>
      </c>
      <c r="AR31">
        <v>6247.5</v>
      </c>
      <c r="AS31" t="s">
        <v>51</v>
      </c>
      <c r="AT31">
        <v>6247.5</v>
      </c>
      <c r="AU31" t="s">
        <v>415</v>
      </c>
      <c r="AV31" t="s">
        <v>416</v>
      </c>
      <c r="AW31" t="s">
        <v>417</v>
      </c>
      <c r="AX31">
        <v>46093</v>
      </c>
      <c r="AY31">
        <v>46142</v>
      </c>
      <c r="AZ31" t="s">
        <v>418</v>
      </c>
      <c r="BA31" t="s">
        <v>419</v>
      </c>
      <c r="BB31" t="s">
        <v>420</v>
      </c>
      <c r="BO31" s="23">
        <f>AR31/AQ31</f>
        <v>1000.0000000000001</v>
      </c>
      <c r="CG31" t="s">
        <v>421</v>
      </c>
      <c r="CJ31" t="str">
        <v>MEDU7325850</v>
      </c>
      <c r="CN31" t="str">
        <v>M19</v>
      </c>
      <c r="CO31" t="str">
        <v>1330-5YY0176EN</v>
      </c>
      <c r="CP31" t="str">
        <v>CAIU8394197</v>
      </c>
      <c r="CQ31" s="23">
        <v>273.75360000000001</v>
      </c>
      <c r="CR31" s="25">
        <f t="shared" si="0"/>
        <v>1.8366101005440335E-2</v>
      </c>
      <c r="CS31" s="21">
        <f t="shared" si="1"/>
        <v>45.915252513600841</v>
      </c>
      <c r="CU31" s="23"/>
    </row>
    <row r="32" spans="2:100" x14ac:dyDescent="0.35">
      <c r="B32" t="s">
        <v>297</v>
      </c>
      <c r="C32" t="s">
        <v>548</v>
      </c>
      <c r="D32" t="s">
        <v>549</v>
      </c>
      <c r="E32" t="s">
        <v>395</v>
      </c>
      <c r="F32" t="s">
        <v>396</v>
      </c>
      <c r="G32" t="s">
        <v>397</v>
      </c>
      <c r="H32" t="s">
        <v>398</v>
      </c>
      <c r="I32" t="s">
        <v>399</v>
      </c>
      <c r="J32" t="s">
        <v>400</v>
      </c>
      <c r="K32" t="s">
        <v>401</v>
      </c>
      <c r="L32" t="s">
        <v>550</v>
      </c>
      <c r="M32" t="s">
        <v>403</v>
      </c>
      <c r="N32">
        <v>3</v>
      </c>
      <c r="O32">
        <v>1</v>
      </c>
      <c r="P32" t="s">
        <v>551</v>
      </c>
      <c r="Q32" t="s">
        <v>430</v>
      </c>
      <c r="R32" t="s">
        <v>552</v>
      </c>
      <c r="S32" t="s">
        <v>553</v>
      </c>
      <c r="T32" t="s">
        <v>408</v>
      </c>
      <c r="U32">
        <v>50950080811</v>
      </c>
      <c r="W32">
        <v>34560</v>
      </c>
      <c r="X32" t="s">
        <v>409</v>
      </c>
      <c r="Y32" t="s">
        <v>410</v>
      </c>
      <c r="Z32" t="s">
        <v>410</v>
      </c>
      <c r="AA32" t="s">
        <v>411</v>
      </c>
      <c r="AB32" t="s">
        <v>554</v>
      </c>
      <c r="AC32" t="s">
        <v>411</v>
      </c>
      <c r="AD32">
        <v>46083</v>
      </c>
      <c r="AE32">
        <v>46139</v>
      </c>
      <c r="AF32">
        <v>46090</v>
      </c>
      <c r="AG32" t="s">
        <v>555</v>
      </c>
      <c r="AH32">
        <v>6130069</v>
      </c>
      <c r="AI32">
        <v>46087</v>
      </c>
      <c r="AJ32">
        <v>46088</v>
      </c>
      <c r="AK32">
        <v>34560</v>
      </c>
      <c r="AL32" t="s">
        <v>396</v>
      </c>
      <c r="AM32" t="s">
        <v>556</v>
      </c>
      <c r="AN32">
        <v>46088</v>
      </c>
      <c r="AO32">
        <v>46088.584745370368</v>
      </c>
      <c r="AP32" t="s">
        <v>51</v>
      </c>
      <c r="AQ32">
        <v>0.23995</v>
      </c>
      <c r="AR32">
        <v>8292.67</v>
      </c>
      <c r="AS32" t="s">
        <v>51</v>
      </c>
      <c r="AT32">
        <v>8292.67</v>
      </c>
      <c r="AU32" t="s">
        <v>415</v>
      </c>
      <c r="AV32" t="s">
        <v>557</v>
      </c>
      <c r="AW32" t="s">
        <v>558</v>
      </c>
      <c r="AX32">
        <v>46092</v>
      </c>
      <c r="AY32">
        <v>46141</v>
      </c>
      <c r="AZ32" t="s">
        <v>559</v>
      </c>
      <c r="BA32" t="s">
        <v>560</v>
      </c>
      <c r="BB32" t="s">
        <v>561</v>
      </c>
      <c r="BC32">
        <v>240</v>
      </c>
      <c r="BD32" t="s">
        <v>521</v>
      </c>
      <c r="BE32">
        <v>2.8610000000000002</v>
      </c>
      <c r="BF32">
        <v>1.5840000000000001</v>
      </c>
      <c r="BG32" t="s">
        <v>522</v>
      </c>
      <c r="BH32">
        <v>340</v>
      </c>
      <c r="BI32">
        <v>250</v>
      </c>
      <c r="BJ32">
        <v>230</v>
      </c>
      <c r="BK32">
        <v>48</v>
      </c>
      <c r="BL32" t="s">
        <v>521</v>
      </c>
      <c r="BM32">
        <v>158.328</v>
      </c>
      <c r="BN32">
        <v>76.031999999999996</v>
      </c>
      <c r="BO32">
        <v>474.98399999999998</v>
      </c>
      <c r="BP32" t="s">
        <v>522</v>
      </c>
      <c r="BQ32">
        <v>1066</v>
      </c>
      <c r="BR32">
        <v>1066</v>
      </c>
      <c r="BS32">
        <v>1080</v>
      </c>
      <c r="BT32">
        <v>3</v>
      </c>
      <c r="BU32">
        <v>0</v>
      </c>
      <c r="BV32">
        <v>3</v>
      </c>
      <c r="BW32">
        <v>144</v>
      </c>
      <c r="BX32">
        <v>0</v>
      </c>
      <c r="BY32">
        <v>144</v>
      </c>
      <c r="BZ32">
        <v>34560</v>
      </c>
      <c r="CA32">
        <v>0</v>
      </c>
      <c r="CB32">
        <v>34560</v>
      </c>
      <c r="CC32">
        <v>228.096</v>
      </c>
      <c r="CD32" t="s">
        <v>562</v>
      </c>
      <c r="CE32" t="s">
        <v>563</v>
      </c>
      <c r="CG32" t="s">
        <v>421</v>
      </c>
      <c r="CJ32" t="str">
        <v>MSCU5287590</v>
      </c>
      <c r="CN32" t="str">
        <v>M19</v>
      </c>
      <c r="CO32" t="str">
        <v>1330-5YY0112EN</v>
      </c>
      <c r="CP32" t="str">
        <v>CAIU8394197</v>
      </c>
      <c r="CQ32" s="23">
        <v>888.63408000000004</v>
      </c>
      <c r="CR32" s="25">
        <f t="shared" si="0"/>
        <v>5.9618369475895654E-2</v>
      </c>
      <c r="CS32" s="21">
        <f t="shared" si="1"/>
        <v>149.04592368973914</v>
      </c>
      <c r="CU32" s="23"/>
    </row>
    <row r="33" spans="2:99" x14ac:dyDescent="0.35">
      <c r="B33" t="s">
        <v>298</v>
      </c>
      <c r="C33" t="s">
        <v>564</v>
      </c>
      <c r="D33" t="s">
        <v>565</v>
      </c>
      <c r="E33" t="s">
        <v>395</v>
      </c>
      <c r="F33" t="s">
        <v>396</v>
      </c>
      <c r="G33" t="s">
        <v>397</v>
      </c>
      <c r="H33" t="s">
        <v>398</v>
      </c>
      <c r="I33" t="s">
        <v>399</v>
      </c>
      <c r="J33" t="s">
        <v>400</v>
      </c>
      <c r="K33" t="s">
        <v>566</v>
      </c>
      <c r="L33" t="s">
        <v>567</v>
      </c>
      <c r="M33" t="s">
        <v>403</v>
      </c>
      <c r="N33">
        <v>1</v>
      </c>
      <c r="O33">
        <v>1</v>
      </c>
      <c r="P33" t="s">
        <v>568</v>
      </c>
      <c r="Q33" t="s">
        <v>405</v>
      </c>
      <c r="R33" t="s">
        <v>552</v>
      </c>
      <c r="S33" t="s">
        <v>569</v>
      </c>
      <c r="T33" t="s">
        <v>408</v>
      </c>
      <c r="U33">
        <v>50950081293</v>
      </c>
      <c r="W33">
        <v>9600</v>
      </c>
      <c r="X33" t="s">
        <v>409</v>
      </c>
      <c r="Y33" t="s">
        <v>410</v>
      </c>
      <c r="Z33" t="s">
        <v>410</v>
      </c>
      <c r="AA33" t="s">
        <v>411</v>
      </c>
      <c r="AB33" t="s">
        <v>554</v>
      </c>
      <c r="AC33" t="s">
        <v>411</v>
      </c>
      <c r="AD33">
        <v>46083</v>
      </c>
      <c r="AE33">
        <v>46139</v>
      </c>
      <c r="AF33">
        <v>46090</v>
      </c>
      <c r="AG33" t="s">
        <v>570</v>
      </c>
      <c r="AH33">
        <v>6130070</v>
      </c>
      <c r="AI33">
        <v>46087</v>
      </c>
      <c r="AJ33">
        <v>46088</v>
      </c>
      <c r="AK33">
        <v>9600</v>
      </c>
      <c r="AL33" t="s">
        <v>396</v>
      </c>
      <c r="AM33" t="s">
        <v>571</v>
      </c>
      <c r="AN33">
        <v>46088</v>
      </c>
      <c r="AO33">
        <v>46088.584745370368</v>
      </c>
      <c r="AP33" t="s">
        <v>51</v>
      </c>
      <c r="AQ33">
        <v>0.70008999999999999</v>
      </c>
      <c r="AR33">
        <v>6720.87</v>
      </c>
      <c r="AS33" t="s">
        <v>51</v>
      </c>
      <c r="AT33">
        <v>6720.87</v>
      </c>
      <c r="AU33" t="s">
        <v>415</v>
      </c>
      <c r="AV33" t="s">
        <v>557</v>
      </c>
      <c r="AW33" t="s">
        <v>558</v>
      </c>
      <c r="AX33">
        <v>46092</v>
      </c>
      <c r="AY33">
        <v>46141</v>
      </c>
      <c r="AZ33" t="s">
        <v>559</v>
      </c>
      <c r="BA33" t="s">
        <v>560</v>
      </c>
      <c r="BB33" t="s">
        <v>561</v>
      </c>
      <c r="BC33">
        <v>240</v>
      </c>
      <c r="BD33" t="s">
        <v>521</v>
      </c>
      <c r="BE33">
        <v>5.9942000000000002</v>
      </c>
      <c r="BF33">
        <v>4.3632</v>
      </c>
      <c r="BG33" t="s">
        <v>522</v>
      </c>
      <c r="BH33">
        <v>395</v>
      </c>
      <c r="BI33">
        <v>295</v>
      </c>
      <c r="BJ33">
        <v>170</v>
      </c>
      <c r="BK33">
        <v>40</v>
      </c>
      <c r="BL33" t="s">
        <v>521</v>
      </c>
      <c r="BM33">
        <v>264.76799999999997</v>
      </c>
      <c r="BN33">
        <v>174.52799999999999</v>
      </c>
      <c r="BO33">
        <v>264.76799999999997</v>
      </c>
      <c r="BP33" t="s">
        <v>522</v>
      </c>
      <c r="BQ33">
        <v>1200</v>
      </c>
      <c r="BR33">
        <v>800</v>
      </c>
      <c r="BS33">
        <v>1010</v>
      </c>
      <c r="BT33">
        <v>1</v>
      </c>
      <c r="BU33">
        <v>0</v>
      </c>
      <c r="BV33">
        <v>1</v>
      </c>
      <c r="BW33">
        <v>40</v>
      </c>
      <c r="BX33">
        <v>0</v>
      </c>
      <c r="BY33">
        <v>40</v>
      </c>
      <c r="BZ33">
        <v>9600</v>
      </c>
      <c r="CA33">
        <v>0</v>
      </c>
      <c r="CB33">
        <v>9600</v>
      </c>
      <c r="CC33">
        <v>174.52799999999999</v>
      </c>
      <c r="CD33" t="s">
        <v>572</v>
      </c>
      <c r="CE33" t="s">
        <v>573</v>
      </c>
      <c r="CG33" t="s">
        <v>421</v>
      </c>
      <c r="CJ33" t="str">
        <v>MSDU6089696</v>
      </c>
      <c r="CN33" t="str">
        <v>M19</v>
      </c>
      <c r="CO33" t="str">
        <v>1330-5YY0177EN</v>
      </c>
      <c r="CP33" t="str">
        <v>CAIU8394197</v>
      </c>
      <c r="CQ33" s="23">
        <v>1014.5940000000001</v>
      </c>
      <c r="CR33" s="25">
        <f t="shared" si="0"/>
        <v>6.8069007616753649E-2</v>
      </c>
      <c r="CS33" s="21">
        <f t="shared" si="1"/>
        <v>170.17251904188413</v>
      </c>
      <c r="CU33" s="23"/>
    </row>
    <row r="34" spans="2:99" x14ac:dyDescent="0.35">
      <c r="B34" t="s">
        <v>295</v>
      </c>
      <c r="C34" t="s">
        <v>574</v>
      </c>
      <c r="D34" t="s">
        <v>575</v>
      </c>
      <c r="E34" t="s">
        <v>395</v>
      </c>
      <c r="F34" t="s">
        <v>396</v>
      </c>
      <c r="G34" t="s">
        <v>397</v>
      </c>
      <c r="H34" t="s">
        <v>398</v>
      </c>
      <c r="I34" t="s">
        <v>399</v>
      </c>
      <c r="J34" t="s">
        <v>400</v>
      </c>
      <c r="K34" t="s">
        <v>566</v>
      </c>
      <c r="L34" t="s">
        <v>567</v>
      </c>
      <c r="M34" t="s">
        <v>403</v>
      </c>
      <c r="N34">
        <v>1</v>
      </c>
      <c r="O34">
        <v>2</v>
      </c>
      <c r="P34" t="s">
        <v>576</v>
      </c>
      <c r="Q34" t="s">
        <v>424</v>
      </c>
      <c r="R34" t="s">
        <v>577</v>
      </c>
      <c r="S34" t="s">
        <v>578</v>
      </c>
      <c r="T34" t="s">
        <v>408</v>
      </c>
      <c r="U34">
        <v>50950081546</v>
      </c>
      <c r="W34">
        <v>12800</v>
      </c>
      <c r="X34" t="s">
        <v>409</v>
      </c>
      <c r="Y34" t="s">
        <v>410</v>
      </c>
      <c r="Z34" t="s">
        <v>410</v>
      </c>
      <c r="AA34" t="s">
        <v>411</v>
      </c>
      <c r="AB34" t="s">
        <v>554</v>
      </c>
      <c r="AC34" t="s">
        <v>411</v>
      </c>
      <c r="AD34">
        <v>46103</v>
      </c>
      <c r="AE34">
        <v>46139</v>
      </c>
      <c r="AF34">
        <v>46090</v>
      </c>
      <c r="AG34" t="s">
        <v>570</v>
      </c>
      <c r="AH34">
        <v>6130071</v>
      </c>
      <c r="AI34">
        <v>46087</v>
      </c>
      <c r="AJ34">
        <v>46088</v>
      </c>
      <c r="AK34">
        <v>12800</v>
      </c>
      <c r="AL34" t="s">
        <v>396</v>
      </c>
      <c r="AM34" t="s">
        <v>579</v>
      </c>
      <c r="AN34">
        <v>46088</v>
      </c>
      <c r="AO34">
        <v>46088.584745370368</v>
      </c>
      <c r="AP34" t="s">
        <v>51</v>
      </c>
      <c r="AQ34">
        <v>0.56742999999999999</v>
      </c>
      <c r="AR34">
        <v>7263.11</v>
      </c>
      <c r="AS34" t="s">
        <v>51</v>
      </c>
      <c r="AT34">
        <v>7263.11</v>
      </c>
      <c r="AU34" t="s">
        <v>415</v>
      </c>
      <c r="AV34" t="s">
        <v>557</v>
      </c>
      <c r="AW34" t="s">
        <v>558</v>
      </c>
      <c r="AX34">
        <v>46092</v>
      </c>
      <c r="AY34">
        <v>46141</v>
      </c>
      <c r="AZ34" t="s">
        <v>559</v>
      </c>
      <c r="BA34" t="s">
        <v>560</v>
      </c>
      <c r="BB34" t="s">
        <v>561</v>
      </c>
      <c r="BC34">
        <v>200</v>
      </c>
      <c r="BD34" t="s">
        <v>521</v>
      </c>
      <c r="BE34">
        <v>3.9521000000000002</v>
      </c>
      <c r="BF34">
        <v>2.7250999999999999</v>
      </c>
      <c r="BG34" t="s">
        <v>522</v>
      </c>
      <c r="BH34">
        <v>395</v>
      </c>
      <c r="BI34">
        <v>295</v>
      </c>
      <c r="BJ34">
        <v>200</v>
      </c>
      <c r="BK34">
        <v>32</v>
      </c>
      <c r="BL34" t="s">
        <v>521</v>
      </c>
      <c r="BM34">
        <v>151.46719999999999</v>
      </c>
      <c r="BN34">
        <v>87.203199999999995</v>
      </c>
      <c r="BO34">
        <v>302.93439999999998</v>
      </c>
      <c r="BP34" t="s">
        <v>522</v>
      </c>
      <c r="BQ34">
        <v>1200</v>
      </c>
      <c r="BR34">
        <v>800</v>
      </c>
      <c r="BS34">
        <v>960</v>
      </c>
      <c r="BT34">
        <v>2</v>
      </c>
      <c r="BU34">
        <v>0</v>
      </c>
      <c r="BV34">
        <v>2</v>
      </c>
      <c r="BW34">
        <v>64</v>
      </c>
      <c r="BX34">
        <v>0</v>
      </c>
      <c r="BY34">
        <v>64</v>
      </c>
      <c r="BZ34">
        <v>12800</v>
      </c>
      <c r="CA34">
        <v>0</v>
      </c>
      <c r="CB34">
        <v>12800</v>
      </c>
      <c r="CC34">
        <v>174.40639999999999</v>
      </c>
      <c r="CD34" t="s">
        <v>580</v>
      </c>
      <c r="CE34" t="s">
        <v>581</v>
      </c>
      <c r="CG34" t="s">
        <v>421</v>
      </c>
      <c r="CJ34" t="str">
        <v>MSMU2474387</v>
      </c>
      <c r="CN34" t="str">
        <v>M19</v>
      </c>
      <c r="CO34" t="str">
        <v>1330-5YY0251EN</v>
      </c>
      <c r="CP34" t="str">
        <v>CAIU8394197</v>
      </c>
      <c r="CQ34" s="23">
        <v>217.67016000000001</v>
      </c>
      <c r="CR34" s="25">
        <f t="shared" si="0"/>
        <v>1.460346875595557E-2</v>
      </c>
      <c r="CS34" s="21">
        <f t="shared" si="1"/>
        <v>36.508671889888923</v>
      </c>
      <c r="CU34" s="23"/>
    </row>
    <row r="35" spans="2:99" x14ac:dyDescent="0.35">
      <c r="B35" t="s">
        <v>295</v>
      </c>
      <c r="C35" t="s">
        <v>582</v>
      </c>
      <c r="D35" t="s">
        <v>575</v>
      </c>
      <c r="E35" t="s">
        <v>395</v>
      </c>
      <c r="F35" t="s">
        <v>396</v>
      </c>
      <c r="G35" t="s">
        <v>397</v>
      </c>
      <c r="H35" t="s">
        <v>398</v>
      </c>
      <c r="I35" t="s">
        <v>399</v>
      </c>
      <c r="J35" t="s">
        <v>400</v>
      </c>
      <c r="K35" t="s">
        <v>566</v>
      </c>
      <c r="L35" t="s">
        <v>567</v>
      </c>
      <c r="M35" t="s">
        <v>403</v>
      </c>
      <c r="N35">
        <v>1</v>
      </c>
      <c r="O35">
        <v>1</v>
      </c>
      <c r="P35" t="s">
        <v>576</v>
      </c>
      <c r="Q35" t="s">
        <v>424</v>
      </c>
      <c r="R35" t="s">
        <v>577</v>
      </c>
      <c r="S35" t="s">
        <v>578</v>
      </c>
      <c r="T35" t="s">
        <v>408</v>
      </c>
      <c r="U35">
        <v>50950081549</v>
      </c>
      <c r="W35">
        <v>19200</v>
      </c>
      <c r="X35" t="s">
        <v>409</v>
      </c>
      <c r="Y35" t="s">
        <v>410</v>
      </c>
      <c r="Z35" t="s">
        <v>410</v>
      </c>
      <c r="AA35" t="s">
        <v>411</v>
      </c>
      <c r="AB35" t="s">
        <v>554</v>
      </c>
      <c r="AC35" t="s">
        <v>411</v>
      </c>
      <c r="AD35">
        <v>46098</v>
      </c>
      <c r="AE35">
        <v>46125</v>
      </c>
      <c r="AF35">
        <v>46090</v>
      </c>
      <c r="AG35" t="s">
        <v>570</v>
      </c>
      <c r="AH35">
        <v>6130072</v>
      </c>
      <c r="AI35">
        <v>46087</v>
      </c>
      <c r="AJ35">
        <v>46088</v>
      </c>
      <c r="AK35">
        <v>19200</v>
      </c>
      <c r="AL35" t="s">
        <v>396</v>
      </c>
      <c r="AM35" t="s">
        <v>583</v>
      </c>
      <c r="AN35">
        <v>46088</v>
      </c>
      <c r="AO35">
        <v>46088.584745370368</v>
      </c>
      <c r="AP35" t="s">
        <v>51</v>
      </c>
      <c r="AQ35">
        <v>0.56742999999999999</v>
      </c>
      <c r="AR35">
        <v>10894.66</v>
      </c>
      <c r="AS35" t="s">
        <v>51</v>
      </c>
      <c r="AT35">
        <v>10894.66</v>
      </c>
      <c r="AU35" t="s">
        <v>415</v>
      </c>
      <c r="AV35" t="s">
        <v>557</v>
      </c>
      <c r="AW35" t="s">
        <v>558</v>
      </c>
      <c r="AX35">
        <v>46092</v>
      </c>
      <c r="AY35">
        <v>46141</v>
      </c>
      <c r="AZ35" t="s">
        <v>559</v>
      </c>
      <c r="BA35" t="s">
        <v>560</v>
      </c>
      <c r="BB35" t="s">
        <v>561</v>
      </c>
      <c r="BC35">
        <v>200</v>
      </c>
      <c r="BD35" t="s">
        <v>521</v>
      </c>
      <c r="BE35">
        <v>3.9521000000000002</v>
      </c>
      <c r="BF35">
        <v>2.7250999999999999</v>
      </c>
      <c r="BG35" t="s">
        <v>522</v>
      </c>
      <c r="BH35">
        <v>395</v>
      </c>
      <c r="BI35">
        <v>295</v>
      </c>
      <c r="BJ35">
        <v>200</v>
      </c>
      <c r="BK35">
        <v>32</v>
      </c>
      <c r="BL35" t="s">
        <v>521</v>
      </c>
      <c r="BM35">
        <v>151.46719999999999</v>
      </c>
      <c r="BN35">
        <v>87.203199999999995</v>
      </c>
      <c r="BO35">
        <v>454.40159999999997</v>
      </c>
      <c r="BP35" t="s">
        <v>522</v>
      </c>
      <c r="BQ35">
        <v>1200</v>
      </c>
      <c r="BR35">
        <v>800</v>
      </c>
      <c r="BS35">
        <v>960</v>
      </c>
      <c r="BT35">
        <v>3</v>
      </c>
      <c r="BU35">
        <v>0</v>
      </c>
      <c r="BV35">
        <v>3</v>
      </c>
      <c r="BW35">
        <v>96</v>
      </c>
      <c r="BX35">
        <v>0</v>
      </c>
      <c r="BY35">
        <v>96</v>
      </c>
      <c r="BZ35">
        <v>19200</v>
      </c>
      <c r="CA35">
        <v>0</v>
      </c>
      <c r="CB35">
        <v>19200</v>
      </c>
      <c r="CC35">
        <v>261.6096</v>
      </c>
      <c r="CD35" t="s">
        <v>580</v>
      </c>
      <c r="CE35" t="s">
        <v>581</v>
      </c>
      <c r="CG35" t="s">
        <v>421</v>
      </c>
      <c r="CJ35" t="str">
        <v>MSMU5349558</v>
      </c>
      <c r="CN35" t="str">
        <v>M45</v>
      </c>
      <c r="CO35" t="str">
        <v>1339-12C0007EN</v>
      </c>
      <c r="CP35" t="str">
        <v>CAIU8394197</v>
      </c>
      <c r="CQ35" s="23">
        <v>2548.9796000000001</v>
      </c>
      <c r="CR35" s="25">
        <f t="shared" si="0"/>
        <v>0.17101078047706736</v>
      </c>
      <c r="CS35" s="21">
        <f t="shared" si="1"/>
        <v>427.52695119266838</v>
      </c>
      <c r="CU35" s="23"/>
    </row>
    <row r="36" spans="2:99" x14ac:dyDescent="0.35">
      <c r="B36" t="s">
        <v>299</v>
      </c>
      <c r="C36" t="s">
        <v>584</v>
      </c>
      <c r="D36" t="s">
        <v>395</v>
      </c>
      <c r="E36" t="s">
        <v>395</v>
      </c>
      <c r="F36" t="s">
        <v>396</v>
      </c>
      <c r="G36" t="s">
        <v>397</v>
      </c>
      <c r="H36" t="s">
        <v>532</v>
      </c>
      <c r="I36" t="s">
        <v>399</v>
      </c>
      <c r="J36" t="s">
        <v>400</v>
      </c>
      <c r="K36" t="s">
        <v>515</v>
      </c>
      <c r="L36" t="s">
        <v>585</v>
      </c>
      <c r="M36" t="s">
        <v>403</v>
      </c>
      <c r="N36">
        <v>1</v>
      </c>
      <c r="O36">
        <v>3</v>
      </c>
      <c r="P36" t="s">
        <v>586</v>
      </c>
      <c r="Q36" t="s">
        <v>587</v>
      </c>
      <c r="R36" t="s">
        <v>588</v>
      </c>
      <c r="S36" t="s">
        <v>589</v>
      </c>
      <c r="T36" t="s">
        <v>408</v>
      </c>
      <c r="U36">
        <v>50950079191</v>
      </c>
      <c r="W36">
        <v>2700</v>
      </c>
      <c r="X36" t="s">
        <v>409</v>
      </c>
      <c r="Y36" t="s">
        <v>410</v>
      </c>
      <c r="Z36" t="s">
        <v>410</v>
      </c>
      <c r="AA36" t="s">
        <v>411</v>
      </c>
      <c r="AB36" t="s">
        <v>554</v>
      </c>
      <c r="AC36" t="s">
        <v>411</v>
      </c>
      <c r="AD36">
        <v>46076</v>
      </c>
      <c r="AE36">
        <v>46132</v>
      </c>
      <c r="AF36">
        <v>46090</v>
      </c>
      <c r="AG36" t="s">
        <v>590</v>
      </c>
      <c r="AH36">
        <v>6130073</v>
      </c>
      <c r="AI36">
        <v>46087</v>
      </c>
      <c r="AJ36">
        <v>46088</v>
      </c>
      <c r="AK36">
        <v>2700</v>
      </c>
      <c r="AL36" t="s">
        <v>396</v>
      </c>
      <c r="AM36" t="s">
        <v>591</v>
      </c>
      <c r="AN36">
        <v>46088</v>
      </c>
      <c r="AO36">
        <v>46088.584745370368</v>
      </c>
      <c r="AP36" t="s">
        <v>51</v>
      </c>
      <c r="AQ36">
        <v>1.9509799999999999</v>
      </c>
      <c r="AR36">
        <v>5267.64</v>
      </c>
      <c r="AS36" t="s">
        <v>51</v>
      </c>
      <c r="AT36">
        <v>5267.64</v>
      </c>
      <c r="AU36" t="s">
        <v>415</v>
      </c>
      <c r="AV36" t="s">
        <v>557</v>
      </c>
      <c r="AW36" t="s">
        <v>558</v>
      </c>
      <c r="AX36">
        <v>46092</v>
      </c>
      <c r="AY36">
        <v>46141</v>
      </c>
      <c r="AZ36" t="s">
        <v>559</v>
      </c>
      <c r="BA36" t="s">
        <v>560</v>
      </c>
      <c r="BB36" t="s">
        <v>561</v>
      </c>
      <c r="BC36">
        <v>27</v>
      </c>
      <c r="BD36" t="s">
        <v>521</v>
      </c>
      <c r="BE36">
        <v>2.6560000000000001</v>
      </c>
      <c r="BF36">
        <v>1.623</v>
      </c>
      <c r="BG36" t="s">
        <v>522</v>
      </c>
      <c r="BH36">
        <v>395</v>
      </c>
      <c r="BI36">
        <v>295</v>
      </c>
      <c r="BJ36">
        <v>190</v>
      </c>
      <c r="BK36">
        <v>50</v>
      </c>
      <c r="BL36" t="s">
        <v>521</v>
      </c>
      <c r="BM36">
        <v>159.80000000000001</v>
      </c>
      <c r="BN36">
        <v>81.150000000000006</v>
      </c>
      <c r="BO36">
        <v>319.59969999999998</v>
      </c>
      <c r="BP36" t="s">
        <v>522</v>
      </c>
      <c r="BQ36">
        <v>1200</v>
      </c>
      <c r="BR36">
        <v>1000</v>
      </c>
      <c r="BS36">
        <v>1110</v>
      </c>
      <c r="BT36">
        <v>2</v>
      </c>
      <c r="BU36">
        <v>0</v>
      </c>
      <c r="BV36">
        <v>2</v>
      </c>
      <c r="BW36">
        <v>100</v>
      </c>
      <c r="BX36">
        <v>0</v>
      </c>
      <c r="BY36">
        <v>100</v>
      </c>
      <c r="BZ36">
        <v>2700</v>
      </c>
      <c r="CA36">
        <v>0</v>
      </c>
      <c r="CB36">
        <v>2700</v>
      </c>
      <c r="CC36">
        <v>162.2997</v>
      </c>
      <c r="CD36" t="s">
        <v>592</v>
      </c>
      <c r="CE36" t="s">
        <v>593</v>
      </c>
      <c r="CG36" t="s">
        <v>421</v>
      </c>
      <c r="CJ36" t="str">
        <v>MSMU6025580</v>
      </c>
      <c r="CN36" t="str">
        <v>M45</v>
      </c>
      <c r="CO36" t="str">
        <v>1339-12C0008EN</v>
      </c>
      <c r="CP36" t="str">
        <v>CAIU8394197</v>
      </c>
      <c r="CQ36" s="23">
        <v>3192.2725</v>
      </c>
      <c r="CR36" s="25">
        <f t="shared" si="0"/>
        <v>0.21416923529732407</v>
      </c>
      <c r="CS36" s="21">
        <f t="shared" si="1"/>
        <v>535.42308824331019</v>
      </c>
      <c r="CU36" s="23"/>
    </row>
    <row r="37" spans="2:99" x14ac:dyDescent="0.35">
      <c r="B37" t="s">
        <v>299</v>
      </c>
      <c r="C37" t="s">
        <v>594</v>
      </c>
      <c r="D37" t="s">
        <v>395</v>
      </c>
      <c r="E37" t="s">
        <v>395</v>
      </c>
      <c r="F37" t="s">
        <v>396</v>
      </c>
      <c r="G37" t="s">
        <v>397</v>
      </c>
      <c r="H37" t="s">
        <v>532</v>
      </c>
      <c r="I37" t="s">
        <v>399</v>
      </c>
      <c r="J37" t="s">
        <v>400</v>
      </c>
      <c r="K37" t="s">
        <v>595</v>
      </c>
      <c r="L37" t="s">
        <v>585</v>
      </c>
      <c r="M37" t="s">
        <v>403</v>
      </c>
      <c r="N37">
        <v>1</v>
      </c>
      <c r="O37">
        <v>1</v>
      </c>
      <c r="P37" t="s">
        <v>596</v>
      </c>
      <c r="Q37" t="s">
        <v>430</v>
      </c>
      <c r="R37" t="s">
        <v>597</v>
      </c>
      <c r="S37" t="s">
        <v>598</v>
      </c>
      <c r="T37" t="s">
        <v>408</v>
      </c>
      <c r="U37">
        <v>50950080140</v>
      </c>
      <c r="W37">
        <v>23040</v>
      </c>
      <c r="X37" t="s">
        <v>409</v>
      </c>
      <c r="Y37" t="s">
        <v>410</v>
      </c>
      <c r="Z37" t="s">
        <v>410</v>
      </c>
      <c r="AA37" t="s">
        <v>411</v>
      </c>
      <c r="AB37" t="s">
        <v>554</v>
      </c>
      <c r="AC37" t="s">
        <v>411</v>
      </c>
      <c r="AD37">
        <v>46083</v>
      </c>
      <c r="AE37">
        <v>46139</v>
      </c>
      <c r="AF37">
        <v>46090</v>
      </c>
      <c r="AG37" t="s">
        <v>590</v>
      </c>
      <c r="AH37">
        <v>6130074</v>
      </c>
      <c r="AI37">
        <v>46087</v>
      </c>
      <c r="AJ37">
        <v>46088</v>
      </c>
      <c r="AK37">
        <v>23040</v>
      </c>
      <c r="AL37" t="s">
        <v>396</v>
      </c>
      <c r="AM37" t="s">
        <v>599</v>
      </c>
      <c r="AN37">
        <v>46088</v>
      </c>
      <c r="AO37">
        <v>46088.584745370368</v>
      </c>
      <c r="AP37" t="s">
        <v>51</v>
      </c>
      <c r="AQ37">
        <v>7.4770000000000003E-2</v>
      </c>
      <c r="AR37">
        <v>1722.7</v>
      </c>
      <c r="AS37" t="s">
        <v>51</v>
      </c>
      <c r="AT37">
        <v>1722.7</v>
      </c>
      <c r="AU37" t="s">
        <v>415</v>
      </c>
      <c r="AV37" t="s">
        <v>557</v>
      </c>
      <c r="AW37" t="s">
        <v>558</v>
      </c>
      <c r="AX37">
        <v>46092</v>
      </c>
      <c r="AY37">
        <v>46141</v>
      </c>
      <c r="AZ37" t="s">
        <v>559</v>
      </c>
      <c r="BA37" t="s">
        <v>560</v>
      </c>
      <c r="BB37" t="s">
        <v>561</v>
      </c>
      <c r="BC37">
        <v>320</v>
      </c>
      <c r="BD37" t="s">
        <v>521</v>
      </c>
      <c r="BE37">
        <v>6.0304000000000002</v>
      </c>
      <c r="BF37">
        <v>5.7304000000000004</v>
      </c>
      <c r="BG37" t="s">
        <v>522</v>
      </c>
      <c r="BH37">
        <v>295</v>
      </c>
      <c r="BI37">
        <v>195</v>
      </c>
      <c r="BJ37">
        <v>100</v>
      </c>
      <c r="BK37">
        <v>64</v>
      </c>
      <c r="BL37" t="s">
        <v>521</v>
      </c>
      <c r="BM37">
        <v>415.94560000000001</v>
      </c>
      <c r="BN37">
        <v>366.74560000000002</v>
      </c>
      <c r="BO37">
        <v>494.18649599999998</v>
      </c>
      <c r="BP37" t="s">
        <v>522</v>
      </c>
      <c r="BQ37">
        <v>1200</v>
      </c>
      <c r="BR37">
        <v>800</v>
      </c>
      <c r="BS37">
        <v>573</v>
      </c>
      <c r="BT37">
        <v>1</v>
      </c>
      <c r="BU37">
        <v>1</v>
      </c>
      <c r="BV37">
        <v>2</v>
      </c>
      <c r="BW37">
        <v>72</v>
      </c>
      <c r="BX37">
        <v>0</v>
      </c>
      <c r="BY37">
        <v>72</v>
      </c>
      <c r="BZ37">
        <v>20480</v>
      </c>
      <c r="CA37">
        <v>2560</v>
      </c>
      <c r="CB37">
        <v>23040</v>
      </c>
      <c r="CC37">
        <v>412.58649600000001</v>
      </c>
      <c r="CD37" t="s">
        <v>600</v>
      </c>
      <c r="CE37" t="s">
        <v>601</v>
      </c>
      <c r="CG37" t="s">
        <v>421</v>
      </c>
      <c r="CJ37" t="str">
        <v>MSMU8888430</v>
      </c>
      <c r="CN37" t="str">
        <v>M45</v>
      </c>
      <c r="CO37" t="str">
        <v>AYSP61AS871EN</v>
      </c>
      <c r="CP37" t="str">
        <v>CAIU8394197</v>
      </c>
      <c r="CQ37" s="23">
        <v>946.40020000000004</v>
      </c>
      <c r="CR37" s="25">
        <f t="shared" si="0"/>
        <v>6.3493892554358861E-2</v>
      </c>
      <c r="CS37" s="21">
        <f t="shared" si="1"/>
        <v>158.73473138589716</v>
      </c>
      <c r="CU37" s="23"/>
    </row>
    <row r="38" spans="2:99" x14ac:dyDescent="0.35">
      <c r="B38" t="s">
        <v>299</v>
      </c>
      <c r="C38" t="s">
        <v>602</v>
      </c>
      <c r="D38" t="s">
        <v>395</v>
      </c>
      <c r="E38" t="s">
        <v>395</v>
      </c>
      <c r="F38" t="s">
        <v>396</v>
      </c>
      <c r="G38" t="s">
        <v>397</v>
      </c>
      <c r="H38" t="s">
        <v>532</v>
      </c>
      <c r="I38" t="s">
        <v>399</v>
      </c>
      <c r="J38" t="s">
        <v>400</v>
      </c>
      <c r="K38" t="s">
        <v>595</v>
      </c>
      <c r="L38" t="s">
        <v>585</v>
      </c>
      <c r="M38" t="s">
        <v>403</v>
      </c>
      <c r="N38">
        <v>1</v>
      </c>
      <c r="O38">
        <v>1</v>
      </c>
      <c r="P38" t="s">
        <v>603</v>
      </c>
      <c r="Q38" t="s">
        <v>405</v>
      </c>
      <c r="R38" t="s">
        <v>597</v>
      </c>
      <c r="S38" t="s">
        <v>604</v>
      </c>
      <c r="T38" t="s">
        <v>408</v>
      </c>
      <c r="U38">
        <v>50950080162</v>
      </c>
      <c r="W38">
        <v>5760</v>
      </c>
      <c r="X38" t="s">
        <v>409</v>
      </c>
      <c r="Y38" t="s">
        <v>410</v>
      </c>
      <c r="Z38" t="s">
        <v>410</v>
      </c>
      <c r="AA38" t="s">
        <v>411</v>
      </c>
      <c r="AB38" t="s">
        <v>554</v>
      </c>
      <c r="AC38" t="s">
        <v>411</v>
      </c>
      <c r="AD38">
        <v>46090</v>
      </c>
      <c r="AE38">
        <v>46125</v>
      </c>
      <c r="AF38">
        <v>46090</v>
      </c>
      <c r="AG38" t="s">
        <v>590</v>
      </c>
      <c r="AH38">
        <v>6130075</v>
      </c>
      <c r="AI38">
        <v>46087</v>
      </c>
      <c r="AJ38">
        <v>46088</v>
      </c>
      <c r="AK38">
        <v>5760</v>
      </c>
      <c r="AL38" t="s">
        <v>396</v>
      </c>
      <c r="AM38" t="s">
        <v>605</v>
      </c>
      <c r="AN38">
        <v>46088</v>
      </c>
      <c r="AO38">
        <v>46088.584745370368</v>
      </c>
      <c r="AP38" t="s">
        <v>51</v>
      </c>
      <c r="AQ38">
        <v>0.19123999999999999</v>
      </c>
      <c r="AR38">
        <v>1101.54</v>
      </c>
      <c r="AS38" t="s">
        <v>51</v>
      </c>
      <c r="AT38">
        <v>1101.54</v>
      </c>
      <c r="AU38" t="s">
        <v>415</v>
      </c>
      <c r="AV38" t="s">
        <v>557</v>
      </c>
      <c r="AW38" t="s">
        <v>558</v>
      </c>
      <c r="AX38">
        <v>46092</v>
      </c>
      <c r="AY38">
        <v>46141</v>
      </c>
      <c r="AZ38" t="s">
        <v>559</v>
      </c>
      <c r="BA38" t="s">
        <v>560</v>
      </c>
      <c r="BB38" t="s">
        <v>561</v>
      </c>
      <c r="BC38">
        <v>320</v>
      </c>
      <c r="BD38" t="s">
        <v>521</v>
      </c>
      <c r="BE38">
        <v>7.5754999999999999</v>
      </c>
      <c r="BF38">
        <v>7.2755000000000001</v>
      </c>
      <c r="BG38" t="s">
        <v>522</v>
      </c>
      <c r="BH38">
        <v>295</v>
      </c>
      <c r="BI38">
        <v>195</v>
      </c>
      <c r="BJ38">
        <v>100</v>
      </c>
      <c r="BK38">
        <v>64</v>
      </c>
      <c r="BL38" t="s">
        <v>521</v>
      </c>
      <c r="BM38">
        <v>166.35936000000001</v>
      </c>
      <c r="BN38">
        <v>130.95936</v>
      </c>
      <c r="BO38">
        <v>166.35936000000001</v>
      </c>
      <c r="BP38" t="s">
        <v>522</v>
      </c>
      <c r="BQ38">
        <v>1200</v>
      </c>
      <c r="BR38">
        <v>800</v>
      </c>
      <c r="BS38">
        <v>573</v>
      </c>
      <c r="BT38">
        <v>0</v>
      </c>
      <c r="BU38">
        <v>1</v>
      </c>
      <c r="BV38">
        <v>1</v>
      </c>
      <c r="BW38">
        <v>18</v>
      </c>
      <c r="BX38">
        <v>0</v>
      </c>
      <c r="BY38">
        <v>18</v>
      </c>
      <c r="BZ38">
        <v>0</v>
      </c>
      <c r="CA38">
        <v>5760</v>
      </c>
      <c r="CB38">
        <v>5760</v>
      </c>
      <c r="CC38">
        <v>130.95936</v>
      </c>
      <c r="CD38" t="s">
        <v>600</v>
      </c>
      <c r="CE38" t="s">
        <v>601</v>
      </c>
      <c r="CG38" t="s">
        <v>421</v>
      </c>
      <c r="CJ38" t="str">
        <v>MSNU7011814</v>
      </c>
      <c r="CN38" t="str">
        <v>M45</v>
      </c>
      <c r="CO38" t="str">
        <v>AYSP61BS362EN</v>
      </c>
      <c r="CP38" t="str">
        <v>CAIU8394197</v>
      </c>
      <c r="CQ38" s="23">
        <v>382.04809999999998</v>
      </c>
      <c r="CR38" s="25">
        <f t="shared" si="0"/>
        <v>2.5631567926546243E-2</v>
      </c>
      <c r="CS38" s="21">
        <f t="shared" si="1"/>
        <v>64.078919816365612</v>
      </c>
      <c r="CU38" s="23"/>
    </row>
    <row r="39" spans="2:99" x14ac:dyDescent="0.35">
      <c r="B39" t="s">
        <v>299</v>
      </c>
      <c r="C39" t="s">
        <v>606</v>
      </c>
      <c r="D39" t="s">
        <v>395</v>
      </c>
      <c r="E39" t="s">
        <v>395</v>
      </c>
      <c r="F39" t="s">
        <v>396</v>
      </c>
      <c r="G39" t="s">
        <v>397</v>
      </c>
      <c r="H39" t="s">
        <v>532</v>
      </c>
      <c r="I39" t="s">
        <v>399</v>
      </c>
      <c r="J39" t="s">
        <v>400</v>
      </c>
      <c r="K39" t="s">
        <v>607</v>
      </c>
      <c r="L39" t="s">
        <v>585</v>
      </c>
      <c r="M39" t="s">
        <v>403</v>
      </c>
      <c r="N39">
        <v>1</v>
      </c>
      <c r="O39">
        <v>1</v>
      </c>
      <c r="P39" t="s">
        <v>608</v>
      </c>
      <c r="Q39" t="s">
        <v>405</v>
      </c>
      <c r="R39" t="s">
        <v>609</v>
      </c>
      <c r="S39" t="s">
        <v>610</v>
      </c>
      <c r="T39" t="s">
        <v>408</v>
      </c>
      <c r="U39">
        <v>50950080200</v>
      </c>
      <c r="W39">
        <v>35200</v>
      </c>
      <c r="X39" t="s">
        <v>409</v>
      </c>
      <c r="Y39" t="s">
        <v>410</v>
      </c>
      <c r="Z39" t="s">
        <v>410</v>
      </c>
      <c r="AA39" t="s">
        <v>411</v>
      </c>
      <c r="AB39" t="s">
        <v>554</v>
      </c>
      <c r="AC39" t="s">
        <v>411</v>
      </c>
      <c r="AD39">
        <v>46083</v>
      </c>
      <c r="AE39">
        <v>46132</v>
      </c>
      <c r="AF39">
        <v>46090</v>
      </c>
      <c r="AG39" t="s">
        <v>590</v>
      </c>
      <c r="AH39">
        <v>6130076</v>
      </c>
      <c r="AI39">
        <v>46087</v>
      </c>
      <c r="AJ39">
        <v>46088</v>
      </c>
      <c r="AK39">
        <v>35200</v>
      </c>
      <c r="AL39" t="s">
        <v>396</v>
      </c>
      <c r="AM39" t="s">
        <v>611</v>
      </c>
      <c r="AN39">
        <v>46088</v>
      </c>
      <c r="AO39">
        <v>46088.584745370368</v>
      </c>
      <c r="AP39" t="s">
        <v>51</v>
      </c>
      <c r="AQ39">
        <v>0.11616</v>
      </c>
      <c r="AR39">
        <v>4088.83</v>
      </c>
      <c r="AS39" t="s">
        <v>51</v>
      </c>
      <c r="AT39">
        <v>4088.83</v>
      </c>
      <c r="AU39" t="s">
        <v>415</v>
      </c>
      <c r="AV39" t="s">
        <v>557</v>
      </c>
      <c r="AW39" t="s">
        <v>558</v>
      </c>
      <c r="AX39">
        <v>46092</v>
      </c>
      <c r="AY39">
        <v>46141</v>
      </c>
      <c r="AZ39" t="s">
        <v>559</v>
      </c>
      <c r="BA39" t="s">
        <v>560</v>
      </c>
      <c r="BB39" t="s">
        <v>561</v>
      </c>
      <c r="BC39">
        <v>880</v>
      </c>
      <c r="BD39" t="s">
        <v>521</v>
      </c>
      <c r="BE39">
        <v>13.593999999999999</v>
      </c>
      <c r="BF39">
        <v>11.994</v>
      </c>
      <c r="BG39" t="s">
        <v>522</v>
      </c>
      <c r="BH39">
        <v>395</v>
      </c>
      <c r="BI39">
        <v>295</v>
      </c>
      <c r="BJ39">
        <v>230</v>
      </c>
      <c r="BK39">
        <v>40</v>
      </c>
      <c r="BL39" t="s">
        <v>521</v>
      </c>
      <c r="BM39">
        <v>574.75840000000005</v>
      </c>
      <c r="BN39">
        <v>479.75839999999999</v>
      </c>
      <c r="BO39">
        <v>574.75840000000005</v>
      </c>
      <c r="BP39" t="s">
        <v>522</v>
      </c>
      <c r="BQ39">
        <v>1200</v>
      </c>
      <c r="BR39">
        <v>1000</v>
      </c>
      <c r="BS39">
        <v>1075</v>
      </c>
      <c r="BT39">
        <v>1</v>
      </c>
      <c r="BU39">
        <v>0</v>
      </c>
      <c r="BV39">
        <v>1</v>
      </c>
      <c r="BW39">
        <v>40</v>
      </c>
      <c r="BX39">
        <v>0</v>
      </c>
      <c r="BY39">
        <v>40</v>
      </c>
      <c r="BZ39">
        <v>35200</v>
      </c>
      <c r="CA39">
        <v>0</v>
      </c>
      <c r="CB39">
        <v>35200</v>
      </c>
      <c r="CC39">
        <v>479.75839999999999</v>
      </c>
      <c r="CD39" t="s">
        <v>612</v>
      </c>
      <c r="CE39" t="s">
        <v>613</v>
      </c>
      <c r="CG39" t="s">
        <v>421</v>
      </c>
      <c r="CJ39" t="str">
        <v>MSNU9003952</v>
      </c>
      <c r="CN39" t="str">
        <v>M46</v>
      </c>
      <c r="CO39" t="str">
        <v>1301-1060387EN</v>
      </c>
      <c r="CP39" t="str">
        <v>CAIU8394197</v>
      </c>
      <c r="CQ39" s="23">
        <v>661.28031999999996</v>
      </c>
      <c r="CR39" s="25">
        <f t="shared" si="0"/>
        <v>4.4365228987052245E-2</v>
      </c>
      <c r="CS39" s="21">
        <f t="shared" si="1"/>
        <v>110.91307246763061</v>
      </c>
      <c r="CU39" s="23"/>
    </row>
    <row r="40" spans="2:99" x14ac:dyDescent="0.35">
      <c r="B40" t="s">
        <v>299</v>
      </c>
      <c r="C40" t="s">
        <v>614</v>
      </c>
      <c r="D40" t="s">
        <v>395</v>
      </c>
      <c r="E40" t="s">
        <v>395</v>
      </c>
      <c r="F40" t="s">
        <v>396</v>
      </c>
      <c r="G40" t="s">
        <v>397</v>
      </c>
      <c r="H40" t="s">
        <v>532</v>
      </c>
      <c r="I40" t="s">
        <v>399</v>
      </c>
      <c r="J40" t="s">
        <v>400</v>
      </c>
      <c r="K40" t="s">
        <v>515</v>
      </c>
      <c r="L40" t="s">
        <v>585</v>
      </c>
      <c r="M40" t="s">
        <v>403</v>
      </c>
      <c r="N40">
        <v>1</v>
      </c>
      <c r="O40">
        <v>1</v>
      </c>
      <c r="P40" t="s">
        <v>615</v>
      </c>
      <c r="Q40" t="s">
        <v>587</v>
      </c>
      <c r="R40" t="s">
        <v>616</v>
      </c>
      <c r="S40" t="s">
        <v>617</v>
      </c>
      <c r="T40" t="s">
        <v>408</v>
      </c>
      <c r="U40">
        <v>50950080208</v>
      </c>
      <c r="W40">
        <v>15120</v>
      </c>
      <c r="X40" t="s">
        <v>409</v>
      </c>
      <c r="Y40" t="s">
        <v>410</v>
      </c>
      <c r="Z40" t="s">
        <v>410</v>
      </c>
      <c r="AA40" t="s">
        <v>411</v>
      </c>
      <c r="AB40" t="s">
        <v>554</v>
      </c>
      <c r="AC40" t="s">
        <v>411</v>
      </c>
      <c r="AD40">
        <v>46083</v>
      </c>
      <c r="AE40">
        <v>46139</v>
      </c>
      <c r="AF40">
        <v>46090</v>
      </c>
      <c r="AG40" t="s">
        <v>590</v>
      </c>
      <c r="AH40">
        <v>6130077</v>
      </c>
      <c r="AI40">
        <v>46087</v>
      </c>
      <c r="AJ40">
        <v>46088</v>
      </c>
      <c r="AK40">
        <v>15120</v>
      </c>
      <c r="AL40" t="s">
        <v>396</v>
      </c>
      <c r="AM40" t="s">
        <v>618</v>
      </c>
      <c r="AN40">
        <v>46088</v>
      </c>
      <c r="AO40">
        <v>46088.584745370368</v>
      </c>
      <c r="AP40" t="s">
        <v>51</v>
      </c>
      <c r="AQ40">
        <v>0.14565</v>
      </c>
      <c r="AR40">
        <v>2202.2399999999998</v>
      </c>
      <c r="AS40" t="s">
        <v>51</v>
      </c>
      <c r="AT40">
        <v>2202.2399999999998</v>
      </c>
      <c r="AU40" t="s">
        <v>415</v>
      </c>
      <c r="AV40" t="s">
        <v>557</v>
      </c>
      <c r="AW40" t="s">
        <v>558</v>
      </c>
      <c r="AX40">
        <v>46092</v>
      </c>
      <c r="AY40">
        <v>46141</v>
      </c>
      <c r="AZ40" t="s">
        <v>559</v>
      </c>
      <c r="BA40" t="s">
        <v>560</v>
      </c>
      <c r="BB40" t="s">
        <v>561</v>
      </c>
      <c r="BC40">
        <v>420</v>
      </c>
      <c r="BD40" t="s">
        <v>521</v>
      </c>
      <c r="BE40">
        <v>2.1333000000000002</v>
      </c>
      <c r="BF40">
        <v>1.4133</v>
      </c>
      <c r="BG40" t="s">
        <v>522</v>
      </c>
      <c r="BH40">
        <v>395</v>
      </c>
      <c r="BI40">
        <v>295</v>
      </c>
      <c r="BJ40">
        <v>220</v>
      </c>
      <c r="BK40">
        <v>6</v>
      </c>
      <c r="BL40" t="s">
        <v>521</v>
      </c>
      <c r="BM40">
        <v>20.799800000000001</v>
      </c>
      <c r="BN40">
        <v>8.4797999999999991</v>
      </c>
      <c r="BO40">
        <v>124.7988</v>
      </c>
      <c r="BP40" t="s">
        <v>522</v>
      </c>
      <c r="BQ40">
        <v>800</v>
      </c>
      <c r="BR40">
        <v>300</v>
      </c>
      <c r="BS40">
        <v>830</v>
      </c>
      <c r="BT40">
        <v>6</v>
      </c>
      <c r="BU40">
        <v>0</v>
      </c>
      <c r="BV40">
        <v>6</v>
      </c>
      <c r="BW40">
        <v>36</v>
      </c>
      <c r="BX40">
        <v>0</v>
      </c>
      <c r="BY40">
        <v>36</v>
      </c>
      <c r="BZ40">
        <v>15120</v>
      </c>
      <c r="CA40">
        <v>0</v>
      </c>
      <c r="CB40">
        <v>15120</v>
      </c>
      <c r="CC40">
        <v>50.878799999999998</v>
      </c>
      <c r="CD40" t="s">
        <v>619</v>
      </c>
      <c r="CE40" t="s">
        <v>620</v>
      </c>
      <c r="CG40" t="s">
        <v>421</v>
      </c>
      <c r="CJ40" t="str">
        <v>OOCU6524515</v>
      </c>
      <c r="CN40" t="str">
        <v>M01</v>
      </c>
      <c r="CO40" t="str">
        <v>1999-1031492EN</v>
      </c>
      <c r="CP40" t="str">
        <v>CCLU7673540</v>
      </c>
      <c r="CQ40" s="23">
        <v>518.20000000000005</v>
      </c>
      <c r="CR40" s="25">
        <f t="shared" si="0"/>
        <v>4.1360496297860455E-2</v>
      </c>
      <c r="CS40" s="21">
        <f t="shared" si="1"/>
        <v>103.40124074465113</v>
      </c>
      <c r="CU40" s="23"/>
    </row>
    <row r="41" spans="2:99" x14ac:dyDescent="0.35">
      <c r="B41" t="s">
        <v>299</v>
      </c>
      <c r="C41" t="s">
        <v>621</v>
      </c>
      <c r="D41" t="s">
        <v>395</v>
      </c>
      <c r="E41" t="s">
        <v>395</v>
      </c>
      <c r="F41" t="s">
        <v>396</v>
      </c>
      <c r="G41" t="s">
        <v>397</v>
      </c>
      <c r="H41" t="s">
        <v>532</v>
      </c>
      <c r="I41" t="s">
        <v>399</v>
      </c>
      <c r="J41" t="s">
        <v>400</v>
      </c>
      <c r="K41" t="s">
        <v>607</v>
      </c>
      <c r="L41" t="s">
        <v>585</v>
      </c>
      <c r="M41" t="s">
        <v>403</v>
      </c>
      <c r="N41">
        <v>1</v>
      </c>
      <c r="O41">
        <v>1</v>
      </c>
      <c r="P41" t="s">
        <v>622</v>
      </c>
      <c r="Q41" t="s">
        <v>424</v>
      </c>
      <c r="R41" t="s">
        <v>623</v>
      </c>
      <c r="S41" t="s">
        <v>624</v>
      </c>
      <c r="T41" t="s">
        <v>408</v>
      </c>
      <c r="U41">
        <v>50950080350</v>
      </c>
      <c r="W41">
        <v>24000</v>
      </c>
      <c r="X41" t="s">
        <v>409</v>
      </c>
      <c r="Y41" t="s">
        <v>410</v>
      </c>
      <c r="Z41" t="s">
        <v>410</v>
      </c>
      <c r="AA41" t="s">
        <v>411</v>
      </c>
      <c r="AB41" t="s">
        <v>554</v>
      </c>
      <c r="AC41" t="s">
        <v>411</v>
      </c>
      <c r="AD41">
        <v>46083</v>
      </c>
      <c r="AE41">
        <v>46139</v>
      </c>
      <c r="AF41">
        <v>46090</v>
      </c>
      <c r="AG41" t="s">
        <v>590</v>
      </c>
      <c r="AH41">
        <v>6130078</v>
      </c>
      <c r="AI41">
        <v>46087</v>
      </c>
      <c r="AJ41">
        <v>46088</v>
      </c>
      <c r="AK41">
        <v>24000</v>
      </c>
      <c r="AL41" t="s">
        <v>396</v>
      </c>
      <c r="AM41" t="s">
        <v>625</v>
      </c>
      <c r="AN41">
        <v>46088</v>
      </c>
      <c r="AO41">
        <v>46088.584745370368</v>
      </c>
      <c r="AP41" t="s">
        <v>51</v>
      </c>
      <c r="AQ41">
        <v>0.1051</v>
      </c>
      <c r="AR41">
        <v>2522.4</v>
      </c>
      <c r="AS41" t="s">
        <v>51</v>
      </c>
      <c r="AT41">
        <v>2522.4</v>
      </c>
      <c r="AU41" t="s">
        <v>415</v>
      </c>
      <c r="AV41" t="s">
        <v>557</v>
      </c>
      <c r="AW41" t="s">
        <v>558</v>
      </c>
      <c r="AX41">
        <v>46092</v>
      </c>
      <c r="AY41">
        <v>46141</v>
      </c>
      <c r="AZ41" t="s">
        <v>559</v>
      </c>
      <c r="BA41" t="s">
        <v>560</v>
      </c>
      <c r="BB41" t="s">
        <v>561</v>
      </c>
      <c r="BC41">
        <v>2400</v>
      </c>
      <c r="BD41" t="s">
        <v>521</v>
      </c>
      <c r="BE41">
        <v>8.7984000000000009</v>
      </c>
      <c r="BF41">
        <v>7.4774000000000003</v>
      </c>
      <c r="BG41" t="s">
        <v>522</v>
      </c>
      <c r="BH41">
        <v>395</v>
      </c>
      <c r="BI41">
        <v>295</v>
      </c>
      <c r="BJ41">
        <v>210</v>
      </c>
      <c r="BK41">
        <v>6</v>
      </c>
      <c r="BL41" t="s">
        <v>521</v>
      </c>
      <c r="BM41">
        <v>60.790399999999998</v>
      </c>
      <c r="BN41">
        <v>44.864400000000003</v>
      </c>
      <c r="BO41">
        <v>103.98439999999999</v>
      </c>
      <c r="BP41" t="s">
        <v>522</v>
      </c>
      <c r="BQ41">
        <v>800</v>
      </c>
      <c r="BR41">
        <v>300</v>
      </c>
      <c r="BS41">
        <v>790</v>
      </c>
      <c r="BT41">
        <v>1</v>
      </c>
      <c r="BU41">
        <v>1</v>
      </c>
      <c r="BV41">
        <v>2</v>
      </c>
      <c r="BW41">
        <v>10</v>
      </c>
      <c r="BX41">
        <v>0</v>
      </c>
      <c r="BY41">
        <v>10</v>
      </c>
      <c r="BZ41">
        <v>14400</v>
      </c>
      <c r="CA41">
        <v>9600</v>
      </c>
      <c r="CB41">
        <v>24000</v>
      </c>
      <c r="CC41">
        <v>74.7744</v>
      </c>
      <c r="CD41" t="s">
        <v>626</v>
      </c>
      <c r="CE41" t="s">
        <v>627</v>
      </c>
      <c r="CG41" t="s">
        <v>421</v>
      </c>
      <c r="CJ41" t="str">
        <v>OOCU6799960</v>
      </c>
      <c r="CN41" t="str">
        <v>M01</v>
      </c>
      <c r="CO41" t="str">
        <v>1999-1031491EN</v>
      </c>
      <c r="CP41" t="str">
        <v>CCLU7673540</v>
      </c>
      <c r="CQ41" s="23">
        <v>518.20000000000005</v>
      </c>
      <c r="CR41" s="25">
        <f t="shared" si="0"/>
        <v>4.1360496297860455E-2</v>
      </c>
      <c r="CS41" s="21">
        <f t="shared" si="1"/>
        <v>103.40124074465113</v>
      </c>
      <c r="CU41" s="23"/>
    </row>
    <row r="42" spans="2:99" x14ac:dyDescent="0.35">
      <c r="B42" t="s">
        <v>297</v>
      </c>
      <c r="C42" t="s">
        <v>628</v>
      </c>
      <c r="D42" t="s">
        <v>395</v>
      </c>
      <c r="E42" t="s">
        <v>395</v>
      </c>
      <c r="F42" t="s">
        <v>396</v>
      </c>
      <c r="G42" t="s">
        <v>397</v>
      </c>
      <c r="H42" t="s">
        <v>398</v>
      </c>
      <c r="I42" t="s">
        <v>399</v>
      </c>
      <c r="J42" t="s">
        <v>400</v>
      </c>
      <c r="K42" t="s">
        <v>629</v>
      </c>
      <c r="L42" t="s">
        <v>585</v>
      </c>
      <c r="M42" t="s">
        <v>403</v>
      </c>
      <c r="N42">
        <v>1</v>
      </c>
      <c r="O42">
        <v>1</v>
      </c>
      <c r="P42" t="s">
        <v>630</v>
      </c>
      <c r="Q42" t="s">
        <v>587</v>
      </c>
      <c r="R42" t="s">
        <v>631</v>
      </c>
      <c r="S42" t="s">
        <v>553</v>
      </c>
      <c r="T42" t="s">
        <v>408</v>
      </c>
      <c r="U42">
        <v>50950080450</v>
      </c>
      <c r="W42">
        <v>12800</v>
      </c>
      <c r="X42" t="s">
        <v>409</v>
      </c>
      <c r="Y42" t="s">
        <v>410</v>
      </c>
      <c r="Z42" t="s">
        <v>410</v>
      </c>
      <c r="AA42" t="s">
        <v>411</v>
      </c>
      <c r="AB42" t="s">
        <v>554</v>
      </c>
      <c r="AC42" t="s">
        <v>411</v>
      </c>
      <c r="AD42">
        <v>46081</v>
      </c>
      <c r="AE42">
        <v>46132</v>
      </c>
      <c r="AF42">
        <v>46090</v>
      </c>
      <c r="AG42" t="s">
        <v>590</v>
      </c>
      <c r="AH42">
        <v>6130079</v>
      </c>
      <c r="AI42">
        <v>46087</v>
      </c>
      <c r="AJ42">
        <v>46088</v>
      </c>
      <c r="AK42">
        <v>12800</v>
      </c>
      <c r="AL42" t="s">
        <v>396</v>
      </c>
      <c r="AM42" t="s">
        <v>632</v>
      </c>
      <c r="AN42">
        <v>46088</v>
      </c>
      <c r="AO42">
        <v>46088.584745370368</v>
      </c>
      <c r="AP42" t="s">
        <v>51</v>
      </c>
      <c r="AQ42">
        <v>0.11813</v>
      </c>
      <c r="AR42">
        <v>1512.07</v>
      </c>
      <c r="AS42" t="s">
        <v>51</v>
      </c>
      <c r="AT42">
        <v>1512.07</v>
      </c>
      <c r="AU42" t="s">
        <v>415</v>
      </c>
      <c r="AV42" t="s">
        <v>557</v>
      </c>
      <c r="AW42" t="s">
        <v>558</v>
      </c>
      <c r="AX42">
        <v>46092</v>
      </c>
      <c r="AY42">
        <v>46141</v>
      </c>
      <c r="AZ42" t="s">
        <v>559</v>
      </c>
      <c r="BA42" t="s">
        <v>560</v>
      </c>
      <c r="BB42" t="s">
        <v>561</v>
      </c>
      <c r="BC42">
        <v>320</v>
      </c>
      <c r="BD42" t="s">
        <v>521</v>
      </c>
      <c r="BE42">
        <v>4.5107999999999997</v>
      </c>
      <c r="BF42">
        <v>3.6038000000000001</v>
      </c>
      <c r="BG42" t="s">
        <v>522</v>
      </c>
      <c r="BH42">
        <v>395</v>
      </c>
      <c r="BI42">
        <v>295</v>
      </c>
      <c r="BJ42">
        <v>270</v>
      </c>
      <c r="BK42">
        <v>30</v>
      </c>
      <c r="BL42" t="s">
        <v>521</v>
      </c>
      <c r="BM42">
        <v>162.32400000000001</v>
      </c>
      <c r="BN42">
        <v>108.114</v>
      </c>
      <c r="BO42">
        <v>234.43360000000001</v>
      </c>
      <c r="BP42" t="s">
        <v>522</v>
      </c>
      <c r="BQ42">
        <v>1200</v>
      </c>
      <c r="BR42">
        <v>1000</v>
      </c>
      <c r="BS42">
        <v>918</v>
      </c>
      <c r="BT42">
        <v>1</v>
      </c>
      <c r="BU42">
        <v>1</v>
      </c>
      <c r="BV42">
        <v>2</v>
      </c>
      <c r="BW42">
        <v>40</v>
      </c>
      <c r="BX42">
        <v>0</v>
      </c>
      <c r="BY42">
        <v>40</v>
      </c>
      <c r="BZ42">
        <v>9600</v>
      </c>
      <c r="CA42">
        <v>3200</v>
      </c>
      <c r="CB42">
        <v>12800</v>
      </c>
      <c r="CC42">
        <v>144.15360000000001</v>
      </c>
      <c r="CD42" t="s">
        <v>633</v>
      </c>
      <c r="CE42" t="s">
        <v>634</v>
      </c>
      <c r="CG42" t="s">
        <v>421</v>
      </c>
      <c r="CJ42" t="str">
        <v>OOCU6912465</v>
      </c>
      <c r="CN42" t="str">
        <v>M19</v>
      </c>
      <c r="CO42" t="str">
        <v>1275-5YY0561EN</v>
      </c>
      <c r="CP42" t="str">
        <v>CCLU7673540</v>
      </c>
      <c r="CQ42" s="23">
        <v>798.75599999999997</v>
      </c>
      <c r="CR42" s="25">
        <f t="shared" si="0"/>
        <v>6.375327012908881E-2</v>
      </c>
      <c r="CS42" s="21">
        <f t="shared" si="1"/>
        <v>159.38317532272202</v>
      </c>
      <c r="CU42" s="23"/>
    </row>
    <row r="43" spans="2:99" x14ac:dyDescent="0.35">
      <c r="B43" t="s">
        <v>298</v>
      </c>
      <c r="C43" t="s">
        <v>635</v>
      </c>
      <c r="D43" t="s">
        <v>395</v>
      </c>
      <c r="E43" t="s">
        <v>395</v>
      </c>
      <c r="F43" t="s">
        <v>396</v>
      </c>
      <c r="G43" t="s">
        <v>397</v>
      </c>
      <c r="H43" t="s">
        <v>398</v>
      </c>
      <c r="I43" t="s">
        <v>399</v>
      </c>
      <c r="J43" t="s">
        <v>400</v>
      </c>
      <c r="K43" t="s">
        <v>607</v>
      </c>
      <c r="L43" t="s">
        <v>585</v>
      </c>
      <c r="M43" t="s">
        <v>403</v>
      </c>
      <c r="N43">
        <v>1</v>
      </c>
      <c r="O43">
        <v>1</v>
      </c>
      <c r="P43" t="s">
        <v>636</v>
      </c>
      <c r="Q43" t="s">
        <v>637</v>
      </c>
      <c r="R43" t="s">
        <v>638</v>
      </c>
      <c r="S43" t="s">
        <v>639</v>
      </c>
      <c r="T43" t="s">
        <v>408</v>
      </c>
      <c r="U43">
        <v>50950080641</v>
      </c>
      <c r="W43">
        <v>10032</v>
      </c>
      <c r="X43" t="s">
        <v>409</v>
      </c>
      <c r="Y43" t="s">
        <v>410</v>
      </c>
      <c r="Z43" t="s">
        <v>410</v>
      </c>
      <c r="AA43" t="s">
        <v>411</v>
      </c>
      <c r="AB43" t="s">
        <v>554</v>
      </c>
      <c r="AC43" t="s">
        <v>411</v>
      </c>
      <c r="AD43">
        <v>46083</v>
      </c>
      <c r="AE43">
        <v>46139</v>
      </c>
      <c r="AF43">
        <v>46090</v>
      </c>
      <c r="AG43" t="s">
        <v>590</v>
      </c>
      <c r="AH43">
        <v>6130080</v>
      </c>
      <c r="AI43">
        <v>46087</v>
      </c>
      <c r="AJ43">
        <v>46088</v>
      </c>
      <c r="AK43">
        <v>10032</v>
      </c>
      <c r="AL43" t="s">
        <v>396</v>
      </c>
      <c r="AM43" t="s">
        <v>640</v>
      </c>
      <c r="AN43">
        <v>46088</v>
      </c>
      <c r="AO43">
        <v>46088.584745370368</v>
      </c>
      <c r="AP43" t="s">
        <v>51</v>
      </c>
      <c r="AQ43">
        <v>0.40084999999999998</v>
      </c>
      <c r="AR43">
        <v>4021.32</v>
      </c>
      <c r="AS43" t="s">
        <v>51</v>
      </c>
      <c r="AT43">
        <v>4021.32</v>
      </c>
      <c r="AU43" t="s">
        <v>415</v>
      </c>
      <c r="AV43" t="s">
        <v>557</v>
      </c>
      <c r="AW43" t="s">
        <v>558</v>
      </c>
      <c r="AX43">
        <v>46092</v>
      </c>
      <c r="AY43">
        <v>46141</v>
      </c>
      <c r="AZ43" t="s">
        <v>559</v>
      </c>
      <c r="BA43" t="s">
        <v>560</v>
      </c>
      <c r="BB43" t="s">
        <v>561</v>
      </c>
      <c r="BC43">
        <v>3344</v>
      </c>
      <c r="BD43" t="s">
        <v>521</v>
      </c>
      <c r="BE43">
        <v>236.03210000000001</v>
      </c>
      <c r="BF43">
        <v>216.03210000000001</v>
      </c>
      <c r="BG43" t="s">
        <v>522</v>
      </c>
      <c r="BH43">
        <v>1050</v>
      </c>
      <c r="BI43">
        <v>480</v>
      </c>
      <c r="BJ43">
        <v>460</v>
      </c>
      <c r="BK43">
        <v>1</v>
      </c>
      <c r="BL43" t="s">
        <v>521</v>
      </c>
      <c r="BM43">
        <v>236.03219999999999</v>
      </c>
      <c r="BN43">
        <v>216.03210000000001</v>
      </c>
      <c r="BO43">
        <v>708.09659280000005</v>
      </c>
      <c r="BP43" t="s">
        <v>522</v>
      </c>
      <c r="BQ43">
        <v>1050</v>
      </c>
      <c r="BR43">
        <v>480</v>
      </c>
      <c r="BS43">
        <v>480</v>
      </c>
      <c r="BT43">
        <v>3</v>
      </c>
      <c r="BU43">
        <v>0</v>
      </c>
      <c r="BV43">
        <v>3</v>
      </c>
      <c r="BW43">
        <v>3</v>
      </c>
      <c r="BX43">
        <v>0</v>
      </c>
      <c r="BY43">
        <v>3</v>
      </c>
      <c r="BZ43">
        <v>10032</v>
      </c>
      <c r="CA43">
        <v>0</v>
      </c>
      <c r="CB43">
        <v>10032</v>
      </c>
      <c r="CC43">
        <v>648.09629280000001</v>
      </c>
      <c r="CD43" t="s">
        <v>641</v>
      </c>
      <c r="CE43" t="s">
        <v>642</v>
      </c>
      <c r="CG43" t="s">
        <v>421</v>
      </c>
      <c r="CJ43" t="str">
        <v>OOCU8204341</v>
      </c>
      <c r="CN43" t="str">
        <v>M19</v>
      </c>
      <c r="CO43" t="str">
        <v>1275-5YY0573EN</v>
      </c>
      <c r="CP43" t="str">
        <v>CCLU7673540</v>
      </c>
      <c r="CQ43" s="23">
        <v>528.47199999999998</v>
      </c>
      <c r="CR43" s="25">
        <f t="shared" si="0"/>
        <v>4.2180363179318614E-2</v>
      </c>
      <c r="CS43" s="21">
        <f t="shared" si="1"/>
        <v>105.45090794829653</v>
      </c>
      <c r="CU43" s="23"/>
    </row>
    <row r="44" spans="2:99" x14ac:dyDescent="0.35">
      <c r="B44" t="s">
        <v>298</v>
      </c>
      <c r="C44" t="s">
        <v>643</v>
      </c>
      <c r="D44" t="s">
        <v>395</v>
      </c>
      <c r="E44" t="s">
        <v>395</v>
      </c>
      <c r="F44" t="s">
        <v>396</v>
      </c>
      <c r="G44" t="s">
        <v>397</v>
      </c>
      <c r="H44" t="s">
        <v>398</v>
      </c>
      <c r="I44" t="s">
        <v>399</v>
      </c>
      <c r="J44" t="s">
        <v>400</v>
      </c>
      <c r="K44" t="s">
        <v>607</v>
      </c>
      <c r="L44" t="s">
        <v>585</v>
      </c>
      <c r="M44" t="s">
        <v>403</v>
      </c>
      <c r="N44">
        <v>1</v>
      </c>
      <c r="O44">
        <v>1</v>
      </c>
      <c r="P44" t="s">
        <v>644</v>
      </c>
      <c r="Q44" t="s">
        <v>645</v>
      </c>
      <c r="R44" t="s">
        <v>638</v>
      </c>
      <c r="S44" t="s">
        <v>646</v>
      </c>
      <c r="T44" t="s">
        <v>408</v>
      </c>
      <c r="U44">
        <v>50950080642</v>
      </c>
      <c r="W44">
        <v>8820</v>
      </c>
      <c r="X44" t="s">
        <v>409</v>
      </c>
      <c r="Y44" t="s">
        <v>410</v>
      </c>
      <c r="Z44" t="s">
        <v>410</v>
      </c>
      <c r="AA44" t="s">
        <v>411</v>
      </c>
      <c r="AB44" t="s">
        <v>554</v>
      </c>
      <c r="AC44" t="s">
        <v>411</v>
      </c>
      <c r="AD44">
        <v>46086</v>
      </c>
      <c r="AE44">
        <v>46139</v>
      </c>
      <c r="AF44">
        <v>46090</v>
      </c>
      <c r="AG44" t="s">
        <v>590</v>
      </c>
      <c r="AH44">
        <v>6130081</v>
      </c>
      <c r="AI44">
        <v>46087</v>
      </c>
      <c r="AJ44">
        <v>46088</v>
      </c>
      <c r="AK44">
        <v>8820</v>
      </c>
      <c r="AL44" t="s">
        <v>396</v>
      </c>
      <c r="AM44" t="s">
        <v>647</v>
      </c>
      <c r="AN44">
        <v>46088</v>
      </c>
      <c r="AO44">
        <v>46088.584745370368</v>
      </c>
      <c r="AP44" t="s">
        <v>51</v>
      </c>
      <c r="AQ44">
        <v>0.69982999999999995</v>
      </c>
      <c r="AR44">
        <v>6172.5</v>
      </c>
      <c r="AS44" t="s">
        <v>51</v>
      </c>
      <c r="AT44">
        <v>6172.5</v>
      </c>
      <c r="AU44" t="s">
        <v>415</v>
      </c>
      <c r="AV44" t="s">
        <v>557</v>
      </c>
      <c r="AW44" t="s">
        <v>558</v>
      </c>
      <c r="AX44">
        <v>46092</v>
      </c>
      <c r="AY44">
        <v>46141</v>
      </c>
      <c r="AZ44" t="s">
        <v>559</v>
      </c>
      <c r="BA44" t="s">
        <v>560</v>
      </c>
      <c r="BB44" t="s">
        <v>561</v>
      </c>
      <c r="BC44">
        <v>1764</v>
      </c>
      <c r="BD44" t="s">
        <v>521</v>
      </c>
      <c r="BE44">
        <v>177.20490000000001</v>
      </c>
      <c r="BF44">
        <v>157.20490000000001</v>
      </c>
      <c r="BG44" t="s">
        <v>522</v>
      </c>
      <c r="BH44">
        <v>1050</v>
      </c>
      <c r="BI44">
        <v>480</v>
      </c>
      <c r="BJ44">
        <v>460</v>
      </c>
      <c r="BK44">
        <v>1</v>
      </c>
      <c r="BL44" t="s">
        <v>521</v>
      </c>
      <c r="BM44">
        <v>177.20500000000001</v>
      </c>
      <c r="BN44">
        <v>157.20490000000001</v>
      </c>
      <c r="BO44">
        <v>886.02478799999994</v>
      </c>
      <c r="BP44" t="s">
        <v>522</v>
      </c>
      <c r="BQ44">
        <v>1050</v>
      </c>
      <c r="BR44">
        <v>480</v>
      </c>
      <c r="BS44">
        <v>480</v>
      </c>
      <c r="BT44">
        <v>5</v>
      </c>
      <c r="BU44">
        <v>0</v>
      </c>
      <c r="BV44">
        <v>5</v>
      </c>
      <c r="BW44">
        <v>5</v>
      </c>
      <c r="BX44">
        <v>0</v>
      </c>
      <c r="BY44">
        <v>5</v>
      </c>
      <c r="BZ44">
        <v>8820</v>
      </c>
      <c r="CA44">
        <v>0</v>
      </c>
      <c r="CB44">
        <v>8820</v>
      </c>
      <c r="CC44">
        <v>786.02428799999996</v>
      </c>
      <c r="CD44" t="s">
        <v>641</v>
      </c>
      <c r="CE44" t="s">
        <v>642</v>
      </c>
      <c r="CG44" t="s">
        <v>421</v>
      </c>
      <c r="CJ44" t="str">
        <v>OOCU9018737</v>
      </c>
      <c r="CN44" t="str">
        <v>M45</v>
      </c>
      <c r="CO44" t="str">
        <v>1301-12C0022EN</v>
      </c>
      <c r="CP44" t="str">
        <v>CCLU7673540</v>
      </c>
      <c r="CQ44" s="23">
        <v>1231.232</v>
      </c>
      <c r="CR44" s="25">
        <f t="shared" si="0"/>
        <v>9.827164526786436E-2</v>
      </c>
      <c r="CS44" s="21">
        <f t="shared" si="1"/>
        <v>245.67911316966089</v>
      </c>
      <c r="CU44" s="23"/>
    </row>
    <row r="45" spans="2:99" x14ac:dyDescent="0.35">
      <c r="B45" t="s">
        <v>298</v>
      </c>
      <c r="C45" t="s">
        <v>648</v>
      </c>
      <c r="D45" t="s">
        <v>395</v>
      </c>
      <c r="E45" t="s">
        <v>395</v>
      </c>
      <c r="F45" t="s">
        <v>396</v>
      </c>
      <c r="G45" t="s">
        <v>397</v>
      </c>
      <c r="H45" t="s">
        <v>398</v>
      </c>
      <c r="I45" t="s">
        <v>399</v>
      </c>
      <c r="J45" t="s">
        <v>400</v>
      </c>
      <c r="K45" t="s">
        <v>607</v>
      </c>
      <c r="L45" t="s">
        <v>585</v>
      </c>
      <c r="M45" t="s">
        <v>403</v>
      </c>
      <c r="N45">
        <v>1</v>
      </c>
      <c r="O45">
        <v>1</v>
      </c>
      <c r="P45" t="s">
        <v>649</v>
      </c>
      <c r="Q45" t="s">
        <v>430</v>
      </c>
      <c r="R45" t="s">
        <v>650</v>
      </c>
      <c r="S45" t="s">
        <v>651</v>
      </c>
      <c r="T45" t="s">
        <v>408</v>
      </c>
      <c r="U45">
        <v>50950080644</v>
      </c>
      <c r="W45">
        <v>21600</v>
      </c>
      <c r="X45" t="s">
        <v>409</v>
      </c>
      <c r="Y45" t="s">
        <v>410</v>
      </c>
      <c r="Z45" t="s">
        <v>410</v>
      </c>
      <c r="AA45" t="s">
        <v>411</v>
      </c>
      <c r="AB45" t="s">
        <v>554</v>
      </c>
      <c r="AC45" t="s">
        <v>411</v>
      </c>
      <c r="AD45">
        <v>46083</v>
      </c>
      <c r="AE45">
        <v>46139</v>
      </c>
      <c r="AF45">
        <v>46090</v>
      </c>
      <c r="AG45" t="s">
        <v>590</v>
      </c>
      <c r="AH45">
        <v>6130082</v>
      </c>
      <c r="AI45">
        <v>46087</v>
      </c>
      <c r="AJ45">
        <v>46088</v>
      </c>
      <c r="AK45">
        <v>21600</v>
      </c>
      <c r="AL45" t="s">
        <v>396</v>
      </c>
      <c r="AM45" t="s">
        <v>652</v>
      </c>
      <c r="AN45">
        <v>46088</v>
      </c>
      <c r="AO45">
        <v>46088.584745370368</v>
      </c>
      <c r="AP45" t="s">
        <v>51</v>
      </c>
      <c r="AQ45">
        <v>0.19273000000000001</v>
      </c>
      <c r="AR45">
        <v>4162.96</v>
      </c>
      <c r="AS45" t="s">
        <v>51</v>
      </c>
      <c r="AT45">
        <v>4162.96</v>
      </c>
      <c r="AU45" t="s">
        <v>415</v>
      </c>
      <c r="AV45" t="s">
        <v>557</v>
      </c>
      <c r="AW45" t="s">
        <v>558</v>
      </c>
      <c r="AX45">
        <v>46092</v>
      </c>
      <c r="AY45">
        <v>46141</v>
      </c>
      <c r="AZ45" t="s">
        <v>559</v>
      </c>
      <c r="BA45" t="s">
        <v>560</v>
      </c>
      <c r="BB45" t="s">
        <v>561</v>
      </c>
      <c r="BC45">
        <v>900</v>
      </c>
      <c r="BD45" t="s">
        <v>521</v>
      </c>
      <c r="BE45">
        <v>16.950500000000002</v>
      </c>
      <c r="BF45">
        <v>16.560500000000001</v>
      </c>
      <c r="BG45" t="s">
        <v>522</v>
      </c>
      <c r="BH45">
        <v>368</v>
      </c>
      <c r="BI45">
        <v>257</v>
      </c>
      <c r="BJ45">
        <v>136</v>
      </c>
      <c r="BK45">
        <v>6</v>
      </c>
      <c r="BL45" t="s">
        <v>521</v>
      </c>
      <c r="BM45">
        <v>109.703</v>
      </c>
      <c r="BN45">
        <v>99.363</v>
      </c>
      <c r="BO45">
        <v>438.81079999999997</v>
      </c>
      <c r="BP45" t="s">
        <v>522</v>
      </c>
      <c r="BQ45">
        <v>800</v>
      </c>
      <c r="BR45">
        <v>300</v>
      </c>
      <c r="BS45">
        <v>608</v>
      </c>
      <c r="BT45">
        <v>4</v>
      </c>
      <c r="BU45">
        <v>0</v>
      </c>
      <c r="BV45">
        <v>4</v>
      </c>
      <c r="BW45">
        <v>24</v>
      </c>
      <c r="BX45">
        <v>0</v>
      </c>
      <c r="BY45">
        <v>24</v>
      </c>
      <c r="BZ45">
        <v>21600</v>
      </c>
      <c r="CA45">
        <v>0</v>
      </c>
      <c r="CB45">
        <v>21600</v>
      </c>
      <c r="CC45">
        <v>397.45080000000002</v>
      </c>
      <c r="CD45" t="s">
        <v>523</v>
      </c>
      <c r="CE45" t="s">
        <v>653</v>
      </c>
      <c r="CG45" t="s">
        <v>421</v>
      </c>
      <c r="CJ45" t="str">
        <v>OOCU9364658</v>
      </c>
      <c r="CN45" t="str">
        <v>M45</v>
      </c>
      <c r="CO45" t="str">
        <v>1346-12C0011EN</v>
      </c>
      <c r="CP45" t="str">
        <v>CCLU7673540</v>
      </c>
      <c r="CQ45" s="23">
        <v>315.0188</v>
      </c>
      <c r="CR45" s="25">
        <f t="shared" si="0"/>
        <v>2.514344637428877E-2</v>
      </c>
      <c r="CS45" s="21">
        <f t="shared" si="1"/>
        <v>62.858615935721922</v>
      </c>
      <c r="CU45" s="23"/>
    </row>
    <row r="46" spans="2:99" x14ac:dyDescent="0.35">
      <c r="B46" t="s">
        <v>297</v>
      </c>
      <c r="C46" t="s">
        <v>654</v>
      </c>
      <c r="D46" t="s">
        <v>395</v>
      </c>
      <c r="E46" t="s">
        <v>395</v>
      </c>
      <c r="F46" t="s">
        <v>396</v>
      </c>
      <c r="G46" t="s">
        <v>397</v>
      </c>
      <c r="H46" t="s">
        <v>398</v>
      </c>
      <c r="I46" t="s">
        <v>399</v>
      </c>
      <c r="J46" t="s">
        <v>400</v>
      </c>
      <c r="K46" t="s">
        <v>515</v>
      </c>
      <c r="L46" t="s">
        <v>585</v>
      </c>
      <c r="M46" t="s">
        <v>403</v>
      </c>
      <c r="N46">
        <v>5</v>
      </c>
      <c r="O46">
        <v>1</v>
      </c>
      <c r="P46" t="s">
        <v>655</v>
      </c>
      <c r="Q46" t="s">
        <v>637</v>
      </c>
      <c r="R46" t="s">
        <v>656</v>
      </c>
      <c r="S46" t="s">
        <v>657</v>
      </c>
      <c r="T46" t="s">
        <v>408</v>
      </c>
      <c r="U46">
        <v>50950080786</v>
      </c>
      <c r="W46">
        <v>160000</v>
      </c>
      <c r="X46" t="s">
        <v>409</v>
      </c>
      <c r="Y46" t="s">
        <v>410</v>
      </c>
      <c r="Z46" t="s">
        <v>410</v>
      </c>
      <c r="AA46" t="s">
        <v>411</v>
      </c>
      <c r="AB46" t="s">
        <v>554</v>
      </c>
      <c r="AC46" t="s">
        <v>411</v>
      </c>
      <c r="AD46">
        <v>46083</v>
      </c>
      <c r="AE46">
        <v>46139</v>
      </c>
      <c r="AF46">
        <v>46090</v>
      </c>
      <c r="AG46" t="s">
        <v>590</v>
      </c>
      <c r="AH46">
        <v>6130083</v>
      </c>
      <c r="AI46">
        <v>46087</v>
      </c>
      <c r="AJ46">
        <v>46088</v>
      </c>
      <c r="AK46">
        <v>160000</v>
      </c>
      <c r="AL46" t="s">
        <v>396</v>
      </c>
      <c r="AM46" t="s">
        <v>658</v>
      </c>
      <c r="AN46">
        <v>46088</v>
      </c>
      <c r="AO46">
        <v>46088.584745370368</v>
      </c>
      <c r="AP46" t="s">
        <v>51</v>
      </c>
      <c r="AQ46">
        <v>2.7899999999999999E-3</v>
      </c>
      <c r="AR46">
        <v>446.4</v>
      </c>
      <c r="AS46" t="s">
        <v>51</v>
      </c>
      <c r="AT46">
        <v>446.4</v>
      </c>
      <c r="AU46" t="s">
        <v>415</v>
      </c>
      <c r="AV46" t="s">
        <v>557</v>
      </c>
      <c r="AW46" t="s">
        <v>558</v>
      </c>
      <c r="AX46">
        <v>46092</v>
      </c>
      <c r="AY46">
        <v>46141</v>
      </c>
      <c r="AZ46" t="s">
        <v>559</v>
      </c>
      <c r="BA46" t="s">
        <v>560</v>
      </c>
      <c r="BB46" t="s">
        <v>561</v>
      </c>
      <c r="BC46">
        <v>8000</v>
      </c>
      <c r="BD46" t="s">
        <v>521</v>
      </c>
      <c r="BE46">
        <v>5.8521999999999998</v>
      </c>
      <c r="BF46">
        <v>5.1231999999999998</v>
      </c>
      <c r="BG46" t="s">
        <v>522</v>
      </c>
      <c r="BH46">
        <v>395</v>
      </c>
      <c r="BI46">
        <v>295</v>
      </c>
      <c r="BJ46">
        <v>120</v>
      </c>
      <c r="BK46">
        <v>8</v>
      </c>
      <c r="BL46" t="s">
        <v>521</v>
      </c>
      <c r="BM46">
        <v>54.817599999999999</v>
      </c>
      <c r="BN46">
        <v>40.985599999999998</v>
      </c>
      <c r="BO46">
        <v>141.04400000000001</v>
      </c>
      <c r="BP46" t="s">
        <v>522</v>
      </c>
      <c r="BQ46">
        <v>800</v>
      </c>
      <c r="BR46">
        <v>300</v>
      </c>
      <c r="BS46">
        <v>698</v>
      </c>
      <c r="BT46">
        <v>2</v>
      </c>
      <c r="BU46">
        <v>1</v>
      </c>
      <c r="BV46">
        <v>3</v>
      </c>
      <c r="BW46">
        <v>20</v>
      </c>
      <c r="BX46">
        <v>0</v>
      </c>
      <c r="BY46">
        <v>20</v>
      </c>
      <c r="BZ46">
        <v>128000</v>
      </c>
      <c r="CA46">
        <v>32000</v>
      </c>
      <c r="CB46">
        <v>160000</v>
      </c>
      <c r="CC46">
        <v>102.464</v>
      </c>
      <c r="CD46" t="s">
        <v>659</v>
      </c>
      <c r="CE46" t="s">
        <v>660</v>
      </c>
      <c r="CG46" t="s">
        <v>421</v>
      </c>
      <c r="CJ46" t="str">
        <v>OOLU8995146</v>
      </c>
      <c r="CN46" t="str">
        <v>M19</v>
      </c>
      <c r="CO46" t="str">
        <v>1330-5YY0182EN</v>
      </c>
      <c r="CP46" t="str">
        <v>CCLU7673540</v>
      </c>
      <c r="CQ46" s="23">
        <v>351.27120000000002</v>
      </c>
      <c r="CR46" s="25">
        <f t="shared" si="0"/>
        <v>2.8036957095995751E-2</v>
      </c>
      <c r="CS46" s="21">
        <f t="shared" si="1"/>
        <v>70.092392739989378</v>
      </c>
      <c r="CU46" s="23"/>
    </row>
    <row r="47" spans="2:99" x14ac:dyDescent="0.35">
      <c r="B47" t="s">
        <v>297</v>
      </c>
      <c r="C47" t="s">
        <v>661</v>
      </c>
      <c r="D47" t="s">
        <v>395</v>
      </c>
      <c r="E47" t="s">
        <v>395</v>
      </c>
      <c r="F47" t="s">
        <v>396</v>
      </c>
      <c r="G47" t="s">
        <v>397</v>
      </c>
      <c r="H47" t="s">
        <v>398</v>
      </c>
      <c r="I47" t="s">
        <v>399</v>
      </c>
      <c r="J47" t="s">
        <v>400</v>
      </c>
      <c r="K47" t="s">
        <v>607</v>
      </c>
      <c r="L47" t="s">
        <v>585</v>
      </c>
      <c r="M47" t="s">
        <v>403</v>
      </c>
      <c r="N47">
        <v>5</v>
      </c>
      <c r="O47">
        <v>1</v>
      </c>
      <c r="P47" t="s">
        <v>662</v>
      </c>
      <c r="Q47" t="s">
        <v>424</v>
      </c>
      <c r="R47" t="s">
        <v>663</v>
      </c>
      <c r="S47" t="s">
        <v>664</v>
      </c>
      <c r="T47" t="s">
        <v>408</v>
      </c>
      <c r="U47">
        <v>50950080791</v>
      </c>
      <c r="W47">
        <v>192000</v>
      </c>
      <c r="X47" t="s">
        <v>409</v>
      </c>
      <c r="Y47" t="s">
        <v>410</v>
      </c>
      <c r="Z47" t="s">
        <v>410</v>
      </c>
      <c r="AA47" t="s">
        <v>411</v>
      </c>
      <c r="AB47" t="s">
        <v>554</v>
      </c>
      <c r="AC47" t="s">
        <v>411</v>
      </c>
      <c r="AD47">
        <v>46080</v>
      </c>
      <c r="AE47">
        <v>46125</v>
      </c>
      <c r="AF47">
        <v>46090</v>
      </c>
      <c r="AG47" t="s">
        <v>590</v>
      </c>
      <c r="AH47">
        <v>6130084</v>
      </c>
      <c r="AI47">
        <v>46087</v>
      </c>
      <c r="AJ47">
        <v>46088</v>
      </c>
      <c r="AK47">
        <v>192000</v>
      </c>
      <c r="AL47" t="s">
        <v>396</v>
      </c>
      <c r="AM47" t="s">
        <v>665</v>
      </c>
      <c r="AN47">
        <v>46088</v>
      </c>
      <c r="AO47">
        <v>46088.584745370368</v>
      </c>
      <c r="AP47" t="s">
        <v>51</v>
      </c>
      <c r="AQ47">
        <v>9.9100000000000004E-3</v>
      </c>
      <c r="AR47">
        <v>1902.72</v>
      </c>
      <c r="AS47" t="s">
        <v>51</v>
      </c>
      <c r="AT47">
        <v>1902.72</v>
      </c>
      <c r="AU47" t="s">
        <v>415</v>
      </c>
      <c r="AV47" t="s">
        <v>557</v>
      </c>
      <c r="AW47" t="s">
        <v>558</v>
      </c>
      <c r="AX47">
        <v>46092</v>
      </c>
      <c r="AY47">
        <v>46141</v>
      </c>
      <c r="AZ47" t="s">
        <v>559</v>
      </c>
      <c r="BA47" t="s">
        <v>560</v>
      </c>
      <c r="BB47" t="s">
        <v>561</v>
      </c>
      <c r="BC47">
        <v>12000</v>
      </c>
      <c r="BD47" t="s">
        <v>521</v>
      </c>
      <c r="BE47">
        <v>10.8048</v>
      </c>
      <c r="BF47">
        <v>10.4148</v>
      </c>
      <c r="BG47" t="s">
        <v>522</v>
      </c>
      <c r="BH47">
        <v>368</v>
      </c>
      <c r="BI47">
        <v>257</v>
      </c>
      <c r="BJ47">
        <v>136</v>
      </c>
      <c r="BK47">
        <v>6</v>
      </c>
      <c r="BL47" t="s">
        <v>521</v>
      </c>
      <c r="BM47">
        <v>72.828800000000001</v>
      </c>
      <c r="BN47">
        <v>62.488799999999998</v>
      </c>
      <c r="BO47">
        <v>196.8768</v>
      </c>
      <c r="BP47" t="s">
        <v>522</v>
      </c>
      <c r="BQ47">
        <v>800</v>
      </c>
      <c r="BR47">
        <v>300</v>
      </c>
      <c r="BS47">
        <v>608</v>
      </c>
      <c r="BT47">
        <v>2</v>
      </c>
      <c r="BU47">
        <v>1</v>
      </c>
      <c r="BV47">
        <v>3</v>
      </c>
      <c r="BW47">
        <v>16</v>
      </c>
      <c r="BX47">
        <v>0</v>
      </c>
      <c r="BY47">
        <v>16</v>
      </c>
      <c r="BZ47">
        <v>144000</v>
      </c>
      <c r="CA47">
        <v>48000</v>
      </c>
      <c r="CB47">
        <v>192000</v>
      </c>
      <c r="CC47">
        <v>166.63679999999999</v>
      </c>
      <c r="CD47" t="s">
        <v>523</v>
      </c>
      <c r="CE47" t="s">
        <v>653</v>
      </c>
      <c r="CG47" t="s">
        <v>421</v>
      </c>
      <c r="CJ47" t="str">
        <v>OOLU9103769</v>
      </c>
      <c r="CN47" t="str">
        <v>M45</v>
      </c>
      <c r="CO47" t="str">
        <v>1404-12C0002EN</v>
      </c>
      <c r="CP47" t="str">
        <v>CCLU7673540</v>
      </c>
      <c r="CQ47" s="23">
        <v>2636.6756</v>
      </c>
      <c r="CR47" s="25">
        <f t="shared" si="0"/>
        <v>0.21044811152539364</v>
      </c>
      <c r="CS47" s="21">
        <f t="shared" si="1"/>
        <v>526.12027881348411</v>
      </c>
      <c r="CU47" s="23"/>
    </row>
    <row r="48" spans="2:99" x14ac:dyDescent="0.35">
      <c r="B48" t="s">
        <v>297</v>
      </c>
      <c r="C48" t="s">
        <v>666</v>
      </c>
      <c r="D48" t="s">
        <v>395</v>
      </c>
      <c r="E48" t="s">
        <v>395</v>
      </c>
      <c r="F48" t="s">
        <v>396</v>
      </c>
      <c r="G48" t="s">
        <v>397</v>
      </c>
      <c r="H48" t="s">
        <v>398</v>
      </c>
      <c r="I48" t="s">
        <v>399</v>
      </c>
      <c r="J48" t="s">
        <v>400</v>
      </c>
      <c r="K48" t="s">
        <v>595</v>
      </c>
      <c r="L48" t="s">
        <v>585</v>
      </c>
      <c r="M48" t="s">
        <v>403</v>
      </c>
      <c r="N48">
        <v>1</v>
      </c>
      <c r="O48">
        <v>1</v>
      </c>
      <c r="P48" t="s">
        <v>667</v>
      </c>
      <c r="Q48" t="s">
        <v>430</v>
      </c>
      <c r="R48" t="s">
        <v>668</v>
      </c>
      <c r="S48" t="s">
        <v>669</v>
      </c>
      <c r="T48" t="s">
        <v>408</v>
      </c>
      <c r="U48">
        <v>50950080795</v>
      </c>
      <c r="W48">
        <v>90000</v>
      </c>
      <c r="X48" t="s">
        <v>409</v>
      </c>
      <c r="Y48" t="s">
        <v>410</v>
      </c>
      <c r="Z48" t="s">
        <v>410</v>
      </c>
      <c r="AA48" t="s">
        <v>411</v>
      </c>
      <c r="AB48" t="s">
        <v>554</v>
      </c>
      <c r="AC48" t="s">
        <v>411</v>
      </c>
      <c r="AD48">
        <v>46104</v>
      </c>
      <c r="AE48">
        <v>46160</v>
      </c>
      <c r="AF48">
        <v>46090</v>
      </c>
      <c r="AG48" t="s">
        <v>590</v>
      </c>
      <c r="AH48">
        <v>6130085</v>
      </c>
      <c r="AI48">
        <v>46087</v>
      </c>
      <c r="AJ48">
        <v>46088</v>
      </c>
      <c r="AK48">
        <v>90000</v>
      </c>
      <c r="AL48" t="s">
        <v>396</v>
      </c>
      <c r="AM48" t="s">
        <v>670</v>
      </c>
      <c r="AN48">
        <v>46088</v>
      </c>
      <c r="AO48">
        <v>46088.584745370368</v>
      </c>
      <c r="AP48" t="s">
        <v>51</v>
      </c>
      <c r="AQ48">
        <v>2.1649999999999999E-2</v>
      </c>
      <c r="AR48">
        <v>1948.5</v>
      </c>
      <c r="AS48" t="s">
        <v>51</v>
      </c>
      <c r="AT48">
        <v>1948.5</v>
      </c>
      <c r="AU48" t="s">
        <v>415</v>
      </c>
      <c r="AV48" t="s">
        <v>557</v>
      </c>
      <c r="AW48" t="s">
        <v>558</v>
      </c>
      <c r="AX48">
        <v>46092</v>
      </c>
      <c r="AY48">
        <v>46141</v>
      </c>
      <c r="AZ48" t="s">
        <v>559</v>
      </c>
      <c r="BA48" t="s">
        <v>560</v>
      </c>
      <c r="BB48" t="s">
        <v>561</v>
      </c>
      <c r="BC48">
        <v>6000</v>
      </c>
      <c r="BD48" t="s">
        <v>521</v>
      </c>
      <c r="BE48">
        <v>11.177</v>
      </c>
      <c r="BF48">
        <v>10.71</v>
      </c>
      <c r="BG48" t="s">
        <v>522</v>
      </c>
      <c r="BH48">
        <v>300</v>
      </c>
      <c r="BI48">
        <v>200</v>
      </c>
      <c r="BJ48">
        <v>140</v>
      </c>
      <c r="BK48">
        <v>16</v>
      </c>
      <c r="BL48" t="s">
        <v>521</v>
      </c>
      <c r="BM48">
        <v>175.655</v>
      </c>
      <c r="BN48">
        <v>160.65</v>
      </c>
      <c r="BO48">
        <v>175.655</v>
      </c>
      <c r="BP48" t="s">
        <v>522</v>
      </c>
      <c r="BQ48">
        <v>800</v>
      </c>
      <c r="BR48">
        <v>300</v>
      </c>
      <c r="BS48">
        <v>718</v>
      </c>
      <c r="BT48">
        <v>0</v>
      </c>
      <c r="BU48">
        <v>1</v>
      </c>
      <c r="BV48">
        <v>1</v>
      </c>
      <c r="BW48">
        <v>15</v>
      </c>
      <c r="BX48">
        <v>0</v>
      </c>
      <c r="BY48">
        <v>15</v>
      </c>
      <c r="BZ48">
        <v>0</v>
      </c>
      <c r="CA48">
        <v>90000</v>
      </c>
      <c r="CB48">
        <v>90000</v>
      </c>
      <c r="CC48">
        <v>160.65</v>
      </c>
      <c r="CD48" t="s">
        <v>671</v>
      </c>
      <c r="CE48" t="s">
        <v>672</v>
      </c>
      <c r="CG48" t="s">
        <v>421</v>
      </c>
      <c r="CJ48" t="str">
        <v>OOLU9820013</v>
      </c>
      <c r="CN48" t="str">
        <v>M45</v>
      </c>
      <c r="CO48" t="str">
        <v>1164-12B0011EN</v>
      </c>
      <c r="CP48" t="str">
        <v>CCLU7673540</v>
      </c>
      <c r="CQ48" s="23">
        <v>2638.2671999999998</v>
      </c>
      <c r="CR48" s="25">
        <f t="shared" si="0"/>
        <v>0.21057514619522702</v>
      </c>
      <c r="CS48" s="21">
        <f t="shared" si="1"/>
        <v>526.43786548806759</v>
      </c>
      <c r="CU48" s="23"/>
    </row>
    <row r="49" spans="2:99" x14ac:dyDescent="0.35">
      <c r="B49" t="s">
        <v>296</v>
      </c>
      <c r="C49" t="s">
        <v>673</v>
      </c>
      <c r="D49" t="s">
        <v>395</v>
      </c>
      <c r="E49" t="s">
        <v>395</v>
      </c>
      <c r="F49" t="s">
        <v>396</v>
      </c>
      <c r="G49" t="s">
        <v>397</v>
      </c>
      <c r="H49" t="s">
        <v>398</v>
      </c>
      <c r="I49" t="s">
        <v>399</v>
      </c>
      <c r="J49" t="s">
        <v>400</v>
      </c>
      <c r="K49" t="s">
        <v>595</v>
      </c>
      <c r="L49" t="s">
        <v>585</v>
      </c>
      <c r="M49" t="s">
        <v>403</v>
      </c>
      <c r="N49">
        <v>1</v>
      </c>
      <c r="O49">
        <v>1</v>
      </c>
      <c r="P49" t="s">
        <v>674</v>
      </c>
      <c r="Q49" t="s">
        <v>424</v>
      </c>
      <c r="R49" t="s">
        <v>675</v>
      </c>
      <c r="S49" t="s">
        <v>676</v>
      </c>
      <c r="T49" t="s">
        <v>408</v>
      </c>
      <c r="U49">
        <v>50950080824</v>
      </c>
      <c r="W49">
        <v>12000</v>
      </c>
      <c r="X49" t="s">
        <v>409</v>
      </c>
      <c r="Y49" t="s">
        <v>410</v>
      </c>
      <c r="Z49" t="s">
        <v>410</v>
      </c>
      <c r="AA49" t="s">
        <v>411</v>
      </c>
      <c r="AB49" t="s">
        <v>554</v>
      </c>
      <c r="AC49" t="s">
        <v>411</v>
      </c>
      <c r="AD49">
        <v>46083</v>
      </c>
      <c r="AE49">
        <v>46139</v>
      </c>
      <c r="AF49">
        <v>46090</v>
      </c>
      <c r="AG49" t="s">
        <v>590</v>
      </c>
      <c r="AH49">
        <v>6130086</v>
      </c>
      <c r="AI49">
        <v>46087</v>
      </c>
      <c r="AJ49">
        <v>46088</v>
      </c>
      <c r="AK49">
        <v>12000</v>
      </c>
      <c r="AL49" t="s">
        <v>396</v>
      </c>
      <c r="AM49" t="s">
        <v>677</v>
      </c>
      <c r="AN49">
        <v>46088</v>
      </c>
      <c r="AO49">
        <v>46088.584745370368</v>
      </c>
      <c r="AP49" t="s">
        <v>51</v>
      </c>
      <c r="AQ49">
        <v>9.4880000000000006E-2</v>
      </c>
      <c r="AR49">
        <v>1138.56</v>
      </c>
      <c r="AS49" t="s">
        <v>51</v>
      </c>
      <c r="AT49">
        <v>1138.56</v>
      </c>
      <c r="AU49" t="s">
        <v>415</v>
      </c>
      <c r="AV49" t="s">
        <v>557</v>
      </c>
      <c r="AW49" t="s">
        <v>558</v>
      </c>
      <c r="AX49">
        <v>46092</v>
      </c>
      <c r="AY49">
        <v>46141</v>
      </c>
      <c r="AZ49" t="s">
        <v>559</v>
      </c>
      <c r="BA49" t="s">
        <v>560</v>
      </c>
      <c r="BB49" t="s">
        <v>561</v>
      </c>
      <c r="BC49">
        <v>1000</v>
      </c>
      <c r="BD49" t="s">
        <v>521</v>
      </c>
      <c r="BE49">
        <v>12.6098</v>
      </c>
      <c r="BF49">
        <v>12.142799999999999</v>
      </c>
      <c r="BG49" t="s">
        <v>522</v>
      </c>
      <c r="BH49">
        <v>300</v>
      </c>
      <c r="BI49">
        <v>200</v>
      </c>
      <c r="BJ49">
        <v>140</v>
      </c>
      <c r="BK49">
        <v>16</v>
      </c>
      <c r="BL49" t="s">
        <v>521</v>
      </c>
      <c r="BM49">
        <v>159.3176</v>
      </c>
      <c r="BN49">
        <v>145.71360000000001</v>
      </c>
      <c r="BO49">
        <v>159.3176</v>
      </c>
      <c r="BP49" t="s">
        <v>522</v>
      </c>
      <c r="BQ49">
        <v>800</v>
      </c>
      <c r="BR49">
        <v>300</v>
      </c>
      <c r="BS49">
        <v>718</v>
      </c>
      <c r="BT49">
        <v>0</v>
      </c>
      <c r="BU49">
        <v>1</v>
      </c>
      <c r="BV49">
        <v>1</v>
      </c>
      <c r="BW49">
        <v>12</v>
      </c>
      <c r="BX49">
        <v>0</v>
      </c>
      <c r="BY49">
        <v>12</v>
      </c>
      <c r="BZ49">
        <v>0</v>
      </c>
      <c r="CA49">
        <v>12000</v>
      </c>
      <c r="CB49">
        <v>12000</v>
      </c>
      <c r="CC49">
        <v>145.71360000000001</v>
      </c>
      <c r="CD49" t="s">
        <v>671</v>
      </c>
      <c r="CE49" t="s">
        <v>678</v>
      </c>
      <c r="CG49" t="s">
        <v>421</v>
      </c>
      <c r="CJ49" t="str">
        <v>SEGU9929834</v>
      </c>
      <c r="CN49" t="str">
        <v>M45</v>
      </c>
      <c r="CO49" t="str">
        <v>AYSP61AS872EN</v>
      </c>
      <c r="CP49" t="str">
        <v>CCLU7673540</v>
      </c>
      <c r="CQ49" s="23">
        <v>1788.5402999999999</v>
      </c>
      <c r="CR49" s="25">
        <f t="shared" si="0"/>
        <v>0.14275359794813627</v>
      </c>
      <c r="CS49" s="21">
        <f t="shared" si="1"/>
        <v>356.8839948703407</v>
      </c>
      <c r="CU49" s="23"/>
    </row>
    <row r="50" spans="2:99" x14ac:dyDescent="0.35">
      <c r="B50" t="s">
        <v>297</v>
      </c>
      <c r="C50" t="s">
        <v>679</v>
      </c>
      <c r="D50" t="s">
        <v>395</v>
      </c>
      <c r="E50" t="s">
        <v>395</v>
      </c>
      <c r="F50" t="s">
        <v>396</v>
      </c>
      <c r="G50" t="s">
        <v>397</v>
      </c>
      <c r="H50" t="s">
        <v>398</v>
      </c>
      <c r="I50" t="s">
        <v>399</v>
      </c>
      <c r="J50" t="s">
        <v>400</v>
      </c>
      <c r="K50" t="s">
        <v>607</v>
      </c>
      <c r="L50" t="s">
        <v>585</v>
      </c>
      <c r="M50" t="s">
        <v>403</v>
      </c>
      <c r="N50">
        <v>1</v>
      </c>
      <c r="O50">
        <v>1</v>
      </c>
      <c r="P50" t="s">
        <v>680</v>
      </c>
      <c r="Q50" t="s">
        <v>424</v>
      </c>
      <c r="R50" t="s">
        <v>663</v>
      </c>
      <c r="S50" t="s">
        <v>518</v>
      </c>
      <c r="T50" t="s">
        <v>408</v>
      </c>
      <c r="U50">
        <v>50950080963</v>
      </c>
      <c r="W50">
        <v>80000</v>
      </c>
      <c r="X50" t="s">
        <v>409</v>
      </c>
      <c r="Y50" t="s">
        <v>410</v>
      </c>
      <c r="Z50" t="s">
        <v>410</v>
      </c>
      <c r="AA50" t="s">
        <v>411</v>
      </c>
      <c r="AB50" t="s">
        <v>554</v>
      </c>
      <c r="AC50" t="s">
        <v>411</v>
      </c>
      <c r="AD50">
        <v>46083</v>
      </c>
      <c r="AE50">
        <v>46139</v>
      </c>
      <c r="AF50">
        <v>46090</v>
      </c>
      <c r="AG50" t="s">
        <v>590</v>
      </c>
      <c r="AH50">
        <v>6130087</v>
      </c>
      <c r="AI50">
        <v>46087</v>
      </c>
      <c r="AJ50">
        <v>46088</v>
      </c>
      <c r="AK50">
        <v>80000</v>
      </c>
      <c r="AL50" t="s">
        <v>396</v>
      </c>
      <c r="AM50" t="s">
        <v>681</v>
      </c>
      <c r="AN50">
        <v>46088</v>
      </c>
      <c r="AO50">
        <v>46088.584745370368</v>
      </c>
      <c r="AP50" t="s">
        <v>51</v>
      </c>
      <c r="AQ50">
        <v>4.28E-3</v>
      </c>
      <c r="AR50">
        <v>342.4</v>
      </c>
      <c r="AS50" t="s">
        <v>51</v>
      </c>
      <c r="AT50">
        <v>342.4</v>
      </c>
      <c r="AU50" t="s">
        <v>415</v>
      </c>
      <c r="AV50" t="s">
        <v>557</v>
      </c>
      <c r="AW50" t="s">
        <v>558</v>
      </c>
      <c r="AX50">
        <v>46092</v>
      </c>
      <c r="AY50">
        <v>46141</v>
      </c>
      <c r="AZ50" t="s">
        <v>559</v>
      </c>
      <c r="BA50" t="s">
        <v>560</v>
      </c>
      <c r="BB50" t="s">
        <v>561</v>
      </c>
      <c r="BC50">
        <v>30000</v>
      </c>
      <c r="BD50" t="s">
        <v>521</v>
      </c>
      <c r="BE50">
        <v>7.6470000000000002</v>
      </c>
      <c r="BF50">
        <v>7.2569999999999997</v>
      </c>
      <c r="BG50" t="s">
        <v>522</v>
      </c>
      <c r="BH50">
        <v>368</v>
      </c>
      <c r="BI50">
        <v>257</v>
      </c>
      <c r="BJ50">
        <v>136</v>
      </c>
      <c r="BK50">
        <v>6</v>
      </c>
      <c r="BL50" t="s">
        <v>521</v>
      </c>
      <c r="BM50">
        <v>28.521999999999998</v>
      </c>
      <c r="BN50">
        <v>19.352</v>
      </c>
      <c r="BO50">
        <v>28.521999999999998</v>
      </c>
      <c r="BP50" t="s">
        <v>522</v>
      </c>
      <c r="BQ50">
        <v>800</v>
      </c>
      <c r="BR50">
        <v>300</v>
      </c>
      <c r="BS50">
        <v>608</v>
      </c>
      <c r="BT50">
        <v>0</v>
      </c>
      <c r="BU50">
        <v>1</v>
      </c>
      <c r="BV50">
        <v>1</v>
      </c>
      <c r="BW50">
        <v>2</v>
      </c>
      <c r="BX50">
        <v>1</v>
      </c>
      <c r="BY50">
        <v>3</v>
      </c>
      <c r="BZ50">
        <v>0</v>
      </c>
      <c r="CA50">
        <v>80000</v>
      </c>
      <c r="CB50">
        <v>80000</v>
      </c>
      <c r="CC50">
        <v>19.352</v>
      </c>
      <c r="CD50" t="s">
        <v>523</v>
      </c>
      <c r="CE50" t="s">
        <v>653</v>
      </c>
      <c r="CG50" t="s">
        <v>421</v>
      </c>
      <c r="CJ50" t="str">
        <v>SEGU9932801</v>
      </c>
      <c r="CN50" t="str">
        <v>M45</v>
      </c>
      <c r="CO50" t="str">
        <v>AYSP61AS872EN</v>
      </c>
      <c r="CP50" t="str">
        <v>CCLU7673540</v>
      </c>
      <c r="CQ50" s="23">
        <v>596.18010000000004</v>
      </c>
      <c r="CR50" s="25">
        <f t="shared" si="0"/>
        <v>4.7584532649378758E-2</v>
      </c>
      <c r="CS50" s="21">
        <f t="shared" si="1"/>
        <v>118.9613316234469</v>
      </c>
      <c r="CU50" s="23"/>
    </row>
    <row r="51" spans="2:99" x14ac:dyDescent="0.35">
      <c r="B51" t="s">
        <v>299</v>
      </c>
      <c r="C51" t="s">
        <v>682</v>
      </c>
      <c r="D51" t="s">
        <v>395</v>
      </c>
      <c r="E51" t="s">
        <v>395</v>
      </c>
      <c r="F51" t="s">
        <v>396</v>
      </c>
      <c r="G51" t="s">
        <v>397</v>
      </c>
      <c r="H51" t="s">
        <v>532</v>
      </c>
      <c r="I51" t="s">
        <v>399</v>
      </c>
      <c r="J51" t="s">
        <v>400</v>
      </c>
      <c r="K51" t="s">
        <v>629</v>
      </c>
      <c r="L51" t="s">
        <v>585</v>
      </c>
      <c r="M51" t="s">
        <v>403</v>
      </c>
      <c r="N51">
        <v>1</v>
      </c>
      <c r="O51">
        <v>1</v>
      </c>
      <c r="P51" t="s">
        <v>683</v>
      </c>
      <c r="Q51" t="s">
        <v>430</v>
      </c>
      <c r="R51" t="s">
        <v>684</v>
      </c>
      <c r="S51" t="s">
        <v>685</v>
      </c>
      <c r="T51" t="s">
        <v>408</v>
      </c>
      <c r="U51">
        <v>50950080979</v>
      </c>
      <c r="W51">
        <v>19200</v>
      </c>
      <c r="X51" t="s">
        <v>409</v>
      </c>
      <c r="Y51" t="s">
        <v>410</v>
      </c>
      <c r="Z51" t="s">
        <v>410</v>
      </c>
      <c r="AA51" t="s">
        <v>411</v>
      </c>
      <c r="AB51" t="s">
        <v>554</v>
      </c>
      <c r="AC51" t="s">
        <v>411</v>
      </c>
      <c r="AD51">
        <v>46083</v>
      </c>
      <c r="AE51">
        <v>46139</v>
      </c>
      <c r="AF51">
        <v>46090</v>
      </c>
      <c r="AG51" t="s">
        <v>590</v>
      </c>
      <c r="AH51">
        <v>6130088</v>
      </c>
      <c r="AI51">
        <v>46087</v>
      </c>
      <c r="AJ51">
        <v>46088</v>
      </c>
      <c r="AK51">
        <v>19200</v>
      </c>
      <c r="AL51" t="s">
        <v>396</v>
      </c>
      <c r="AM51" t="s">
        <v>686</v>
      </c>
      <c r="AN51">
        <v>46088</v>
      </c>
      <c r="AO51">
        <v>46088.584745370368</v>
      </c>
      <c r="AP51" t="s">
        <v>51</v>
      </c>
      <c r="AQ51">
        <v>0.16977</v>
      </c>
      <c r="AR51">
        <v>3259.58</v>
      </c>
      <c r="AS51" t="s">
        <v>51</v>
      </c>
      <c r="AT51">
        <v>3259.58</v>
      </c>
      <c r="AU51" t="s">
        <v>415</v>
      </c>
      <c r="AV51" t="s">
        <v>557</v>
      </c>
      <c r="AW51" t="s">
        <v>558</v>
      </c>
      <c r="AX51">
        <v>46092</v>
      </c>
      <c r="AY51">
        <v>46141</v>
      </c>
      <c r="AZ51" t="s">
        <v>559</v>
      </c>
      <c r="BA51" t="s">
        <v>560</v>
      </c>
      <c r="BB51" t="s">
        <v>561</v>
      </c>
      <c r="BC51">
        <v>1600</v>
      </c>
      <c r="BD51" t="s">
        <v>521</v>
      </c>
      <c r="BE51">
        <v>4.4706000000000001</v>
      </c>
      <c r="BF51">
        <v>2.7936000000000001</v>
      </c>
      <c r="BG51" t="s">
        <v>522</v>
      </c>
      <c r="BH51">
        <v>360</v>
      </c>
      <c r="BI51">
        <v>260</v>
      </c>
      <c r="BJ51">
        <v>220</v>
      </c>
      <c r="BK51">
        <v>12</v>
      </c>
      <c r="BL51" t="s">
        <v>521</v>
      </c>
      <c r="BM51">
        <v>66.947199999999995</v>
      </c>
      <c r="BN51">
        <v>33.523200000000003</v>
      </c>
      <c r="BO51">
        <v>66.947199999999995</v>
      </c>
      <c r="BP51" t="s">
        <v>522</v>
      </c>
      <c r="BQ51">
        <v>820</v>
      </c>
      <c r="BR51">
        <v>545</v>
      </c>
      <c r="BS51">
        <v>876</v>
      </c>
      <c r="BT51">
        <v>1</v>
      </c>
      <c r="BU51">
        <v>0</v>
      </c>
      <c r="BV51">
        <v>1</v>
      </c>
      <c r="BW51">
        <v>12</v>
      </c>
      <c r="BX51">
        <v>0</v>
      </c>
      <c r="BY51">
        <v>12</v>
      </c>
      <c r="BZ51">
        <v>19200</v>
      </c>
      <c r="CA51">
        <v>0</v>
      </c>
      <c r="CB51">
        <v>19200</v>
      </c>
      <c r="CC51">
        <v>33.523200000000003</v>
      </c>
      <c r="CD51" t="s">
        <v>687</v>
      </c>
      <c r="CE51" t="s">
        <v>688</v>
      </c>
      <c r="CG51" t="s">
        <v>421</v>
      </c>
      <c r="CJ51" t="str">
        <v>TCKU7387607</v>
      </c>
      <c r="CN51" t="str">
        <v>M23</v>
      </c>
      <c r="CO51" t="str">
        <v>1200-1030847AN</v>
      </c>
      <c r="CP51" t="str">
        <v>CCLU7673540</v>
      </c>
      <c r="CQ51" s="23">
        <v>608.04999999999995</v>
      </c>
      <c r="CR51" s="25">
        <f t="shared" si="0"/>
        <v>4.8531937039587116E-2</v>
      </c>
      <c r="CS51" s="21">
        <f t="shared" si="1"/>
        <v>121.32984259896779</v>
      </c>
      <c r="CU51" s="23"/>
    </row>
    <row r="52" spans="2:99" x14ac:dyDescent="0.35">
      <c r="B52" t="s">
        <v>3497</v>
      </c>
      <c r="C52" t="s">
        <v>689</v>
      </c>
      <c r="D52" t="s">
        <v>395</v>
      </c>
      <c r="E52" t="s">
        <v>395</v>
      </c>
      <c r="F52" t="s">
        <v>396</v>
      </c>
      <c r="G52" t="s">
        <v>397</v>
      </c>
      <c r="H52" t="s">
        <v>398</v>
      </c>
      <c r="I52" t="s">
        <v>399</v>
      </c>
      <c r="J52" t="s">
        <v>400</v>
      </c>
      <c r="K52" t="s">
        <v>515</v>
      </c>
      <c r="L52" t="s">
        <v>585</v>
      </c>
      <c r="M52" t="s">
        <v>403</v>
      </c>
      <c r="N52">
        <v>1</v>
      </c>
      <c r="O52">
        <v>1</v>
      </c>
      <c r="P52" t="s">
        <v>690</v>
      </c>
      <c r="Q52" t="s">
        <v>424</v>
      </c>
      <c r="R52" t="s">
        <v>691</v>
      </c>
      <c r="S52" t="s">
        <v>692</v>
      </c>
      <c r="T52" t="s">
        <v>408</v>
      </c>
      <c r="U52">
        <v>50950080982</v>
      </c>
      <c r="W52">
        <v>14400</v>
      </c>
      <c r="X52" t="s">
        <v>409</v>
      </c>
      <c r="Y52" t="s">
        <v>410</v>
      </c>
      <c r="Z52" t="s">
        <v>410</v>
      </c>
      <c r="AA52" t="s">
        <v>411</v>
      </c>
      <c r="AB52" t="s">
        <v>554</v>
      </c>
      <c r="AC52" t="s">
        <v>411</v>
      </c>
      <c r="AD52">
        <v>46083</v>
      </c>
      <c r="AE52">
        <v>46139</v>
      </c>
      <c r="AF52">
        <v>46090</v>
      </c>
      <c r="AG52" t="s">
        <v>590</v>
      </c>
      <c r="AH52">
        <v>6130089</v>
      </c>
      <c r="AI52">
        <v>46087</v>
      </c>
      <c r="AJ52">
        <v>46088</v>
      </c>
      <c r="AK52">
        <v>14400</v>
      </c>
      <c r="AL52" t="s">
        <v>396</v>
      </c>
      <c r="AM52" t="s">
        <v>693</v>
      </c>
      <c r="AN52">
        <v>46088</v>
      </c>
      <c r="AO52">
        <v>46088.584745370368</v>
      </c>
      <c r="AP52" t="s">
        <v>51</v>
      </c>
      <c r="AQ52">
        <v>4.7899999999999998E-2</v>
      </c>
      <c r="AR52">
        <v>689.76</v>
      </c>
      <c r="AS52" t="s">
        <v>51</v>
      </c>
      <c r="AT52">
        <v>689.76</v>
      </c>
      <c r="AU52" t="s">
        <v>415</v>
      </c>
      <c r="AV52" t="s">
        <v>557</v>
      </c>
      <c r="AW52" t="s">
        <v>558</v>
      </c>
      <c r="AX52">
        <v>46092</v>
      </c>
      <c r="AY52">
        <v>46141</v>
      </c>
      <c r="AZ52" t="s">
        <v>559</v>
      </c>
      <c r="BA52" t="s">
        <v>560</v>
      </c>
      <c r="BB52" t="s">
        <v>561</v>
      </c>
      <c r="BC52">
        <v>900</v>
      </c>
      <c r="BD52" t="s">
        <v>521</v>
      </c>
      <c r="BE52">
        <v>2.7898000000000001</v>
      </c>
      <c r="BF52">
        <v>1.1898</v>
      </c>
      <c r="BG52" t="s">
        <v>522</v>
      </c>
      <c r="BH52">
        <v>395</v>
      </c>
      <c r="BI52">
        <v>295</v>
      </c>
      <c r="BJ52">
        <v>150</v>
      </c>
      <c r="BK52">
        <v>48</v>
      </c>
      <c r="BL52" t="s">
        <v>521</v>
      </c>
      <c r="BM52">
        <v>68.636799999999994</v>
      </c>
      <c r="BN52">
        <v>19.036799999999999</v>
      </c>
      <c r="BO52">
        <v>68.636799999999994</v>
      </c>
      <c r="BP52" t="s">
        <v>522</v>
      </c>
      <c r="BQ52">
        <v>1200</v>
      </c>
      <c r="BR52">
        <v>800</v>
      </c>
      <c r="BS52">
        <v>1060</v>
      </c>
      <c r="BT52">
        <v>0</v>
      </c>
      <c r="BU52">
        <v>1</v>
      </c>
      <c r="BV52">
        <v>1</v>
      </c>
      <c r="BW52">
        <v>16</v>
      </c>
      <c r="BX52">
        <v>0</v>
      </c>
      <c r="BY52">
        <v>16</v>
      </c>
      <c r="BZ52">
        <v>0</v>
      </c>
      <c r="CA52">
        <v>14400</v>
      </c>
      <c r="CB52">
        <v>14400</v>
      </c>
      <c r="CC52">
        <v>19.036799999999999</v>
      </c>
      <c r="CD52" t="s">
        <v>694</v>
      </c>
      <c r="CE52" t="s">
        <v>695</v>
      </c>
      <c r="CG52" t="s">
        <v>421</v>
      </c>
      <c r="CJ52" t="str">
        <v>TCLU8687015</v>
      </c>
      <c r="CN52" t="str">
        <v>M19</v>
      </c>
      <c r="CO52" t="str">
        <v>1275-5YY0677EN</v>
      </c>
      <c r="CP52" t="str">
        <v>CCLU7843605</v>
      </c>
      <c r="CQ52" s="23">
        <v>265.04239999999999</v>
      </c>
      <c r="CR52" s="25">
        <f t="shared" si="0"/>
        <v>2.3972505115561812E-2</v>
      </c>
      <c r="CS52" s="21">
        <f t="shared" si="1"/>
        <v>59.931262788904526</v>
      </c>
      <c r="CU52" s="23"/>
    </row>
    <row r="53" spans="2:99" x14ac:dyDescent="0.35">
      <c r="B53" t="s">
        <v>3497</v>
      </c>
      <c r="C53" t="s">
        <v>696</v>
      </c>
      <c r="D53" t="s">
        <v>395</v>
      </c>
      <c r="E53" t="s">
        <v>395</v>
      </c>
      <c r="F53" t="s">
        <v>396</v>
      </c>
      <c r="G53" t="s">
        <v>397</v>
      </c>
      <c r="H53" t="s">
        <v>398</v>
      </c>
      <c r="I53" t="s">
        <v>399</v>
      </c>
      <c r="J53" t="s">
        <v>400</v>
      </c>
      <c r="K53" t="s">
        <v>515</v>
      </c>
      <c r="L53" t="s">
        <v>585</v>
      </c>
      <c r="M53" t="s">
        <v>403</v>
      </c>
      <c r="N53">
        <v>1</v>
      </c>
      <c r="O53">
        <v>1</v>
      </c>
      <c r="P53" t="s">
        <v>697</v>
      </c>
      <c r="Q53" t="s">
        <v>424</v>
      </c>
      <c r="R53" t="s">
        <v>691</v>
      </c>
      <c r="S53" t="s">
        <v>698</v>
      </c>
      <c r="T53" t="s">
        <v>408</v>
      </c>
      <c r="U53">
        <v>50950080983</v>
      </c>
      <c r="W53">
        <v>7200</v>
      </c>
      <c r="X53" t="s">
        <v>409</v>
      </c>
      <c r="Y53" t="s">
        <v>410</v>
      </c>
      <c r="Z53" t="s">
        <v>410</v>
      </c>
      <c r="AA53" t="s">
        <v>411</v>
      </c>
      <c r="AB53" t="s">
        <v>554</v>
      </c>
      <c r="AC53" t="s">
        <v>411</v>
      </c>
      <c r="AD53">
        <v>46083</v>
      </c>
      <c r="AE53">
        <v>46139</v>
      </c>
      <c r="AF53">
        <v>46090</v>
      </c>
      <c r="AG53" t="s">
        <v>590</v>
      </c>
      <c r="AH53">
        <v>6130090</v>
      </c>
      <c r="AI53">
        <v>46087</v>
      </c>
      <c r="AJ53">
        <v>46088</v>
      </c>
      <c r="AK53">
        <v>7200</v>
      </c>
      <c r="AL53" t="s">
        <v>396</v>
      </c>
      <c r="AM53" t="s">
        <v>699</v>
      </c>
      <c r="AN53">
        <v>46088</v>
      </c>
      <c r="AO53">
        <v>46088.584745370368</v>
      </c>
      <c r="AP53" t="s">
        <v>51</v>
      </c>
      <c r="AQ53">
        <v>5.6910000000000002E-2</v>
      </c>
      <c r="AR53">
        <v>409.75</v>
      </c>
      <c r="AS53" t="s">
        <v>51</v>
      </c>
      <c r="AT53">
        <v>409.75</v>
      </c>
      <c r="AU53" t="s">
        <v>415</v>
      </c>
      <c r="AV53" t="s">
        <v>557</v>
      </c>
      <c r="AW53" t="s">
        <v>558</v>
      </c>
      <c r="AX53">
        <v>46092</v>
      </c>
      <c r="AY53">
        <v>46141</v>
      </c>
      <c r="AZ53" t="s">
        <v>559</v>
      </c>
      <c r="BA53" t="s">
        <v>560</v>
      </c>
      <c r="BB53" t="s">
        <v>561</v>
      </c>
      <c r="BC53">
        <v>900</v>
      </c>
      <c r="BD53" t="s">
        <v>521</v>
      </c>
      <c r="BE53">
        <v>3.0865999999999998</v>
      </c>
      <c r="BF53">
        <v>1.4166000000000001</v>
      </c>
      <c r="BG53" t="s">
        <v>522</v>
      </c>
      <c r="BH53">
        <v>395</v>
      </c>
      <c r="BI53">
        <v>295</v>
      </c>
      <c r="BJ53">
        <v>150</v>
      </c>
      <c r="BK53">
        <v>8</v>
      </c>
      <c r="BL53" t="s">
        <v>521</v>
      </c>
      <c r="BM53">
        <v>32.692799999999998</v>
      </c>
      <c r="BN53">
        <v>11.332800000000001</v>
      </c>
      <c r="BO53">
        <v>32.692799999999998</v>
      </c>
      <c r="BP53" t="s">
        <v>522</v>
      </c>
      <c r="BQ53">
        <v>800</v>
      </c>
      <c r="BR53">
        <v>300</v>
      </c>
      <c r="BS53">
        <v>760</v>
      </c>
      <c r="BT53">
        <v>1</v>
      </c>
      <c r="BU53">
        <v>0</v>
      </c>
      <c r="BV53">
        <v>1</v>
      </c>
      <c r="BW53">
        <v>8</v>
      </c>
      <c r="BX53">
        <v>0</v>
      </c>
      <c r="BY53">
        <v>8</v>
      </c>
      <c r="BZ53">
        <v>7200</v>
      </c>
      <c r="CA53">
        <v>0</v>
      </c>
      <c r="CB53">
        <v>7200</v>
      </c>
      <c r="CC53">
        <v>11.332800000000001</v>
      </c>
      <c r="CD53" t="s">
        <v>700</v>
      </c>
      <c r="CE53" t="s">
        <v>701</v>
      </c>
      <c r="CG53" t="s">
        <v>421</v>
      </c>
      <c r="CJ53" t="str">
        <v>TCNU2592007</v>
      </c>
      <c r="CN53" t="str">
        <v>M45</v>
      </c>
      <c r="CO53" t="str">
        <v>1438-12C0005EN</v>
      </c>
      <c r="CP53" t="str">
        <v>CCLU7843605</v>
      </c>
      <c r="CQ53" s="23">
        <v>319.27999999999997</v>
      </c>
      <c r="CR53" s="25">
        <f t="shared" si="0"/>
        <v>2.887817735312001E-2</v>
      </c>
      <c r="CS53" s="21">
        <f t="shared" si="1"/>
        <v>72.195443382800022</v>
      </c>
      <c r="CU53" s="23"/>
    </row>
    <row r="54" spans="2:99" x14ac:dyDescent="0.35">
      <c r="B54" t="s">
        <v>3497</v>
      </c>
      <c r="C54" t="s">
        <v>702</v>
      </c>
      <c r="D54" t="s">
        <v>395</v>
      </c>
      <c r="E54" t="s">
        <v>395</v>
      </c>
      <c r="F54" t="s">
        <v>396</v>
      </c>
      <c r="G54" t="s">
        <v>397</v>
      </c>
      <c r="H54" t="s">
        <v>398</v>
      </c>
      <c r="I54" t="s">
        <v>399</v>
      </c>
      <c r="J54" t="s">
        <v>400</v>
      </c>
      <c r="K54" t="s">
        <v>515</v>
      </c>
      <c r="L54" t="s">
        <v>585</v>
      </c>
      <c r="M54" t="s">
        <v>403</v>
      </c>
      <c r="N54">
        <v>1</v>
      </c>
      <c r="O54">
        <v>1</v>
      </c>
      <c r="P54" t="s">
        <v>703</v>
      </c>
      <c r="Q54" t="s">
        <v>424</v>
      </c>
      <c r="R54" t="s">
        <v>691</v>
      </c>
      <c r="S54" t="s">
        <v>704</v>
      </c>
      <c r="T54" t="s">
        <v>408</v>
      </c>
      <c r="U54">
        <v>50950080994</v>
      </c>
      <c r="W54">
        <v>7200</v>
      </c>
      <c r="X54" t="s">
        <v>409</v>
      </c>
      <c r="Y54" t="s">
        <v>410</v>
      </c>
      <c r="Z54" t="s">
        <v>410</v>
      </c>
      <c r="AA54" t="s">
        <v>411</v>
      </c>
      <c r="AB54" t="s">
        <v>554</v>
      </c>
      <c r="AC54" t="s">
        <v>411</v>
      </c>
      <c r="AD54">
        <v>46083</v>
      </c>
      <c r="AE54">
        <v>46139</v>
      </c>
      <c r="AF54">
        <v>46090</v>
      </c>
      <c r="AG54" t="s">
        <v>590</v>
      </c>
      <c r="AH54">
        <v>6130091</v>
      </c>
      <c r="AI54">
        <v>46087</v>
      </c>
      <c r="AJ54">
        <v>46088</v>
      </c>
      <c r="AK54">
        <v>7200</v>
      </c>
      <c r="AL54" t="s">
        <v>396</v>
      </c>
      <c r="AM54" t="s">
        <v>705</v>
      </c>
      <c r="AN54">
        <v>46088</v>
      </c>
      <c r="AO54">
        <v>46088.584745370368</v>
      </c>
      <c r="AP54" t="s">
        <v>51</v>
      </c>
      <c r="AQ54">
        <v>5.4330000000000003E-2</v>
      </c>
      <c r="AR54">
        <v>391.18</v>
      </c>
      <c r="AS54" t="s">
        <v>51</v>
      </c>
      <c r="AT54">
        <v>391.18</v>
      </c>
      <c r="AU54" t="s">
        <v>415</v>
      </c>
      <c r="AV54" t="s">
        <v>557</v>
      </c>
      <c r="AW54" t="s">
        <v>558</v>
      </c>
      <c r="AX54">
        <v>46092</v>
      </c>
      <c r="AY54">
        <v>46141</v>
      </c>
      <c r="AZ54" t="s">
        <v>559</v>
      </c>
      <c r="BA54" t="s">
        <v>560</v>
      </c>
      <c r="BB54" t="s">
        <v>561</v>
      </c>
      <c r="BC54">
        <v>900</v>
      </c>
      <c r="BD54" t="s">
        <v>521</v>
      </c>
      <c r="BE54">
        <v>2.9651000000000001</v>
      </c>
      <c r="BF54">
        <v>1.2950999999999999</v>
      </c>
      <c r="BG54" t="s">
        <v>522</v>
      </c>
      <c r="BH54">
        <v>395</v>
      </c>
      <c r="BI54">
        <v>295</v>
      </c>
      <c r="BJ54">
        <v>150</v>
      </c>
      <c r="BK54">
        <v>8</v>
      </c>
      <c r="BL54" t="s">
        <v>521</v>
      </c>
      <c r="BM54">
        <v>31.720800000000001</v>
      </c>
      <c r="BN54">
        <v>10.360799999999999</v>
      </c>
      <c r="BO54">
        <v>31.720800000000001</v>
      </c>
      <c r="BP54" t="s">
        <v>522</v>
      </c>
      <c r="BQ54">
        <v>800</v>
      </c>
      <c r="BR54">
        <v>300</v>
      </c>
      <c r="BS54">
        <v>760</v>
      </c>
      <c r="BT54">
        <v>1</v>
      </c>
      <c r="BU54">
        <v>0</v>
      </c>
      <c r="BV54">
        <v>1</v>
      </c>
      <c r="BW54">
        <v>8</v>
      </c>
      <c r="BX54">
        <v>0</v>
      </c>
      <c r="BY54">
        <v>8</v>
      </c>
      <c r="BZ54">
        <v>7200</v>
      </c>
      <c r="CA54">
        <v>0</v>
      </c>
      <c r="CB54">
        <v>7200</v>
      </c>
      <c r="CC54">
        <v>10.360799999999999</v>
      </c>
      <c r="CD54" t="s">
        <v>700</v>
      </c>
      <c r="CE54" t="s">
        <v>701</v>
      </c>
      <c r="CG54" t="s">
        <v>421</v>
      </c>
      <c r="CJ54" t="str">
        <v>TGBU5221360</v>
      </c>
      <c r="CN54" t="str">
        <v>M45</v>
      </c>
      <c r="CO54" t="str">
        <v>1438-12C0005EN</v>
      </c>
      <c r="CP54" t="str">
        <v>CCLU7843605</v>
      </c>
      <c r="CQ54" s="23">
        <v>159.63999999999999</v>
      </c>
      <c r="CR54" s="25">
        <f t="shared" si="0"/>
        <v>1.4439088676560005E-2</v>
      </c>
      <c r="CS54" s="21">
        <f t="shared" si="1"/>
        <v>36.097721691400011</v>
      </c>
      <c r="CU54" s="23"/>
    </row>
    <row r="55" spans="2:99" x14ac:dyDescent="0.35">
      <c r="B55" t="s">
        <v>3497</v>
      </c>
      <c r="C55" t="s">
        <v>706</v>
      </c>
      <c r="D55" t="s">
        <v>395</v>
      </c>
      <c r="E55" t="s">
        <v>395</v>
      </c>
      <c r="F55" t="s">
        <v>396</v>
      </c>
      <c r="G55" t="s">
        <v>397</v>
      </c>
      <c r="H55" t="s">
        <v>398</v>
      </c>
      <c r="I55" t="s">
        <v>399</v>
      </c>
      <c r="J55" t="s">
        <v>400</v>
      </c>
      <c r="K55" t="s">
        <v>515</v>
      </c>
      <c r="L55" t="s">
        <v>585</v>
      </c>
      <c r="M55" t="s">
        <v>403</v>
      </c>
      <c r="N55">
        <v>1</v>
      </c>
      <c r="O55">
        <v>1</v>
      </c>
      <c r="P55" t="s">
        <v>707</v>
      </c>
      <c r="Q55" t="s">
        <v>424</v>
      </c>
      <c r="R55" t="s">
        <v>691</v>
      </c>
      <c r="S55" t="s">
        <v>708</v>
      </c>
      <c r="T55" t="s">
        <v>408</v>
      </c>
      <c r="U55">
        <v>50950080999</v>
      </c>
      <c r="W55">
        <v>24000</v>
      </c>
      <c r="X55" t="s">
        <v>409</v>
      </c>
      <c r="Y55" t="s">
        <v>410</v>
      </c>
      <c r="Z55" t="s">
        <v>410</v>
      </c>
      <c r="AA55" t="s">
        <v>411</v>
      </c>
      <c r="AB55" t="s">
        <v>554</v>
      </c>
      <c r="AC55" t="s">
        <v>411</v>
      </c>
      <c r="AD55">
        <v>46083</v>
      </c>
      <c r="AE55">
        <v>46139</v>
      </c>
      <c r="AF55">
        <v>46090</v>
      </c>
      <c r="AG55" t="s">
        <v>590</v>
      </c>
      <c r="AH55">
        <v>6130092</v>
      </c>
      <c r="AI55">
        <v>46087</v>
      </c>
      <c r="AJ55">
        <v>46088</v>
      </c>
      <c r="AK55">
        <v>24000</v>
      </c>
      <c r="AL55" t="s">
        <v>396</v>
      </c>
      <c r="AM55" t="s">
        <v>709</v>
      </c>
      <c r="AN55">
        <v>46088</v>
      </c>
      <c r="AO55">
        <v>46088.584745370368</v>
      </c>
      <c r="AP55" t="s">
        <v>51</v>
      </c>
      <c r="AQ55">
        <v>6.4299999999999996E-2</v>
      </c>
      <c r="AR55">
        <v>1543.2</v>
      </c>
      <c r="AS55" t="s">
        <v>51</v>
      </c>
      <c r="AT55">
        <v>1543.2</v>
      </c>
      <c r="AU55" t="s">
        <v>415</v>
      </c>
      <c r="AV55" t="s">
        <v>557</v>
      </c>
      <c r="AW55" t="s">
        <v>558</v>
      </c>
      <c r="AX55">
        <v>46092</v>
      </c>
      <c r="AY55">
        <v>46141</v>
      </c>
      <c r="AZ55" t="s">
        <v>559</v>
      </c>
      <c r="BA55" t="s">
        <v>560</v>
      </c>
      <c r="BB55" t="s">
        <v>561</v>
      </c>
      <c r="BC55">
        <v>750</v>
      </c>
      <c r="BD55" t="s">
        <v>521</v>
      </c>
      <c r="BE55">
        <v>3.3420000000000001</v>
      </c>
      <c r="BF55">
        <v>1.929</v>
      </c>
      <c r="BG55" t="s">
        <v>522</v>
      </c>
      <c r="BH55">
        <v>395</v>
      </c>
      <c r="BI55">
        <v>295</v>
      </c>
      <c r="BJ55">
        <v>150</v>
      </c>
      <c r="BK55">
        <v>48</v>
      </c>
      <c r="BL55" t="s">
        <v>521</v>
      </c>
      <c r="BM55">
        <v>130.94399999999999</v>
      </c>
      <c r="BN55">
        <v>61.728000000000002</v>
      </c>
      <c r="BO55">
        <v>130.94399999999999</v>
      </c>
      <c r="BP55" t="s">
        <v>522</v>
      </c>
      <c r="BQ55">
        <v>1200</v>
      </c>
      <c r="BR55">
        <v>800</v>
      </c>
      <c r="BS55">
        <v>1060</v>
      </c>
      <c r="BT55">
        <v>0</v>
      </c>
      <c r="BU55">
        <v>1</v>
      </c>
      <c r="BV55">
        <v>1</v>
      </c>
      <c r="BW55">
        <v>32</v>
      </c>
      <c r="BX55">
        <v>0</v>
      </c>
      <c r="BY55">
        <v>32</v>
      </c>
      <c r="BZ55">
        <v>0</v>
      </c>
      <c r="CA55">
        <v>24000</v>
      </c>
      <c r="CB55">
        <v>24000</v>
      </c>
      <c r="CC55">
        <v>61.728000000000002</v>
      </c>
      <c r="CD55" t="s">
        <v>694</v>
      </c>
      <c r="CE55" t="s">
        <v>710</v>
      </c>
      <c r="CG55" t="s">
        <v>421</v>
      </c>
      <c r="CJ55" t="str">
        <v>TGBU7107819</v>
      </c>
      <c r="CN55" t="str">
        <v>M19</v>
      </c>
      <c r="CO55" t="str">
        <v>1307-5YY0182EN</v>
      </c>
      <c r="CP55" t="str">
        <v>CCLU7843605</v>
      </c>
      <c r="CQ55" s="23">
        <v>1259.064192</v>
      </c>
      <c r="CR55" s="25">
        <f t="shared" si="0"/>
        <v>0.11387960108850773</v>
      </c>
      <c r="CS55" s="21">
        <f t="shared" si="1"/>
        <v>284.69900272126932</v>
      </c>
      <c r="CU55" s="23"/>
    </row>
    <row r="56" spans="2:99" x14ac:dyDescent="0.35">
      <c r="B56" t="s">
        <v>3497</v>
      </c>
      <c r="C56" t="s">
        <v>711</v>
      </c>
      <c r="D56" t="s">
        <v>395</v>
      </c>
      <c r="E56" t="s">
        <v>395</v>
      </c>
      <c r="F56" t="s">
        <v>396</v>
      </c>
      <c r="G56" t="s">
        <v>397</v>
      </c>
      <c r="H56" t="s">
        <v>398</v>
      </c>
      <c r="I56" t="s">
        <v>399</v>
      </c>
      <c r="J56" t="s">
        <v>400</v>
      </c>
      <c r="K56" t="s">
        <v>515</v>
      </c>
      <c r="L56" t="s">
        <v>585</v>
      </c>
      <c r="M56" t="s">
        <v>403</v>
      </c>
      <c r="N56">
        <v>1</v>
      </c>
      <c r="O56">
        <v>1</v>
      </c>
      <c r="P56" t="s">
        <v>712</v>
      </c>
      <c r="Q56" t="s">
        <v>424</v>
      </c>
      <c r="R56" t="s">
        <v>691</v>
      </c>
      <c r="S56" t="s">
        <v>713</v>
      </c>
      <c r="T56" t="s">
        <v>408</v>
      </c>
      <c r="U56">
        <v>50950081097</v>
      </c>
      <c r="W56">
        <v>14400</v>
      </c>
      <c r="X56" t="s">
        <v>409</v>
      </c>
      <c r="Y56" t="s">
        <v>410</v>
      </c>
      <c r="Z56" t="s">
        <v>410</v>
      </c>
      <c r="AA56" t="s">
        <v>411</v>
      </c>
      <c r="AB56" t="s">
        <v>554</v>
      </c>
      <c r="AC56" t="s">
        <v>411</v>
      </c>
      <c r="AD56">
        <v>46083</v>
      </c>
      <c r="AE56">
        <v>46139</v>
      </c>
      <c r="AF56">
        <v>46090</v>
      </c>
      <c r="AG56" t="s">
        <v>590</v>
      </c>
      <c r="AH56">
        <v>6130093</v>
      </c>
      <c r="AI56">
        <v>46087</v>
      </c>
      <c r="AJ56">
        <v>46088</v>
      </c>
      <c r="AK56">
        <v>14400</v>
      </c>
      <c r="AL56" t="s">
        <v>396</v>
      </c>
      <c r="AM56" t="s">
        <v>714</v>
      </c>
      <c r="AN56">
        <v>46088</v>
      </c>
      <c r="AO56">
        <v>46088.584745370368</v>
      </c>
      <c r="AP56" t="s">
        <v>51</v>
      </c>
      <c r="AQ56">
        <v>4.6089999999999999E-2</v>
      </c>
      <c r="AR56">
        <v>663.7</v>
      </c>
      <c r="AS56" t="s">
        <v>51</v>
      </c>
      <c r="AT56">
        <v>663.7</v>
      </c>
      <c r="AU56" t="s">
        <v>415</v>
      </c>
      <c r="AV56" t="s">
        <v>557</v>
      </c>
      <c r="AW56" t="s">
        <v>558</v>
      </c>
      <c r="AX56">
        <v>46092</v>
      </c>
      <c r="AY56">
        <v>46141</v>
      </c>
      <c r="AZ56" t="s">
        <v>559</v>
      </c>
      <c r="BA56" t="s">
        <v>560</v>
      </c>
      <c r="BB56" t="s">
        <v>561</v>
      </c>
      <c r="BC56">
        <v>900</v>
      </c>
      <c r="BD56" t="s">
        <v>521</v>
      </c>
      <c r="BE56">
        <v>2.7673000000000001</v>
      </c>
      <c r="BF56">
        <v>1.1673</v>
      </c>
      <c r="BG56" t="s">
        <v>522</v>
      </c>
      <c r="BH56">
        <v>395</v>
      </c>
      <c r="BI56">
        <v>295</v>
      </c>
      <c r="BJ56">
        <v>150</v>
      </c>
      <c r="BK56">
        <v>48</v>
      </c>
      <c r="BL56" t="s">
        <v>521</v>
      </c>
      <c r="BM56">
        <v>68.276799999999994</v>
      </c>
      <c r="BN56">
        <v>18.6768</v>
      </c>
      <c r="BO56">
        <v>68.276799999999994</v>
      </c>
      <c r="BP56" t="s">
        <v>522</v>
      </c>
      <c r="BQ56">
        <v>1200</v>
      </c>
      <c r="BR56">
        <v>800</v>
      </c>
      <c r="BS56">
        <v>1060</v>
      </c>
      <c r="BT56">
        <v>0</v>
      </c>
      <c r="BU56">
        <v>1</v>
      </c>
      <c r="BV56">
        <v>1</v>
      </c>
      <c r="BW56">
        <v>16</v>
      </c>
      <c r="BX56">
        <v>0</v>
      </c>
      <c r="BY56">
        <v>16</v>
      </c>
      <c r="BZ56">
        <v>0</v>
      </c>
      <c r="CA56">
        <v>14400</v>
      </c>
      <c r="CB56">
        <v>14400</v>
      </c>
      <c r="CC56">
        <v>18.6768</v>
      </c>
      <c r="CD56" t="s">
        <v>694</v>
      </c>
      <c r="CE56" t="s">
        <v>695</v>
      </c>
      <c r="CG56" t="s">
        <v>421</v>
      </c>
      <c r="CJ56" t="str">
        <v>TGBU8955558</v>
      </c>
      <c r="CN56" t="str">
        <v>M19</v>
      </c>
      <c r="CO56" t="str">
        <v>1307-5YY0151EN</v>
      </c>
      <c r="CP56" t="str">
        <v>CCLU7843605</v>
      </c>
      <c r="CQ56" s="23">
        <v>488.23171200000002</v>
      </c>
      <c r="CR56" s="25">
        <f t="shared" si="0"/>
        <v>4.4159490004238952E-2</v>
      </c>
      <c r="CS56" s="21">
        <f t="shared" si="1"/>
        <v>110.39872501059737</v>
      </c>
      <c r="CU56" s="23"/>
    </row>
    <row r="57" spans="2:99" x14ac:dyDescent="0.35">
      <c r="B57" t="s">
        <v>3497</v>
      </c>
      <c r="C57" t="s">
        <v>715</v>
      </c>
      <c r="D57" t="s">
        <v>395</v>
      </c>
      <c r="E57" t="s">
        <v>395</v>
      </c>
      <c r="F57" t="s">
        <v>396</v>
      </c>
      <c r="G57" t="s">
        <v>397</v>
      </c>
      <c r="H57" t="s">
        <v>398</v>
      </c>
      <c r="I57" t="s">
        <v>399</v>
      </c>
      <c r="J57" t="s">
        <v>400</v>
      </c>
      <c r="K57" t="s">
        <v>515</v>
      </c>
      <c r="L57" t="s">
        <v>585</v>
      </c>
      <c r="M57" t="s">
        <v>403</v>
      </c>
      <c r="N57">
        <v>1</v>
      </c>
      <c r="O57">
        <v>1</v>
      </c>
      <c r="P57" t="s">
        <v>703</v>
      </c>
      <c r="Q57" t="s">
        <v>424</v>
      </c>
      <c r="R57" t="s">
        <v>691</v>
      </c>
      <c r="S57" t="s">
        <v>704</v>
      </c>
      <c r="T57" t="s">
        <v>408</v>
      </c>
      <c r="U57">
        <v>50950081110</v>
      </c>
      <c r="W57">
        <v>7200</v>
      </c>
      <c r="X57" t="s">
        <v>409</v>
      </c>
      <c r="Y57" t="s">
        <v>410</v>
      </c>
      <c r="Z57" t="s">
        <v>410</v>
      </c>
      <c r="AA57" t="s">
        <v>411</v>
      </c>
      <c r="AB57" t="s">
        <v>554</v>
      </c>
      <c r="AC57" t="s">
        <v>411</v>
      </c>
      <c r="AD57">
        <v>46083</v>
      </c>
      <c r="AE57">
        <v>46139</v>
      </c>
      <c r="AF57">
        <v>46090</v>
      </c>
      <c r="AG57" t="s">
        <v>590</v>
      </c>
      <c r="AH57">
        <v>6130094</v>
      </c>
      <c r="AI57">
        <v>46087</v>
      </c>
      <c r="AJ57">
        <v>46088</v>
      </c>
      <c r="AK57">
        <v>7200</v>
      </c>
      <c r="AL57" t="s">
        <v>396</v>
      </c>
      <c r="AM57" t="s">
        <v>716</v>
      </c>
      <c r="AN57">
        <v>46088</v>
      </c>
      <c r="AO57">
        <v>46088.584745370368</v>
      </c>
      <c r="AP57" t="s">
        <v>51</v>
      </c>
      <c r="AQ57">
        <v>5.4330000000000003E-2</v>
      </c>
      <c r="AR57">
        <v>391.18</v>
      </c>
      <c r="AS57" t="s">
        <v>51</v>
      </c>
      <c r="AT57">
        <v>391.18</v>
      </c>
      <c r="AU57" t="s">
        <v>415</v>
      </c>
      <c r="AV57" t="s">
        <v>557</v>
      </c>
      <c r="AW57" t="s">
        <v>558</v>
      </c>
      <c r="AX57">
        <v>46092</v>
      </c>
      <c r="AY57">
        <v>46141</v>
      </c>
      <c r="AZ57" t="s">
        <v>559</v>
      </c>
      <c r="BA57" t="s">
        <v>560</v>
      </c>
      <c r="BB57" t="s">
        <v>561</v>
      </c>
      <c r="BC57">
        <v>900</v>
      </c>
      <c r="BD57" t="s">
        <v>521</v>
      </c>
      <c r="BE57">
        <v>2.9651000000000001</v>
      </c>
      <c r="BF57">
        <v>1.2950999999999999</v>
      </c>
      <c r="BG57" t="s">
        <v>522</v>
      </c>
      <c r="BH57">
        <v>395</v>
      </c>
      <c r="BI57">
        <v>295</v>
      </c>
      <c r="BJ57">
        <v>150</v>
      </c>
      <c r="BK57">
        <v>8</v>
      </c>
      <c r="BL57" t="s">
        <v>521</v>
      </c>
      <c r="BM57">
        <v>31.720800000000001</v>
      </c>
      <c r="BN57">
        <v>10.360799999999999</v>
      </c>
      <c r="BO57">
        <v>31.720800000000001</v>
      </c>
      <c r="BP57" t="s">
        <v>522</v>
      </c>
      <c r="BQ57">
        <v>800</v>
      </c>
      <c r="BR57">
        <v>300</v>
      </c>
      <c r="BS57">
        <v>760</v>
      </c>
      <c r="BT57">
        <v>1</v>
      </c>
      <c r="BU57">
        <v>0</v>
      </c>
      <c r="BV57">
        <v>1</v>
      </c>
      <c r="BW57">
        <v>8</v>
      </c>
      <c r="BX57">
        <v>0</v>
      </c>
      <c r="BY57">
        <v>8</v>
      </c>
      <c r="BZ57">
        <v>7200</v>
      </c>
      <c r="CA57">
        <v>0</v>
      </c>
      <c r="CB57">
        <v>7200</v>
      </c>
      <c r="CC57">
        <v>10.360799999999999</v>
      </c>
      <c r="CD57" t="s">
        <v>700</v>
      </c>
      <c r="CE57" t="s">
        <v>701</v>
      </c>
      <c r="CG57" t="s">
        <v>421</v>
      </c>
      <c r="CJ57" t="str">
        <v>TIIU2575610</v>
      </c>
      <c r="CN57" t="str">
        <v>M45</v>
      </c>
      <c r="CO57" t="str">
        <v>1210-10C0133EN</v>
      </c>
      <c r="CP57" t="str">
        <v>CCLU7843605</v>
      </c>
      <c r="CQ57" s="23">
        <v>283.06</v>
      </c>
      <c r="CR57" s="25">
        <f t="shared" si="0"/>
        <v>2.5602157609540686E-2</v>
      </c>
      <c r="CS57" s="21">
        <f t="shared" si="1"/>
        <v>64.005394023851707</v>
      </c>
      <c r="CU57" s="23"/>
    </row>
    <row r="58" spans="2:99" x14ac:dyDescent="0.35">
      <c r="B58" t="s">
        <v>299</v>
      </c>
      <c r="C58" t="s">
        <v>717</v>
      </c>
      <c r="D58" t="s">
        <v>718</v>
      </c>
      <c r="E58" t="s">
        <v>395</v>
      </c>
      <c r="F58" t="s">
        <v>396</v>
      </c>
      <c r="G58" t="s">
        <v>397</v>
      </c>
      <c r="H58" t="s">
        <v>532</v>
      </c>
      <c r="I58" t="s">
        <v>399</v>
      </c>
      <c r="J58" t="s">
        <v>400</v>
      </c>
      <c r="K58" t="s">
        <v>515</v>
      </c>
      <c r="L58" t="s">
        <v>585</v>
      </c>
      <c r="M58" t="s">
        <v>403</v>
      </c>
      <c r="N58">
        <v>1</v>
      </c>
      <c r="O58">
        <v>1</v>
      </c>
      <c r="P58" t="s">
        <v>719</v>
      </c>
      <c r="Q58" t="s">
        <v>645</v>
      </c>
      <c r="R58" t="s">
        <v>720</v>
      </c>
      <c r="S58" t="s">
        <v>721</v>
      </c>
      <c r="T58" t="s">
        <v>408</v>
      </c>
      <c r="U58">
        <v>50950081225</v>
      </c>
      <c r="V58">
        <v>8191162</v>
      </c>
      <c r="W58">
        <v>12000</v>
      </c>
      <c r="X58" t="s">
        <v>409</v>
      </c>
      <c r="Y58" t="s">
        <v>410</v>
      </c>
      <c r="Z58" t="s">
        <v>410</v>
      </c>
      <c r="AA58" t="s">
        <v>411</v>
      </c>
      <c r="AB58" t="s">
        <v>554</v>
      </c>
      <c r="AC58" t="s">
        <v>411</v>
      </c>
      <c r="AD58">
        <v>46083</v>
      </c>
      <c r="AE58">
        <v>46139</v>
      </c>
      <c r="AF58">
        <v>46090</v>
      </c>
      <c r="AG58" t="s">
        <v>590</v>
      </c>
      <c r="AH58">
        <v>6130095</v>
      </c>
      <c r="AI58">
        <v>46087</v>
      </c>
      <c r="AJ58">
        <v>46088</v>
      </c>
      <c r="AK58">
        <v>12000</v>
      </c>
      <c r="AL58" t="s">
        <v>396</v>
      </c>
      <c r="AM58" t="s">
        <v>722</v>
      </c>
      <c r="AN58">
        <v>46088</v>
      </c>
      <c r="AO58">
        <v>46088.584745370368</v>
      </c>
      <c r="AP58" t="s">
        <v>51</v>
      </c>
      <c r="AQ58">
        <v>1.9050000000000001E-2</v>
      </c>
      <c r="AR58">
        <v>228.6</v>
      </c>
      <c r="AS58" t="s">
        <v>51</v>
      </c>
      <c r="AT58">
        <v>228.6</v>
      </c>
      <c r="AU58" t="s">
        <v>415</v>
      </c>
      <c r="AV58" t="s">
        <v>557</v>
      </c>
      <c r="AW58" t="s">
        <v>558</v>
      </c>
      <c r="AX58">
        <v>46092</v>
      </c>
      <c r="AY58">
        <v>46141</v>
      </c>
      <c r="AZ58" t="s">
        <v>559</v>
      </c>
      <c r="BA58" t="s">
        <v>560</v>
      </c>
      <c r="BB58" t="s">
        <v>561</v>
      </c>
      <c r="BC58">
        <v>3000</v>
      </c>
      <c r="BD58" t="s">
        <v>521</v>
      </c>
      <c r="BE58">
        <v>7.9960000000000004</v>
      </c>
      <c r="BF58">
        <v>7.11</v>
      </c>
      <c r="BG58" t="s">
        <v>522</v>
      </c>
      <c r="BH58">
        <v>395</v>
      </c>
      <c r="BI58">
        <v>295</v>
      </c>
      <c r="BJ58">
        <v>210</v>
      </c>
      <c r="BK58">
        <v>32</v>
      </c>
      <c r="BL58" t="s">
        <v>521</v>
      </c>
      <c r="BM58">
        <v>56.984000000000002</v>
      </c>
      <c r="BN58">
        <v>28.44</v>
      </c>
      <c r="BO58">
        <v>56.984000000000002</v>
      </c>
      <c r="BP58" t="s">
        <v>522</v>
      </c>
      <c r="BQ58">
        <v>1200</v>
      </c>
      <c r="BR58">
        <v>800</v>
      </c>
      <c r="BS58">
        <v>1006</v>
      </c>
      <c r="BT58">
        <v>0</v>
      </c>
      <c r="BU58">
        <v>1</v>
      </c>
      <c r="BV58">
        <v>1</v>
      </c>
      <c r="BW58">
        <v>4</v>
      </c>
      <c r="BX58">
        <v>0</v>
      </c>
      <c r="BY58">
        <v>4</v>
      </c>
      <c r="BZ58">
        <v>0</v>
      </c>
      <c r="CA58">
        <v>12000</v>
      </c>
      <c r="CB58">
        <v>12000</v>
      </c>
      <c r="CC58">
        <v>28.44</v>
      </c>
      <c r="CD58" t="s">
        <v>723</v>
      </c>
      <c r="CE58" t="s">
        <v>724</v>
      </c>
      <c r="CG58" t="s">
        <v>421</v>
      </c>
      <c r="CJ58" t="str">
        <v>TRHU4923520</v>
      </c>
      <c r="CN58" t="str">
        <v>M19</v>
      </c>
      <c r="CO58" t="str">
        <v>1330-5YY0182EN</v>
      </c>
      <c r="CP58" t="str">
        <v>CCLU7843605</v>
      </c>
      <c r="CQ58" s="23">
        <v>1053.8136</v>
      </c>
      <c r="CR58" s="25">
        <f t="shared" si="0"/>
        <v>9.5315134170414276E-2</v>
      </c>
      <c r="CS58" s="21">
        <f t="shared" si="1"/>
        <v>238.28783542603568</v>
      </c>
      <c r="CU58" s="23"/>
    </row>
    <row r="59" spans="2:99" x14ac:dyDescent="0.35">
      <c r="B59" t="s">
        <v>298</v>
      </c>
      <c r="C59" t="s">
        <v>725</v>
      </c>
      <c r="D59" t="s">
        <v>395</v>
      </c>
      <c r="E59" t="s">
        <v>395</v>
      </c>
      <c r="F59" t="s">
        <v>396</v>
      </c>
      <c r="G59" t="s">
        <v>397</v>
      </c>
      <c r="H59" t="s">
        <v>398</v>
      </c>
      <c r="I59" t="s">
        <v>399</v>
      </c>
      <c r="J59" t="s">
        <v>400</v>
      </c>
      <c r="K59" t="s">
        <v>595</v>
      </c>
      <c r="L59" t="s">
        <v>585</v>
      </c>
      <c r="M59" t="s">
        <v>403</v>
      </c>
      <c r="N59">
        <v>1</v>
      </c>
      <c r="O59">
        <v>1</v>
      </c>
      <c r="P59" t="s">
        <v>726</v>
      </c>
      <c r="Q59" t="s">
        <v>405</v>
      </c>
      <c r="R59" t="s">
        <v>675</v>
      </c>
      <c r="S59" t="s">
        <v>676</v>
      </c>
      <c r="T59" t="s">
        <v>408</v>
      </c>
      <c r="U59">
        <v>50950081291</v>
      </c>
      <c r="W59">
        <v>16000</v>
      </c>
      <c r="X59" t="s">
        <v>409</v>
      </c>
      <c r="Y59" t="s">
        <v>410</v>
      </c>
      <c r="Z59" t="s">
        <v>410</v>
      </c>
      <c r="AA59" t="s">
        <v>411</v>
      </c>
      <c r="AB59" t="s">
        <v>554</v>
      </c>
      <c r="AC59" t="s">
        <v>411</v>
      </c>
      <c r="AD59">
        <v>46083</v>
      </c>
      <c r="AE59">
        <v>46139</v>
      </c>
      <c r="AF59">
        <v>46090</v>
      </c>
      <c r="AG59" t="s">
        <v>590</v>
      </c>
      <c r="AH59">
        <v>6130096</v>
      </c>
      <c r="AI59">
        <v>46087</v>
      </c>
      <c r="AJ59">
        <v>46088</v>
      </c>
      <c r="AK59">
        <v>16000</v>
      </c>
      <c r="AL59" t="s">
        <v>396</v>
      </c>
      <c r="AM59" t="s">
        <v>727</v>
      </c>
      <c r="AN59">
        <v>46088</v>
      </c>
      <c r="AO59">
        <v>46088.584745370368</v>
      </c>
      <c r="AP59" t="s">
        <v>51</v>
      </c>
      <c r="AQ59">
        <v>0.11368</v>
      </c>
      <c r="AR59">
        <v>1818.88</v>
      </c>
      <c r="AS59" t="s">
        <v>51</v>
      </c>
      <c r="AT59">
        <v>1818.88</v>
      </c>
      <c r="AU59" t="s">
        <v>415</v>
      </c>
      <c r="AV59" t="s">
        <v>557</v>
      </c>
      <c r="AW59" t="s">
        <v>558</v>
      </c>
      <c r="AX59">
        <v>46092</v>
      </c>
      <c r="AY59">
        <v>46141</v>
      </c>
      <c r="AZ59" t="s">
        <v>559</v>
      </c>
      <c r="BA59" t="s">
        <v>560</v>
      </c>
      <c r="BB59" t="s">
        <v>561</v>
      </c>
      <c r="BC59">
        <v>2000</v>
      </c>
      <c r="BD59" t="s">
        <v>521</v>
      </c>
      <c r="BE59">
        <v>10.0184</v>
      </c>
      <c r="BF59">
        <v>9.6904000000000003</v>
      </c>
      <c r="BG59" t="s">
        <v>522</v>
      </c>
      <c r="BH59">
        <v>296</v>
      </c>
      <c r="BI59">
        <v>195</v>
      </c>
      <c r="BJ59">
        <v>145</v>
      </c>
      <c r="BK59">
        <v>12</v>
      </c>
      <c r="BL59" t="s">
        <v>521</v>
      </c>
      <c r="BM59">
        <v>88.147199999999998</v>
      </c>
      <c r="BN59">
        <v>77.523200000000003</v>
      </c>
      <c r="BO59">
        <v>88.147199999999998</v>
      </c>
      <c r="BP59" t="s">
        <v>522</v>
      </c>
      <c r="BQ59">
        <v>800</v>
      </c>
      <c r="BR59">
        <v>300</v>
      </c>
      <c r="BS59">
        <v>608</v>
      </c>
      <c r="BT59">
        <v>0</v>
      </c>
      <c r="BU59">
        <v>1</v>
      </c>
      <c r="BV59">
        <v>1</v>
      </c>
      <c r="BW59">
        <v>8</v>
      </c>
      <c r="BX59">
        <v>0</v>
      </c>
      <c r="BY59">
        <v>8</v>
      </c>
      <c r="BZ59">
        <v>0</v>
      </c>
      <c r="CA59">
        <v>16000</v>
      </c>
      <c r="CB59">
        <v>16000</v>
      </c>
      <c r="CC59">
        <v>77.523200000000003</v>
      </c>
      <c r="CD59" t="s">
        <v>523</v>
      </c>
      <c r="CE59" t="s">
        <v>728</v>
      </c>
      <c r="CG59" t="s">
        <v>421</v>
      </c>
      <c r="CJ59" t="str">
        <v>TRHU5512159</v>
      </c>
      <c r="CN59" t="str">
        <v>M19</v>
      </c>
      <c r="CO59" t="str">
        <v>1330-5YY0183EN</v>
      </c>
      <c r="CP59" t="str">
        <v>CCLU7843605</v>
      </c>
      <c r="CQ59" s="23">
        <v>773.09280000000001</v>
      </c>
      <c r="CR59" s="25">
        <f t="shared" si="0"/>
        <v>6.9924552082247987E-2</v>
      </c>
      <c r="CS59" s="21">
        <f t="shared" si="1"/>
        <v>174.81138020561997</v>
      </c>
      <c r="CU59" s="23"/>
    </row>
    <row r="60" spans="2:99" x14ac:dyDescent="0.35">
      <c r="B60" t="s">
        <v>295</v>
      </c>
      <c r="C60" t="s">
        <v>729</v>
      </c>
      <c r="D60" t="s">
        <v>395</v>
      </c>
      <c r="E60" t="s">
        <v>395</v>
      </c>
      <c r="F60" t="s">
        <v>396</v>
      </c>
      <c r="G60" t="s">
        <v>397</v>
      </c>
      <c r="H60" t="s">
        <v>398</v>
      </c>
      <c r="I60" t="s">
        <v>399</v>
      </c>
      <c r="J60" t="s">
        <v>400</v>
      </c>
      <c r="K60" t="s">
        <v>607</v>
      </c>
      <c r="L60" t="s">
        <v>585</v>
      </c>
      <c r="M60" t="s">
        <v>403</v>
      </c>
      <c r="N60">
        <v>1</v>
      </c>
      <c r="O60">
        <v>1</v>
      </c>
      <c r="P60" t="s">
        <v>730</v>
      </c>
      <c r="Q60" t="s">
        <v>430</v>
      </c>
      <c r="R60" t="s">
        <v>731</v>
      </c>
      <c r="S60" t="s">
        <v>732</v>
      </c>
      <c r="T60" t="s">
        <v>408</v>
      </c>
      <c r="U60">
        <v>50950081533</v>
      </c>
      <c r="W60">
        <v>25600</v>
      </c>
      <c r="X60" t="s">
        <v>409</v>
      </c>
      <c r="Y60" t="s">
        <v>410</v>
      </c>
      <c r="Z60" t="s">
        <v>410</v>
      </c>
      <c r="AA60" t="s">
        <v>411</v>
      </c>
      <c r="AB60" t="s">
        <v>554</v>
      </c>
      <c r="AC60" t="s">
        <v>411</v>
      </c>
      <c r="AD60">
        <v>46087</v>
      </c>
      <c r="AE60">
        <v>46132</v>
      </c>
      <c r="AF60">
        <v>46090</v>
      </c>
      <c r="AG60" t="s">
        <v>590</v>
      </c>
      <c r="AH60">
        <v>6130097</v>
      </c>
      <c r="AI60">
        <v>46087</v>
      </c>
      <c r="AJ60">
        <v>46088</v>
      </c>
      <c r="AK60">
        <v>25600</v>
      </c>
      <c r="AL60" t="s">
        <v>396</v>
      </c>
      <c r="AM60" t="s">
        <v>733</v>
      </c>
      <c r="AN60">
        <v>46088</v>
      </c>
      <c r="AO60">
        <v>46088.584745370368</v>
      </c>
      <c r="AP60" t="s">
        <v>51</v>
      </c>
      <c r="AQ60">
        <v>7.6119999999999993E-2</v>
      </c>
      <c r="AR60">
        <v>1948.67</v>
      </c>
      <c r="AS60" t="s">
        <v>51</v>
      </c>
      <c r="AT60">
        <v>1948.67</v>
      </c>
      <c r="AU60" t="s">
        <v>415</v>
      </c>
      <c r="AV60" t="s">
        <v>557</v>
      </c>
      <c r="AW60" t="s">
        <v>558</v>
      </c>
      <c r="AX60">
        <v>46092</v>
      </c>
      <c r="AY60">
        <v>46141</v>
      </c>
      <c r="AZ60" t="s">
        <v>559</v>
      </c>
      <c r="BA60" t="s">
        <v>560</v>
      </c>
      <c r="BB60" t="s">
        <v>561</v>
      </c>
      <c r="BC60">
        <v>1600</v>
      </c>
      <c r="BD60" t="s">
        <v>521</v>
      </c>
      <c r="BE60">
        <v>13.2516</v>
      </c>
      <c r="BF60">
        <v>11.101599999999999</v>
      </c>
      <c r="BG60" t="s">
        <v>522</v>
      </c>
      <c r="BH60">
        <v>395</v>
      </c>
      <c r="BI60">
        <v>295</v>
      </c>
      <c r="BJ60">
        <v>100</v>
      </c>
      <c r="BK60">
        <v>12</v>
      </c>
      <c r="BL60" t="s">
        <v>521</v>
      </c>
      <c r="BM60">
        <v>167.01920000000001</v>
      </c>
      <c r="BN60">
        <v>133.2192</v>
      </c>
      <c r="BO60">
        <v>228.0256</v>
      </c>
      <c r="BP60" t="s">
        <v>522</v>
      </c>
      <c r="BQ60">
        <v>800</v>
      </c>
      <c r="BR60">
        <v>300</v>
      </c>
      <c r="BS60">
        <v>758</v>
      </c>
      <c r="BT60">
        <v>1</v>
      </c>
      <c r="BU60">
        <v>1</v>
      </c>
      <c r="BV60">
        <v>2</v>
      </c>
      <c r="BW60">
        <v>16</v>
      </c>
      <c r="BX60">
        <v>0</v>
      </c>
      <c r="BY60">
        <v>16</v>
      </c>
      <c r="BZ60">
        <v>19200</v>
      </c>
      <c r="CA60">
        <v>6400</v>
      </c>
      <c r="CB60">
        <v>25600</v>
      </c>
      <c r="CC60">
        <v>177.62559999999999</v>
      </c>
      <c r="CD60" t="s">
        <v>734</v>
      </c>
      <c r="CE60" t="s">
        <v>735</v>
      </c>
      <c r="CG60" t="s">
        <v>421</v>
      </c>
      <c r="CJ60" t="str">
        <v>WHSU2218868</v>
      </c>
      <c r="CN60" t="str">
        <v>M19</v>
      </c>
      <c r="CO60" t="str">
        <v>1330-5YY0183EN</v>
      </c>
      <c r="CP60" t="str">
        <v>CCLU7843605</v>
      </c>
      <c r="CQ60" s="23">
        <v>515.39520000000005</v>
      </c>
      <c r="CR60" s="25">
        <f t="shared" si="0"/>
        <v>4.6616368054831998E-2</v>
      </c>
      <c r="CS60" s="21">
        <f t="shared" si="1"/>
        <v>116.54092013707999</v>
      </c>
      <c r="CU60" s="23"/>
    </row>
    <row r="61" spans="2:99" x14ac:dyDescent="0.35">
      <c r="B61" t="s">
        <v>298</v>
      </c>
      <c r="C61" t="s">
        <v>736</v>
      </c>
      <c r="D61" t="s">
        <v>395</v>
      </c>
      <c r="E61" t="s">
        <v>395</v>
      </c>
      <c r="F61" t="s">
        <v>396</v>
      </c>
      <c r="G61" t="s">
        <v>397</v>
      </c>
      <c r="H61" t="s">
        <v>398</v>
      </c>
      <c r="I61" t="s">
        <v>399</v>
      </c>
      <c r="J61" t="s">
        <v>400</v>
      </c>
      <c r="K61" t="s">
        <v>595</v>
      </c>
      <c r="L61" t="s">
        <v>585</v>
      </c>
      <c r="M61" t="s">
        <v>403</v>
      </c>
      <c r="N61">
        <v>1</v>
      </c>
      <c r="O61">
        <v>1</v>
      </c>
      <c r="P61" t="s">
        <v>737</v>
      </c>
      <c r="Q61" t="s">
        <v>430</v>
      </c>
      <c r="R61" t="s">
        <v>675</v>
      </c>
      <c r="S61" t="s">
        <v>676</v>
      </c>
      <c r="T61" t="s">
        <v>408</v>
      </c>
      <c r="U61">
        <v>50950081572</v>
      </c>
      <c r="W61">
        <v>18000</v>
      </c>
      <c r="X61" t="s">
        <v>409</v>
      </c>
      <c r="Y61" t="s">
        <v>410</v>
      </c>
      <c r="Z61" t="s">
        <v>410</v>
      </c>
      <c r="AA61" t="s">
        <v>411</v>
      </c>
      <c r="AB61" t="s">
        <v>554</v>
      </c>
      <c r="AC61" t="s">
        <v>411</v>
      </c>
      <c r="AD61">
        <v>46097</v>
      </c>
      <c r="AE61">
        <v>46153</v>
      </c>
      <c r="AF61">
        <v>46090</v>
      </c>
      <c r="AG61" t="s">
        <v>590</v>
      </c>
      <c r="AH61">
        <v>6130098</v>
      </c>
      <c r="AI61">
        <v>46087</v>
      </c>
      <c r="AJ61">
        <v>46088</v>
      </c>
      <c r="AK61">
        <v>18000</v>
      </c>
      <c r="AL61" t="s">
        <v>396</v>
      </c>
      <c r="AM61" t="s">
        <v>738</v>
      </c>
      <c r="AN61">
        <v>46088</v>
      </c>
      <c r="AO61">
        <v>46088.584745370368</v>
      </c>
      <c r="AP61" t="s">
        <v>51</v>
      </c>
      <c r="AQ61">
        <v>1.242E-2</v>
      </c>
      <c r="AR61">
        <v>223.56</v>
      </c>
      <c r="AS61" t="s">
        <v>51</v>
      </c>
      <c r="AT61">
        <v>223.56</v>
      </c>
      <c r="AU61" t="s">
        <v>415</v>
      </c>
      <c r="AV61" t="s">
        <v>557</v>
      </c>
      <c r="AW61" t="s">
        <v>558</v>
      </c>
      <c r="AX61">
        <v>46092</v>
      </c>
      <c r="AY61">
        <v>46141</v>
      </c>
      <c r="AZ61" t="s">
        <v>559</v>
      </c>
      <c r="BA61" t="s">
        <v>560</v>
      </c>
      <c r="BB61" t="s">
        <v>561</v>
      </c>
      <c r="BC61">
        <v>6000</v>
      </c>
      <c r="BD61" t="s">
        <v>521</v>
      </c>
      <c r="BE61">
        <v>9.0969999999999995</v>
      </c>
      <c r="BF61">
        <v>8.7690000000000001</v>
      </c>
      <c r="BG61" t="s">
        <v>522</v>
      </c>
      <c r="BH61">
        <v>296</v>
      </c>
      <c r="BI61">
        <v>195</v>
      </c>
      <c r="BJ61">
        <v>145</v>
      </c>
      <c r="BK61">
        <v>12</v>
      </c>
      <c r="BL61" t="s">
        <v>521</v>
      </c>
      <c r="BM61">
        <v>35.290999999999997</v>
      </c>
      <c r="BN61">
        <v>26.306999999999999</v>
      </c>
      <c r="BO61">
        <v>35.290999999999997</v>
      </c>
      <c r="BP61" t="s">
        <v>522</v>
      </c>
      <c r="BQ61">
        <v>800</v>
      </c>
      <c r="BR61">
        <v>300</v>
      </c>
      <c r="BS61">
        <v>608</v>
      </c>
      <c r="BT61">
        <v>0</v>
      </c>
      <c r="BU61">
        <v>1</v>
      </c>
      <c r="BV61">
        <v>1</v>
      </c>
      <c r="BW61">
        <v>3</v>
      </c>
      <c r="BX61">
        <v>0</v>
      </c>
      <c r="BY61">
        <v>3</v>
      </c>
      <c r="BZ61">
        <v>0</v>
      </c>
      <c r="CA61">
        <v>18000</v>
      </c>
      <c r="CB61">
        <v>18000</v>
      </c>
      <c r="CC61">
        <v>26.306999999999999</v>
      </c>
      <c r="CD61" t="s">
        <v>523</v>
      </c>
      <c r="CE61" t="s">
        <v>728</v>
      </c>
      <c r="CG61" t="s">
        <v>421</v>
      </c>
      <c r="CJ61" t="str">
        <v>WHSU5613188</v>
      </c>
      <c r="CN61" t="str">
        <v>M19</v>
      </c>
      <c r="CO61" t="str">
        <v>1330-5YY0112EN</v>
      </c>
      <c r="CP61" t="str">
        <v>CCLU7843605</v>
      </c>
      <c r="CQ61" s="23">
        <v>2073.4795199999999</v>
      </c>
      <c r="CR61" s="25">
        <f t="shared" si="0"/>
        <v>0.18754168540660909</v>
      </c>
      <c r="CS61" s="21">
        <f t="shared" si="1"/>
        <v>468.85421351652275</v>
      </c>
      <c r="CU61" s="23"/>
    </row>
    <row r="62" spans="2:99" x14ac:dyDescent="0.35">
      <c r="B62" t="s">
        <v>298</v>
      </c>
      <c r="C62" t="s">
        <v>739</v>
      </c>
      <c r="D62" t="s">
        <v>395</v>
      </c>
      <c r="E62" t="s">
        <v>395</v>
      </c>
      <c r="F62" t="s">
        <v>396</v>
      </c>
      <c r="G62" t="s">
        <v>397</v>
      </c>
      <c r="H62" t="s">
        <v>398</v>
      </c>
      <c r="I62" t="s">
        <v>399</v>
      </c>
      <c r="J62" t="s">
        <v>400</v>
      </c>
      <c r="K62" t="s">
        <v>595</v>
      </c>
      <c r="L62" t="s">
        <v>585</v>
      </c>
      <c r="M62" t="s">
        <v>403</v>
      </c>
      <c r="N62">
        <v>1</v>
      </c>
      <c r="O62">
        <v>1</v>
      </c>
      <c r="P62" t="s">
        <v>726</v>
      </c>
      <c r="Q62" t="s">
        <v>405</v>
      </c>
      <c r="R62" t="s">
        <v>675</v>
      </c>
      <c r="S62" t="s">
        <v>676</v>
      </c>
      <c r="T62" t="s">
        <v>408</v>
      </c>
      <c r="U62">
        <v>50950081575</v>
      </c>
      <c r="W62">
        <v>16000</v>
      </c>
      <c r="X62" t="s">
        <v>409</v>
      </c>
      <c r="Y62" t="s">
        <v>410</v>
      </c>
      <c r="Z62" t="s">
        <v>410</v>
      </c>
      <c r="AA62" t="s">
        <v>411</v>
      </c>
      <c r="AB62" t="s">
        <v>554</v>
      </c>
      <c r="AC62" t="s">
        <v>411</v>
      </c>
      <c r="AD62">
        <v>46090</v>
      </c>
      <c r="AE62">
        <v>46146</v>
      </c>
      <c r="AF62">
        <v>46090</v>
      </c>
      <c r="AG62" t="s">
        <v>590</v>
      </c>
      <c r="AH62">
        <v>6130099</v>
      </c>
      <c r="AI62">
        <v>46087</v>
      </c>
      <c r="AJ62">
        <v>46088</v>
      </c>
      <c r="AK62">
        <v>16000</v>
      </c>
      <c r="AL62" t="s">
        <v>396</v>
      </c>
      <c r="AM62" t="s">
        <v>740</v>
      </c>
      <c r="AN62">
        <v>46088</v>
      </c>
      <c r="AO62">
        <v>46088.584745370368</v>
      </c>
      <c r="AP62" t="s">
        <v>51</v>
      </c>
      <c r="AQ62">
        <v>0.11368</v>
      </c>
      <c r="AR62">
        <v>1818.88</v>
      </c>
      <c r="AS62" t="s">
        <v>51</v>
      </c>
      <c r="AT62">
        <v>1818.88</v>
      </c>
      <c r="AU62" t="s">
        <v>415</v>
      </c>
      <c r="AV62" t="s">
        <v>557</v>
      </c>
      <c r="AW62" t="s">
        <v>558</v>
      </c>
      <c r="AX62">
        <v>46092</v>
      </c>
      <c r="AY62">
        <v>46141</v>
      </c>
      <c r="AZ62" t="s">
        <v>559</v>
      </c>
      <c r="BA62" t="s">
        <v>560</v>
      </c>
      <c r="BB62" t="s">
        <v>561</v>
      </c>
      <c r="BC62">
        <v>2000</v>
      </c>
      <c r="BD62" t="s">
        <v>521</v>
      </c>
      <c r="BE62">
        <v>10.0184</v>
      </c>
      <c r="BF62">
        <v>9.6904000000000003</v>
      </c>
      <c r="BG62" t="s">
        <v>522</v>
      </c>
      <c r="BH62">
        <v>296</v>
      </c>
      <c r="BI62">
        <v>195</v>
      </c>
      <c r="BJ62">
        <v>145</v>
      </c>
      <c r="BK62">
        <v>12</v>
      </c>
      <c r="BL62" t="s">
        <v>521</v>
      </c>
      <c r="BM62">
        <v>88.147199999999998</v>
      </c>
      <c r="BN62">
        <v>77.523200000000003</v>
      </c>
      <c r="BO62">
        <v>88.147199999999998</v>
      </c>
      <c r="BP62" t="s">
        <v>522</v>
      </c>
      <c r="BQ62">
        <v>800</v>
      </c>
      <c r="BR62">
        <v>300</v>
      </c>
      <c r="BS62">
        <v>608</v>
      </c>
      <c r="BT62">
        <v>0</v>
      </c>
      <c r="BU62">
        <v>1</v>
      </c>
      <c r="BV62">
        <v>1</v>
      </c>
      <c r="BW62">
        <v>8</v>
      </c>
      <c r="BX62">
        <v>0</v>
      </c>
      <c r="BY62">
        <v>8</v>
      </c>
      <c r="BZ62">
        <v>0</v>
      </c>
      <c r="CA62">
        <v>16000</v>
      </c>
      <c r="CB62">
        <v>16000</v>
      </c>
      <c r="CC62">
        <v>77.523200000000003</v>
      </c>
      <c r="CD62" t="s">
        <v>523</v>
      </c>
      <c r="CE62" t="s">
        <v>728</v>
      </c>
      <c r="CG62" t="s">
        <v>421</v>
      </c>
      <c r="CJ62" t="str">
        <v>WHSU5760194</v>
      </c>
      <c r="CN62" t="str">
        <v>M19</v>
      </c>
      <c r="CO62" t="str">
        <v>1330-5YY0168EN</v>
      </c>
      <c r="CP62" t="str">
        <v>CCLU7843605</v>
      </c>
      <c r="CQ62" s="23">
        <v>1284.96</v>
      </c>
      <c r="CR62" s="25">
        <f t="shared" si="0"/>
        <v>0.11622182025703173</v>
      </c>
      <c r="CS62" s="21">
        <f t="shared" si="1"/>
        <v>290.55455064257933</v>
      </c>
      <c r="CU62" s="23"/>
    </row>
    <row r="63" spans="2:99" x14ac:dyDescent="0.35">
      <c r="B63" t="s">
        <v>295</v>
      </c>
      <c r="C63" t="s">
        <v>741</v>
      </c>
      <c r="D63" t="s">
        <v>395</v>
      </c>
      <c r="E63" t="s">
        <v>395</v>
      </c>
      <c r="F63" t="s">
        <v>396</v>
      </c>
      <c r="G63" t="s">
        <v>397</v>
      </c>
      <c r="H63" t="s">
        <v>398</v>
      </c>
      <c r="I63" t="s">
        <v>399</v>
      </c>
      <c r="J63" t="s">
        <v>400</v>
      </c>
      <c r="K63" t="s">
        <v>595</v>
      </c>
      <c r="L63" t="s">
        <v>585</v>
      </c>
      <c r="M63" t="s">
        <v>403</v>
      </c>
      <c r="N63">
        <v>1</v>
      </c>
      <c r="O63">
        <v>1</v>
      </c>
      <c r="P63" t="s">
        <v>742</v>
      </c>
      <c r="Q63" t="s">
        <v>405</v>
      </c>
      <c r="R63" t="s">
        <v>743</v>
      </c>
      <c r="S63" t="s">
        <v>676</v>
      </c>
      <c r="T63" t="s">
        <v>408</v>
      </c>
      <c r="U63">
        <v>50950081622</v>
      </c>
      <c r="W63">
        <v>30000</v>
      </c>
      <c r="X63" t="s">
        <v>409</v>
      </c>
      <c r="Y63" t="s">
        <v>410</v>
      </c>
      <c r="Z63" t="s">
        <v>410</v>
      </c>
      <c r="AA63" t="s">
        <v>411</v>
      </c>
      <c r="AB63" t="s">
        <v>554</v>
      </c>
      <c r="AC63" t="s">
        <v>411</v>
      </c>
      <c r="AD63">
        <v>46083</v>
      </c>
      <c r="AE63">
        <v>46139</v>
      </c>
      <c r="AF63">
        <v>46090</v>
      </c>
      <c r="AG63" t="s">
        <v>590</v>
      </c>
      <c r="AH63">
        <v>6130100</v>
      </c>
      <c r="AI63">
        <v>46087</v>
      </c>
      <c r="AJ63">
        <v>46088</v>
      </c>
      <c r="AK63">
        <v>30000</v>
      </c>
      <c r="AL63" t="s">
        <v>396</v>
      </c>
      <c r="AM63" t="s">
        <v>744</v>
      </c>
      <c r="AN63">
        <v>46088</v>
      </c>
      <c r="AO63">
        <v>46088.584745370368</v>
      </c>
      <c r="AP63" t="s">
        <v>51</v>
      </c>
      <c r="AQ63">
        <v>4.1000000000000002E-2</v>
      </c>
      <c r="AR63">
        <v>1230</v>
      </c>
      <c r="AS63" t="s">
        <v>51</v>
      </c>
      <c r="AT63">
        <v>1230</v>
      </c>
      <c r="AU63" t="s">
        <v>415</v>
      </c>
      <c r="AV63" t="s">
        <v>557</v>
      </c>
      <c r="AW63" t="s">
        <v>558</v>
      </c>
      <c r="AX63">
        <v>46092</v>
      </c>
      <c r="AY63">
        <v>46141</v>
      </c>
      <c r="AZ63" t="s">
        <v>559</v>
      </c>
      <c r="BA63" t="s">
        <v>560</v>
      </c>
      <c r="BB63" t="s">
        <v>561</v>
      </c>
      <c r="BC63">
        <v>1000</v>
      </c>
      <c r="BD63" t="s">
        <v>521</v>
      </c>
      <c r="BE63">
        <v>7.8540000000000001</v>
      </c>
      <c r="BF63">
        <v>7.5259999999999998</v>
      </c>
      <c r="BG63" t="s">
        <v>522</v>
      </c>
      <c r="BH63">
        <v>296</v>
      </c>
      <c r="BI63">
        <v>195</v>
      </c>
      <c r="BJ63">
        <v>145</v>
      </c>
      <c r="BK63">
        <v>12</v>
      </c>
      <c r="BL63" t="s">
        <v>521</v>
      </c>
      <c r="BM63">
        <v>102.248</v>
      </c>
      <c r="BN63">
        <v>90.311999999999998</v>
      </c>
      <c r="BO63">
        <v>259.62</v>
      </c>
      <c r="BP63" t="s">
        <v>522</v>
      </c>
      <c r="BQ63">
        <v>800</v>
      </c>
      <c r="BR63">
        <v>300</v>
      </c>
      <c r="BS63">
        <v>608</v>
      </c>
      <c r="BT63">
        <v>2</v>
      </c>
      <c r="BU63">
        <v>1</v>
      </c>
      <c r="BV63">
        <v>3</v>
      </c>
      <c r="BW63">
        <v>30</v>
      </c>
      <c r="BX63">
        <v>0</v>
      </c>
      <c r="BY63">
        <v>30</v>
      </c>
      <c r="BZ63">
        <v>24000</v>
      </c>
      <c r="CA63">
        <v>6000</v>
      </c>
      <c r="CB63">
        <v>30000</v>
      </c>
      <c r="CC63">
        <v>225.78</v>
      </c>
      <c r="CD63" t="s">
        <v>523</v>
      </c>
      <c r="CE63" t="s">
        <v>728</v>
      </c>
      <c r="CG63" t="s">
        <v>421</v>
      </c>
      <c r="CJ63" t="str">
        <v>WHSU6740607</v>
      </c>
      <c r="CN63" t="str">
        <v>M01</v>
      </c>
      <c r="CO63" t="str">
        <v>1301-1030479EN</v>
      </c>
      <c r="CP63" t="str">
        <v>CCLU7843605</v>
      </c>
      <c r="CQ63" s="23">
        <v>737.44</v>
      </c>
      <c r="CR63" s="25">
        <f t="shared" si="0"/>
        <v>6.6699834337524494E-2</v>
      </c>
      <c r="CS63" s="21">
        <f t="shared" si="1"/>
        <v>166.74958584381125</v>
      </c>
      <c r="CU63" s="23"/>
    </row>
    <row r="64" spans="2:99" x14ac:dyDescent="0.35">
      <c r="B64" t="s">
        <v>295</v>
      </c>
      <c r="C64" t="s">
        <v>745</v>
      </c>
      <c r="D64" t="s">
        <v>395</v>
      </c>
      <c r="E64" t="s">
        <v>395</v>
      </c>
      <c r="F64" t="s">
        <v>396</v>
      </c>
      <c r="G64" t="s">
        <v>397</v>
      </c>
      <c r="H64" t="s">
        <v>398</v>
      </c>
      <c r="I64" t="s">
        <v>399</v>
      </c>
      <c r="J64" t="s">
        <v>400</v>
      </c>
      <c r="K64" t="s">
        <v>607</v>
      </c>
      <c r="L64" t="s">
        <v>746</v>
      </c>
      <c r="M64" t="s">
        <v>403</v>
      </c>
      <c r="N64">
        <v>1</v>
      </c>
      <c r="O64">
        <v>1</v>
      </c>
      <c r="P64" t="s">
        <v>730</v>
      </c>
      <c r="Q64" t="s">
        <v>430</v>
      </c>
      <c r="R64" t="s">
        <v>731</v>
      </c>
      <c r="S64" t="s">
        <v>732</v>
      </c>
      <c r="T64" t="s">
        <v>408</v>
      </c>
      <c r="U64">
        <v>50950081542</v>
      </c>
      <c r="W64">
        <v>25600</v>
      </c>
      <c r="X64" t="s">
        <v>409</v>
      </c>
      <c r="Y64" t="s">
        <v>410</v>
      </c>
      <c r="Z64" t="s">
        <v>410</v>
      </c>
      <c r="AA64" t="s">
        <v>411</v>
      </c>
      <c r="AB64" t="s">
        <v>554</v>
      </c>
      <c r="AC64" t="s">
        <v>411</v>
      </c>
      <c r="AD64">
        <v>46080</v>
      </c>
      <c r="AE64">
        <v>46111</v>
      </c>
      <c r="AF64">
        <v>46090</v>
      </c>
      <c r="AG64" t="s">
        <v>590</v>
      </c>
      <c r="AH64">
        <v>6130101</v>
      </c>
      <c r="AI64">
        <v>46087</v>
      </c>
      <c r="AJ64">
        <v>46088</v>
      </c>
      <c r="AK64">
        <v>25600</v>
      </c>
      <c r="AL64" t="s">
        <v>396</v>
      </c>
      <c r="AM64" t="s">
        <v>747</v>
      </c>
      <c r="AN64">
        <v>46088</v>
      </c>
      <c r="AO64">
        <v>46088.584745370368</v>
      </c>
      <c r="AP64" t="s">
        <v>51</v>
      </c>
      <c r="AQ64">
        <v>7.6119999999999993E-2</v>
      </c>
      <c r="AR64">
        <v>1948.67</v>
      </c>
      <c r="AS64" t="s">
        <v>51</v>
      </c>
      <c r="AT64">
        <v>1948.67</v>
      </c>
      <c r="AU64" t="s">
        <v>415</v>
      </c>
      <c r="AV64" t="s">
        <v>557</v>
      </c>
      <c r="AW64" t="s">
        <v>558</v>
      </c>
      <c r="AX64">
        <v>46092</v>
      </c>
      <c r="AY64">
        <v>46141</v>
      </c>
      <c r="AZ64" t="s">
        <v>559</v>
      </c>
      <c r="BA64" t="s">
        <v>560</v>
      </c>
      <c r="BB64" t="s">
        <v>561</v>
      </c>
      <c r="BC64">
        <v>1600</v>
      </c>
      <c r="BD64" t="s">
        <v>521</v>
      </c>
      <c r="BE64">
        <v>13.2516</v>
      </c>
      <c r="BF64">
        <v>11.101599999999999</v>
      </c>
      <c r="BG64" t="s">
        <v>522</v>
      </c>
      <c r="BH64">
        <v>395</v>
      </c>
      <c r="BI64">
        <v>295</v>
      </c>
      <c r="BJ64">
        <v>100</v>
      </c>
      <c r="BK64">
        <v>12</v>
      </c>
      <c r="BL64" t="s">
        <v>521</v>
      </c>
      <c r="BM64">
        <v>167.01920000000001</v>
      </c>
      <c r="BN64">
        <v>133.2192</v>
      </c>
      <c r="BO64">
        <v>228.0256</v>
      </c>
      <c r="BP64" t="s">
        <v>522</v>
      </c>
      <c r="BQ64">
        <v>800</v>
      </c>
      <c r="BR64">
        <v>300</v>
      </c>
      <c r="BS64">
        <v>758</v>
      </c>
      <c r="BT64">
        <v>1</v>
      </c>
      <c r="BU64">
        <v>1</v>
      </c>
      <c r="BV64">
        <v>2</v>
      </c>
      <c r="BW64">
        <v>16</v>
      </c>
      <c r="BX64">
        <v>0</v>
      </c>
      <c r="BY64">
        <v>16</v>
      </c>
      <c r="BZ64">
        <v>19200</v>
      </c>
      <c r="CA64">
        <v>6400</v>
      </c>
      <c r="CB64">
        <v>25600</v>
      </c>
      <c r="CC64">
        <v>177.62559999999999</v>
      </c>
      <c r="CD64" t="s">
        <v>734</v>
      </c>
      <c r="CE64" t="s">
        <v>735</v>
      </c>
      <c r="CG64" t="s">
        <v>421</v>
      </c>
      <c r="CJ64" t="str">
        <v>ZCSU7928505</v>
      </c>
      <c r="CN64" t="str">
        <v>M01</v>
      </c>
      <c r="CO64" t="str">
        <v>1301-1030479EN</v>
      </c>
      <c r="CP64" t="str">
        <v>CCLU7843605</v>
      </c>
      <c r="CQ64" s="23">
        <v>368.72</v>
      </c>
      <c r="CR64" s="25">
        <f t="shared" si="0"/>
        <v>3.3349917168762247E-2</v>
      </c>
      <c r="CS64" s="21">
        <f t="shared" si="1"/>
        <v>83.374792921905623</v>
      </c>
      <c r="CU64" s="23"/>
    </row>
    <row r="65" spans="2:99" x14ac:dyDescent="0.35">
      <c r="B65" s="34" t="s">
        <v>295</v>
      </c>
      <c r="C65" t="s">
        <v>748</v>
      </c>
      <c r="D65" t="s">
        <v>395</v>
      </c>
      <c r="E65" t="s">
        <v>395</v>
      </c>
      <c r="F65" t="s">
        <v>396</v>
      </c>
      <c r="G65" t="s">
        <v>397</v>
      </c>
      <c r="H65" t="s">
        <v>398</v>
      </c>
      <c r="I65" t="s">
        <v>399</v>
      </c>
      <c r="J65" t="s">
        <v>749</v>
      </c>
      <c r="K65" t="s">
        <v>629</v>
      </c>
      <c r="L65" t="s">
        <v>750</v>
      </c>
      <c r="M65" t="s">
        <v>751</v>
      </c>
      <c r="N65">
        <v>1</v>
      </c>
      <c r="O65">
        <v>1</v>
      </c>
      <c r="P65" t="s">
        <v>752</v>
      </c>
      <c r="Q65" t="s">
        <v>424</v>
      </c>
      <c r="R65" t="s">
        <v>753</v>
      </c>
      <c r="S65" t="s">
        <v>426</v>
      </c>
      <c r="T65" t="s">
        <v>408</v>
      </c>
      <c r="U65">
        <v>50950081584</v>
      </c>
      <c r="W65">
        <v>3000</v>
      </c>
      <c r="X65" t="s">
        <v>448</v>
      </c>
      <c r="Y65" t="s">
        <v>410</v>
      </c>
      <c r="Z65" t="s">
        <v>410</v>
      </c>
      <c r="AA65" t="s">
        <v>411</v>
      </c>
      <c r="AB65" t="s">
        <v>412</v>
      </c>
      <c r="AC65" t="s">
        <v>411</v>
      </c>
      <c r="AD65">
        <v>46080</v>
      </c>
      <c r="AE65">
        <v>46083</v>
      </c>
      <c r="AF65">
        <v>46082</v>
      </c>
      <c r="AG65" t="s">
        <v>754</v>
      </c>
      <c r="AH65">
        <v>6119042</v>
      </c>
      <c r="AI65">
        <v>46080</v>
      </c>
      <c r="AJ65">
        <v>46083</v>
      </c>
      <c r="AK65">
        <v>3000</v>
      </c>
      <c r="AL65" t="s">
        <v>396</v>
      </c>
      <c r="AM65" t="s">
        <v>755</v>
      </c>
      <c r="AN65">
        <v>46083</v>
      </c>
      <c r="AO65">
        <v>46083.384664351855</v>
      </c>
      <c r="AP65" t="s">
        <v>51</v>
      </c>
      <c r="AQ65">
        <v>0.12189</v>
      </c>
      <c r="AR65">
        <v>365.67</v>
      </c>
      <c r="AS65" t="s">
        <v>51</v>
      </c>
      <c r="AT65">
        <v>365.67</v>
      </c>
      <c r="AU65" t="s">
        <v>450</v>
      </c>
      <c r="AV65" t="s">
        <v>756</v>
      </c>
      <c r="AW65" t="s">
        <v>757</v>
      </c>
      <c r="AX65">
        <v>46084</v>
      </c>
      <c r="AY65">
        <v>46090</v>
      </c>
      <c r="BA65" t="s">
        <v>448</v>
      </c>
      <c r="BB65" t="s">
        <v>758</v>
      </c>
      <c r="BC65">
        <v>1200</v>
      </c>
      <c r="BD65" t="s">
        <v>521</v>
      </c>
      <c r="BE65">
        <v>2.8952</v>
      </c>
      <c r="BF65">
        <v>2.0952000000000002</v>
      </c>
      <c r="BG65" t="s">
        <v>522</v>
      </c>
      <c r="BH65">
        <v>395</v>
      </c>
      <c r="BI65">
        <v>295</v>
      </c>
      <c r="BJ65">
        <v>210</v>
      </c>
      <c r="BK65">
        <v>32</v>
      </c>
      <c r="BL65" t="s">
        <v>521</v>
      </c>
      <c r="BM65">
        <v>37.637999999999998</v>
      </c>
      <c r="BN65">
        <v>5.2380000000000004</v>
      </c>
      <c r="BO65">
        <v>37.637999999999998</v>
      </c>
      <c r="BP65" t="s">
        <v>522</v>
      </c>
      <c r="BQ65">
        <v>1200</v>
      </c>
      <c r="BR65">
        <v>800</v>
      </c>
      <c r="BS65">
        <v>1000</v>
      </c>
      <c r="BT65">
        <v>0</v>
      </c>
      <c r="BU65">
        <v>1</v>
      </c>
      <c r="BV65">
        <v>1</v>
      </c>
      <c r="BW65">
        <v>2</v>
      </c>
      <c r="BX65">
        <v>1</v>
      </c>
      <c r="BY65">
        <v>3</v>
      </c>
      <c r="BZ65">
        <v>0</v>
      </c>
      <c r="CA65">
        <v>3000</v>
      </c>
      <c r="CB65">
        <v>3000</v>
      </c>
      <c r="CC65">
        <v>5.2380000000000004</v>
      </c>
      <c r="CD65" t="s">
        <v>759</v>
      </c>
      <c r="CE65" t="s">
        <v>760</v>
      </c>
      <c r="CG65" t="s">
        <v>421</v>
      </c>
      <c r="CN65" t="str">
        <v>M01</v>
      </c>
      <c r="CO65" t="str">
        <v>1301-1030476EN</v>
      </c>
      <c r="CP65" t="str">
        <v>CCLU7843605</v>
      </c>
      <c r="CQ65" s="23">
        <v>1474.88</v>
      </c>
      <c r="CR65" s="25">
        <f t="shared" si="0"/>
        <v>0.13339966867504899</v>
      </c>
      <c r="CS65" s="21">
        <f t="shared" si="1"/>
        <v>333.49917168762249</v>
      </c>
      <c r="CU65" s="23"/>
    </row>
    <row r="66" spans="2:99" x14ac:dyDescent="0.35">
      <c r="B66" s="34" t="s">
        <v>295</v>
      </c>
      <c r="C66" t="s">
        <v>761</v>
      </c>
      <c r="D66" t="s">
        <v>395</v>
      </c>
      <c r="E66" t="s">
        <v>395</v>
      </c>
      <c r="F66" t="s">
        <v>396</v>
      </c>
      <c r="G66" t="s">
        <v>397</v>
      </c>
      <c r="H66" t="s">
        <v>398</v>
      </c>
      <c r="I66" t="s">
        <v>399</v>
      </c>
      <c r="J66" t="s">
        <v>749</v>
      </c>
      <c r="K66" t="s">
        <v>629</v>
      </c>
      <c r="L66" t="s">
        <v>750</v>
      </c>
      <c r="M66" t="s">
        <v>751</v>
      </c>
      <c r="N66">
        <v>1</v>
      </c>
      <c r="O66">
        <v>1</v>
      </c>
      <c r="P66" t="s">
        <v>762</v>
      </c>
      <c r="Q66" t="s">
        <v>424</v>
      </c>
      <c r="R66" t="s">
        <v>753</v>
      </c>
      <c r="S66" t="s">
        <v>426</v>
      </c>
      <c r="T66" t="s">
        <v>408</v>
      </c>
      <c r="U66">
        <v>50950081895</v>
      </c>
      <c r="W66">
        <v>8000</v>
      </c>
      <c r="X66" t="s">
        <v>448</v>
      </c>
      <c r="Y66" t="s">
        <v>410</v>
      </c>
      <c r="Z66" t="s">
        <v>410</v>
      </c>
      <c r="AA66" t="s">
        <v>411</v>
      </c>
      <c r="AB66" t="s">
        <v>412</v>
      </c>
      <c r="AC66" t="s">
        <v>411</v>
      </c>
      <c r="AD66">
        <v>46080</v>
      </c>
      <c r="AE66">
        <v>46104</v>
      </c>
      <c r="AF66">
        <v>46082</v>
      </c>
      <c r="AG66" t="s">
        <v>754</v>
      </c>
      <c r="AH66">
        <v>6119043</v>
      </c>
      <c r="AI66">
        <v>46080</v>
      </c>
      <c r="AJ66">
        <v>46083</v>
      </c>
      <c r="AK66">
        <v>8000</v>
      </c>
      <c r="AL66" t="s">
        <v>396</v>
      </c>
      <c r="AM66" t="s">
        <v>763</v>
      </c>
      <c r="AN66">
        <v>46083</v>
      </c>
      <c r="AO66">
        <v>46083.384664351855</v>
      </c>
      <c r="AP66" t="s">
        <v>51</v>
      </c>
      <c r="AQ66">
        <v>3.107E-2</v>
      </c>
      <c r="AR66">
        <v>248.56</v>
      </c>
      <c r="AS66" t="s">
        <v>51</v>
      </c>
      <c r="AT66">
        <v>248.56</v>
      </c>
      <c r="AU66" t="s">
        <v>450</v>
      </c>
      <c r="AV66" t="s">
        <v>756</v>
      </c>
      <c r="AW66" t="s">
        <v>764</v>
      </c>
      <c r="AX66">
        <v>46084</v>
      </c>
      <c r="AY66">
        <v>46090</v>
      </c>
      <c r="BA66" t="s">
        <v>448</v>
      </c>
      <c r="BB66" t="s">
        <v>758</v>
      </c>
      <c r="BC66">
        <v>8000</v>
      </c>
      <c r="BD66" t="s">
        <v>521</v>
      </c>
      <c r="BE66">
        <v>3.8079999999999998</v>
      </c>
      <c r="BF66">
        <v>3.008</v>
      </c>
      <c r="BG66" t="s">
        <v>522</v>
      </c>
      <c r="BH66">
        <v>395</v>
      </c>
      <c r="BI66">
        <v>295</v>
      </c>
      <c r="BJ66">
        <v>210</v>
      </c>
      <c r="BK66">
        <v>6</v>
      </c>
      <c r="BL66" t="s">
        <v>521</v>
      </c>
      <c r="BM66">
        <v>11.808</v>
      </c>
      <c r="BN66">
        <v>3.008</v>
      </c>
      <c r="BO66">
        <v>11.808</v>
      </c>
      <c r="BP66" t="s">
        <v>522</v>
      </c>
      <c r="BQ66">
        <v>800</v>
      </c>
      <c r="BR66">
        <v>300</v>
      </c>
      <c r="BS66">
        <v>790</v>
      </c>
      <c r="BT66">
        <v>0</v>
      </c>
      <c r="BU66">
        <v>1</v>
      </c>
      <c r="BV66">
        <v>1</v>
      </c>
      <c r="BW66">
        <v>1</v>
      </c>
      <c r="BX66">
        <v>0</v>
      </c>
      <c r="BY66">
        <v>1</v>
      </c>
      <c r="BZ66">
        <v>0</v>
      </c>
      <c r="CA66">
        <v>8000</v>
      </c>
      <c r="CB66">
        <v>8000</v>
      </c>
      <c r="CC66">
        <v>3.008</v>
      </c>
      <c r="CD66" t="s">
        <v>626</v>
      </c>
      <c r="CE66" t="s">
        <v>760</v>
      </c>
      <c r="CG66" t="s">
        <v>421</v>
      </c>
      <c r="CN66" t="str">
        <v>M45</v>
      </c>
      <c r="CO66" t="str">
        <v>1205-10C0010EN</v>
      </c>
      <c r="CP66" t="str">
        <v>CSGU2004557</v>
      </c>
      <c r="CQ66" s="23">
        <v>0.1</v>
      </c>
      <c r="CR66" s="25">
        <f t="shared" si="0"/>
        <v>1.3826453066667527E-5</v>
      </c>
      <c r="CS66" s="21">
        <f t="shared" si="1"/>
        <v>3.4566132666668817E-2</v>
      </c>
      <c r="CU66" s="23"/>
    </row>
    <row r="67" spans="2:99" x14ac:dyDescent="0.35">
      <c r="B67" t="s">
        <v>297</v>
      </c>
      <c r="C67" t="s">
        <v>765</v>
      </c>
      <c r="D67" t="s">
        <v>549</v>
      </c>
      <c r="E67" t="s">
        <v>395</v>
      </c>
      <c r="F67" t="s">
        <v>396</v>
      </c>
      <c r="G67" t="s">
        <v>397</v>
      </c>
      <c r="H67" t="s">
        <v>398</v>
      </c>
      <c r="I67" t="s">
        <v>399</v>
      </c>
      <c r="J67" t="s">
        <v>749</v>
      </c>
      <c r="K67" t="s">
        <v>401</v>
      </c>
      <c r="L67" t="s">
        <v>766</v>
      </c>
      <c r="M67" t="s">
        <v>403</v>
      </c>
      <c r="N67">
        <v>1</v>
      </c>
      <c r="O67">
        <v>3</v>
      </c>
      <c r="P67" t="s">
        <v>767</v>
      </c>
      <c r="Q67" t="s">
        <v>424</v>
      </c>
      <c r="R67" t="s">
        <v>552</v>
      </c>
      <c r="S67" t="s">
        <v>768</v>
      </c>
      <c r="T67" t="s">
        <v>408</v>
      </c>
      <c r="U67">
        <v>50950080607</v>
      </c>
      <c r="W67">
        <v>46080</v>
      </c>
      <c r="X67" t="s">
        <v>409</v>
      </c>
      <c r="Y67" t="s">
        <v>410</v>
      </c>
      <c r="Z67" t="s">
        <v>410</v>
      </c>
      <c r="AA67" t="s">
        <v>411</v>
      </c>
      <c r="AB67" t="s">
        <v>769</v>
      </c>
      <c r="AC67" t="s">
        <v>411</v>
      </c>
      <c r="AD67">
        <v>46074</v>
      </c>
      <c r="AE67">
        <v>46132</v>
      </c>
      <c r="AF67">
        <v>46090</v>
      </c>
      <c r="AG67" t="s">
        <v>770</v>
      </c>
      <c r="AH67">
        <v>6123114</v>
      </c>
      <c r="AI67">
        <v>46083</v>
      </c>
      <c r="AJ67">
        <v>46084</v>
      </c>
      <c r="AK67">
        <v>46080</v>
      </c>
      <c r="AL67" t="s">
        <v>396</v>
      </c>
      <c r="AM67" t="s">
        <v>771</v>
      </c>
      <c r="AN67">
        <v>46084</v>
      </c>
      <c r="AO67">
        <v>46084.447222222225</v>
      </c>
      <c r="AP67" t="s">
        <v>51</v>
      </c>
      <c r="AQ67">
        <v>0.18359</v>
      </c>
      <c r="AR67">
        <v>8459.84</v>
      </c>
      <c r="AS67" t="s">
        <v>51</v>
      </c>
      <c r="AT67">
        <v>8459.84</v>
      </c>
      <c r="AU67" t="s">
        <v>415</v>
      </c>
      <c r="AV67" t="s">
        <v>772</v>
      </c>
      <c r="AW67" t="s">
        <v>773</v>
      </c>
      <c r="AX67">
        <v>46089</v>
      </c>
      <c r="AY67">
        <v>46138</v>
      </c>
      <c r="AZ67" t="s">
        <v>774</v>
      </c>
      <c r="BA67" t="s">
        <v>560</v>
      </c>
      <c r="BB67" t="s">
        <v>775</v>
      </c>
      <c r="BC67">
        <v>240</v>
      </c>
      <c r="BD67" t="s">
        <v>521</v>
      </c>
      <c r="BE67">
        <v>2.5634000000000001</v>
      </c>
      <c r="BF67">
        <v>1.2864</v>
      </c>
      <c r="BG67" t="s">
        <v>522</v>
      </c>
      <c r="BH67">
        <v>340</v>
      </c>
      <c r="BI67">
        <v>250</v>
      </c>
      <c r="BJ67">
        <v>230</v>
      </c>
      <c r="BK67">
        <v>48</v>
      </c>
      <c r="BL67" t="s">
        <v>521</v>
      </c>
      <c r="BM67">
        <v>144.04320000000001</v>
      </c>
      <c r="BN67">
        <v>61.747199999999999</v>
      </c>
      <c r="BO67">
        <v>576.17280000000005</v>
      </c>
      <c r="BP67" t="s">
        <v>522</v>
      </c>
      <c r="BQ67">
        <v>1066</v>
      </c>
      <c r="BR67">
        <v>1066</v>
      </c>
      <c r="BS67">
        <v>1080</v>
      </c>
      <c r="BT67">
        <v>4</v>
      </c>
      <c r="BU67">
        <v>0</v>
      </c>
      <c r="BV67">
        <v>4</v>
      </c>
      <c r="BW67">
        <v>192</v>
      </c>
      <c r="BX67">
        <v>0</v>
      </c>
      <c r="BY67">
        <v>192</v>
      </c>
      <c r="BZ67">
        <v>46080</v>
      </c>
      <c r="CA67">
        <v>0</v>
      </c>
      <c r="CB67">
        <v>46080</v>
      </c>
      <c r="CC67">
        <v>246.9888</v>
      </c>
      <c r="CD67" t="s">
        <v>562</v>
      </c>
      <c r="CE67" t="s">
        <v>563</v>
      </c>
      <c r="CG67" t="s">
        <v>421</v>
      </c>
      <c r="CN67" t="str">
        <v>M45</v>
      </c>
      <c r="CO67" t="str">
        <v>1205-10C0010EN</v>
      </c>
      <c r="CP67" t="str">
        <v>CSGU2004557</v>
      </c>
      <c r="CQ67" s="23">
        <v>0.1</v>
      </c>
      <c r="CR67" s="25">
        <f t="shared" si="0"/>
        <v>1.3826453066667527E-5</v>
      </c>
      <c r="CS67" s="21">
        <f t="shared" si="1"/>
        <v>3.4566132666668817E-2</v>
      </c>
    </row>
    <row r="68" spans="2:99" x14ac:dyDescent="0.35">
      <c r="B68" t="s">
        <v>299</v>
      </c>
      <c r="C68" t="s">
        <v>776</v>
      </c>
      <c r="D68" t="s">
        <v>395</v>
      </c>
      <c r="E68" t="s">
        <v>395</v>
      </c>
      <c r="F68" t="s">
        <v>396</v>
      </c>
      <c r="G68" t="s">
        <v>397</v>
      </c>
      <c r="H68" t="s">
        <v>398</v>
      </c>
      <c r="I68" t="s">
        <v>399</v>
      </c>
      <c r="J68" t="s">
        <v>749</v>
      </c>
      <c r="K68" t="s">
        <v>777</v>
      </c>
      <c r="L68" t="s">
        <v>778</v>
      </c>
      <c r="M68" t="s">
        <v>403</v>
      </c>
      <c r="N68">
        <v>1</v>
      </c>
      <c r="O68">
        <v>1</v>
      </c>
      <c r="P68" t="s">
        <v>779</v>
      </c>
      <c r="Q68" t="s">
        <v>587</v>
      </c>
      <c r="R68" t="s">
        <v>536</v>
      </c>
      <c r="S68" t="s">
        <v>780</v>
      </c>
      <c r="T68" t="s">
        <v>408</v>
      </c>
      <c r="U68">
        <v>50950076748</v>
      </c>
      <c r="W68">
        <v>8064</v>
      </c>
      <c r="X68" t="s">
        <v>409</v>
      </c>
      <c r="Y68" t="s">
        <v>410</v>
      </c>
      <c r="Z68" t="s">
        <v>410</v>
      </c>
      <c r="AA68" t="s">
        <v>411</v>
      </c>
      <c r="AB68" t="s">
        <v>769</v>
      </c>
      <c r="AC68" t="s">
        <v>411</v>
      </c>
      <c r="AD68">
        <v>46083</v>
      </c>
      <c r="AE68">
        <v>46139</v>
      </c>
      <c r="AF68">
        <v>46090</v>
      </c>
      <c r="AG68" t="s">
        <v>781</v>
      </c>
      <c r="AH68">
        <v>6123115</v>
      </c>
      <c r="AI68">
        <v>46083</v>
      </c>
      <c r="AJ68">
        <v>46084</v>
      </c>
      <c r="AK68">
        <v>8064</v>
      </c>
      <c r="AL68" t="s">
        <v>396</v>
      </c>
      <c r="AM68" t="s">
        <v>782</v>
      </c>
      <c r="AN68">
        <v>46084</v>
      </c>
      <c r="AO68">
        <v>46084.447222222225</v>
      </c>
      <c r="AP68" t="s">
        <v>51</v>
      </c>
      <c r="AQ68">
        <v>2.1913299999999998</v>
      </c>
      <c r="AR68">
        <v>17670.88</v>
      </c>
      <c r="AS68" t="s">
        <v>51</v>
      </c>
      <c r="AT68">
        <v>17670.88</v>
      </c>
      <c r="AU68" t="s">
        <v>415</v>
      </c>
      <c r="AV68" t="s">
        <v>772</v>
      </c>
      <c r="AW68" t="s">
        <v>773</v>
      </c>
      <c r="AX68">
        <v>46089</v>
      </c>
      <c r="AY68">
        <v>46138</v>
      </c>
      <c r="AZ68" t="s">
        <v>774</v>
      </c>
      <c r="BA68" t="s">
        <v>560</v>
      </c>
      <c r="BB68" t="s">
        <v>775</v>
      </c>
      <c r="BC68">
        <v>28</v>
      </c>
      <c r="BD68" t="s">
        <v>521</v>
      </c>
      <c r="BE68">
        <v>4.1197999999999997</v>
      </c>
      <c r="BF68">
        <v>2.2568000000000001</v>
      </c>
      <c r="BG68" t="s">
        <v>522</v>
      </c>
      <c r="BH68">
        <v>795</v>
      </c>
      <c r="BI68">
        <v>395</v>
      </c>
      <c r="BJ68">
        <v>145</v>
      </c>
      <c r="BK68">
        <v>18</v>
      </c>
      <c r="BL68" t="s">
        <v>521</v>
      </c>
      <c r="BM68">
        <v>99.156400000000005</v>
      </c>
      <c r="BN68">
        <v>40.622399999999999</v>
      </c>
      <c r="BO68">
        <v>1586.5024000000001</v>
      </c>
      <c r="BP68" t="s">
        <v>522</v>
      </c>
      <c r="BQ68">
        <v>1200</v>
      </c>
      <c r="BR68">
        <v>800</v>
      </c>
      <c r="BS68">
        <v>1030</v>
      </c>
      <c r="BT68">
        <v>16</v>
      </c>
      <c r="BU68">
        <v>0</v>
      </c>
      <c r="BV68">
        <v>16</v>
      </c>
      <c r="BW68">
        <v>288</v>
      </c>
      <c r="BX68">
        <v>0</v>
      </c>
      <c r="BY68">
        <v>288</v>
      </c>
      <c r="BZ68">
        <v>8064</v>
      </c>
      <c r="CA68">
        <v>0</v>
      </c>
      <c r="CB68">
        <v>8064</v>
      </c>
      <c r="CC68">
        <v>649.95839999999998</v>
      </c>
      <c r="CD68" t="s">
        <v>783</v>
      </c>
      <c r="CE68" t="s">
        <v>784</v>
      </c>
      <c r="CG68" t="s">
        <v>421</v>
      </c>
      <c r="CN68" t="str">
        <v>M46</v>
      </c>
      <c r="CO68" t="str">
        <v>1123-1060052EN</v>
      </c>
      <c r="CP68" t="str">
        <v>CSGU2004557</v>
      </c>
      <c r="CQ68" s="23">
        <v>637.71168</v>
      </c>
      <c r="CR68" s="25">
        <f t="shared" si="0"/>
        <v>8.8172906135857002E-2</v>
      </c>
      <c r="CS68" s="21">
        <f t="shared" si="1"/>
        <v>220.4322653396425</v>
      </c>
    </row>
    <row r="69" spans="2:99" x14ac:dyDescent="0.35">
      <c r="B69" t="s">
        <v>297</v>
      </c>
      <c r="C69" t="s">
        <v>785</v>
      </c>
      <c r="D69" t="s">
        <v>395</v>
      </c>
      <c r="E69" t="s">
        <v>395</v>
      </c>
      <c r="F69" t="s">
        <v>396</v>
      </c>
      <c r="G69" t="s">
        <v>397</v>
      </c>
      <c r="H69" t="s">
        <v>398</v>
      </c>
      <c r="I69" t="s">
        <v>399</v>
      </c>
      <c r="J69" t="s">
        <v>749</v>
      </c>
      <c r="K69" t="s">
        <v>786</v>
      </c>
      <c r="L69" t="s">
        <v>787</v>
      </c>
      <c r="M69" t="s">
        <v>403</v>
      </c>
      <c r="N69">
        <v>1</v>
      </c>
      <c r="O69">
        <v>2</v>
      </c>
      <c r="P69" t="s">
        <v>788</v>
      </c>
      <c r="Q69" t="s">
        <v>789</v>
      </c>
      <c r="R69" t="s">
        <v>790</v>
      </c>
      <c r="S69" t="s">
        <v>791</v>
      </c>
      <c r="T69" t="s">
        <v>408</v>
      </c>
      <c r="U69">
        <v>50950072176</v>
      </c>
      <c r="W69">
        <v>8640</v>
      </c>
      <c r="X69" t="s">
        <v>409</v>
      </c>
      <c r="Y69" t="s">
        <v>410</v>
      </c>
      <c r="Z69" t="s">
        <v>410</v>
      </c>
      <c r="AA69" t="s">
        <v>411</v>
      </c>
      <c r="AB69" t="s">
        <v>769</v>
      </c>
      <c r="AC69" t="s">
        <v>411</v>
      </c>
      <c r="AD69">
        <v>46076</v>
      </c>
      <c r="AE69">
        <v>46076</v>
      </c>
      <c r="AF69">
        <v>46090</v>
      </c>
      <c r="AG69" t="s">
        <v>754</v>
      </c>
      <c r="AH69">
        <v>6123116</v>
      </c>
      <c r="AI69">
        <v>46083</v>
      </c>
      <c r="AJ69">
        <v>46084</v>
      </c>
      <c r="AK69">
        <v>8640</v>
      </c>
      <c r="AL69" t="s">
        <v>396</v>
      </c>
      <c r="AM69" t="s">
        <v>792</v>
      </c>
      <c r="AN69">
        <v>46084</v>
      </c>
      <c r="AO69">
        <v>46084.447222222225</v>
      </c>
      <c r="AP69" t="s">
        <v>51</v>
      </c>
      <c r="AQ69">
        <v>1.3860399999999999</v>
      </c>
      <c r="AR69">
        <v>11975.38</v>
      </c>
      <c r="AS69" t="s">
        <v>51</v>
      </c>
      <c r="AT69">
        <v>11975.38</v>
      </c>
      <c r="AU69" t="s">
        <v>415</v>
      </c>
      <c r="AV69" t="s">
        <v>772</v>
      </c>
      <c r="AW69" t="s">
        <v>773</v>
      </c>
      <c r="AX69">
        <v>46089</v>
      </c>
      <c r="AY69">
        <v>46138</v>
      </c>
      <c r="AZ69" t="s">
        <v>774</v>
      </c>
      <c r="BA69" t="s">
        <v>560</v>
      </c>
      <c r="BB69" t="s">
        <v>775</v>
      </c>
      <c r="BC69">
        <v>108</v>
      </c>
      <c r="BD69" t="s">
        <v>521</v>
      </c>
      <c r="BE69">
        <v>2.8953000000000002</v>
      </c>
      <c r="BF69">
        <v>1.8403</v>
      </c>
      <c r="BG69" t="s">
        <v>522</v>
      </c>
      <c r="BH69">
        <v>495</v>
      </c>
      <c r="BI69">
        <v>295</v>
      </c>
      <c r="BJ69">
        <v>180</v>
      </c>
      <c r="BK69">
        <v>40</v>
      </c>
      <c r="BL69" t="s">
        <v>521</v>
      </c>
      <c r="BM69">
        <v>142.81200000000001</v>
      </c>
      <c r="BN69">
        <v>73.611999999999995</v>
      </c>
      <c r="BO69">
        <v>285.62560000000002</v>
      </c>
      <c r="BP69" t="s">
        <v>522</v>
      </c>
      <c r="BQ69">
        <v>1200</v>
      </c>
      <c r="BR69">
        <v>1000</v>
      </c>
      <c r="BS69">
        <v>1060</v>
      </c>
      <c r="BT69">
        <v>2</v>
      </c>
      <c r="BU69">
        <v>0</v>
      </c>
      <c r="BV69">
        <v>2</v>
      </c>
      <c r="BW69">
        <v>80</v>
      </c>
      <c r="BX69">
        <v>0</v>
      </c>
      <c r="BY69">
        <v>80</v>
      </c>
      <c r="BZ69">
        <v>8640</v>
      </c>
      <c r="CA69">
        <v>0</v>
      </c>
      <c r="CB69">
        <v>8640</v>
      </c>
      <c r="CC69">
        <v>147.22559999999999</v>
      </c>
      <c r="CD69" t="s">
        <v>793</v>
      </c>
      <c r="CE69" t="s">
        <v>794</v>
      </c>
      <c r="CG69" t="s">
        <v>421</v>
      </c>
      <c r="CN69" t="str">
        <v>M19</v>
      </c>
      <c r="CO69" t="str">
        <v>1220-5YY0030EN</v>
      </c>
      <c r="CP69" t="str">
        <v>CSGU2004557</v>
      </c>
      <c r="CQ69" s="23">
        <v>639.19939999999997</v>
      </c>
      <c r="CR69" s="25">
        <f t="shared" si="0"/>
        <v>8.8378605043420433E-2</v>
      </c>
      <c r="CS69" s="21">
        <f t="shared" si="1"/>
        <v>220.94651260855107</v>
      </c>
    </row>
    <row r="70" spans="2:99" x14ac:dyDescent="0.35">
      <c r="B70" t="s">
        <v>297</v>
      </c>
      <c r="C70" t="s">
        <v>795</v>
      </c>
      <c r="D70" t="s">
        <v>395</v>
      </c>
      <c r="E70" t="s">
        <v>395</v>
      </c>
      <c r="F70" t="s">
        <v>396</v>
      </c>
      <c r="G70" t="s">
        <v>397</v>
      </c>
      <c r="H70" t="s">
        <v>398</v>
      </c>
      <c r="I70" t="s">
        <v>399</v>
      </c>
      <c r="J70" t="s">
        <v>749</v>
      </c>
      <c r="K70" t="s">
        <v>786</v>
      </c>
      <c r="L70" t="s">
        <v>787</v>
      </c>
      <c r="M70" t="s">
        <v>403</v>
      </c>
      <c r="N70">
        <v>1</v>
      </c>
      <c r="O70">
        <v>5</v>
      </c>
      <c r="P70" t="s">
        <v>796</v>
      </c>
      <c r="Q70" t="s">
        <v>637</v>
      </c>
      <c r="R70" t="s">
        <v>790</v>
      </c>
      <c r="S70" t="s">
        <v>797</v>
      </c>
      <c r="T70" t="s">
        <v>408</v>
      </c>
      <c r="U70">
        <v>50950072254</v>
      </c>
      <c r="W70">
        <v>8640</v>
      </c>
      <c r="X70" t="s">
        <v>409</v>
      </c>
      <c r="Y70" t="s">
        <v>410</v>
      </c>
      <c r="Z70" t="s">
        <v>410</v>
      </c>
      <c r="AA70" t="s">
        <v>411</v>
      </c>
      <c r="AB70" t="s">
        <v>769</v>
      </c>
      <c r="AC70" t="s">
        <v>411</v>
      </c>
      <c r="AD70">
        <v>46076</v>
      </c>
      <c r="AE70">
        <v>46111</v>
      </c>
      <c r="AF70">
        <v>46090</v>
      </c>
      <c r="AG70" t="s">
        <v>754</v>
      </c>
      <c r="AH70">
        <v>6123117</v>
      </c>
      <c r="AI70">
        <v>46083</v>
      </c>
      <c r="AJ70">
        <v>46084</v>
      </c>
      <c r="AK70">
        <v>8640</v>
      </c>
      <c r="AL70" t="s">
        <v>396</v>
      </c>
      <c r="AM70" t="s">
        <v>798</v>
      </c>
      <c r="AN70">
        <v>46084</v>
      </c>
      <c r="AO70">
        <v>46084.447222222225</v>
      </c>
      <c r="AP70" t="s">
        <v>51</v>
      </c>
      <c r="AQ70">
        <v>1.44828</v>
      </c>
      <c r="AR70">
        <v>12513.15</v>
      </c>
      <c r="AS70" t="s">
        <v>51</v>
      </c>
      <c r="AT70">
        <v>12513.15</v>
      </c>
      <c r="AU70" t="s">
        <v>415</v>
      </c>
      <c r="AV70" t="s">
        <v>772</v>
      </c>
      <c r="AW70" t="s">
        <v>773</v>
      </c>
      <c r="AX70">
        <v>46089</v>
      </c>
      <c r="AY70">
        <v>46138</v>
      </c>
      <c r="AZ70" t="s">
        <v>774</v>
      </c>
      <c r="BA70" t="s">
        <v>560</v>
      </c>
      <c r="BB70" t="s">
        <v>775</v>
      </c>
      <c r="BC70">
        <v>72</v>
      </c>
      <c r="BD70" t="s">
        <v>521</v>
      </c>
      <c r="BE70">
        <v>2.5280999999999998</v>
      </c>
      <c r="BF70">
        <v>1.3421000000000001</v>
      </c>
      <c r="BG70" t="s">
        <v>522</v>
      </c>
      <c r="BH70">
        <v>495</v>
      </c>
      <c r="BI70">
        <v>295</v>
      </c>
      <c r="BJ70">
        <v>180</v>
      </c>
      <c r="BK70">
        <v>40</v>
      </c>
      <c r="BL70" t="s">
        <v>521</v>
      </c>
      <c r="BM70">
        <v>128.124</v>
      </c>
      <c r="BN70">
        <v>53.683999999999997</v>
      </c>
      <c r="BO70">
        <v>384.36959999999999</v>
      </c>
      <c r="BP70" t="s">
        <v>522</v>
      </c>
      <c r="BQ70">
        <v>1200</v>
      </c>
      <c r="BR70">
        <v>1000</v>
      </c>
      <c r="BS70">
        <v>1058</v>
      </c>
      <c r="BT70">
        <v>3</v>
      </c>
      <c r="BU70">
        <v>0</v>
      </c>
      <c r="BV70">
        <v>3</v>
      </c>
      <c r="BW70">
        <v>120</v>
      </c>
      <c r="BX70">
        <v>0</v>
      </c>
      <c r="BY70">
        <v>120</v>
      </c>
      <c r="BZ70">
        <v>8640</v>
      </c>
      <c r="CA70">
        <v>0</v>
      </c>
      <c r="CB70">
        <v>8640</v>
      </c>
      <c r="CC70">
        <v>161.0496</v>
      </c>
      <c r="CD70" t="s">
        <v>799</v>
      </c>
      <c r="CE70" t="s">
        <v>800</v>
      </c>
      <c r="CG70" t="s">
        <v>421</v>
      </c>
      <c r="CN70" t="str">
        <v>M19</v>
      </c>
      <c r="CO70" t="str">
        <v>1220-5YY0030EN</v>
      </c>
      <c r="CP70" t="str">
        <v>CSGU2004557</v>
      </c>
      <c r="CQ70" s="23">
        <v>479.39954999999998</v>
      </c>
      <c r="CR70" s="25">
        <f t="shared" ref="CR70:CR133" si="6">IFERROR(CQ70/(SUMIFS(CQ:CQ,CP:CP,CP70)),100%)</f>
        <v>6.6283953782565325E-2</v>
      </c>
      <c r="CS70" s="21">
        <f t="shared" si="1"/>
        <v>165.70988445641331</v>
      </c>
    </row>
    <row r="71" spans="2:99" x14ac:dyDescent="0.35">
      <c r="B71" t="s">
        <v>296</v>
      </c>
      <c r="C71" t="s">
        <v>801</v>
      </c>
      <c r="D71" t="s">
        <v>395</v>
      </c>
      <c r="E71" t="s">
        <v>395</v>
      </c>
      <c r="F71" t="s">
        <v>396</v>
      </c>
      <c r="G71" t="s">
        <v>397</v>
      </c>
      <c r="H71" t="s">
        <v>398</v>
      </c>
      <c r="I71" t="s">
        <v>399</v>
      </c>
      <c r="J71" t="s">
        <v>749</v>
      </c>
      <c r="K71" t="s">
        <v>629</v>
      </c>
      <c r="L71" t="s">
        <v>787</v>
      </c>
      <c r="M71" t="s">
        <v>403</v>
      </c>
      <c r="N71">
        <v>1</v>
      </c>
      <c r="O71">
        <v>1</v>
      </c>
      <c r="P71" t="s">
        <v>802</v>
      </c>
      <c r="Q71" t="s">
        <v>405</v>
      </c>
      <c r="R71" t="s">
        <v>803</v>
      </c>
      <c r="S71" t="s">
        <v>804</v>
      </c>
      <c r="T71" t="s">
        <v>408</v>
      </c>
      <c r="U71">
        <v>50950079596</v>
      </c>
      <c r="W71">
        <v>14400</v>
      </c>
      <c r="X71" t="s">
        <v>409</v>
      </c>
      <c r="Y71" t="s">
        <v>410</v>
      </c>
      <c r="Z71" t="s">
        <v>410</v>
      </c>
      <c r="AA71" t="s">
        <v>411</v>
      </c>
      <c r="AB71" t="s">
        <v>769</v>
      </c>
      <c r="AC71" t="s">
        <v>411</v>
      </c>
      <c r="AD71">
        <v>46083</v>
      </c>
      <c r="AE71">
        <v>46153</v>
      </c>
      <c r="AF71">
        <v>46090</v>
      </c>
      <c r="AG71" t="s">
        <v>754</v>
      </c>
      <c r="AH71">
        <v>6123118</v>
      </c>
      <c r="AI71">
        <v>46083</v>
      </c>
      <c r="AJ71">
        <v>46084</v>
      </c>
      <c r="AK71">
        <v>14400</v>
      </c>
      <c r="AL71" t="s">
        <v>396</v>
      </c>
      <c r="AM71" t="s">
        <v>805</v>
      </c>
      <c r="AN71">
        <v>46084</v>
      </c>
      <c r="AO71">
        <v>46084.447222222225</v>
      </c>
      <c r="AP71" t="s">
        <v>51</v>
      </c>
      <c r="AQ71">
        <v>0.30101</v>
      </c>
      <c r="AR71">
        <v>4334.54</v>
      </c>
      <c r="AS71" t="s">
        <v>51</v>
      </c>
      <c r="AT71">
        <v>4334.54</v>
      </c>
      <c r="AU71" t="s">
        <v>415</v>
      </c>
      <c r="AV71" t="s">
        <v>772</v>
      </c>
      <c r="AW71" t="s">
        <v>773</v>
      </c>
      <c r="AX71">
        <v>46089</v>
      </c>
      <c r="AY71">
        <v>46138</v>
      </c>
      <c r="AZ71" t="s">
        <v>774</v>
      </c>
      <c r="BA71" t="s">
        <v>560</v>
      </c>
      <c r="BB71" t="s">
        <v>775</v>
      </c>
      <c r="BC71">
        <v>288</v>
      </c>
      <c r="BD71" t="s">
        <v>521</v>
      </c>
      <c r="BE71">
        <v>13.2311</v>
      </c>
      <c r="BF71">
        <v>11.8161</v>
      </c>
      <c r="BG71" t="s">
        <v>522</v>
      </c>
      <c r="BH71">
        <v>395</v>
      </c>
      <c r="BI71">
        <v>295</v>
      </c>
      <c r="BJ71">
        <v>160</v>
      </c>
      <c r="BK71">
        <v>60</v>
      </c>
      <c r="BL71" t="s">
        <v>521</v>
      </c>
      <c r="BM71">
        <v>688.55319999999995</v>
      </c>
      <c r="BN71">
        <v>590.80319999999995</v>
      </c>
      <c r="BO71">
        <v>688.55319999999995</v>
      </c>
      <c r="BP71" t="s">
        <v>522</v>
      </c>
      <c r="BQ71">
        <v>1200</v>
      </c>
      <c r="BR71">
        <v>1000</v>
      </c>
      <c r="BS71">
        <v>1120</v>
      </c>
      <c r="BT71">
        <v>0</v>
      </c>
      <c r="BU71">
        <v>1</v>
      </c>
      <c r="BV71">
        <v>1</v>
      </c>
      <c r="BW71">
        <v>50</v>
      </c>
      <c r="BX71">
        <v>0</v>
      </c>
      <c r="BY71">
        <v>50</v>
      </c>
      <c r="BZ71">
        <v>0</v>
      </c>
      <c r="CA71">
        <v>14400</v>
      </c>
      <c r="CB71">
        <v>14400</v>
      </c>
      <c r="CC71">
        <v>590.80319999999995</v>
      </c>
      <c r="CD71" t="s">
        <v>806</v>
      </c>
      <c r="CE71" t="s">
        <v>807</v>
      </c>
      <c r="CG71" t="s">
        <v>421</v>
      </c>
      <c r="CN71" t="str">
        <v>M46</v>
      </c>
      <c r="CO71" t="str">
        <v>1415-EQN0005EN</v>
      </c>
      <c r="CP71" t="str">
        <v>CSGU2004557</v>
      </c>
      <c r="CQ71" s="23">
        <v>438.81079999999997</v>
      </c>
      <c r="CR71" s="25">
        <f t="shared" si="6"/>
        <v>6.0671969313468306E-2</v>
      </c>
      <c r="CS71" s="21">
        <f t="shared" ref="CS71:CS134" si="7">CR71*$CS$2</f>
        <v>151.67992328367077</v>
      </c>
    </row>
    <row r="72" spans="2:99" x14ac:dyDescent="0.35">
      <c r="B72" t="s">
        <v>296</v>
      </c>
      <c r="C72" t="s">
        <v>801</v>
      </c>
      <c r="D72" t="s">
        <v>395</v>
      </c>
      <c r="E72" t="s">
        <v>395</v>
      </c>
      <c r="F72" t="s">
        <v>396</v>
      </c>
      <c r="G72" t="s">
        <v>397</v>
      </c>
      <c r="H72" t="s">
        <v>398</v>
      </c>
      <c r="I72" t="s">
        <v>399</v>
      </c>
      <c r="J72" t="s">
        <v>749</v>
      </c>
      <c r="K72" t="s">
        <v>629</v>
      </c>
      <c r="L72" t="s">
        <v>787</v>
      </c>
      <c r="M72" t="s">
        <v>403</v>
      </c>
      <c r="N72">
        <v>1</v>
      </c>
      <c r="O72">
        <v>2</v>
      </c>
      <c r="P72" t="s">
        <v>802</v>
      </c>
      <c r="Q72" t="s">
        <v>405</v>
      </c>
      <c r="R72" t="s">
        <v>803</v>
      </c>
      <c r="S72" t="s">
        <v>804</v>
      </c>
      <c r="T72" t="s">
        <v>408</v>
      </c>
      <c r="U72">
        <v>50950079596</v>
      </c>
      <c r="W72">
        <v>17280</v>
      </c>
      <c r="X72" t="s">
        <v>409</v>
      </c>
      <c r="Y72" t="s">
        <v>410</v>
      </c>
      <c r="Z72" t="s">
        <v>410</v>
      </c>
      <c r="AA72" t="s">
        <v>411</v>
      </c>
      <c r="AB72" t="s">
        <v>769</v>
      </c>
      <c r="AC72" t="s">
        <v>411</v>
      </c>
      <c r="AD72">
        <v>46083</v>
      </c>
      <c r="AE72">
        <v>46153</v>
      </c>
      <c r="AF72">
        <v>46090</v>
      </c>
      <c r="AG72" t="s">
        <v>754</v>
      </c>
      <c r="AH72">
        <v>6123118</v>
      </c>
      <c r="AI72">
        <v>46083</v>
      </c>
      <c r="AJ72">
        <v>46084</v>
      </c>
      <c r="AK72">
        <v>17280</v>
      </c>
      <c r="AL72" t="s">
        <v>396</v>
      </c>
      <c r="AM72" t="s">
        <v>805</v>
      </c>
      <c r="AN72">
        <v>46084</v>
      </c>
      <c r="AO72">
        <v>46084.447222222225</v>
      </c>
      <c r="AP72" t="s">
        <v>51</v>
      </c>
      <c r="AQ72">
        <v>0.30101</v>
      </c>
      <c r="AR72">
        <v>5201.45</v>
      </c>
      <c r="AS72" t="s">
        <v>51</v>
      </c>
      <c r="AT72">
        <v>5201.45</v>
      </c>
      <c r="AU72" t="s">
        <v>415</v>
      </c>
      <c r="AV72" t="s">
        <v>772</v>
      </c>
      <c r="AW72" t="s">
        <v>773</v>
      </c>
      <c r="AX72">
        <v>46089</v>
      </c>
      <c r="AY72">
        <v>46138</v>
      </c>
      <c r="AZ72" t="s">
        <v>774</v>
      </c>
      <c r="BA72" t="s">
        <v>560</v>
      </c>
      <c r="BB72" t="s">
        <v>775</v>
      </c>
      <c r="BC72">
        <v>288</v>
      </c>
      <c r="BD72" t="s">
        <v>521</v>
      </c>
      <c r="BE72">
        <v>13.2311</v>
      </c>
      <c r="BF72">
        <v>11.8161</v>
      </c>
      <c r="BG72" t="s">
        <v>522</v>
      </c>
      <c r="BH72">
        <v>395</v>
      </c>
      <c r="BI72">
        <v>295</v>
      </c>
      <c r="BJ72">
        <v>160</v>
      </c>
      <c r="BK72">
        <v>60</v>
      </c>
      <c r="BL72" t="s">
        <v>521</v>
      </c>
      <c r="BM72">
        <v>820.86383999999998</v>
      </c>
      <c r="BN72">
        <v>708.96384</v>
      </c>
      <c r="BO72">
        <v>820.86383999999998</v>
      </c>
      <c r="BP72" t="s">
        <v>522</v>
      </c>
      <c r="BQ72">
        <v>1200</v>
      </c>
      <c r="BR72">
        <v>1000</v>
      </c>
      <c r="BS72">
        <v>1120</v>
      </c>
      <c r="BT72">
        <v>1</v>
      </c>
      <c r="BU72">
        <v>0</v>
      </c>
      <c r="BV72">
        <v>1</v>
      </c>
      <c r="BW72">
        <v>60</v>
      </c>
      <c r="BX72">
        <v>0</v>
      </c>
      <c r="BY72">
        <v>60</v>
      </c>
      <c r="BZ72">
        <v>17280</v>
      </c>
      <c r="CA72">
        <v>0</v>
      </c>
      <c r="CB72">
        <v>17280</v>
      </c>
      <c r="CC72">
        <v>708.96384</v>
      </c>
      <c r="CD72" t="s">
        <v>806</v>
      </c>
      <c r="CE72" t="s">
        <v>807</v>
      </c>
      <c r="CG72" t="s">
        <v>421</v>
      </c>
      <c r="CN72" t="str">
        <v>M19</v>
      </c>
      <c r="CO72" t="str">
        <v>1252-5YY0073EN</v>
      </c>
      <c r="CP72" t="str">
        <v>CSGU2004557</v>
      </c>
      <c r="CQ72" s="23">
        <v>103.98439999999999</v>
      </c>
      <c r="CR72" s="25">
        <f t="shared" si="6"/>
        <v>1.4377354262655826E-2</v>
      </c>
      <c r="CS72" s="21">
        <f t="shared" si="7"/>
        <v>35.943385656639563</v>
      </c>
    </row>
    <row r="73" spans="2:99" x14ac:dyDescent="0.35">
      <c r="B73" t="s">
        <v>299</v>
      </c>
      <c r="C73" t="s">
        <v>808</v>
      </c>
      <c r="D73" t="s">
        <v>395</v>
      </c>
      <c r="E73" t="s">
        <v>395</v>
      </c>
      <c r="F73" t="s">
        <v>396</v>
      </c>
      <c r="G73" t="s">
        <v>397</v>
      </c>
      <c r="H73" t="s">
        <v>398</v>
      </c>
      <c r="I73" t="s">
        <v>399</v>
      </c>
      <c r="J73" t="s">
        <v>749</v>
      </c>
      <c r="K73" t="s">
        <v>809</v>
      </c>
      <c r="L73" t="s">
        <v>787</v>
      </c>
      <c r="M73" t="s">
        <v>751</v>
      </c>
      <c r="N73">
        <v>1</v>
      </c>
      <c r="O73">
        <v>7</v>
      </c>
      <c r="P73" t="s">
        <v>810</v>
      </c>
      <c r="Q73" t="s">
        <v>405</v>
      </c>
      <c r="R73" t="s">
        <v>811</v>
      </c>
      <c r="S73" t="s">
        <v>812</v>
      </c>
      <c r="T73" t="s">
        <v>408</v>
      </c>
      <c r="U73">
        <v>50950080247</v>
      </c>
      <c r="W73">
        <v>3840</v>
      </c>
      <c r="X73" t="s">
        <v>409</v>
      </c>
      <c r="Y73" t="s">
        <v>410</v>
      </c>
      <c r="Z73" t="s">
        <v>410</v>
      </c>
      <c r="AA73" t="s">
        <v>411</v>
      </c>
      <c r="AB73" t="s">
        <v>769</v>
      </c>
      <c r="AC73" t="s">
        <v>411</v>
      </c>
      <c r="AD73">
        <v>46077</v>
      </c>
      <c r="AE73">
        <v>46111</v>
      </c>
      <c r="AF73">
        <v>46090</v>
      </c>
      <c r="AG73" t="s">
        <v>754</v>
      </c>
      <c r="AH73">
        <v>6122970</v>
      </c>
      <c r="AI73">
        <v>46083</v>
      </c>
      <c r="AJ73">
        <v>46084</v>
      </c>
      <c r="AK73">
        <v>3840</v>
      </c>
      <c r="AL73" t="s">
        <v>396</v>
      </c>
      <c r="AM73" t="s">
        <v>813</v>
      </c>
      <c r="AN73">
        <v>46084</v>
      </c>
      <c r="AO73">
        <v>46084.391203703701</v>
      </c>
      <c r="AP73" t="s">
        <v>51</v>
      </c>
      <c r="AQ73">
        <v>1.96204</v>
      </c>
      <c r="AR73">
        <v>7534.24</v>
      </c>
      <c r="AS73" t="s">
        <v>51</v>
      </c>
      <c r="AT73">
        <v>7534.24</v>
      </c>
      <c r="AU73" t="s">
        <v>415</v>
      </c>
      <c r="AV73" t="s">
        <v>772</v>
      </c>
      <c r="AW73" t="s">
        <v>773</v>
      </c>
      <c r="AX73">
        <v>46089</v>
      </c>
      <c r="AY73">
        <v>46138</v>
      </c>
      <c r="AZ73" t="s">
        <v>814</v>
      </c>
      <c r="BA73" t="s">
        <v>560</v>
      </c>
      <c r="BB73" t="s">
        <v>815</v>
      </c>
      <c r="BC73">
        <v>16</v>
      </c>
      <c r="BD73" t="s">
        <v>521</v>
      </c>
      <c r="BE73">
        <v>4.9545000000000003</v>
      </c>
      <c r="BF73">
        <v>3.7555000000000001</v>
      </c>
      <c r="BG73" t="s">
        <v>522</v>
      </c>
      <c r="BH73">
        <v>495</v>
      </c>
      <c r="BI73">
        <v>395</v>
      </c>
      <c r="BJ73">
        <v>190</v>
      </c>
      <c r="BK73">
        <v>30</v>
      </c>
      <c r="BL73" t="s">
        <v>521</v>
      </c>
      <c r="BM73">
        <v>175.63499999999999</v>
      </c>
      <c r="BN73">
        <v>112.66500000000001</v>
      </c>
      <c r="BO73">
        <v>1405.0848000000001</v>
      </c>
      <c r="BP73" t="s">
        <v>522</v>
      </c>
      <c r="BQ73">
        <v>1200</v>
      </c>
      <c r="BR73">
        <v>1000</v>
      </c>
      <c r="BS73">
        <v>1120</v>
      </c>
      <c r="BT73">
        <v>8</v>
      </c>
      <c r="BU73">
        <v>0</v>
      </c>
      <c r="BV73">
        <v>8</v>
      </c>
      <c r="BW73">
        <v>240</v>
      </c>
      <c r="BX73">
        <v>0</v>
      </c>
      <c r="BY73">
        <v>240</v>
      </c>
      <c r="BZ73">
        <v>3840</v>
      </c>
      <c r="CA73">
        <v>0</v>
      </c>
      <c r="CB73">
        <v>3840</v>
      </c>
      <c r="CC73">
        <v>901.32479999999998</v>
      </c>
      <c r="CD73" t="s">
        <v>806</v>
      </c>
      <c r="CE73" t="s">
        <v>816</v>
      </c>
      <c r="CG73" t="s">
        <v>421</v>
      </c>
      <c r="CN73" t="str">
        <v>M19</v>
      </c>
      <c r="CO73" t="str">
        <v>1204-5YY0009-56EN</v>
      </c>
      <c r="CP73" t="str">
        <v>CSGU2004557</v>
      </c>
      <c r="CQ73" s="23">
        <v>73.17</v>
      </c>
      <c r="CR73" s="25">
        <f t="shared" si="6"/>
        <v>1.0116815708880629E-2</v>
      </c>
      <c r="CS73" s="21">
        <f t="shared" si="7"/>
        <v>25.292039272201574</v>
      </c>
    </row>
    <row r="74" spans="2:99" x14ac:dyDescent="0.35">
      <c r="B74" t="s">
        <v>299</v>
      </c>
      <c r="C74" t="s">
        <v>817</v>
      </c>
      <c r="D74" t="s">
        <v>395</v>
      </c>
      <c r="E74" t="s">
        <v>395</v>
      </c>
      <c r="F74" t="s">
        <v>396</v>
      </c>
      <c r="G74" t="s">
        <v>397</v>
      </c>
      <c r="H74" t="s">
        <v>398</v>
      </c>
      <c r="I74" t="s">
        <v>399</v>
      </c>
      <c r="J74" t="s">
        <v>749</v>
      </c>
      <c r="K74" t="s">
        <v>809</v>
      </c>
      <c r="L74" t="s">
        <v>787</v>
      </c>
      <c r="M74" t="s">
        <v>403</v>
      </c>
      <c r="N74">
        <v>1</v>
      </c>
      <c r="O74">
        <v>2</v>
      </c>
      <c r="P74" t="s">
        <v>818</v>
      </c>
      <c r="Q74" t="s">
        <v>430</v>
      </c>
      <c r="R74" t="s">
        <v>811</v>
      </c>
      <c r="S74" t="s">
        <v>819</v>
      </c>
      <c r="T74" t="s">
        <v>408</v>
      </c>
      <c r="U74">
        <v>50950080248</v>
      </c>
      <c r="W74">
        <v>1440</v>
      </c>
      <c r="X74" t="s">
        <v>409</v>
      </c>
      <c r="Y74" t="s">
        <v>410</v>
      </c>
      <c r="Z74" t="s">
        <v>410</v>
      </c>
      <c r="AA74" t="s">
        <v>411</v>
      </c>
      <c r="AB74" t="s">
        <v>769</v>
      </c>
      <c r="AC74" t="s">
        <v>411</v>
      </c>
      <c r="AD74">
        <v>46077</v>
      </c>
      <c r="AE74">
        <v>46111</v>
      </c>
      <c r="AF74">
        <v>46090</v>
      </c>
      <c r="AG74" t="s">
        <v>754</v>
      </c>
      <c r="AH74">
        <v>6122971</v>
      </c>
      <c r="AI74">
        <v>46083</v>
      </c>
      <c r="AJ74">
        <v>46084</v>
      </c>
      <c r="AK74">
        <v>1440</v>
      </c>
      <c r="AL74" t="s">
        <v>396</v>
      </c>
      <c r="AM74" t="s">
        <v>820</v>
      </c>
      <c r="AN74">
        <v>46084</v>
      </c>
      <c r="AO74">
        <v>46084.391203703701</v>
      </c>
      <c r="AP74" t="s">
        <v>51</v>
      </c>
      <c r="AQ74">
        <v>1.20448</v>
      </c>
      <c r="AR74">
        <v>1734.45</v>
      </c>
      <c r="AS74" t="s">
        <v>51</v>
      </c>
      <c r="AT74">
        <v>1734.45</v>
      </c>
      <c r="AU74" t="s">
        <v>415</v>
      </c>
      <c r="AV74" t="s">
        <v>772</v>
      </c>
      <c r="AW74" t="s">
        <v>773</v>
      </c>
      <c r="AX74">
        <v>46089</v>
      </c>
      <c r="AY74">
        <v>46138</v>
      </c>
      <c r="AZ74" t="s">
        <v>814</v>
      </c>
      <c r="BA74" t="s">
        <v>560</v>
      </c>
      <c r="BB74" t="s">
        <v>815</v>
      </c>
      <c r="BC74">
        <v>48</v>
      </c>
      <c r="BD74" t="s">
        <v>521</v>
      </c>
      <c r="BE74">
        <v>7.6898999999999997</v>
      </c>
      <c r="BF74">
        <v>6.2298999999999998</v>
      </c>
      <c r="BG74" t="s">
        <v>522</v>
      </c>
      <c r="BH74">
        <v>495</v>
      </c>
      <c r="BI74">
        <v>395</v>
      </c>
      <c r="BJ74">
        <v>190</v>
      </c>
      <c r="BK74">
        <v>30</v>
      </c>
      <c r="BL74" t="s">
        <v>521</v>
      </c>
      <c r="BM74">
        <v>257.69760000000002</v>
      </c>
      <c r="BN74">
        <v>186.89760000000001</v>
      </c>
      <c r="BO74">
        <v>257.69760000000002</v>
      </c>
      <c r="BP74" t="s">
        <v>522</v>
      </c>
      <c r="BQ74">
        <v>1200</v>
      </c>
      <c r="BR74">
        <v>1000</v>
      </c>
      <c r="BS74">
        <v>1120</v>
      </c>
      <c r="BT74">
        <v>1</v>
      </c>
      <c r="BU74">
        <v>0</v>
      </c>
      <c r="BV74">
        <v>1</v>
      </c>
      <c r="BW74">
        <v>30</v>
      </c>
      <c r="BX74">
        <v>0</v>
      </c>
      <c r="BY74">
        <v>30</v>
      </c>
      <c r="BZ74">
        <v>1440</v>
      </c>
      <c r="CA74">
        <v>0</v>
      </c>
      <c r="CB74">
        <v>1440</v>
      </c>
      <c r="CC74">
        <v>186.89760000000001</v>
      </c>
      <c r="CD74" t="s">
        <v>806</v>
      </c>
      <c r="CE74" t="s">
        <v>821</v>
      </c>
      <c r="CG74" t="s">
        <v>421</v>
      </c>
      <c r="CN74" t="str">
        <v>M19</v>
      </c>
      <c r="CO74" t="str">
        <v>1101-5YY0361EN</v>
      </c>
      <c r="CP74" t="str">
        <v>CSGU2004557</v>
      </c>
      <c r="CQ74" s="23">
        <v>494.18649599999998</v>
      </c>
      <c r="CR74" s="25">
        <f t="shared" si="6"/>
        <v>6.8328463931248792E-2</v>
      </c>
      <c r="CS74" s="21">
        <f t="shared" si="7"/>
        <v>170.82115982812198</v>
      </c>
    </row>
    <row r="75" spans="2:99" x14ac:dyDescent="0.35">
      <c r="B75" t="s">
        <v>299</v>
      </c>
      <c r="C75" t="s">
        <v>822</v>
      </c>
      <c r="D75" t="s">
        <v>395</v>
      </c>
      <c r="E75" t="s">
        <v>823</v>
      </c>
      <c r="F75" t="s">
        <v>396</v>
      </c>
      <c r="G75" t="s">
        <v>397</v>
      </c>
      <c r="H75" t="s">
        <v>398</v>
      </c>
      <c r="I75" t="s">
        <v>399</v>
      </c>
      <c r="J75" t="s">
        <v>749</v>
      </c>
      <c r="K75" t="s">
        <v>809</v>
      </c>
      <c r="L75" t="s">
        <v>787</v>
      </c>
      <c r="M75" t="s">
        <v>403</v>
      </c>
      <c r="N75">
        <v>1</v>
      </c>
      <c r="O75">
        <v>2</v>
      </c>
      <c r="P75" t="s">
        <v>824</v>
      </c>
      <c r="Q75" t="s">
        <v>424</v>
      </c>
      <c r="R75" t="s">
        <v>811</v>
      </c>
      <c r="S75" t="s">
        <v>825</v>
      </c>
      <c r="T75" t="s">
        <v>408</v>
      </c>
      <c r="U75">
        <v>50950080293</v>
      </c>
      <c r="W75">
        <v>2880</v>
      </c>
      <c r="X75" t="s">
        <v>409</v>
      </c>
      <c r="Y75" t="s">
        <v>410</v>
      </c>
      <c r="Z75" t="s">
        <v>410</v>
      </c>
      <c r="AA75" t="s">
        <v>411</v>
      </c>
      <c r="AB75" t="s">
        <v>769</v>
      </c>
      <c r="AC75" t="s">
        <v>411</v>
      </c>
      <c r="AD75">
        <v>46077</v>
      </c>
      <c r="AE75">
        <v>46132</v>
      </c>
      <c r="AF75">
        <v>46090</v>
      </c>
      <c r="AG75" t="s">
        <v>754</v>
      </c>
      <c r="AH75">
        <v>6122972</v>
      </c>
      <c r="AI75">
        <v>46083</v>
      </c>
      <c r="AJ75">
        <v>46084</v>
      </c>
      <c r="AK75">
        <v>2880</v>
      </c>
      <c r="AL75" t="s">
        <v>396</v>
      </c>
      <c r="AM75" t="s">
        <v>826</v>
      </c>
      <c r="AN75">
        <v>46084</v>
      </c>
      <c r="AO75">
        <v>46084.391203703701</v>
      </c>
      <c r="AP75" t="s">
        <v>51</v>
      </c>
      <c r="AQ75">
        <v>1.15734</v>
      </c>
      <c r="AR75">
        <v>3333.14</v>
      </c>
      <c r="AS75" t="s">
        <v>51</v>
      </c>
      <c r="AT75">
        <v>3333.14</v>
      </c>
      <c r="AU75" t="s">
        <v>415</v>
      </c>
      <c r="AV75" t="s">
        <v>772</v>
      </c>
      <c r="AW75" t="s">
        <v>773</v>
      </c>
      <c r="AX75">
        <v>46089</v>
      </c>
      <c r="AY75">
        <v>46138</v>
      </c>
      <c r="AZ75" t="s">
        <v>814</v>
      </c>
      <c r="BA75" t="s">
        <v>560</v>
      </c>
      <c r="BB75" t="s">
        <v>815</v>
      </c>
      <c r="BC75">
        <v>48</v>
      </c>
      <c r="BD75" t="s">
        <v>521</v>
      </c>
      <c r="BE75">
        <v>8.2250999999999994</v>
      </c>
      <c r="BF75">
        <v>6.7651000000000003</v>
      </c>
      <c r="BG75" t="s">
        <v>522</v>
      </c>
      <c r="BH75">
        <v>495</v>
      </c>
      <c r="BI75">
        <v>395</v>
      </c>
      <c r="BJ75">
        <v>190</v>
      </c>
      <c r="BK75">
        <v>30</v>
      </c>
      <c r="BL75" t="s">
        <v>521</v>
      </c>
      <c r="BM75">
        <v>273.75299999999999</v>
      </c>
      <c r="BN75">
        <v>202.953</v>
      </c>
      <c r="BO75">
        <v>547.50720000000001</v>
      </c>
      <c r="BP75" t="s">
        <v>522</v>
      </c>
      <c r="BQ75">
        <v>1200</v>
      </c>
      <c r="BR75">
        <v>1000</v>
      </c>
      <c r="BS75">
        <v>1120</v>
      </c>
      <c r="BT75">
        <v>2</v>
      </c>
      <c r="BU75">
        <v>0</v>
      </c>
      <c r="BV75">
        <v>2</v>
      </c>
      <c r="BW75">
        <v>60</v>
      </c>
      <c r="BX75">
        <v>0</v>
      </c>
      <c r="BY75">
        <v>60</v>
      </c>
      <c r="BZ75">
        <v>2880</v>
      </c>
      <c r="CA75">
        <v>0</v>
      </c>
      <c r="CB75">
        <v>2880</v>
      </c>
      <c r="CC75">
        <v>405.90719999999999</v>
      </c>
      <c r="CD75" t="s">
        <v>806</v>
      </c>
      <c r="CE75" t="s">
        <v>821</v>
      </c>
      <c r="CG75" t="s">
        <v>421</v>
      </c>
      <c r="CN75" t="str">
        <v>M19</v>
      </c>
      <c r="CO75" t="str">
        <v>1106-5YY0032EN</v>
      </c>
      <c r="CP75" t="str">
        <v>CSGU2004557</v>
      </c>
      <c r="CQ75" s="23">
        <v>198.37559999999999</v>
      </c>
      <c r="CR75" s="25">
        <f t="shared" si="6"/>
        <v>2.7428309229720105E-2</v>
      </c>
      <c r="CS75" s="21">
        <f t="shared" si="7"/>
        <v>68.570773074300263</v>
      </c>
    </row>
    <row r="76" spans="2:99" x14ac:dyDescent="0.35">
      <c r="B76" t="s">
        <v>299</v>
      </c>
      <c r="C76" t="s">
        <v>827</v>
      </c>
      <c r="D76" t="s">
        <v>395</v>
      </c>
      <c r="E76" t="s">
        <v>395</v>
      </c>
      <c r="F76" t="s">
        <v>396</v>
      </c>
      <c r="G76" t="s">
        <v>397</v>
      </c>
      <c r="H76" t="s">
        <v>398</v>
      </c>
      <c r="I76" t="s">
        <v>399</v>
      </c>
      <c r="J76" t="s">
        <v>749</v>
      </c>
      <c r="K76" t="s">
        <v>809</v>
      </c>
      <c r="L76" t="s">
        <v>787</v>
      </c>
      <c r="M76" t="s">
        <v>403</v>
      </c>
      <c r="N76">
        <v>1</v>
      </c>
      <c r="O76">
        <v>1</v>
      </c>
      <c r="P76" t="s">
        <v>828</v>
      </c>
      <c r="Q76" t="s">
        <v>587</v>
      </c>
      <c r="R76" t="s">
        <v>811</v>
      </c>
      <c r="S76" t="s">
        <v>829</v>
      </c>
      <c r="T76" t="s">
        <v>408</v>
      </c>
      <c r="U76">
        <v>50950080324</v>
      </c>
      <c r="W76">
        <v>6720</v>
      </c>
      <c r="X76" t="s">
        <v>409</v>
      </c>
      <c r="Y76" t="s">
        <v>410</v>
      </c>
      <c r="Z76" t="s">
        <v>410</v>
      </c>
      <c r="AA76" t="s">
        <v>411</v>
      </c>
      <c r="AB76" t="s">
        <v>769</v>
      </c>
      <c r="AC76" t="s">
        <v>411</v>
      </c>
      <c r="AD76">
        <v>46083</v>
      </c>
      <c r="AE76">
        <v>46132</v>
      </c>
      <c r="AF76">
        <v>46090</v>
      </c>
      <c r="AG76" t="s">
        <v>754</v>
      </c>
      <c r="AH76">
        <v>6122973</v>
      </c>
      <c r="AI76">
        <v>46083</v>
      </c>
      <c r="AJ76">
        <v>46084</v>
      </c>
      <c r="AK76">
        <v>6720</v>
      </c>
      <c r="AL76" t="s">
        <v>396</v>
      </c>
      <c r="AM76" t="s">
        <v>830</v>
      </c>
      <c r="AN76">
        <v>46084</v>
      </c>
      <c r="AO76">
        <v>46084.391203703701</v>
      </c>
      <c r="AP76" t="s">
        <v>51</v>
      </c>
      <c r="AQ76">
        <v>1.8924799999999999</v>
      </c>
      <c r="AR76">
        <v>12717.46</v>
      </c>
      <c r="AS76" t="s">
        <v>51</v>
      </c>
      <c r="AT76">
        <v>12717.46</v>
      </c>
      <c r="AU76" t="s">
        <v>415</v>
      </c>
      <c r="AV76" t="s">
        <v>772</v>
      </c>
      <c r="AW76" t="s">
        <v>773</v>
      </c>
      <c r="AX76">
        <v>46089</v>
      </c>
      <c r="AY76">
        <v>46138</v>
      </c>
      <c r="AZ76" t="s">
        <v>814</v>
      </c>
      <c r="BA76" t="s">
        <v>560</v>
      </c>
      <c r="BB76" t="s">
        <v>815</v>
      </c>
      <c r="BC76">
        <v>16</v>
      </c>
      <c r="BD76" t="s">
        <v>521</v>
      </c>
      <c r="BE76">
        <v>4.9409000000000001</v>
      </c>
      <c r="BF76">
        <v>3.7418999999999998</v>
      </c>
      <c r="BG76" t="s">
        <v>522</v>
      </c>
      <c r="BH76">
        <v>495</v>
      </c>
      <c r="BI76">
        <v>395</v>
      </c>
      <c r="BJ76">
        <v>190</v>
      </c>
      <c r="BK76">
        <v>30</v>
      </c>
      <c r="BL76" t="s">
        <v>521</v>
      </c>
      <c r="BM76">
        <v>175.227</v>
      </c>
      <c r="BN76">
        <v>112.25700000000001</v>
      </c>
      <c r="BO76">
        <v>2453.1864</v>
      </c>
      <c r="BP76" t="s">
        <v>522</v>
      </c>
      <c r="BQ76">
        <v>1200</v>
      </c>
      <c r="BR76">
        <v>1000</v>
      </c>
      <c r="BS76">
        <v>1120</v>
      </c>
      <c r="BT76">
        <v>14</v>
      </c>
      <c r="BU76">
        <v>0</v>
      </c>
      <c r="BV76">
        <v>14</v>
      </c>
      <c r="BW76">
        <v>420</v>
      </c>
      <c r="BX76">
        <v>0</v>
      </c>
      <c r="BY76">
        <v>420</v>
      </c>
      <c r="BZ76">
        <v>6720</v>
      </c>
      <c r="CA76">
        <v>0</v>
      </c>
      <c r="CB76">
        <v>6720</v>
      </c>
      <c r="CC76">
        <v>1571.6063999999999</v>
      </c>
      <c r="CD76" t="s">
        <v>806</v>
      </c>
      <c r="CE76" t="s">
        <v>816</v>
      </c>
      <c r="CG76" t="s">
        <v>421</v>
      </c>
      <c r="CN76" t="str">
        <v>M19</v>
      </c>
      <c r="CO76" t="str">
        <v>1140-5YY0004EN</v>
      </c>
      <c r="CP76" t="str">
        <v>CSGU2004557</v>
      </c>
      <c r="CQ76" s="23">
        <v>302.87920000000003</v>
      </c>
      <c r="CR76" s="25">
        <f t="shared" si="6"/>
        <v>4.1877450436698077E-2</v>
      </c>
      <c r="CS76" s="21">
        <f t="shared" si="7"/>
        <v>104.69362609174519</v>
      </c>
    </row>
    <row r="77" spans="2:99" x14ac:dyDescent="0.35">
      <c r="B77" t="s">
        <v>297</v>
      </c>
      <c r="C77" t="s">
        <v>831</v>
      </c>
      <c r="D77" t="s">
        <v>395</v>
      </c>
      <c r="E77" t="s">
        <v>395</v>
      </c>
      <c r="F77" t="s">
        <v>396</v>
      </c>
      <c r="G77" t="s">
        <v>397</v>
      </c>
      <c r="H77" t="s">
        <v>398</v>
      </c>
      <c r="I77" t="s">
        <v>399</v>
      </c>
      <c r="J77" t="s">
        <v>749</v>
      </c>
      <c r="K77" t="s">
        <v>629</v>
      </c>
      <c r="L77" t="s">
        <v>787</v>
      </c>
      <c r="M77" t="s">
        <v>403</v>
      </c>
      <c r="N77">
        <v>4</v>
      </c>
      <c r="O77">
        <v>1</v>
      </c>
      <c r="P77" t="s">
        <v>832</v>
      </c>
      <c r="Q77" t="s">
        <v>645</v>
      </c>
      <c r="R77" t="s">
        <v>833</v>
      </c>
      <c r="S77" t="s">
        <v>834</v>
      </c>
      <c r="T77" t="s">
        <v>408</v>
      </c>
      <c r="U77">
        <v>50950080792</v>
      </c>
      <c r="W77">
        <v>9600</v>
      </c>
      <c r="X77" t="s">
        <v>409</v>
      </c>
      <c r="Y77" t="s">
        <v>410</v>
      </c>
      <c r="Z77" t="s">
        <v>410</v>
      </c>
      <c r="AA77" t="s">
        <v>411</v>
      </c>
      <c r="AB77" t="s">
        <v>769</v>
      </c>
      <c r="AC77" t="s">
        <v>411</v>
      </c>
      <c r="AD77">
        <v>46081</v>
      </c>
      <c r="AE77">
        <v>46132</v>
      </c>
      <c r="AF77">
        <v>46090</v>
      </c>
      <c r="AG77" t="s">
        <v>754</v>
      </c>
      <c r="AH77">
        <v>6123119</v>
      </c>
      <c r="AI77">
        <v>46083</v>
      </c>
      <c r="AJ77">
        <v>46084</v>
      </c>
      <c r="AK77">
        <v>9600</v>
      </c>
      <c r="AL77" t="s">
        <v>396</v>
      </c>
      <c r="AM77" t="s">
        <v>835</v>
      </c>
      <c r="AN77">
        <v>46084</v>
      </c>
      <c r="AO77">
        <v>46084.447222222225</v>
      </c>
      <c r="AP77" t="s">
        <v>51</v>
      </c>
      <c r="AQ77">
        <v>0.11833</v>
      </c>
      <c r="AR77">
        <v>1135.97</v>
      </c>
      <c r="AS77" t="s">
        <v>51</v>
      </c>
      <c r="AT77">
        <v>1135.97</v>
      </c>
      <c r="AU77" t="s">
        <v>415</v>
      </c>
      <c r="AV77" t="s">
        <v>772</v>
      </c>
      <c r="AW77" t="s">
        <v>773</v>
      </c>
      <c r="AX77">
        <v>46089</v>
      </c>
      <c r="AY77">
        <v>46138</v>
      </c>
      <c r="AZ77" t="s">
        <v>774</v>
      </c>
      <c r="BA77" t="s">
        <v>560</v>
      </c>
      <c r="BB77" t="s">
        <v>775</v>
      </c>
      <c r="BC77">
        <v>320</v>
      </c>
      <c r="BD77" t="s">
        <v>521</v>
      </c>
      <c r="BE77">
        <v>4.1859999999999999</v>
      </c>
      <c r="BF77">
        <v>3.6160000000000001</v>
      </c>
      <c r="BG77" t="s">
        <v>522</v>
      </c>
      <c r="BH77">
        <v>395</v>
      </c>
      <c r="BI77">
        <v>295</v>
      </c>
      <c r="BJ77">
        <v>255</v>
      </c>
      <c r="BK77">
        <v>30</v>
      </c>
      <c r="BL77" t="s">
        <v>521</v>
      </c>
      <c r="BM77">
        <v>152.58000000000001</v>
      </c>
      <c r="BN77">
        <v>108.48</v>
      </c>
      <c r="BO77">
        <v>152.58000000000001</v>
      </c>
      <c r="BP77" t="s">
        <v>522</v>
      </c>
      <c r="BQ77">
        <v>1200</v>
      </c>
      <c r="BR77">
        <v>1000</v>
      </c>
      <c r="BS77">
        <v>918</v>
      </c>
      <c r="BT77">
        <v>1</v>
      </c>
      <c r="BU77">
        <v>0</v>
      </c>
      <c r="BV77">
        <v>1</v>
      </c>
      <c r="BW77">
        <v>30</v>
      </c>
      <c r="BX77">
        <v>0</v>
      </c>
      <c r="BY77">
        <v>30</v>
      </c>
      <c r="BZ77">
        <v>9600</v>
      </c>
      <c r="CA77">
        <v>0</v>
      </c>
      <c r="CB77">
        <v>9600</v>
      </c>
      <c r="CC77">
        <v>108.48</v>
      </c>
      <c r="CD77" t="s">
        <v>633</v>
      </c>
      <c r="CE77" t="s">
        <v>836</v>
      </c>
      <c r="CG77" t="s">
        <v>421</v>
      </c>
      <c r="CN77" t="str">
        <v>M19</v>
      </c>
      <c r="CO77" t="str">
        <v>1106-5YY0033EN</v>
      </c>
      <c r="CP77" t="str">
        <v>CSGU2004557</v>
      </c>
      <c r="CQ77" s="23">
        <v>164.15360000000001</v>
      </c>
      <c r="CR77" s="25">
        <f t="shared" si="6"/>
        <v>2.2696620461245147E-2</v>
      </c>
      <c r="CS77" s="21">
        <f t="shared" si="7"/>
        <v>56.741551153112866</v>
      </c>
    </row>
    <row r="78" spans="2:99" x14ac:dyDescent="0.35">
      <c r="B78" t="s">
        <v>296</v>
      </c>
      <c r="C78" t="s">
        <v>837</v>
      </c>
      <c r="D78" t="s">
        <v>395</v>
      </c>
      <c r="E78" t="s">
        <v>395</v>
      </c>
      <c r="F78" t="s">
        <v>396</v>
      </c>
      <c r="G78" t="s">
        <v>397</v>
      </c>
      <c r="H78" t="s">
        <v>398</v>
      </c>
      <c r="I78" t="s">
        <v>399</v>
      </c>
      <c r="J78" t="s">
        <v>749</v>
      </c>
      <c r="K78" t="s">
        <v>629</v>
      </c>
      <c r="L78" t="s">
        <v>787</v>
      </c>
      <c r="M78" t="s">
        <v>403</v>
      </c>
      <c r="N78">
        <v>1</v>
      </c>
      <c r="O78">
        <v>1</v>
      </c>
      <c r="P78" t="s">
        <v>838</v>
      </c>
      <c r="Q78" t="s">
        <v>424</v>
      </c>
      <c r="R78" t="s">
        <v>839</v>
      </c>
      <c r="S78" t="s">
        <v>840</v>
      </c>
      <c r="T78" t="s">
        <v>408</v>
      </c>
      <c r="U78">
        <v>50950080931</v>
      </c>
      <c r="W78">
        <v>60480</v>
      </c>
      <c r="X78" t="s">
        <v>409</v>
      </c>
      <c r="Y78" t="s">
        <v>410</v>
      </c>
      <c r="Z78" t="s">
        <v>410</v>
      </c>
      <c r="AA78" t="s">
        <v>411</v>
      </c>
      <c r="AB78" t="s">
        <v>769</v>
      </c>
      <c r="AC78" t="s">
        <v>411</v>
      </c>
      <c r="AD78">
        <v>46083</v>
      </c>
      <c r="AE78">
        <v>46153</v>
      </c>
      <c r="AF78">
        <v>46090</v>
      </c>
      <c r="AG78" t="s">
        <v>754</v>
      </c>
      <c r="AH78">
        <v>6123120</v>
      </c>
      <c r="AI78">
        <v>46083</v>
      </c>
      <c r="AJ78">
        <v>46084</v>
      </c>
      <c r="AK78">
        <v>60480</v>
      </c>
      <c r="AL78" t="s">
        <v>396</v>
      </c>
      <c r="AM78" t="s">
        <v>841</v>
      </c>
      <c r="AN78">
        <v>46084</v>
      </c>
      <c r="AO78">
        <v>46084.447222222225</v>
      </c>
      <c r="AP78" t="s">
        <v>51</v>
      </c>
      <c r="AQ78">
        <v>0.11709</v>
      </c>
      <c r="AR78">
        <v>7081.56</v>
      </c>
      <c r="AS78" t="s">
        <v>51</v>
      </c>
      <c r="AT78">
        <v>7081.56</v>
      </c>
      <c r="AU78" t="s">
        <v>415</v>
      </c>
      <c r="AV78" t="s">
        <v>772</v>
      </c>
      <c r="AW78" t="s">
        <v>773</v>
      </c>
      <c r="AX78">
        <v>46089</v>
      </c>
      <c r="AY78">
        <v>46138</v>
      </c>
      <c r="AZ78" t="s">
        <v>774</v>
      </c>
      <c r="BA78" t="s">
        <v>560</v>
      </c>
      <c r="BB78" t="s">
        <v>775</v>
      </c>
      <c r="BC78">
        <v>280</v>
      </c>
      <c r="BD78" t="s">
        <v>521</v>
      </c>
      <c r="BE78">
        <v>8.6920999999999999</v>
      </c>
      <c r="BF78">
        <v>7.1620999999999997</v>
      </c>
      <c r="BG78" t="s">
        <v>522</v>
      </c>
      <c r="BH78">
        <v>595</v>
      </c>
      <c r="BI78">
        <v>495</v>
      </c>
      <c r="BJ78">
        <v>310</v>
      </c>
      <c r="BK78">
        <v>12</v>
      </c>
      <c r="BL78" t="s">
        <v>521</v>
      </c>
      <c r="BM78">
        <v>131.30520000000001</v>
      </c>
      <c r="BN78">
        <v>85.9452</v>
      </c>
      <c r="BO78">
        <v>2363.4979199999998</v>
      </c>
      <c r="BP78" t="s">
        <v>522</v>
      </c>
      <c r="BQ78">
        <v>1200</v>
      </c>
      <c r="BR78">
        <v>1000</v>
      </c>
      <c r="BS78">
        <v>1088</v>
      </c>
      <c r="BT78">
        <v>18</v>
      </c>
      <c r="BU78">
        <v>0</v>
      </c>
      <c r="BV78">
        <v>18</v>
      </c>
      <c r="BW78">
        <v>216</v>
      </c>
      <c r="BX78">
        <v>0</v>
      </c>
      <c r="BY78">
        <v>216</v>
      </c>
      <c r="BZ78">
        <v>60480</v>
      </c>
      <c r="CA78">
        <v>0</v>
      </c>
      <c r="CB78">
        <v>60480</v>
      </c>
      <c r="CC78">
        <v>1547.01792</v>
      </c>
      <c r="CD78" t="s">
        <v>842</v>
      </c>
      <c r="CE78" t="s">
        <v>843</v>
      </c>
      <c r="CG78" t="s">
        <v>421</v>
      </c>
      <c r="CN78" t="str">
        <v>M19</v>
      </c>
      <c r="CO78" t="str">
        <v>1106-5YY0031EN</v>
      </c>
      <c r="CP78" t="str">
        <v>CSGU2004557</v>
      </c>
      <c r="CQ78" s="23">
        <v>169.0112</v>
      </c>
      <c r="CR78" s="25">
        <f t="shared" si="6"/>
        <v>2.3368254245411588E-2</v>
      </c>
      <c r="CS78" s="21">
        <f t="shared" si="7"/>
        <v>58.420635613528972</v>
      </c>
    </row>
    <row r="79" spans="2:99" x14ac:dyDescent="0.35">
      <c r="B79" t="s">
        <v>299</v>
      </c>
      <c r="C79" t="s">
        <v>844</v>
      </c>
      <c r="D79" t="s">
        <v>395</v>
      </c>
      <c r="E79" t="s">
        <v>395</v>
      </c>
      <c r="F79" t="s">
        <v>396</v>
      </c>
      <c r="G79" t="s">
        <v>397</v>
      </c>
      <c r="H79" t="s">
        <v>398</v>
      </c>
      <c r="I79" t="s">
        <v>399</v>
      </c>
      <c r="J79" t="s">
        <v>749</v>
      </c>
      <c r="K79" t="s">
        <v>845</v>
      </c>
      <c r="L79" t="s">
        <v>787</v>
      </c>
      <c r="M79" t="s">
        <v>403</v>
      </c>
      <c r="N79">
        <v>1</v>
      </c>
      <c r="O79">
        <v>2</v>
      </c>
      <c r="P79" t="s">
        <v>846</v>
      </c>
      <c r="Q79" t="s">
        <v>405</v>
      </c>
      <c r="R79" t="s">
        <v>847</v>
      </c>
      <c r="S79" t="s">
        <v>848</v>
      </c>
      <c r="T79" t="s">
        <v>408</v>
      </c>
      <c r="U79">
        <v>50950080992</v>
      </c>
      <c r="W79">
        <v>4860</v>
      </c>
      <c r="X79" t="s">
        <v>409</v>
      </c>
      <c r="Y79" t="s">
        <v>410</v>
      </c>
      <c r="Z79" t="s">
        <v>410</v>
      </c>
      <c r="AA79" t="s">
        <v>411</v>
      </c>
      <c r="AB79" t="s">
        <v>769</v>
      </c>
      <c r="AC79" t="s">
        <v>411</v>
      </c>
      <c r="AD79">
        <v>46081</v>
      </c>
      <c r="AE79">
        <v>46139</v>
      </c>
      <c r="AF79">
        <v>46090</v>
      </c>
      <c r="AG79" t="s">
        <v>754</v>
      </c>
      <c r="AH79">
        <v>6122974</v>
      </c>
      <c r="AI79">
        <v>46083</v>
      </c>
      <c r="AJ79">
        <v>46084</v>
      </c>
      <c r="AK79">
        <v>4860</v>
      </c>
      <c r="AL79" t="s">
        <v>396</v>
      </c>
      <c r="AM79" t="s">
        <v>849</v>
      </c>
      <c r="AN79">
        <v>46084</v>
      </c>
      <c r="AO79">
        <v>46084.391203703701</v>
      </c>
      <c r="AP79" t="s">
        <v>51</v>
      </c>
      <c r="AQ79">
        <v>1.3785799999999999</v>
      </c>
      <c r="AR79">
        <v>6699.9</v>
      </c>
      <c r="AS79" t="s">
        <v>51</v>
      </c>
      <c r="AT79">
        <v>6699.9</v>
      </c>
      <c r="AU79" t="s">
        <v>415</v>
      </c>
      <c r="AV79" t="s">
        <v>772</v>
      </c>
      <c r="AW79" t="s">
        <v>773</v>
      </c>
      <c r="AX79">
        <v>46089</v>
      </c>
      <c r="AY79">
        <v>46138</v>
      </c>
      <c r="AZ79" t="s">
        <v>814</v>
      </c>
      <c r="BA79" t="s">
        <v>560</v>
      </c>
      <c r="BB79" t="s">
        <v>815</v>
      </c>
      <c r="BC79">
        <v>27</v>
      </c>
      <c r="BD79" t="s">
        <v>521</v>
      </c>
      <c r="BE79">
        <v>14.865399999999999</v>
      </c>
      <c r="BF79">
        <v>13.6374</v>
      </c>
      <c r="BG79" t="s">
        <v>522</v>
      </c>
      <c r="BH79">
        <v>495</v>
      </c>
      <c r="BI79">
        <v>395</v>
      </c>
      <c r="BJ79">
        <v>170</v>
      </c>
      <c r="BK79">
        <v>30</v>
      </c>
      <c r="BL79" t="s">
        <v>521</v>
      </c>
      <c r="BM79">
        <v>472.96199999999999</v>
      </c>
      <c r="BN79">
        <v>409.12200000000001</v>
      </c>
      <c r="BO79">
        <v>2837.7773999999999</v>
      </c>
      <c r="BP79" t="s">
        <v>522</v>
      </c>
      <c r="BQ79">
        <v>1200</v>
      </c>
      <c r="BR79">
        <v>1000</v>
      </c>
      <c r="BS79">
        <v>1000</v>
      </c>
      <c r="BT79">
        <v>6</v>
      </c>
      <c r="BU79">
        <v>0</v>
      </c>
      <c r="BV79">
        <v>6</v>
      </c>
      <c r="BW79">
        <v>180</v>
      </c>
      <c r="BX79">
        <v>0</v>
      </c>
      <c r="BY79">
        <v>180</v>
      </c>
      <c r="BZ79">
        <v>4860</v>
      </c>
      <c r="CA79">
        <v>0</v>
      </c>
      <c r="CB79">
        <v>4860</v>
      </c>
      <c r="CC79">
        <v>2454.7374</v>
      </c>
      <c r="CD79" t="s">
        <v>850</v>
      </c>
      <c r="CE79" t="s">
        <v>851</v>
      </c>
      <c r="CG79" t="s">
        <v>421</v>
      </c>
      <c r="CN79" t="str">
        <v>M19</v>
      </c>
      <c r="CO79" t="str">
        <v>1101-5YY0313EN</v>
      </c>
      <c r="CP79" t="str">
        <v>CSGU2004557</v>
      </c>
      <c r="CQ79" s="23">
        <v>287.38816000000003</v>
      </c>
      <c r="CR79" s="25">
        <f t="shared" si="6"/>
        <v>3.9735589061559384E-2</v>
      </c>
      <c r="CS79" s="21">
        <f t="shared" si="7"/>
        <v>99.338972653898466</v>
      </c>
    </row>
    <row r="80" spans="2:99" x14ac:dyDescent="0.35">
      <c r="B80" t="s">
        <v>299</v>
      </c>
      <c r="C80" t="s">
        <v>852</v>
      </c>
      <c r="D80" t="s">
        <v>395</v>
      </c>
      <c r="E80" t="s">
        <v>395</v>
      </c>
      <c r="F80" t="s">
        <v>396</v>
      </c>
      <c r="G80" t="s">
        <v>397</v>
      </c>
      <c r="H80" t="s">
        <v>398</v>
      </c>
      <c r="I80" t="s">
        <v>399</v>
      </c>
      <c r="J80" t="s">
        <v>749</v>
      </c>
      <c r="K80" t="s">
        <v>845</v>
      </c>
      <c r="L80" t="s">
        <v>787</v>
      </c>
      <c r="M80" t="s">
        <v>403</v>
      </c>
      <c r="N80">
        <v>1</v>
      </c>
      <c r="O80">
        <v>1</v>
      </c>
      <c r="P80" t="s">
        <v>853</v>
      </c>
      <c r="Q80" t="s">
        <v>789</v>
      </c>
      <c r="R80" t="s">
        <v>847</v>
      </c>
      <c r="S80" t="s">
        <v>854</v>
      </c>
      <c r="T80" t="s">
        <v>408</v>
      </c>
      <c r="U80">
        <v>50950081005</v>
      </c>
      <c r="W80">
        <v>13068</v>
      </c>
      <c r="X80" t="s">
        <v>409</v>
      </c>
      <c r="Y80" t="s">
        <v>410</v>
      </c>
      <c r="Z80" t="s">
        <v>410</v>
      </c>
      <c r="AA80" t="s">
        <v>411</v>
      </c>
      <c r="AB80" t="s">
        <v>769</v>
      </c>
      <c r="AC80" t="s">
        <v>411</v>
      </c>
      <c r="AD80">
        <v>46081</v>
      </c>
      <c r="AE80">
        <v>46139</v>
      </c>
      <c r="AF80">
        <v>46090</v>
      </c>
      <c r="AG80" t="s">
        <v>754</v>
      </c>
      <c r="AH80">
        <v>6122975</v>
      </c>
      <c r="AI80">
        <v>46083</v>
      </c>
      <c r="AJ80">
        <v>46084</v>
      </c>
      <c r="AK80">
        <v>13068</v>
      </c>
      <c r="AL80" t="s">
        <v>396</v>
      </c>
      <c r="AM80" t="s">
        <v>855</v>
      </c>
      <c r="AN80">
        <v>46084</v>
      </c>
      <c r="AO80">
        <v>46084.391203703701</v>
      </c>
      <c r="AP80" t="s">
        <v>51</v>
      </c>
      <c r="AQ80">
        <v>1.00054</v>
      </c>
      <c r="AR80">
        <v>13075.04</v>
      </c>
      <c r="AS80" t="s">
        <v>51</v>
      </c>
      <c r="AT80">
        <v>13075.04</v>
      </c>
      <c r="AU80" t="s">
        <v>415</v>
      </c>
      <c r="AV80" t="s">
        <v>772</v>
      </c>
      <c r="AW80" t="s">
        <v>773</v>
      </c>
      <c r="AX80">
        <v>46089</v>
      </c>
      <c r="AY80">
        <v>46138</v>
      </c>
      <c r="AZ80" t="s">
        <v>814</v>
      </c>
      <c r="BA80" t="s">
        <v>560</v>
      </c>
      <c r="BB80" t="s">
        <v>815</v>
      </c>
      <c r="BC80">
        <v>33</v>
      </c>
      <c r="BD80" t="s">
        <v>521</v>
      </c>
      <c r="BE80">
        <v>12.9557</v>
      </c>
      <c r="BF80">
        <v>12.005699999999999</v>
      </c>
      <c r="BG80" t="s">
        <v>522</v>
      </c>
      <c r="BH80">
        <v>495</v>
      </c>
      <c r="BI80">
        <v>395</v>
      </c>
      <c r="BJ80">
        <v>150</v>
      </c>
      <c r="BK80">
        <v>36</v>
      </c>
      <c r="BL80" t="s">
        <v>521</v>
      </c>
      <c r="BM80">
        <v>493.40519999999998</v>
      </c>
      <c r="BN80">
        <v>432.20519999999999</v>
      </c>
      <c r="BO80">
        <v>5427.4690799999998</v>
      </c>
      <c r="BP80" t="s">
        <v>522</v>
      </c>
      <c r="BQ80">
        <v>1200</v>
      </c>
      <c r="BR80">
        <v>1000</v>
      </c>
      <c r="BS80">
        <v>1053</v>
      </c>
      <c r="BT80">
        <v>11</v>
      </c>
      <c r="BU80">
        <v>0</v>
      </c>
      <c r="BV80">
        <v>11</v>
      </c>
      <c r="BW80">
        <v>396</v>
      </c>
      <c r="BX80">
        <v>0</v>
      </c>
      <c r="BY80">
        <v>396</v>
      </c>
      <c r="BZ80">
        <v>13068</v>
      </c>
      <c r="CA80">
        <v>0</v>
      </c>
      <c r="CB80">
        <v>13068</v>
      </c>
      <c r="CC80">
        <v>4754.26908</v>
      </c>
      <c r="CD80" t="s">
        <v>856</v>
      </c>
      <c r="CE80" t="s">
        <v>857</v>
      </c>
      <c r="CG80" t="s">
        <v>421</v>
      </c>
      <c r="CN80" t="str">
        <v>M19</v>
      </c>
      <c r="CO80" t="str">
        <v>1250-5YY0031EN</v>
      </c>
      <c r="CP80" t="str">
        <v>CSGU2004557</v>
      </c>
      <c r="CQ80" s="23">
        <v>143.82</v>
      </c>
      <c r="CR80" s="25">
        <f t="shared" si="6"/>
        <v>1.9885204800481237E-2</v>
      </c>
      <c r="CS80" s="21">
        <f t="shared" si="7"/>
        <v>49.71301200120309</v>
      </c>
    </row>
    <row r="81" spans="2:97" x14ac:dyDescent="0.35">
      <c r="B81" t="s">
        <v>295</v>
      </c>
      <c r="C81" t="s">
        <v>858</v>
      </c>
      <c r="D81" t="s">
        <v>395</v>
      </c>
      <c r="E81" t="s">
        <v>395</v>
      </c>
      <c r="F81" t="s">
        <v>396</v>
      </c>
      <c r="G81" t="s">
        <v>397</v>
      </c>
      <c r="H81" t="s">
        <v>398</v>
      </c>
      <c r="I81" t="s">
        <v>399</v>
      </c>
      <c r="J81" t="s">
        <v>749</v>
      </c>
      <c r="K81" t="s">
        <v>515</v>
      </c>
      <c r="L81" t="s">
        <v>787</v>
      </c>
      <c r="M81" t="s">
        <v>403</v>
      </c>
      <c r="N81">
        <v>1</v>
      </c>
      <c r="O81">
        <v>6</v>
      </c>
      <c r="P81" t="s">
        <v>859</v>
      </c>
      <c r="Q81" t="s">
        <v>405</v>
      </c>
      <c r="R81" t="s">
        <v>860</v>
      </c>
      <c r="S81" t="s">
        <v>861</v>
      </c>
      <c r="T81" t="s">
        <v>408</v>
      </c>
      <c r="U81">
        <v>50950076165</v>
      </c>
      <c r="W81">
        <v>6000</v>
      </c>
      <c r="X81" t="s">
        <v>409</v>
      </c>
      <c r="Y81" t="s">
        <v>410</v>
      </c>
      <c r="Z81" t="s">
        <v>410</v>
      </c>
      <c r="AA81" t="s">
        <v>411</v>
      </c>
      <c r="AB81" t="s">
        <v>554</v>
      </c>
      <c r="AC81" t="s">
        <v>411</v>
      </c>
      <c r="AD81">
        <v>46080</v>
      </c>
      <c r="AE81">
        <v>46125</v>
      </c>
      <c r="AF81">
        <v>46091</v>
      </c>
      <c r="AG81" t="s">
        <v>754</v>
      </c>
      <c r="AH81">
        <v>6124744</v>
      </c>
      <c r="AI81">
        <v>46084</v>
      </c>
      <c r="AJ81">
        <v>46085</v>
      </c>
      <c r="AK81">
        <v>6000</v>
      </c>
      <c r="AL81" t="s">
        <v>396</v>
      </c>
      <c r="AM81" t="s">
        <v>862</v>
      </c>
      <c r="AN81">
        <v>46085</v>
      </c>
      <c r="AO81">
        <v>46085.452164351853</v>
      </c>
      <c r="AP81" t="s">
        <v>51</v>
      </c>
      <c r="AQ81">
        <v>0.26236999999999999</v>
      </c>
      <c r="AR81">
        <v>1574.22</v>
      </c>
      <c r="AS81" t="s">
        <v>51</v>
      </c>
      <c r="AT81">
        <v>1574.22</v>
      </c>
      <c r="AU81" t="s">
        <v>415</v>
      </c>
      <c r="AV81" t="s">
        <v>772</v>
      </c>
      <c r="AW81" t="s">
        <v>863</v>
      </c>
      <c r="AX81">
        <v>46091</v>
      </c>
      <c r="AY81">
        <v>46140</v>
      </c>
      <c r="AZ81" t="s">
        <v>864</v>
      </c>
      <c r="BA81" t="s">
        <v>419</v>
      </c>
      <c r="BB81" t="s">
        <v>865</v>
      </c>
      <c r="BC81">
        <v>200</v>
      </c>
      <c r="BD81" t="s">
        <v>521</v>
      </c>
      <c r="BE81">
        <v>4.3890000000000002</v>
      </c>
      <c r="BF81">
        <v>2.2679999999999998</v>
      </c>
      <c r="BG81" t="s">
        <v>522</v>
      </c>
      <c r="BH81">
        <v>395</v>
      </c>
      <c r="BI81">
        <v>295</v>
      </c>
      <c r="BJ81">
        <v>320</v>
      </c>
      <c r="BK81">
        <v>15</v>
      </c>
      <c r="BL81" t="s">
        <v>521</v>
      </c>
      <c r="BM81">
        <v>92.834999999999994</v>
      </c>
      <c r="BN81">
        <v>34.020000000000003</v>
      </c>
      <c r="BO81">
        <v>185.67</v>
      </c>
      <c r="BP81" t="s">
        <v>522</v>
      </c>
      <c r="BQ81">
        <v>1200</v>
      </c>
      <c r="BR81">
        <v>1000</v>
      </c>
      <c r="BS81">
        <v>1120</v>
      </c>
      <c r="BT81">
        <v>2</v>
      </c>
      <c r="BU81">
        <v>0</v>
      </c>
      <c r="BV81">
        <v>2</v>
      </c>
      <c r="BW81">
        <v>30</v>
      </c>
      <c r="BX81">
        <v>0</v>
      </c>
      <c r="BY81">
        <v>30</v>
      </c>
      <c r="BZ81">
        <v>6000</v>
      </c>
      <c r="CA81">
        <v>0</v>
      </c>
      <c r="CB81">
        <v>6000</v>
      </c>
      <c r="CC81">
        <v>68.040000000000006</v>
      </c>
      <c r="CD81" t="s">
        <v>866</v>
      </c>
      <c r="CE81" t="s">
        <v>867</v>
      </c>
      <c r="CG81" t="s">
        <v>421</v>
      </c>
      <c r="CN81" t="str">
        <v>M19</v>
      </c>
      <c r="CO81" t="str">
        <v>1326-5YY0082EN</v>
      </c>
      <c r="CP81" t="str">
        <v>CSGU2004557</v>
      </c>
      <c r="CQ81" s="23">
        <v>66.947199999999995</v>
      </c>
      <c r="CR81" s="25">
        <f t="shared" si="6"/>
        <v>9.2564231874480412E-3</v>
      </c>
      <c r="CS81" s="21">
        <f t="shared" si="7"/>
        <v>23.141057968620103</v>
      </c>
    </row>
    <row r="82" spans="2:97" x14ac:dyDescent="0.35">
      <c r="B82" t="s">
        <v>295</v>
      </c>
      <c r="C82" t="s">
        <v>868</v>
      </c>
      <c r="D82" t="s">
        <v>395</v>
      </c>
      <c r="E82" t="s">
        <v>395</v>
      </c>
      <c r="F82" t="s">
        <v>396</v>
      </c>
      <c r="G82" t="s">
        <v>397</v>
      </c>
      <c r="H82" t="s">
        <v>398</v>
      </c>
      <c r="I82" t="s">
        <v>399</v>
      </c>
      <c r="J82" t="s">
        <v>749</v>
      </c>
      <c r="K82" t="s">
        <v>629</v>
      </c>
      <c r="L82" t="s">
        <v>787</v>
      </c>
      <c r="M82" t="s">
        <v>403</v>
      </c>
      <c r="N82">
        <v>1</v>
      </c>
      <c r="O82">
        <v>10</v>
      </c>
      <c r="P82" t="s">
        <v>869</v>
      </c>
      <c r="Q82" t="s">
        <v>637</v>
      </c>
      <c r="R82" t="s">
        <v>870</v>
      </c>
      <c r="S82" t="s">
        <v>871</v>
      </c>
      <c r="T82" t="s">
        <v>408</v>
      </c>
      <c r="U82">
        <v>50950076250</v>
      </c>
      <c r="W82">
        <v>1200</v>
      </c>
      <c r="X82" t="s">
        <v>409</v>
      </c>
      <c r="Y82" t="s">
        <v>410</v>
      </c>
      <c r="Z82" t="s">
        <v>410</v>
      </c>
      <c r="AA82" t="s">
        <v>411</v>
      </c>
      <c r="AB82" t="s">
        <v>554</v>
      </c>
      <c r="AC82" t="s">
        <v>411</v>
      </c>
      <c r="AD82">
        <v>46083</v>
      </c>
      <c r="AE82">
        <v>46118</v>
      </c>
      <c r="AF82">
        <v>46091</v>
      </c>
      <c r="AG82" t="s">
        <v>754</v>
      </c>
      <c r="AH82">
        <v>6124745</v>
      </c>
      <c r="AI82">
        <v>46084</v>
      </c>
      <c r="AJ82">
        <v>46085</v>
      </c>
      <c r="AK82">
        <v>1200</v>
      </c>
      <c r="AL82" t="s">
        <v>396</v>
      </c>
      <c r="AM82" t="s">
        <v>872</v>
      </c>
      <c r="AN82">
        <v>46085</v>
      </c>
      <c r="AO82">
        <v>46085.452164351853</v>
      </c>
      <c r="AP82" t="s">
        <v>51</v>
      </c>
      <c r="AQ82">
        <v>1.03729</v>
      </c>
      <c r="AR82">
        <v>1244.75</v>
      </c>
      <c r="AS82" t="s">
        <v>51</v>
      </c>
      <c r="AT82">
        <v>1244.75</v>
      </c>
      <c r="AU82" t="s">
        <v>415</v>
      </c>
      <c r="AV82" t="s">
        <v>772</v>
      </c>
      <c r="AW82" t="s">
        <v>863</v>
      </c>
      <c r="AX82">
        <v>46091</v>
      </c>
      <c r="AY82">
        <v>46140</v>
      </c>
      <c r="AZ82" t="s">
        <v>864</v>
      </c>
      <c r="BA82" t="s">
        <v>419</v>
      </c>
      <c r="BB82" t="s">
        <v>865</v>
      </c>
      <c r="BC82">
        <v>40</v>
      </c>
      <c r="BD82" t="s">
        <v>521</v>
      </c>
      <c r="BE82">
        <v>4.4851000000000001</v>
      </c>
      <c r="BF82">
        <v>3.3351000000000002</v>
      </c>
      <c r="BG82" t="s">
        <v>522</v>
      </c>
      <c r="BH82">
        <v>495</v>
      </c>
      <c r="BI82">
        <v>395</v>
      </c>
      <c r="BJ82">
        <v>1800</v>
      </c>
      <c r="BK82">
        <v>30</v>
      </c>
      <c r="BL82" t="s">
        <v>521</v>
      </c>
      <c r="BM82">
        <v>161.55359999999999</v>
      </c>
      <c r="BN82">
        <v>100.0536</v>
      </c>
      <c r="BO82">
        <v>161.55359999999999</v>
      </c>
      <c r="BP82" t="s">
        <v>522</v>
      </c>
      <c r="BQ82">
        <v>1200</v>
      </c>
      <c r="BR82">
        <v>1000</v>
      </c>
      <c r="BS82">
        <v>1058</v>
      </c>
      <c r="BT82">
        <v>1</v>
      </c>
      <c r="BU82">
        <v>0</v>
      </c>
      <c r="BV82">
        <v>1</v>
      </c>
      <c r="BW82">
        <v>30</v>
      </c>
      <c r="BX82">
        <v>0</v>
      </c>
      <c r="BY82">
        <v>30</v>
      </c>
      <c r="BZ82">
        <v>1200</v>
      </c>
      <c r="CA82">
        <v>0</v>
      </c>
      <c r="CB82">
        <v>1200</v>
      </c>
      <c r="CC82">
        <v>100.0536</v>
      </c>
      <c r="CD82" t="s">
        <v>799</v>
      </c>
      <c r="CE82" t="s">
        <v>873</v>
      </c>
      <c r="CG82" t="s">
        <v>421</v>
      </c>
      <c r="CN82" t="str">
        <v>M23</v>
      </c>
      <c r="CO82" t="str">
        <v>1415-1060749EN</v>
      </c>
      <c r="CP82" t="str">
        <v>CSGU2004557</v>
      </c>
      <c r="CQ82" s="23">
        <v>228.0256</v>
      </c>
      <c r="CR82" s="25">
        <f t="shared" si="6"/>
        <v>3.1527852563987026E-2</v>
      </c>
      <c r="CS82" s="21">
        <f t="shared" si="7"/>
        <v>78.81963140996757</v>
      </c>
    </row>
    <row r="83" spans="2:97" x14ac:dyDescent="0.35">
      <c r="B83" t="s">
        <v>295</v>
      </c>
      <c r="C83" t="s">
        <v>868</v>
      </c>
      <c r="D83" t="s">
        <v>395</v>
      </c>
      <c r="E83" t="s">
        <v>395</v>
      </c>
      <c r="F83" t="s">
        <v>396</v>
      </c>
      <c r="G83" t="s">
        <v>397</v>
      </c>
      <c r="H83" t="s">
        <v>398</v>
      </c>
      <c r="I83" t="s">
        <v>399</v>
      </c>
      <c r="J83" t="s">
        <v>749</v>
      </c>
      <c r="K83" t="s">
        <v>629</v>
      </c>
      <c r="L83" t="s">
        <v>787</v>
      </c>
      <c r="M83" t="s">
        <v>403</v>
      </c>
      <c r="N83">
        <v>1</v>
      </c>
      <c r="O83">
        <v>11</v>
      </c>
      <c r="P83" t="s">
        <v>869</v>
      </c>
      <c r="Q83" t="s">
        <v>637</v>
      </c>
      <c r="R83" t="s">
        <v>870</v>
      </c>
      <c r="S83" t="s">
        <v>871</v>
      </c>
      <c r="T83" t="s">
        <v>408</v>
      </c>
      <c r="U83">
        <v>50950076250</v>
      </c>
      <c r="W83">
        <v>4800</v>
      </c>
      <c r="X83" t="s">
        <v>409</v>
      </c>
      <c r="Y83" t="s">
        <v>410</v>
      </c>
      <c r="Z83" t="s">
        <v>410</v>
      </c>
      <c r="AA83" t="s">
        <v>411</v>
      </c>
      <c r="AB83" t="s">
        <v>554</v>
      </c>
      <c r="AC83" t="s">
        <v>411</v>
      </c>
      <c r="AD83">
        <v>46083</v>
      </c>
      <c r="AE83">
        <v>46118</v>
      </c>
      <c r="AF83">
        <v>46091</v>
      </c>
      <c r="AG83" t="s">
        <v>754</v>
      </c>
      <c r="AH83">
        <v>6124745</v>
      </c>
      <c r="AI83">
        <v>46084</v>
      </c>
      <c r="AJ83">
        <v>46085</v>
      </c>
      <c r="AK83">
        <v>4800</v>
      </c>
      <c r="AL83" t="s">
        <v>396</v>
      </c>
      <c r="AM83" t="s">
        <v>872</v>
      </c>
      <c r="AN83">
        <v>46085</v>
      </c>
      <c r="AO83">
        <v>46085.452164351853</v>
      </c>
      <c r="AP83" t="s">
        <v>51</v>
      </c>
      <c r="AQ83">
        <v>1.03729</v>
      </c>
      <c r="AR83">
        <v>4979</v>
      </c>
      <c r="AS83" t="s">
        <v>51</v>
      </c>
      <c r="AT83">
        <v>4979</v>
      </c>
      <c r="AU83" t="s">
        <v>415</v>
      </c>
      <c r="AV83" t="s">
        <v>772</v>
      </c>
      <c r="AW83" t="s">
        <v>863</v>
      </c>
      <c r="AX83">
        <v>46091</v>
      </c>
      <c r="AY83">
        <v>46140</v>
      </c>
      <c r="AZ83" t="s">
        <v>864</v>
      </c>
      <c r="BA83" t="s">
        <v>419</v>
      </c>
      <c r="BB83" t="s">
        <v>865</v>
      </c>
      <c r="BC83">
        <v>40</v>
      </c>
      <c r="BD83" t="s">
        <v>521</v>
      </c>
      <c r="BE83">
        <v>4.4851000000000001</v>
      </c>
      <c r="BF83">
        <v>3.3351000000000002</v>
      </c>
      <c r="BG83" t="s">
        <v>522</v>
      </c>
      <c r="BH83">
        <v>495</v>
      </c>
      <c r="BI83">
        <v>395</v>
      </c>
      <c r="BJ83">
        <v>1800</v>
      </c>
      <c r="BK83">
        <v>30</v>
      </c>
      <c r="BL83" t="s">
        <v>521</v>
      </c>
      <c r="BM83">
        <v>161.553</v>
      </c>
      <c r="BN83">
        <v>100.053</v>
      </c>
      <c r="BO83">
        <v>646.21439999999996</v>
      </c>
      <c r="BP83" t="s">
        <v>522</v>
      </c>
      <c r="BQ83">
        <v>1200</v>
      </c>
      <c r="BR83">
        <v>1000</v>
      </c>
      <c r="BS83">
        <v>1058</v>
      </c>
      <c r="BT83">
        <v>4</v>
      </c>
      <c r="BU83">
        <v>0</v>
      </c>
      <c r="BV83">
        <v>4</v>
      </c>
      <c r="BW83">
        <v>120</v>
      </c>
      <c r="BX83">
        <v>0</v>
      </c>
      <c r="BY83">
        <v>120</v>
      </c>
      <c r="BZ83">
        <v>4800</v>
      </c>
      <c r="CA83">
        <v>0</v>
      </c>
      <c r="CB83">
        <v>4800</v>
      </c>
      <c r="CC83">
        <v>400.21440000000001</v>
      </c>
      <c r="CD83" t="s">
        <v>799</v>
      </c>
      <c r="CE83" t="s">
        <v>873</v>
      </c>
      <c r="CG83" t="s">
        <v>421</v>
      </c>
      <c r="CN83" t="str">
        <v>M46</v>
      </c>
      <c r="CO83" t="str">
        <v>1202-1060393EN</v>
      </c>
      <c r="CP83" t="str">
        <v>CSGU2004557</v>
      </c>
      <c r="CQ83" s="23">
        <v>32.933799999999998</v>
      </c>
      <c r="CR83" s="25">
        <f t="shared" si="6"/>
        <v>4.5535764000701499E-3</v>
      </c>
      <c r="CS83" s="21">
        <f t="shared" si="7"/>
        <v>11.383941000175374</v>
      </c>
    </row>
    <row r="84" spans="2:97" x14ac:dyDescent="0.35">
      <c r="B84" t="s">
        <v>296</v>
      </c>
      <c r="C84" t="s">
        <v>874</v>
      </c>
      <c r="D84" t="s">
        <v>395</v>
      </c>
      <c r="E84" t="s">
        <v>395</v>
      </c>
      <c r="F84" t="s">
        <v>396</v>
      </c>
      <c r="G84" t="s">
        <v>397</v>
      </c>
      <c r="H84" t="s">
        <v>398</v>
      </c>
      <c r="I84" t="s">
        <v>399</v>
      </c>
      <c r="J84" t="s">
        <v>749</v>
      </c>
      <c r="K84" t="s">
        <v>629</v>
      </c>
      <c r="L84" t="s">
        <v>787</v>
      </c>
      <c r="M84" t="s">
        <v>403</v>
      </c>
      <c r="N84">
        <v>1</v>
      </c>
      <c r="O84">
        <v>2</v>
      </c>
      <c r="P84" t="s">
        <v>875</v>
      </c>
      <c r="Q84" t="s">
        <v>430</v>
      </c>
      <c r="R84" t="s">
        <v>876</v>
      </c>
      <c r="S84" t="s">
        <v>877</v>
      </c>
      <c r="T84" t="s">
        <v>408</v>
      </c>
      <c r="U84">
        <v>50950078837</v>
      </c>
      <c r="W84">
        <v>35200</v>
      </c>
      <c r="X84" t="s">
        <v>409</v>
      </c>
      <c r="Y84" t="s">
        <v>410</v>
      </c>
      <c r="Z84" t="s">
        <v>410</v>
      </c>
      <c r="AA84" t="s">
        <v>411</v>
      </c>
      <c r="AB84" t="s">
        <v>554</v>
      </c>
      <c r="AC84" t="s">
        <v>411</v>
      </c>
      <c r="AD84">
        <v>46081</v>
      </c>
      <c r="AE84">
        <v>46132</v>
      </c>
      <c r="AF84">
        <v>46091</v>
      </c>
      <c r="AG84" t="s">
        <v>754</v>
      </c>
      <c r="AH84">
        <v>6124746</v>
      </c>
      <c r="AI84">
        <v>46084</v>
      </c>
      <c r="AJ84">
        <v>46085</v>
      </c>
      <c r="AK84">
        <v>35200</v>
      </c>
      <c r="AL84" t="s">
        <v>396</v>
      </c>
      <c r="AM84" t="s">
        <v>878</v>
      </c>
      <c r="AN84">
        <v>46085</v>
      </c>
      <c r="AO84">
        <v>46085.452164351853</v>
      </c>
      <c r="AP84" t="s">
        <v>51</v>
      </c>
      <c r="AQ84">
        <v>0.11867</v>
      </c>
      <c r="AR84">
        <v>4177.1499999999996</v>
      </c>
      <c r="AS84" t="s">
        <v>51</v>
      </c>
      <c r="AT84">
        <v>4177.1499999999996</v>
      </c>
      <c r="AU84" t="s">
        <v>415</v>
      </c>
      <c r="AV84" t="s">
        <v>772</v>
      </c>
      <c r="AW84" t="s">
        <v>863</v>
      </c>
      <c r="AX84">
        <v>46091</v>
      </c>
      <c r="AY84">
        <v>46140</v>
      </c>
      <c r="AZ84" t="s">
        <v>864</v>
      </c>
      <c r="BA84" t="s">
        <v>419</v>
      </c>
      <c r="BB84" t="s">
        <v>865</v>
      </c>
      <c r="BC84">
        <v>160</v>
      </c>
      <c r="BD84" t="s">
        <v>521</v>
      </c>
      <c r="BE84">
        <v>6.3452000000000002</v>
      </c>
      <c r="BF84">
        <v>4.7952000000000004</v>
      </c>
      <c r="BG84" t="s">
        <v>522</v>
      </c>
      <c r="BH84">
        <v>595</v>
      </c>
      <c r="BI84">
        <v>495</v>
      </c>
      <c r="BJ84">
        <v>190</v>
      </c>
      <c r="BK84">
        <v>20</v>
      </c>
      <c r="BL84" t="s">
        <v>521</v>
      </c>
      <c r="BM84">
        <v>153.904</v>
      </c>
      <c r="BN84">
        <v>95.903999999999996</v>
      </c>
      <c r="BO84">
        <v>1692.944</v>
      </c>
      <c r="BP84" t="s">
        <v>522</v>
      </c>
      <c r="BQ84">
        <v>1200</v>
      </c>
      <c r="BR84">
        <v>1000</v>
      </c>
      <c r="BS84">
        <v>1110</v>
      </c>
      <c r="BT84">
        <v>11</v>
      </c>
      <c r="BU84">
        <v>0</v>
      </c>
      <c r="BV84">
        <v>11</v>
      </c>
      <c r="BW84">
        <v>220</v>
      </c>
      <c r="BX84">
        <v>0</v>
      </c>
      <c r="BY84">
        <v>220</v>
      </c>
      <c r="BZ84">
        <v>35200</v>
      </c>
      <c r="CA84">
        <v>0</v>
      </c>
      <c r="CB84">
        <v>35200</v>
      </c>
      <c r="CC84">
        <v>1054.944</v>
      </c>
      <c r="CD84" t="s">
        <v>592</v>
      </c>
      <c r="CE84" t="s">
        <v>879</v>
      </c>
      <c r="CG84" t="s">
        <v>421</v>
      </c>
      <c r="CN84" t="str">
        <v>M01</v>
      </c>
      <c r="CO84" t="str">
        <v>1202-1030350EN</v>
      </c>
      <c r="CP84" t="str">
        <v>CSGU2004557</v>
      </c>
      <c r="CQ84" s="23">
        <v>196.8768</v>
      </c>
      <c r="CR84" s="25">
        <f t="shared" si="6"/>
        <v>2.7221078351156894E-2</v>
      </c>
      <c r="CS84" s="21">
        <f t="shared" si="7"/>
        <v>68.052695877892234</v>
      </c>
    </row>
    <row r="85" spans="2:97" x14ac:dyDescent="0.35">
      <c r="B85" t="s">
        <v>296</v>
      </c>
      <c r="C85" t="s">
        <v>880</v>
      </c>
      <c r="D85" t="s">
        <v>395</v>
      </c>
      <c r="E85" t="s">
        <v>395</v>
      </c>
      <c r="F85" t="s">
        <v>396</v>
      </c>
      <c r="G85" t="s">
        <v>397</v>
      </c>
      <c r="H85" t="s">
        <v>398</v>
      </c>
      <c r="I85" t="s">
        <v>399</v>
      </c>
      <c r="J85" t="s">
        <v>749</v>
      </c>
      <c r="K85" t="s">
        <v>629</v>
      </c>
      <c r="L85" t="s">
        <v>787</v>
      </c>
      <c r="M85" t="s">
        <v>403</v>
      </c>
      <c r="N85">
        <v>1</v>
      </c>
      <c r="O85">
        <v>1</v>
      </c>
      <c r="P85" t="s">
        <v>881</v>
      </c>
      <c r="Q85" t="s">
        <v>645</v>
      </c>
      <c r="R85" t="s">
        <v>882</v>
      </c>
      <c r="S85" t="s">
        <v>883</v>
      </c>
      <c r="T85" t="s">
        <v>408</v>
      </c>
      <c r="U85">
        <v>50950078820</v>
      </c>
      <c r="W85">
        <v>13200</v>
      </c>
      <c r="X85" t="s">
        <v>409</v>
      </c>
      <c r="Y85" t="s">
        <v>410</v>
      </c>
      <c r="Z85" t="s">
        <v>410</v>
      </c>
      <c r="AA85" t="s">
        <v>411</v>
      </c>
      <c r="AB85" t="s">
        <v>554</v>
      </c>
      <c r="AC85" t="s">
        <v>411</v>
      </c>
      <c r="AD85">
        <v>46083</v>
      </c>
      <c r="AE85">
        <v>46167</v>
      </c>
      <c r="AF85">
        <v>46091</v>
      </c>
      <c r="AG85" t="s">
        <v>754</v>
      </c>
      <c r="AH85">
        <v>6124747</v>
      </c>
      <c r="AI85">
        <v>46084</v>
      </c>
      <c r="AJ85">
        <v>46085</v>
      </c>
      <c r="AK85">
        <v>13200</v>
      </c>
      <c r="AL85" t="s">
        <v>396</v>
      </c>
      <c r="AM85" t="s">
        <v>884</v>
      </c>
      <c r="AN85">
        <v>46085</v>
      </c>
      <c r="AO85">
        <v>46085.452164351853</v>
      </c>
      <c r="AP85" t="s">
        <v>51</v>
      </c>
      <c r="AQ85">
        <v>0.19572000000000001</v>
      </c>
      <c r="AR85">
        <v>2583.5</v>
      </c>
      <c r="AS85" t="s">
        <v>51</v>
      </c>
      <c r="AT85">
        <v>2583.5</v>
      </c>
      <c r="AU85" t="s">
        <v>415</v>
      </c>
      <c r="AV85" t="s">
        <v>772</v>
      </c>
      <c r="AW85" t="s">
        <v>863</v>
      </c>
      <c r="AX85">
        <v>46091</v>
      </c>
      <c r="AY85">
        <v>46140</v>
      </c>
      <c r="AZ85" t="s">
        <v>864</v>
      </c>
      <c r="BA85" t="s">
        <v>419</v>
      </c>
      <c r="BB85" t="s">
        <v>865</v>
      </c>
      <c r="BC85">
        <v>264</v>
      </c>
      <c r="BD85" t="s">
        <v>521</v>
      </c>
      <c r="BE85">
        <v>5.2203999999999997</v>
      </c>
      <c r="BF85">
        <v>3.8304</v>
      </c>
      <c r="BG85" t="s">
        <v>522</v>
      </c>
      <c r="BH85">
        <v>595</v>
      </c>
      <c r="BI85">
        <v>395</v>
      </c>
      <c r="BJ85">
        <v>175</v>
      </c>
      <c r="BK85">
        <v>25</v>
      </c>
      <c r="BL85" t="s">
        <v>521</v>
      </c>
      <c r="BM85">
        <v>157.51</v>
      </c>
      <c r="BN85">
        <v>95.76</v>
      </c>
      <c r="BO85">
        <v>315.0188</v>
      </c>
      <c r="BP85" t="s">
        <v>522</v>
      </c>
      <c r="BQ85">
        <v>1200</v>
      </c>
      <c r="BR85">
        <v>1000</v>
      </c>
      <c r="BS85">
        <v>1035</v>
      </c>
      <c r="BT85">
        <v>2</v>
      </c>
      <c r="BU85">
        <v>0</v>
      </c>
      <c r="BV85">
        <v>2</v>
      </c>
      <c r="BW85">
        <v>50</v>
      </c>
      <c r="BX85">
        <v>0</v>
      </c>
      <c r="BY85">
        <v>50</v>
      </c>
      <c r="BZ85">
        <v>13200</v>
      </c>
      <c r="CA85">
        <v>0</v>
      </c>
      <c r="CB85">
        <v>13200</v>
      </c>
      <c r="CC85">
        <v>191.5188</v>
      </c>
      <c r="CD85" t="s">
        <v>885</v>
      </c>
      <c r="CE85" t="s">
        <v>886</v>
      </c>
      <c r="CG85" t="s">
        <v>421</v>
      </c>
      <c r="CN85" t="str">
        <v>M01</v>
      </c>
      <c r="CO85" t="str">
        <v>1101-0037350EN</v>
      </c>
      <c r="CP85" t="str">
        <v>CSGU2004557</v>
      </c>
      <c r="CQ85" s="23">
        <v>351.31</v>
      </c>
      <c r="CR85" s="25">
        <f t="shared" si="6"/>
        <v>4.8573712268509685E-2</v>
      </c>
      <c r="CS85" s="21">
        <f t="shared" si="7"/>
        <v>121.43428067127421</v>
      </c>
    </row>
    <row r="86" spans="2:97" x14ac:dyDescent="0.35">
      <c r="B86" t="s">
        <v>299</v>
      </c>
      <c r="C86" t="s">
        <v>817</v>
      </c>
      <c r="D86" t="s">
        <v>395</v>
      </c>
      <c r="E86" t="s">
        <v>395</v>
      </c>
      <c r="F86" t="s">
        <v>396</v>
      </c>
      <c r="G86" t="s">
        <v>397</v>
      </c>
      <c r="H86" t="s">
        <v>398</v>
      </c>
      <c r="I86" t="s">
        <v>399</v>
      </c>
      <c r="J86" t="s">
        <v>749</v>
      </c>
      <c r="K86" t="s">
        <v>809</v>
      </c>
      <c r="L86" t="s">
        <v>787</v>
      </c>
      <c r="M86" t="s">
        <v>403</v>
      </c>
      <c r="N86">
        <v>1</v>
      </c>
      <c r="O86">
        <v>8</v>
      </c>
      <c r="P86" t="s">
        <v>818</v>
      </c>
      <c r="Q86" t="s">
        <v>430</v>
      </c>
      <c r="R86" t="s">
        <v>811</v>
      </c>
      <c r="S86" t="s">
        <v>819</v>
      </c>
      <c r="T86" t="s">
        <v>408</v>
      </c>
      <c r="U86">
        <v>50950080248</v>
      </c>
      <c r="W86">
        <v>5760</v>
      </c>
      <c r="X86" t="s">
        <v>409</v>
      </c>
      <c r="Y86" t="s">
        <v>410</v>
      </c>
      <c r="Z86" t="s">
        <v>410</v>
      </c>
      <c r="AA86" t="s">
        <v>411</v>
      </c>
      <c r="AB86" t="s">
        <v>554</v>
      </c>
      <c r="AC86" t="s">
        <v>411</v>
      </c>
      <c r="AD86">
        <v>46077</v>
      </c>
      <c r="AE86">
        <v>46111</v>
      </c>
      <c r="AF86">
        <v>46091</v>
      </c>
      <c r="AG86" t="s">
        <v>754</v>
      </c>
      <c r="AH86">
        <v>6124748</v>
      </c>
      <c r="AI86">
        <v>46084</v>
      </c>
      <c r="AJ86">
        <v>46085</v>
      </c>
      <c r="AK86">
        <v>5760</v>
      </c>
      <c r="AL86" t="s">
        <v>396</v>
      </c>
      <c r="AM86" t="s">
        <v>887</v>
      </c>
      <c r="AN86">
        <v>46085</v>
      </c>
      <c r="AO86">
        <v>46085.452164351853</v>
      </c>
      <c r="AP86" t="s">
        <v>51</v>
      </c>
      <c r="AQ86">
        <v>1.20448</v>
      </c>
      <c r="AR86">
        <v>6937.8</v>
      </c>
      <c r="AS86" t="s">
        <v>51</v>
      </c>
      <c r="AT86">
        <v>6937.8</v>
      </c>
      <c r="AU86" t="s">
        <v>415</v>
      </c>
      <c r="AV86" t="s">
        <v>772</v>
      </c>
      <c r="AW86" t="s">
        <v>863</v>
      </c>
      <c r="AX86">
        <v>46091</v>
      </c>
      <c r="AY86">
        <v>46140</v>
      </c>
      <c r="AZ86" t="s">
        <v>864</v>
      </c>
      <c r="BA86" t="s">
        <v>419</v>
      </c>
      <c r="BB86" t="s">
        <v>865</v>
      </c>
      <c r="BC86">
        <v>48</v>
      </c>
      <c r="BD86" t="s">
        <v>521</v>
      </c>
      <c r="BE86">
        <v>7.6898999999999997</v>
      </c>
      <c r="BF86">
        <v>6.2298999999999998</v>
      </c>
      <c r="BG86" t="s">
        <v>522</v>
      </c>
      <c r="BH86">
        <v>495</v>
      </c>
      <c r="BI86">
        <v>395</v>
      </c>
      <c r="BJ86">
        <v>190</v>
      </c>
      <c r="BK86">
        <v>30</v>
      </c>
      <c r="BL86" t="s">
        <v>521</v>
      </c>
      <c r="BM86">
        <v>257.697</v>
      </c>
      <c r="BN86">
        <v>186.89699999999999</v>
      </c>
      <c r="BO86">
        <v>1030.7904000000001</v>
      </c>
      <c r="BP86" t="s">
        <v>522</v>
      </c>
      <c r="BQ86">
        <v>1200</v>
      </c>
      <c r="BR86">
        <v>1000</v>
      </c>
      <c r="BS86">
        <v>1120</v>
      </c>
      <c r="BT86">
        <v>4</v>
      </c>
      <c r="BU86">
        <v>0</v>
      </c>
      <c r="BV86">
        <v>4</v>
      </c>
      <c r="BW86">
        <v>120</v>
      </c>
      <c r="BX86">
        <v>0</v>
      </c>
      <c r="BY86">
        <v>120</v>
      </c>
      <c r="BZ86">
        <v>5760</v>
      </c>
      <c r="CA86">
        <v>0</v>
      </c>
      <c r="CB86">
        <v>5760</v>
      </c>
      <c r="CC86">
        <v>747.59040000000005</v>
      </c>
      <c r="CD86" t="s">
        <v>806</v>
      </c>
      <c r="CE86" t="s">
        <v>821</v>
      </c>
      <c r="CG86" t="s">
        <v>421</v>
      </c>
      <c r="CN86" t="str">
        <v>M01</v>
      </c>
      <c r="CO86" t="str">
        <v>1308-0033550EN</v>
      </c>
      <c r="CP86" t="str">
        <v>CSGU2004557</v>
      </c>
      <c r="CQ86" s="23">
        <v>141.04400000000001</v>
      </c>
      <c r="CR86" s="25">
        <f t="shared" si="6"/>
        <v>1.9501382463350547E-2</v>
      </c>
      <c r="CS86" s="21">
        <f t="shared" si="7"/>
        <v>48.753456158376366</v>
      </c>
    </row>
    <row r="87" spans="2:97" x14ac:dyDescent="0.35">
      <c r="B87" t="s">
        <v>299</v>
      </c>
      <c r="C87" t="s">
        <v>822</v>
      </c>
      <c r="D87" t="s">
        <v>395</v>
      </c>
      <c r="E87" t="s">
        <v>823</v>
      </c>
      <c r="F87" t="s">
        <v>396</v>
      </c>
      <c r="G87" t="s">
        <v>397</v>
      </c>
      <c r="H87" t="s">
        <v>398</v>
      </c>
      <c r="I87" t="s">
        <v>399</v>
      </c>
      <c r="J87" t="s">
        <v>749</v>
      </c>
      <c r="K87" t="s">
        <v>809</v>
      </c>
      <c r="L87" t="s">
        <v>787</v>
      </c>
      <c r="M87" t="s">
        <v>403</v>
      </c>
      <c r="N87">
        <v>1</v>
      </c>
      <c r="O87">
        <v>3</v>
      </c>
      <c r="P87" t="s">
        <v>824</v>
      </c>
      <c r="Q87" t="s">
        <v>424</v>
      </c>
      <c r="R87" t="s">
        <v>811</v>
      </c>
      <c r="S87" t="s">
        <v>825</v>
      </c>
      <c r="T87" t="s">
        <v>408</v>
      </c>
      <c r="U87">
        <v>50950080293</v>
      </c>
      <c r="W87">
        <v>1440</v>
      </c>
      <c r="X87" t="s">
        <v>409</v>
      </c>
      <c r="Y87" t="s">
        <v>410</v>
      </c>
      <c r="Z87" t="s">
        <v>410</v>
      </c>
      <c r="AA87" t="s">
        <v>411</v>
      </c>
      <c r="AB87" t="s">
        <v>554</v>
      </c>
      <c r="AC87" t="s">
        <v>411</v>
      </c>
      <c r="AD87">
        <v>46077</v>
      </c>
      <c r="AE87">
        <v>46132</v>
      </c>
      <c r="AF87">
        <v>46091</v>
      </c>
      <c r="AG87" t="s">
        <v>754</v>
      </c>
      <c r="AH87">
        <v>6124749</v>
      </c>
      <c r="AI87">
        <v>46084</v>
      </c>
      <c r="AJ87">
        <v>46085</v>
      </c>
      <c r="AK87">
        <v>1440</v>
      </c>
      <c r="AL87" t="s">
        <v>396</v>
      </c>
      <c r="AM87" t="s">
        <v>888</v>
      </c>
      <c r="AN87">
        <v>46085</v>
      </c>
      <c r="AO87">
        <v>46085.452164351853</v>
      </c>
      <c r="AP87" t="s">
        <v>51</v>
      </c>
      <c r="AQ87">
        <v>1.15734</v>
      </c>
      <c r="AR87">
        <v>1666.57</v>
      </c>
      <c r="AS87" t="s">
        <v>51</v>
      </c>
      <c r="AT87">
        <v>1666.57</v>
      </c>
      <c r="AU87" t="s">
        <v>415</v>
      </c>
      <c r="AV87" t="s">
        <v>772</v>
      </c>
      <c r="AW87" t="s">
        <v>863</v>
      </c>
      <c r="AX87">
        <v>46091</v>
      </c>
      <c r="AY87">
        <v>46140</v>
      </c>
      <c r="AZ87" t="s">
        <v>864</v>
      </c>
      <c r="BA87" t="s">
        <v>419</v>
      </c>
      <c r="BB87" t="s">
        <v>865</v>
      </c>
      <c r="BC87">
        <v>48</v>
      </c>
      <c r="BD87" t="s">
        <v>521</v>
      </c>
      <c r="BE87">
        <v>8.2250999999999994</v>
      </c>
      <c r="BF87">
        <v>6.7651000000000003</v>
      </c>
      <c r="BG87" t="s">
        <v>522</v>
      </c>
      <c r="BH87">
        <v>495</v>
      </c>
      <c r="BI87">
        <v>395</v>
      </c>
      <c r="BJ87">
        <v>190</v>
      </c>
      <c r="BK87">
        <v>30</v>
      </c>
      <c r="BL87" t="s">
        <v>521</v>
      </c>
      <c r="BM87">
        <v>273.75360000000001</v>
      </c>
      <c r="BN87">
        <v>202.95359999999999</v>
      </c>
      <c r="BO87">
        <v>273.75360000000001</v>
      </c>
      <c r="BP87" t="s">
        <v>522</v>
      </c>
      <c r="BQ87">
        <v>1200</v>
      </c>
      <c r="BR87">
        <v>1000</v>
      </c>
      <c r="BS87">
        <v>1120</v>
      </c>
      <c r="BT87">
        <v>1</v>
      </c>
      <c r="BU87">
        <v>0</v>
      </c>
      <c r="BV87">
        <v>1</v>
      </c>
      <c r="BW87">
        <v>30</v>
      </c>
      <c r="BX87">
        <v>0</v>
      </c>
      <c r="BY87">
        <v>30</v>
      </c>
      <c r="BZ87">
        <v>1440</v>
      </c>
      <c r="CA87">
        <v>0</v>
      </c>
      <c r="CB87">
        <v>1440</v>
      </c>
      <c r="CC87">
        <v>202.95359999999999</v>
      </c>
      <c r="CD87" t="s">
        <v>806</v>
      </c>
      <c r="CE87" t="s">
        <v>821</v>
      </c>
      <c r="CG87" t="s">
        <v>421</v>
      </c>
      <c r="CN87" t="str">
        <v>M01</v>
      </c>
      <c r="CO87" t="str">
        <v>1110-0035030EN</v>
      </c>
      <c r="CP87" t="str">
        <v>CSGU2004557</v>
      </c>
      <c r="CQ87" s="23">
        <v>13.156000000000001</v>
      </c>
      <c r="CR87" s="25">
        <f t="shared" si="6"/>
        <v>1.8190081654507798E-3</v>
      </c>
      <c r="CS87" s="21">
        <f t="shared" si="7"/>
        <v>4.5475204136269491</v>
      </c>
    </row>
    <row r="88" spans="2:97" x14ac:dyDescent="0.35">
      <c r="B88" t="s">
        <v>299</v>
      </c>
      <c r="C88" t="s">
        <v>889</v>
      </c>
      <c r="D88" t="s">
        <v>395</v>
      </c>
      <c r="E88" t="s">
        <v>395</v>
      </c>
      <c r="F88" t="s">
        <v>396</v>
      </c>
      <c r="G88" t="s">
        <v>397</v>
      </c>
      <c r="H88" t="s">
        <v>398</v>
      </c>
      <c r="I88" t="s">
        <v>399</v>
      </c>
      <c r="J88" t="s">
        <v>749</v>
      </c>
      <c r="K88" t="s">
        <v>809</v>
      </c>
      <c r="L88" t="s">
        <v>787</v>
      </c>
      <c r="M88" t="s">
        <v>403</v>
      </c>
      <c r="N88">
        <v>1</v>
      </c>
      <c r="O88">
        <v>1</v>
      </c>
      <c r="P88" t="s">
        <v>810</v>
      </c>
      <c r="Q88" t="s">
        <v>405</v>
      </c>
      <c r="R88" t="s">
        <v>811</v>
      </c>
      <c r="S88" t="s">
        <v>812</v>
      </c>
      <c r="T88" t="s">
        <v>408</v>
      </c>
      <c r="U88">
        <v>50950080325</v>
      </c>
      <c r="W88">
        <v>480</v>
      </c>
      <c r="X88" t="s">
        <v>409</v>
      </c>
      <c r="Y88" t="s">
        <v>410</v>
      </c>
      <c r="Z88" t="s">
        <v>410</v>
      </c>
      <c r="AA88" t="s">
        <v>411</v>
      </c>
      <c r="AB88" t="s">
        <v>554</v>
      </c>
      <c r="AC88" t="s">
        <v>411</v>
      </c>
      <c r="AD88">
        <v>46081</v>
      </c>
      <c r="AE88">
        <v>46118</v>
      </c>
      <c r="AF88">
        <v>46091</v>
      </c>
      <c r="AG88" t="s">
        <v>754</v>
      </c>
      <c r="AH88">
        <v>6124750</v>
      </c>
      <c r="AI88">
        <v>46084</v>
      </c>
      <c r="AJ88">
        <v>46085</v>
      </c>
      <c r="AK88">
        <v>480</v>
      </c>
      <c r="AL88" t="s">
        <v>396</v>
      </c>
      <c r="AM88" t="s">
        <v>890</v>
      </c>
      <c r="AN88">
        <v>46085</v>
      </c>
      <c r="AO88">
        <v>46085.452164351853</v>
      </c>
      <c r="AP88" t="s">
        <v>51</v>
      </c>
      <c r="AQ88">
        <v>1.96204</v>
      </c>
      <c r="AR88">
        <v>941.78</v>
      </c>
      <c r="AS88" t="s">
        <v>51</v>
      </c>
      <c r="AT88">
        <v>941.78</v>
      </c>
      <c r="AU88" t="s">
        <v>415</v>
      </c>
      <c r="AV88" t="s">
        <v>772</v>
      </c>
      <c r="AW88" t="s">
        <v>863</v>
      </c>
      <c r="AX88">
        <v>46091</v>
      </c>
      <c r="AY88">
        <v>46140</v>
      </c>
      <c r="AZ88" t="s">
        <v>864</v>
      </c>
      <c r="BA88" t="s">
        <v>419</v>
      </c>
      <c r="BB88" t="s">
        <v>865</v>
      </c>
      <c r="BC88">
        <v>16</v>
      </c>
      <c r="BD88" t="s">
        <v>521</v>
      </c>
      <c r="BE88">
        <v>4.9545000000000003</v>
      </c>
      <c r="BF88">
        <v>3.7555000000000001</v>
      </c>
      <c r="BG88" t="s">
        <v>522</v>
      </c>
      <c r="BH88">
        <v>495</v>
      </c>
      <c r="BI88">
        <v>395</v>
      </c>
      <c r="BJ88">
        <v>190</v>
      </c>
      <c r="BK88">
        <v>30</v>
      </c>
      <c r="BL88" t="s">
        <v>521</v>
      </c>
      <c r="BM88">
        <v>175.63560000000001</v>
      </c>
      <c r="BN88">
        <v>112.6656</v>
      </c>
      <c r="BO88">
        <v>175.63560000000001</v>
      </c>
      <c r="BP88" t="s">
        <v>522</v>
      </c>
      <c r="BQ88">
        <v>1200</v>
      </c>
      <c r="BR88">
        <v>1000</v>
      </c>
      <c r="BS88">
        <v>1120</v>
      </c>
      <c r="BT88">
        <v>1</v>
      </c>
      <c r="BU88">
        <v>0</v>
      </c>
      <c r="BV88">
        <v>1</v>
      </c>
      <c r="BW88">
        <v>30</v>
      </c>
      <c r="BX88">
        <v>0</v>
      </c>
      <c r="BY88">
        <v>30</v>
      </c>
      <c r="BZ88">
        <v>480</v>
      </c>
      <c r="CA88">
        <v>0</v>
      </c>
      <c r="CB88">
        <v>480</v>
      </c>
      <c r="CC88">
        <v>112.6656</v>
      </c>
      <c r="CD88" t="s">
        <v>806</v>
      </c>
      <c r="CE88" t="s">
        <v>816</v>
      </c>
      <c r="CG88" t="s">
        <v>421</v>
      </c>
      <c r="CN88" t="str">
        <v>M01</v>
      </c>
      <c r="CO88" t="str">
        <v>1202-1030170-71EN</v>
      </c>
      <c r="CP88" t="str">
        <v>CSGU2004557</v>
      </c>
      <c r="CQ88" s="23">
        <v>28.521999999999998</v>
      </c>
      <c r="CR88" s="25">
        <f t="shared" si="6"/>
        <v>3.943580943674912E-3</v>
      </c>
      <c r="CS88" s="21">
        <f t="shared" si="7"/>
        <v>9.8589523591872794</v>
      </c>
    </row>
    <row r="89" spans="2:97" x14ac:dyDescent="0.35">
      <c r="B89" t="s">
        <v>299</v>
      </c>
      <c r="C89" t="s">
        <v>891</v>
      </c>
      <c r="D89" t="s">
        <v>395</v>
      </c>
      <c r="E89" t="s">
        <v>395</v>
      </c>
      <c r="F89" t="s">
        <v>396</v>
      </c>
      <c r="G89" t="s">
        <v>397</v>
      </c>
      <c r="H89" t="s">
        <v>398</v>
      </c>
      <c r="I89" t="s">
        <v>399</v>
      </c>
      <c r="J89" t="s">
        <v>749</v>
      </c>
      <c r="K89" t="s">
        <v>809</v>
      </c>
      <c r="L89" t="s">
        <v>787</v>
      </c>
      <c r="M89" t="s">
        <v>403</v>
      </c>
      <c r="N89">
        <v>1</v>
      </c>
      <c r="O89">
        <v>2</v>
      </c>
      <c r="P89" t="s">
        <v>892</v>
      </c>
      <c r="Q89" t="s">
        <v>424</v>
      </c>
      <c r="R89" t="s">
        <v>811</v>
      </c>
      <c r="S89" t="s">
        <v>893</v>
      </c>
      <c r="T89" t="s">
        <v>408</v>
      </c>
      <c r="U89">
        <v>50950080367</v>
      </c>
      <c r="W89">
        <v>5760</v>
      </c>
      <c r="X89" t="s">
        <v>409</v>
      </c>
      <c r="Y89" t="s">
        <v>410</v>
      </c>
      <c r="Z89" t="s">
        <v>410</v>
      </c>
      <c r="AA89" t="s">
        <v>411</v>
      </c>
      <c r="AB89" t="s">
        <v>554</v>
      </c>
      <c r="AC89" t="s">
        <v>411</v>
      </c>
      <c r="AD89">
        <v>46077</v>
      </c>
      <c r="AE89">
        <v>46132</v>
      </c>
      <c r="AF89">
        <v>46091</v>
      </c>
      <c r="AG89" t="s">
        <v>754</v>
      </c>
      <c r="AH89">
        <v>6124751</v>
      </c>
      <c r="AI89">
        <v>46084</v>
      </c>
      <c r="AJ89">
        <v>46085</v>
      </c>
      <c r="AK89">
        <v>5760</v>
      </c>
      <c r="AL89" t="s">
        <v>396</v>
      </c>
      <c r="AM89" t="s">
        <v>894</v>
      </c>
      <c r="AN89">
        <v>46085</v>
      </c>
      <c r="AO89">
        <v>46085.452164351853</v>
      </c>
      <c r="AP89" t="s">
        <v>51</v>
      </c>
      <c r="AQ89">
        <v>1.0937699999999999</v>
      </c>
      <c r="AR89">
        <v>6300.12</v>
      </c>
      <c r="AS89" t="s">
        <v>51</v>
      </c>
      <c r="AT89">
        <v>6300.12</v>
      </c>
      <c r="AU89" t="s">
        <v>415</v>
      </c>
      <c r="AV89" t="s">
        <v>772</v>
      </c>
      <c r="AW89" t="s">
        <v>863</v>
      </c>
      <c r="AX89">
        <v>46091</v>
      </c>
      <c r="AY89">
        <v>46140</v>
      </c>
      <c r="AZ89" t="s">
        <v>864</v>
      </c>
      <c r="BA89" t="s">
        <v>419</v>
      </c>
      <c r="BB89" t="s">
        <v>865</v>
      </c>
      <c r="BC89">
        <v>48</v>
      </c>
      <c r="BD89" t="s">
        <v>521</v>
      </c>
      <c r="BE89">
        <v>7.6664000000000003</v>
      </c>
      <c r="BF89">
        <v>6.2064000000000004</v>
      </c>
      <c r="BG89" t="s">
        <v>522</v>
      </c>
      <c r="BH89">
        <v>495</v>
      </c>
      <c r="BI89">
        <v>395</v>
      </c>
      <c r="BJ89">
        <v>190</v>
      </c>
      <c r="BK89">
        <v>30</v>
      </c>
      <c r="BL89" t="s">
        <v>521</v>
      </c>
      <c r="BM89">
        <v>256.99200000000002</v>
      </c>
      <c r="BN89">
        <v>186.19200000000001</v>
      </c>
      <c r="BO89">
        <v>1027.9680000000001</v>
      </c>
      <c r="BP89" t="s">
        <v>522</v>
      </c>
      <c r="BQ89">
        <v>1200</v>
      </c>
      <c r="BR89">
        <v>1000</v>
      </c>
      <c r="BS89">
        <v>1120</v>
      </c>
      <c r="BT89">
        <v>4</v>
      </c>
      <c r="BU89">
        <v>0</v>
      </c>
      <c r="BV89">
        <v>4</v>
      </c>
      <c r="BW89">
        <v>120</v>
      </c>
      <c r="BX89">
        <v>0</v>
      </c>
      <c r="BY89">
        <v>120</v>
      </c>
      <c r="BZ89">
        <v>5760</v>
      </c>
      <c r="CA89">
        <v>0</v>
      </c>
      <c r="CB89">
        <v>5760</v>
      </c>
      <c r="CC89">
        <v>744.76800000000003</v>
      </c>
      <c r="CD89" t="s">
        <v>806</v>
      </c>
      <c r="CE89" t="s">
        <v>821</v>
      </c>
      <c r="CG89" t="s">
        <v>421</v>
      </c>
      <c r="CN89" t="str">
        <v>M19</v>
      </c>
      <c r="CO89" t="str">
        <v>1101-5YY0353EN</v>
      </c>
      <c r="CP89" t="str">
        <v>CSGU2004557</v>
      </c>
      <c r="CQ89" s="23">
        <v>110.556032</v>
      </c>
      <c r="CR89" s="25">
        <f t="shared" si="6"/>
        <v>1.5285977876849932E-2</v>
      </c>
      <c r="CS89" s="21">
        <f t="shared" si="7"/>
        <v>38.214944692124831</v>
      </c>
    </row>
    <row r="90" spans="2:97" x14ac:dyDescent="0.35">
      <c r="B90" t="s">
        <v>297</v>
      </c>
      <c r="C90" t="s">
        <v>895</v>
      </c>
      <c r="D90" t="s">
        <v>395</v>
      </c>
      <c r="E90" t="s">
        <v>395</v>
      </c>
      <c r="F90" t="s">
        <v>396</v>
      </c>
      <c r="G90" t="s">
        <v>397</v>
      </c>
      <c r="H90" t="s">
        <v>398</v>
      </c>
      <c r="I90" t="s">
        <v>399</v>
      </c>
      <c r="J90" t="s">
        <v>749</v>
      </c>
      <c r="K90" t="s">
        <v>629</v>
      </c>
      <c r="L90" t="s">
        <v>787</v>
      </c>
      <c r="M90" t="s">
        <v>403</v>
      </c>
      <c r="N90">
        <v>1</v>
      </c>
      <c r="O90">
        <v>1</v>
      </c>
      <c r="P90" t="s">
        <v>896</v>
      </c>
      <c r="Q90" t="s">
        <v>424</v>
      </c>
      <c r="R90" t="s">
        <v>833</v>
      </c>
      <c r="S90" t="s">
        <v>834</v>
      </c>
      <c r="T90" t="s">
        <v>408</v>
      </c>
      <c r="U90">
        <v>50950080457</v>
      </c>
      <c r="W90">
        <v>7000</v>
      </c>
      <c r="X90" t="s">
        <v>409</v>
      </c>
      <c r="Y90" t="s">
        <v>410</v>
      </c>
      <c r="Z90" t="s">
        <v>410</v>
      </c>
      <c r="AA90" t="s">
        <v>411</v>
      </c>
      <c r="AB90" t="s">
        <v>554</v>
      </c>
      <c r="AC90" t="s">
        <v>411</v>
      </c>
      <c r="AD90">
        <v>46081</v>
      </c>
      <c r="AE90">
        <v>46139</v>
      </c>
      <c r="AF90">
        <v>46091</v>
      </c>
      <c r="AG90" t="s">
        <v>754</v>
      </c>
      <c r="AH90">
        <v>6124752</v>
      </c>
      <c r="AI90">
        <v>46084</v>
      </c>
      <c r="AJ90">
        <v>46085</v>
      </c>
      <c r="AK90">
        <v>7000</v>
      </c>
      <c r="AL90" t="s">
        <v>396</v>
      </c>
      <c r="AM90" t="s">
        <v>897</v>
      </c>
      <c r="AN90">
        <v>46085</v>
      </c>
      <c r="AO90">
        <v>46085.452164351853</v>
      </c>
      <c r="AP90" t="s">
        <v>51</v>
      </c>
      <c r="AQ90">
        <v>0.11308</v>
      </c>
      <c r="AR90">
        <v>791.56</v>
      </c>
      <c r="AS90" t="s">
        <v>51</v>
      </c>
      <c r="AT90">
        <v>791.56</v>
      </c>
      <c r="AU90" t="s">
        <v>415</v>
      </c>
      <c r="AV90" t="s">
        <v>772</v>
      </c>
      <c r="AW90" t="s">
        <v>863</v>
      </c>
      <c r="AX90">
        <v>46091</v>
      </c>
      <c r="AY90">
        <v>46140</v>
      </c>
      <c r="AZ90" t="s">
        <v>864</v>
      </c>
      <c r="BA90" t="s">
        <v>419</v>
      </c>
      <c r="BB90" t="s">
        <v>865</v>
      </c>
      <c r="BC90">
        <v>1400</v>
      </c>
      <c r="BD90" t="s">
        <v>521</v>
      </c>
      <c r="BE90">
        <v>10.201000000000001</v>
      </c>
      <c r="BF90">
        <v>9.3309999999999995</v>
      </c>
      <c r="BG90" t="s">
        <v>522</v>
      </c>
      <c r="BH90">
        <v>595</v>
      </c>
      <c r="BI90">
        <v>395</v>
      </c>
      <c r="BJ90">
        <v>190</v>
      </c>
      <c r="BK90">
        <v>25</v>
      </c>
      <c r="BL90" t="s">
        <v>521</v>
      </c>
      <c r="BM90">
        <v>78.004999999999995</v>
      </c>
      <c r="BN90">
        <v>46.655000000000001</v>
      </c>
      <c r="BO90">
        <v>78.004999999999995</v>
      </c>
      <c r="BP90" t="s">
        <v>522</v>
      </c>
      <c r="BQ90">
        <v>1200</v>
      </c>
      <c r="BR90">
        <v>1000</v>
      </c>
      <c r="BS90">
        <v>1088</v>
      </c>
      <c r="BT90">
        <v>0</v>
      </c>
      <c r="BU90">
        <v>1</v>
      </c>
      <c r="BV90">
        <v>1</v>
      </c>
      <c r="BW90">
        <v>5</v>
      </c>
      <c r="BX90">
        <v>0</v>
      </c>
      <c r="BY90">
        <v>5</v>
      </c>
      <c r="BZ90">
        <v>0</v>
      </c>
      <c r="CA90">
        <v>7000</v>
      </c>
      <c r="CB90">
        <v>7000</v>
      </c>
      <c r="CC90">
        <v>46.655000000000001</v>
      </c>
      <c r="CD90" t="s">
        <v>842</v>
      </c>
      <c r="CE90" t="s">
        <v>898</v>
      </c>
      <c r="CG90" t="s">
        <v>421</v>
      </c>
      <c r="CN90" t="str">
        <v>MCS</v>
      </c>
      <c r="CO90" t="str">
        <v>1209-5YY0496EN</v>
      </c>
      <c r="CP90" t="str">
        <v>CSGU2004557</v>
      </c>
      <c r="CQ90" s="23">
        <v>84.926000000000002</v>
      </c>
      <c r="CR90" s="25">
        <f t="shared" si="6"/>
        <v>1.1742253531398064E-2</v>
      </c>
      <c r="CS90" s="21">
        <f t="shared" si="7"/>
        <v>29.355633828495158</v>
      </c>
    </row>
    <row r="91" spans="2:97" x14ac:dyDescent="0.35">
      <c r="B91" t="s">
        <v>297</v>
      </c>
      <c r="C91" t="s">
        <v>899</v>
      </c>
      <c r="D91" t="s">
        <v>395</v>
      </c>
      <c r="E91" t="s">
        <v>395</v>
      </c>
      <c r="F91" t="s">
        <v>396</v>
      </c>
      <c r="G91" t="s">
        <v>397</v>
      </c>
      <c r="H91" t="s">
        <v>398</v>
      </c>
      <c r="I91" t="s">
        <v>399</v>
      </c>
      <c r="J91" t="s">
        <v>749</v>
      </c>
      <c r="K91" t="s">
        <v>629</v>
      </c>
      <c r="L91" t="s">
        <v>787</v>
      </c>
      <c r="M91" t="s">
        <v>403</v>
      </c>
      <c r="N91">
        <v>1</v>
      </c>
      <c r="O91">
        <v>2</v>
      </c>
      <c r="P91" t="s">
        <v>900</v>
      </c>
      <c r="Q91" t="s">
        <v>789</v>
      </c>
      <c r="R91" t="s">
        <v>631</v>
      </c>
      <c r="S91" t="s">
        <v>901</v>
      </c>
      <c r="T91" t="s">
        <v>408</v>
      </c>
      <c r="U91">
        <v>50950080539</v>
      </c>
      <c r="W91">
        <v>28000</v>
      </c>
      <c r="X91" t="s">
        <v>409</v>
      </c>
      <c r="Y91" t="s">
        <v>410</v>
      </c>
      <c r="Z91" t="s">
        <v>410</v>
      </c>
      <c r="AA91" t="s">
        <v>411</v>
      </c>
      <c r="AB91" t="s">
        <v>554</v>
      </c>
      <c r="AC91" t="s">
        <v>411</v>
      </c>
      <c r="AD91">
        <v>46081</v>
      </c>
      <c r="AE91">
        <v>46097</v>
      </c>
      <c r="AF91">
        <v>46091</v>
      </c>
      <c r="AG91" t="s">
        <v>754</v>
      </c>
      <c r="AH91">
        <v>6124753</v>
      </c>
      <c r="AI91">
        <v>46084</v>
      </c>
      <c r="AJ91">
        <v>46085</v>
      </c>
      <c r="AK91">
        <v>28000</v>
      </c>
      <c r="AL91" t="s">
        <v>396</v>
      </c>
      <c r="AM91" t="s">
        <v>902</v>
      </c>
      <c r="AN91">
        <v>46085</v>
      </c>
      <c r="AO91">
        <v>46085.452164351853</v>
      </c>
      <c r="AP91" t="s">
        <v>51</v>
      </c>
      <c r="AQ91">
        <v>0.11025</v>
      </c>
      <c r="AR91">
        <v>3087</v>
      </c>
      <c r="AS91" t="s">
        <v>51</v>
      </c>
      <c r="AT91">
        <v>3087</v>
      </c>
      <c r="AU91" t="s">
        <v>415</v>
      </c>
      <c r="AV91" t="s">
        <v>772</v>
      </c>
      <c r="AW91" t="s">
        <v>863</v>
      </c>
      <c r="AX91">
        <v>46091</v>
      </c>
      <c r="AY91">
        <v>46140</v>
      </c>
      <c r="AZ91" t="s">
        <v>864</v>
      </c>
      <c r="BA91" t="s">
        <v>419</v>
      </c>
      <c r="BB91" t="s">
        <v>865</v>
      </c>
      <c r="BC91">
        <v>1400</v>
      </c>
      <c r="BD91" t="s">
        <v>521</v>
      </c>
      <c r="BE91">
        <v>9.8621999999999996</v>
      </c>
      <c r="BF91">
        <v>8.9922000000000004</v>
      </c>
      <c r="BG91" t="s">
        <v>522</v>
      </c>
      <c r="BH91">
        <v>595</v>
      </c>
      <c r="BI91">
        <v>395</v>
      </c>
      <c r="BJ91">
        <v>190</v>
      </c>
      <c r="BK91">
        <v>25</v>
      </c>
      <c r="BL91" t="s">
        <v>521</v>
      </c>
      <c r="BM91">
        <v>224.244</v>
      </c>
      <c r="BN91">
        <v>179.84399999999999</v>
      </c>
      <c r="BO91">
        <v>224.244</v>
      </c>
      <c r="BP91" t="s">
        <v>522</v>
      </c>
      <c r="BQ91">
        <v>1200</v>
      </c>
      <c r="BR91">
        <v>1000</v>
      </c>
      <c r="BS91">
        <v>1088</v>
      </c>
      <c r="BT91">
        <v>0</v>
      </c>
      <c r="BU91">
        <v>1</v>
      </c>
      <c r="BV91">
        <v>1</v>
      </c>
      <c r="BW91">
        <v>20</v>
      </c>
      <c r="BX91">
        <v>0</v>
      </c>
      <c r="BY91">
        <v>20</v>
      </c>
      <c r="BZ91">
        <v>0</v>
      </c>
      <c r="CA91">
        <v>28000</v>
      </c>
      <c r="CB91">
        <v>28000</v>
      </c>
      <c r="CC91">
        <v>179.84399999999999</v>
      </c>
      <c r="CD91" t="s">
        <v>842</v>
      </c>
      <c r="CE91" t="s">
        <v>898</v>
      </c>
      <c r="CG91" t="s">
        <v>421</v>
      </c>
      <c r="CN91" t="str">
        <v>M19</v>
      </c>
      <c r="CO91" t="str">
        <v>1202-5YY0024-76EN</v>
      </c>
      <c r="CP91" t="str">
        <v>CSGU2004557</v>
      </c>
      <c r="CQ91" s="23">
        <v>116.29415</v>
      </c>
      <c r="CR91" s="25">
        <f t="shared" si="6"/>
        <v>1.6079356069029934E-2</v>
      </c>
      <c r="CS91" s="21">
        <f t="shared" si="7"/>
        <v>40.198390172574832</v>
      </c>
    </row>
    <row r="92" spans="2:97" x14ac:dyDescent="0.35">
      <c r="B92" t="s">
        <v>297</v>
      </c>
      <c r="C92" t="s">
        <v>903</v>
      </c>
      <c r="D92" t="s">
        <v>395</v>
      </c>
      <c r="E92" t="s">
        <v>395</v>
      </c>
      <c r="F92" t="s">
        <v>396</v>
      </c>
      <c r="G92" t="s">
        <v>397</v>
      </c>
      <c r="H92" t="s">
        <v>398</v>
      </c>
      <c r="I92" t="s">
        <v>399</v>
      </c>
      <c r="J92" t="s">
        <v>749</v>
      </c>
      <c r="K92" t="s">
        <v>629</v>
      </c>
      <c r="L92" t="s">
        <v>787</v>
      </c>
      <c r="M92" t="s">
        <v>403</v>
      </c>
      <c r="N92">
        <v>1</v>
      </c>
      <c r="O92">
        <v>1</v>
      </c>
      <c r="P92" t="s">
        <v>904</v>
      </c>
      <c r="Q92" t="s">
        <v>405</v>
      </c>
      <c r="R92" t="s">
        <v>905</v>
      </c>
      <c r="S92" t="s">
        <v>906</v>
      </c>
      <c r="T92" t="s">
        <v>408</v>
      </c>
      <c r="U92">
        <v>50950080544</v>
      </c>
      <c r="W92">
        <v>24000</v>
      </c>
      <c r="X92" t="s">
        <v>409</v>
      </c>
      <c r="Y92" t="s">
        <v>410</v>
      </c>
      <c r="Z92" t="s">
        <v>410</v>
      </c>
      <c r="AA92" t="s">
        <v>411</v>
      </c>
      <c r="AB92" t="s">
        <v>554</v>
      </c>
      <c r="AC92" t="s">
        <v>411</v>
      </c>
      <c r="AD92">
        <v>46081</v>
      </c>
      <c r="AE92">
        <v>46139</v>
      </c>
      <c r="AF92">
        <v>46091</v>
      </c>
      <c r="AG92" t="s">
        <v>754</v>
      </c>
      <c r="AH92">
        <v>6124754</v>
      </c>
      <c r="AI92">
        <v>46084</v>
      </c>
      <c r="AJ92">
        <v>46085</v>
      </c>
      <c r="AK92">
        <v>24000</v>
      </c>
      <c r="AL92" t="s">
        <v>396</v>
      </c>
      <c r="AM92" t="s">
        <v>907</v>
      </c>
      <c r="AN92">
        <v>46085</v>
      </c>
      <c r="AO92">
        <v>46085.452164351853</v>
      </c>
      <c r="AP92" t="s">
        <v>51</v>
      </c>
      <c r="AQ92">
        <v>4.2860000000000002E-2</v>
      </c>
      <c r="AR92">
        <v>1028.6400000000001</v>
      </c>
      <c r="AS92" t="s">
        <v>51</v>
      </c>
      <c r="AT92">
        <v>1028.6400000000001</v>
      </c>
      <c r="AU92" t="s">
        <v>415</v>
      </c>
      <c r="AV92" t="s">
        <v>772</v>
      </c>
      <c r="AW92" t="s">
        <v>863</v>
      </c>
      <c r="AX92">
        <v>46091</v>
      </c>
      <c r="AY92">
        <v>46140</v>
      </c>
      <c r="AZ92" t="s">
        <v>864</v>
      </c>
      <c r="BA92" t="s">
        <v>419</v>
      </c>
      <c r="BB92" t="s">
        <v>865</v>
      </c>
      <c r="BC92">
        <v>600</v>
      </c>
      <c r="BD92" t="s">
        <v>521</v>
      </c>
      <c r="BE92">
        <v>4.8836000000000004</v>
      </c>
      <c r="BF92">
        <v>3.9725999999999999</v>
      </c>
      <c r="BG92" t="s">
        <v>522</v>
      </c>
      <c r="BH92">
        <v>395</v>
      </c>
      <c r="BI92">
        <v>295</v>
      </c>
      <c r="BJ92">
        <v>270</v>
      </c>
      <c r="BK92">
        <v>30</v>
      </c>
      <c r="BL92" t="s">
        <v>521</v>
      </c>
      <c r="BM92">
        <v>173.50800000000001</v>
      </c>
      <c r="BN92">
        <v>119.178</v>
      </c>
      <c r="BO92">
        <v>249.34399999999999</v>
      </c>
      <c r="BP92" t="s">
        <v>522</v>
      </c>
      <c r="BQ92">
        <v>1200</v>
      </c>
      <c r="BR92">
        <v>1000</v>
      </c>
      <c r="BS92">
        <v>984</v>
      </c>
      <c r="BT92">
        <v>1</v>
      </c>
      <c r="BU92">
        <v>1</v>
      </c>
      <c r="BV92">
        <v>2</v>
      </c>
      <c r="BW92">
        <v>40</v>
      </c>
      <c r="BX92">
        <v>0</v>
      </c>
      <c r="BY92">
        <v>40</v>
      </c>
      <c r="BZ92">
        <v>18000</v>
      </c>
      <c r="CA92">
        <v>6000</v>
      </c>
      <c r="CB92">
        <v>24000</v>
      </c>
      <c r="CC92">
        <v>158.904</v>
      </c>
      <c r="CD92" t="s">
        <v>908</v>
      </c>
      <c r="CE92" t="s">
        <v>909</v>
      </c>
      <c r="CG92" t="s">
        <v>421</v>
      </c>
      <c r="CN92" t="str">
        <v>M19</v>
      </c>
      <c r="CO92" t="str">
        <v>1140-5YY0004EN</v>
      </c>
      <c r="CP92" t="str">
        <v>CSGU2004557</v>
      </c>
      <c r="CQ92" s="23">
        <v>302.87920000000003</v>
      </c>
      <c r="CR92" s="25">
        <f t="shared" si="6"/>
        <v>4.1877450436698077E-2</v>
      </c>
      <c r="CS92" s="21">
        <f t="shared" si="7"/>
        <v>104.69362609174519</v>
      </c>
    </row>
    <row r="93" spans="2:97" x14ac:dyDescent="0.35">
      <c r="B93" t="s">
        <v>296</v>
      </c>
      <c r="C93" t="s">
        <v>910</v>
      </c>
      <c r="D93" t="s">
        <v>395</v>
      </c>
      <c r="E93" t="s">
        <v>395</v>
      </c>
      <c r="F93" t="s">
        <v>396</v>
      </c>
      <c r="G93" t="s">
        <v>397</v>
      </c>
      <c r="H93" t="s">
        <v>398</v>
      </c>
      <c r="I93" t="s">
        <v>399</v>
      </c>
      <c r="J93" t="s">
        <v>749</v>
      </c>
      <c r="K93" t="s">
        <v>629</v>
      </c>
      <c r="L93" t="s">
        <v>787</v>
      </c>
      <c r="M93" t="s">
        <v>403</v>
      </c>
      <c r="N93">
        <v>1</v>
      </c>
      <c r="O93">
        <v>1</v>
      </c>
      <c r="P93" t="s">
        <v>911</v>
      </c>
      <c r="Q93" t="s">
        <v>424</v>
      </c>
      <c r="R93" t="s">
        <v>912</v>
      </c>
      <c r="S93" t="s">
        <v>913</v>
      </c>
      <c r="T93" t="s">
        <v>408</v>
      </c>
      <c r="U93">
        <v>50950080944</v>
      </c>
      <c r="W93">
        <v>60000</v>
      </c>
      <c r="X93" t="s">
        <v>409</v>
      </c>
      <c r="Y93" t="s">
        <v>410</v>
      </c>
      <c r="Z93" t="s">
        <v>410</v>
      </c>
      <c r="AA93" t="s">
        <v>411</v>
      </c>
      <c r="AB93" t="s">
        <v>554</v>
      </c>
      <c r="AC93" t="s">
        <v>411</v>
      </c>
      <c r="AD93">
        <v>46083</v>
      </c>
      <c r="AE93">
        <v>46160</v>
      </c>
      <c r="AF93">
        <v>46091</v>
      </c>
      <c r="AG93" t="s">
        <v>754</v>
      </c>
      <c r="AH93">
        <v>6124755</v>
      </c>
      <c r="AI93">
        <v>46084</v>
      </c>
      <c r="AJ93">
        <v>46085</v>
      </c>
      <c r="AK93">
        <v>60000</v>
      </c>
      <c r="AL93" t="s">
        <v>396</v>
      </c>
      <c r="AM93" t="s">
        <v>914</v>
      </c>
      <c r="AN93">
        <v>46085</v>
      </c>
      <c r="AO93">
        <v>46085.452164351853</v>
      </c>
      <c r="AP93" t="s">
        <v>51</v>
      </c>
      <c r="AQ93">
        <v>6.123E-2</v>
      </c>
      <c r="AR93">
        <v>3673.8</v>
      </c>
      <c r="AS93" t="s">
        <v>51</v>
      </c>
      <c r="AT93">
        <v>3673.8</v>
      </c>
      <c r="AU93" t="s">
        <v>415</v>
      </c>
      <c r="AV93" t="s">
        <v>772</v>
      </c>
      <c r="AW93" t="s">
        <v>863</v>
      </c>
      <c r="AX93">
        <v>46091</v>
      </c>
      <c r="AY93">
        <v>46140</v>
      </c>
      <c r="AZ93" t="s">
        <v>864</v>
      </c>
      <c r="BA93" t="s">
        <v>419</v>
      </c>
      <c r="BB93" t="s">
        <v>865</v>
      </c>
      <c r="BC93">
        <v>1200</v>
      </c>
      <c r="BD93" t="s">
        <v>521</v>
      </c>
      <c r="BE93">
        <v>7.0679999999999996</v>
      </c>
      <c r="BF93">
        <v>6.1980000000000004</v>
      </c>
      <c r="BG93" t="s">
        <v>522</v>
      </c>
      <c r="BH93">
        <v>595</v>
      </c>
      <c r="BI93">
        <v>395</v>
      </c>
      <c r="BJ93">
        <v>190</v>
      </c>
      <c r="BK93">
        <v>25</v>
      </c>
      <c r="BL93" t="s">
        <v>521</v>
      </c>
      <c r="BM93">
        <v>203.7</v>
      </c>
      <c r="BN93">
        <v>154.94999999999999</v>
      </c>
      <c r="BO93">
        <v>407.4</v>
      </c>
      <c r="BP93" t="s">
        <v>522</v>
      </c>
      <c r="BQ93">
        <v>1200</v>
      </c>
      <c r="BR93">
        <v>1000</v>
      </c>
      <c r="BS93">
        <v>1088</v>
      </c>
      <c r="BT93">
        <v>2</v>
      </c>
      <c r="BU93">
        <v>0</v>
      </c>
      <c r="BV93">
        <v>2</v>
      </c>
      <c r="BW93">
        <v>50</v>
      </c>
      <c r="BX93">
        <v>0</v>
      </c>
      <c r="BY93">
        <v>50</v>
      </c>
      <c r="BZ93">
        <v>60000</v>
      </c>
      <c r="CA93">
        <v>0</v>
      </c>
      <c r="CB93">
        <v>60000</v>
      </c>
      <c r="CC93">
        <v>309.89999999999998</v>
      </c>
      <c r="CD93" t="s">
        <v>842</v>
      </c>
      <c r="CE93" t="s">
        <v>898</v>
      </c>
      <c r="CG93" t="s">
        <v>421</v>
      </c>
      <c r="CN93" t="str">
        <v>MCS</v>
      </c>
      <c r="CO93" t="str">
        <v>1209-5YY0465EN</v>
      </c>
      <c r="CP93" t="str">
        <v>CSGU2004557</v>
      </c>
      <c r="CQ93" s="23">
        <v>88.255359999999996</v>
      </c>
      <c r="CR93" s="25">
        <f t="shared" si="6"/>
        <v>1.2202585929218464E-2</v>
      </c>
      <c r="CS93" s="21">
        <f t="shared" si="7"/>
        <v>30.506464823046162</v>
      </c>
    </row>
    <row r="94" spans="2:97" x14ac:dyDescent="0.35">
      <c r="B94" t="s">
        <v>299</v>
      </c>
      <c r="C94" t="s">
        <v>852</v>
      </c>
      <c r="D94" t="s">
        <v>395</v>
      </c>
      <c r="E94" t="s">
        <v>395</v>
      </c>
      <c r="F94" t="s">
        <v>396</v>
      </c>
      <c r="G94" t="s">
        <v>397</v>
      </c>
      <c r="H94" t="s">
        <v>398</v>
      </c>
      <c r="I94" t="s">
        <v>399</v>
      </c>
      <c r="J94" t="s">
        <v>749</v>
      </c>
      <c r="K94" t="s">
        <v>845</v>
      </c>
      <c r="L94" t="s">
        <v>787</v>
      </c>
      <c r="M94" t="s">
        <v>403</v>
      </c>
      <c r="N94">
        <v>1</v>
      </c>
      <c r="O94">
        <v>2</v>
      </c>
      <c r="P94" t="s">
        <v>853</v>
      </c>
      <c r="Q94" t="s">
        <v>789</v>
      </c>
      <c r="R94" t="s">
        <v>847</v>
      </c>
      <c r="S94" t="s">
        <v>854</v>
      </c>
      <c r="T94" t="s">
        <v>408</v>
      </c>
      <c r="U94">
        <v>50950081005</v>
      </c>
      <c r="W94">
        <v>8316</v>
      </c>
      <c r="X94" t="s">
        <v>409</v>
      </c>
      <c r="Y94" t="s">
        <v>410</v>
      </c>
      <c r="Z94" t="s">
        <v>410</v>
      </c>
      <c r="AA94" t="s">
        <v>411</v>
      </c>
      <c r="AB94" t="s">
        <v>554</v>
      </c>
      <c r="AC94" t="s">
        <v>411</v>
      </c>
      <c r="AD94">
        <v>46081</v>
      </c>
      <c r="AE94">
        <v>46139</v>
      </c>
      <c r="AF94">
        <v>46091</v>
      </c>
      <c r="AG94" t="s">
        <v>754</v>
      </c>
      <c r="AH94">
        <v>6124756</v>
      </c>
      <c r="AI94">
        <v>46084</v>
      </c>
      <c r="AJ94">
        <v>46085</v>
      </c>
      <c r="AK94">
        <v>8316</v>
      </c>
      <c r="AL94" t="s">
        <v>396</v>
      </c>
      <c r="AM94" t="s">
        <v>915</v>
      </c>
      <c r="AN94">
        <v>46085</v>
      </c>
      <c r="AO94">
        <v>46085.452164351853</v>
      </c>
      <c r="AP94" t="s">
        <v>51</v>
      </c>
      <c r="AQ94">
        <v>1.00054</v>
      </c>
      <c r="AR94">
        <v>8320.48</v>
      </c>
      <c r="AS94" t="s">
        <v>51</v>
      </c>
      <c r="AT94">
        <v>8320.48</v>
      </c>
      <c r="AU94" t="s">
        <v>415</v>
      </c>
      <c r="AV94" t="s">
        <v>772</v>
      </c>
      <c r="AW94" t="s">
        <v>863</v>
      </c>
      <c r="AX94">
        <v>46091</v>
      </c>
      <c r="AY94">
        <v>46140</v>
      </c>
      <c r="AZ94" t="s">
        <v>864</v>
      </c>
      <c r="BA94" t="s">
        <v>419</v>
      </c>
      <c r="BB94" t="s">
        <v>865</v>
      </c>
      <c r="BC94">
        <v>33</v>
      </c>
      <c r="BD94" t="s">
        <v>521</v>
      </c>
      <c r="BE94">
        <v>12.9557</v>
      </c>
      <c r="BF94">
        <v>12.005699999999999</v>
      </c>
      <c r="BG94" t="s">
        <v>522</v>
      </c>
      <c r="BH94">
        <v>495</v>
      </c>
      <c r="BI94">
        <v>395</v>
      </c>
      <c r="BJ94">
        <v>150</v>
      </c>
      <c r="BK94">
        <v>36</v>
      </c>
      <c r="BL94" t="s">
        <v>521</v>
      </c>
      <c r="BM94">
        <v>493.40519999999998</v>
      </c>
      <c r="BN94">
        <v>432.20519999999999</v>
      </c>
      <c r="BO94">
        <v>3453.8439600000002</v>
      </c>
      <c r="BP94" t="s">
        <v>522</v>
      </c>
      <c r="BQ94">
        <v>1200</v>
      </c>
      <c r="BR94">
        <v>1000</v>
      </c>
      <c r="BS94">
        <v>1053</v>
      </c>
      <c r="BT94">
        <v>7</v>
      </c>
      <c r="BU94">
        <v>0</v>
      </c>
      <c r="BV94">
        <v>7</v>
      </c>
      <c r="BW94">
        <v>252</v>
      </c>
      <c r="BX94">
        <v>0</v>
      </c>
      <c r="BY94">
        <v>252</v>
      </c>
      <c r="BZ94">
        <v>8316</v>
      </c>
      <c r="CA94">
        <v>0</v>
      </c>
      <c r="CB94">
        <v>8316</v>
      </c>
      <c r="CC94">
        <v>3025.4439600000001</v>
      </c>
      <c r="CD94" t="s">
        <v>856</v>
      </c>
      <c r="CE94" t="s">
        <v>857</v>
      </c>
      <c r="CG94" t="s">
        <v>421</v>
      </c>
      <c r="CN94" t="str">
        <v>MCS</v>
      </c>
      <c r="CO94" t="str">
        <v>1209-5YY0494EN</v>
      </c>
      <c r="CP94" t="str">
        <v>CSGU2004557</v>
      </c>
      <c r="CQ94" s="23">
        <v>120.66816</v>
      </c>
      <c r="CR94" s="25">
        <f t="shared" si="6"/>
        <v>1.6684126508811278E-2</v>
      </c>
      <c r="CS94" s="21">
        <f t="shared" si="7"/>
        <v>41.710316272028194</v>
      </c>
    </row>
    <row r="95" spans="2:97" x14ac:dyDescent="0.35">
      <c r="B95" t="s">
        <v>299</v>
      </c>
      <c r="C95" t="s">
        <v>916</v>
      </c>
      <c r="D95" t="s">
        <v>395</v>
      </c>
      <c r="E95" t="s">
        <v>823</v>
      </c>
      <c r="F95" t="s">
        <v>396</v>
      </c>
      <c r="G95" t="s">
        <v>397</v>
      </c>
      <c r="H95" t="s">
        <v>398</v>
      </c>
      <c r="I95" t="s">
        <v>399</v>
      </c>
      <c r="J95" t="s">
        <v>749</v>
      </c>
      <c r="K95" t="s">
        <v>809</v>
      </c>
      <c r="L95" t="s">
        <v>787</v>
      </c>
      <c r="M95" t="s">
        <v>403</v>
      </c>
      <c r="N95">
        <v>1</v>
      </c>
      <c r="O95">
        <v>1</v>
      </c>
      <c r="P95" t="s">
        <v>824</v>
      </c>
      <c r="Q95" t="s">
        <v>424</v>
      </c>
      <c r="R95" t="s">
        <v>811</v>
      </c>
      <c r="S95" t="s">
        <v>825</v>
      </c>
      <c r="T95" t="s">
        <v>408</v>
      </c>
      <c r="U95">
        <v>50950081257</v>
      </c>
      <c r="W95">
        <v>1440</v>
      </c>
      <c r="X95" t="s">
        <v>409</v>
      </c>
      <c r="Y95" t="s">
        <v>410</v>
      </c>
      <c r="Z95" t="s">
        <v>410</v>
      </c>
      <c r="AA95" t="s">
        <v>411</v>
      </c>
      <c r="AB95" t="s">
        <v>554</v>
      </c>
      <c r="AC95" t="s">
        <v>411</v>
      </c>
      <c r="AD95">
        <v>46081</v>
      </c>
      <c r="AE95">
        <v>46139</v>
      </c>
      <c r="AF95">
        <v>46091</v>
      </c>
      <c r="AG95" t="s">
        <v>754</v>
      </c>
      <c r="AH95">
        <v>6124757</v>
      </c>
      <c r="AI95">
        <v>46084</v>
      </c>
      <c r="AJ95">
        <v>46085</v>
      </c>
      <c r="AK95">
        <v>1440</v>
      </c>
      <c r="AL95" t="s">
        <v>396</v>
      </c>
      <c r="AM95" t="s">
        <v>917</v>
      </c>
      <c r="AN95">
        <v>46085</v>
      </c>
      <c r="AO95">
        <v>46085.452164351853</v>
      </c>
      <c r="AP95" t="s">
        <v>51</v>
      </c>
      <c r="AQ95">
        <v>1.15734</v>
      </c>
      <c r="AR95">
        <v>1666.57</v>
      </c>
      <c r="AS95" t="s">
        <v>51</v>
      </c>
      <c r="AT95">
        <v>1666.57</v>
      </c>
      <c r="AU95" t="s">
        <v>415</v>
      </c>
      <c r="AV95" t="s">
        <v>772</v>
      </c>
      <c r="AW95" t="s">
        <v>863</v>
      </c>
      <c r="AX95">
        <v>46091</v>
      </c>
      <c r="AY95">
        <v>46140</v>
      </c>
      <c r="AZ95" t="s">
        <v>864</v>
      </c>
      <c r="BA95" t="s">
        <v>419</v>
      </c>
      <c r="BB95" t="s">
        <v>865</v>
      </c>
      <c r="BC95">
        <v>48</v>
      </c>
      <c r="BD95" t="s">
        <v>521</v>
      </c>
      <c r="BE95">
        <v>8.2250999999999994</v>
      </c>
      <c r="BF95">
        <v>6.7651000000000003</v>
      </c>
      <c r="BG95" t="s">
        <v>522</v>
      </c>
      <c r="BH95">
        <v>495</v>
      </c>
      <c r="BI95">
        <v>395</v>
      </c>
      <c r="BJ95">
        <v>190</v>
      </c>
      <c r="BK95">
        <v>30</v>
      </c>
      <c r="BL95" t="s">
        <v>521</v>
      </c>
      <c r="BM95">
        <v>273.75360000000001</v>
      </c>
      <c r="BN95">
        <v>202.95359999999999</v>
      </c>
      <c r="BO95">
        <v>273.75360000000001</v>
      </c>
      <c r="BP95" t="s">
        <v>522</v>
      </c>
      <c r="BQ95">
        <v>1200</v>
      </c>
      <c r="BR95">
        <v>1000</v>
      </c>
      <c r="BS95">
        <v>1120</v>
      </c>
      <c r="BT95">
        <v>1</v>
      </c>
      <c r="BU95">
        <v>0</v>
      </c>
      <c r="BV95">
        <v>1</v>
      </c>
      <c r="BW95">
        <v>30</v>
      </c>
      <c r="BX95">
        <v>0</v>
      </c>
      <c r="BY95">
        <v>30</v>
      </c>
      <c r="BZ95">
        <v>1440</v>
      </c>
      <c r="CA95">
        <v>0</v>
      </c>
      <c r="CB95">
        <v>1440</v>
      </c>
      <c r="CC95">
        <v>202.95359999999999</v>
      </c>
      <c r="CD95" t="s">
        <v>806</v>
      </c>
      <c r="CE95" t="s">
        <v>821</v>
      </c>
      <c r="CG95" t="s">
        <v>421</v>
      </c>
      <c r="CN95" t="str">
        <v>M46</v>
      </c>
      <c r="CO95" t="str">
        <v>1110-EQN0001EN</v>
      </c>
      <c r="CP95" t="str">
        <v>CSGU2004557</v>
      </c>
      <c r="CQ95" s="23">
        <v>9.85</v>
      </c>
      <c r="CR95" s="25">
        <f t="shared" si="6"/>
        <v>1.3619056270667512E-3</v>
      </c>
      <c r="CS95" s="21">
        <f t="shared" si="7"/>
        <v>3.404764067666878</v>
      </c>
    </row>
    <row r="96" spans="2:97" x14ac:dyDescent="0.35">
      <c r="B96" t="s">
        <v>297</v>
      </c>
      <c r="C96" t="s">
        <v>765</v>
      </c>
      <c r="D96" t="s">
        <v>549</v>
      </c>
      <c r="E96" t="s">
        <v>395</v>
      </c>
      <c r="F96" t="s">
        <v>396</v>
      </c>
      <c r="G96" t="s">
        <v>397</v>
      </c>
      <c r="H96" t="s">
        <v>398</v>
      </c>
      <c r="I96" t="s">
        <v>399</v>
      </c>
      <c r="J96" t="s">
        <v>749</v>
      </c>
      <c r="K96" t="s">
        <v>401</v>
      </c>
      <c r="L96" t="s">
        <v>766</v>
      </c>
      <c r="M96" t="s">
        <v>403</v>
      </c>
      <c r="N96">
        <v>1</v>
      </c>
      <c r="O96">
        <v>4</v>
      </c>
      <c r="P96" t="s">
        <v>767</v>
      </c>
      <c r="Q96" t="s">
        <v>424</v>
      </c>
      <c r="R96" t="s">
        <v>552</v>
      </c>
      <c r="S96" t="s">
        <v>768</v>
      </c>
      <c r="T96" t="s">
        <v>408</v>
      </c>
      <c r="U96">
        <v>50950080607</v>
      </c>
      <c r="W96">
        <v>11520</v>
      </c>
      <c r="X96" t="s">
        <v>409</v>
      </c>
      <c r="Y96" t="s">
        <v>410</v>
      </c>
      <c r="Z96" t="s">
        <v>410</v>
      </c>
      <c r="AA96" t="s">
        <v>411</v>
      </c>
      <c r="AB96" t="s">
        <v>554</v>
      </c>
      <c r="AC96" t="s">
        <v>411</v>
      </c>
      <c r="AD96">
        <v>46074</v>
      </c>
      <c r="AE96">
        <v>46132</v>
      </c>
      <c r="AF96">
        <v>46091</v>
      </c>
      <c r="AG96" t="s">
        <v>770</v>
      </c>
      <c r="AH96">
        <v>6126432</v>
      </c>
      <c r="AI96">
        <v>46085</v>
      </c>
      <c r="AJ96">
        <v>46086</v>
      </c>
      <c r="AK96">
        <v>11520</v>
      </c>
      <c r="AL96" t="s">
        <v>396</v>
      </c>
      <c r="AM96" t="s">
        <v>918</v>
      </c>
      <c r="AN96">
        <v>46086</v>
      </c>
      <c r="AO96">
        <v>46086.40929398148</v>
      </c>
      <c r="AP96" t="s">
        <v>51</v>
      </c>
      <c r="AQ96">
        <v>0.18359</v>
      </c>
      <c r="AR96">
        <v>2114.96</v>
      </c>
      <c r="AS96" t="s">
        <v>51</v>
      </c>
      <c r="AT96">
        <v>2114.96</v>
      </c>
      <c r="AU96" t="s">
        <v>415</v>
      </c>
      <c r="AV96" t="s">
        <v>772</v>
      </c>
      <c r="AW96" t="s">
        <v>863</v>
      </c>
      <c r="AX96">
        <v>46091</v>
      </c>
      <c r="AY96">
        <v>46140</v>
      </c>
      <c r="AZ96" t="s">
        <v>919</v>
      </c>
      <c r="BA96" t="s">
        <v>560</v>
      </c>
      <c r="BB96" t="s">
        <v>920</v>
      </c>
      <c r="BC96">
        <v>240</v>
      </c>
      <c r="BD96" t="s">
        <v>521</v>
      </c>
      <c r="BE96">
        <v>2.5634000000000001</v>
      </c>
      <c r="BF96">
        <v>1.2864</v>
      </c>
      <c r="BG96" t="s">
        <v>522</v>
      </c>
      <c r="BH96">
        <v>340</v>
      </c>
      <c r="BI96">
        <v>250</v>
      </c>
      <c r="BJ96">
        <v>230</v>
      </c>
      <c r="BK96">
        <v>48</v>
      </c>
      <c r="BL96" t="s">
        <v>521</v>
      </c>
      <c r="BM96">
        <v>144.04320000000001</v>
      </c>
      <c r="BN96">
        <v>61.747199999999999</v>
      </c>
      <c r="BO96">
        <v>144.04320000000001</v>
      </c>
      <c r="BP96" t="s">
        <v>522</v>
      </c>
      <c r="BQ96">
        <v>1066</v>
      </c>
      <c r="BR96">
        <v>1066</v>
      </c>
      <c r="BS96">
        <v>1080</v>
      </c>
      <c r="BT96">
        <v>1</v>
      </c>
      <c r="BU96">
        <v>0</v>
      </c>
      <c r="BV96">
        <v>1</v>
      </c>
      <c r="BW96">
        <v>48</v>
      </c>
      <c r="BX96">
        <v>0</v>
      </c>
      <c r="BY96">
        <v>48</v>
      </c>
      <c r="BZ96">
        <v>11520</v>
      </c>
      <c r="CA96">
        <v>0</v>
      </c>
      <c r="CB96">
        <v>11520</v>
      </c>
      <c r="CC96">
        <v>61.747199999999999</v>
      </c>
      <c r="CD96" t="s">
        <v>562</v>
      </c>
      <c r="CE96" t="s">
        <v>563</v>
      </c>
      <c r="CG96" t="s">
        <v>421</v>
      </c>
      <c r="CN96" t="str">
        <v>M46</v>
      </c>
      <c r="CO96" t="str">
        <v>1101-EQN0004EN</v>
      </c>
      <c r="CP96" t="str">
        <v>CSGU2004557</v>
      </c>
      <c r="CQ96" s="23">
        <v>48.073599999999999</v>
      </c>
      <c r="CR96" s="25">
        <f t="shared" si="6"/>
        <v>6.6468737414574798E-3</v>
      </c>
      <c r="CS96" s="21">
        <f t="shared" si="7"/>
        <v>16.617184353643701</v>
      </c>
    </row>
    <row r="97" spans="2:97" x14ac:dyDescent="0.35">
      <c r="B97" s="34" t="s">
        <v>297</v>
      </c>
      <c r="C97" t="s">
        <v>921</v>
      </c>
      <c r="D97" t="s">
        <v>549</v>
      </c>
      <c r="E97" t="s">
        <v>395</v>
      </c>
      <c r="F97" t="s">
        <v>396</v>
      </c>
      <c r="G97" t="s">
        <v>397</v>
      </c>
      <c r="H97" t="s">
        <v>398</v>
      </c>
      <c r="I97" t="s">
        <v>399</v>
      </c>
      <c r="J97" t="s">
        <v>749</v>
      </c>
      <c r="K97" t="s">
        <v>922</v>
      </c>
      <c r="L97" t="s">
        <v>766</v>
      </c>
      <c r="M97" t="s">
        <v>403</v>
      </c>
      <c r="N97">
        <v>11</v>
      </c>
      <c r="O97">
        <v>1</v>
      </c>
      <c r="P97" t="s">
        <v>923</v>
      </c>
      <c r="Q97" t="s">
        <v>645</v>
      </c>
      <c r="R97" t="s">
        <v>924</v>
      </c>
      <c r="S97" t="s">
        <v>925</v>
      </c>
      <c r="T97" t="s">
        <v>408</v>
      </c>
      <c r="U97">
        <v>50950080751</v>
      </c>
      <c r="W97">
        <v>11520</v>
      </c>
      <c r="X97" t="s">
        <v>409</v>
      </c>
      <c r="Y97" t="s">
        <v>410</v>
      </c>
      <c r="Z97" t="s">
        <v>410</v>
      </c>
      <c r="AA97" t="s">
        <v>411</v>
      </c>
      <c r="AB97" t="s">
        <v>554</v>
      </c>
      <c r="AC97" t="s">
        <v>411</v>
      </c>
      <c r="AD97">
        <v>46084</v>
      </c>
      <c r="AE97">
        <v>46132</v>
      </c>
      <c r="AF97">
        <v>46092</v>
      </c>
      <c r="AG97" t="s">
        <v>926</v>
      </c>
      <c r="AH97">
        <v>6126701</v>
      </c>
      <c r="AI97">
        <v>46085</v>
      </c>
      <c r="AJ97">
        <v>46086</v>
      </c>
      <c r="AK97">
        <v>11520</v>
      </c>
      <c r="AL97" t="s">
        <v>396</v>
      </c>
      <c r="AM97" t="s">
        <v>927</v>
      </c>
      <c r="AN97">
        <v>46086</v>
      </c>
      <c r="AO97">
        <v>46086.630439814813</v>
      </c>
      <c r="AP97" t="s">
        <v>51</v>
      </c>
      <c r="AQ97">
        <v>0.59975999999999996</v>
      </c>
      <c r="AR97">
        <v>6909.2</v>
      </c>
      <c r="AS97" t="s">
        <v>51</v>
      </c>
      <c r="AT97">
        <v>6909.2</v>
      </c>
      <c r="AU97" t="s">
        <v>415</v>
      </c>
      <c r="AV97" t="s">
        <v>557</v>
      </c>
      <c r="AW97" t="s">
        <v>558</v>
      </c>
      <c r="AX97">
        <v>46092</v>
      </c>
      <c r="AY97">
        <v>46141</v>
      </c>
      <c r="AZ97" t="s">
        <v>928</v>
      </c>
      <c r="BA97" t="s">
        <v>560</v>
      </c>
      <c r="BB97" t="s">
        <v>929</v>
      </c>
      <c r="BC97">
        <v>288</v>
      </c>
      <c r="BD97" t="s">
        <v>521</v>
      </c>
      <c r="BE97">
        <v>9.8219999999999992</v>
      </c>
      <c r="BF97">
        <v>8.3520000000000003</v>
      </c>
      <c r="BG97" t="s">
        <v>522</v>
      </c>
      <c r="BH97">
        <v>400</v>
      </c>
      <c r="BI97">
        <v>300</v>
      </c>
      <c r="BJ97">
        <v>160</v>
      </c>
      <c r="BK97">
        <v>40</v>
      </c>
      <c r="BL97" t="s">
        <v>521</v>
      </c>
      <c r="BM97">
        <v>417.88</v>
      </c>
      <c r="BN97">
        <v>334.08</v>
      </c>
      <c r="BO97">
        <v>417.88</v>
      </c>
      <c r="BP97" t="s">
        <v>522</v>
      </c>
      <c r="BQ97">
        <v>1200</v>
      </c>
      <c r="BR97">
        <v>800</v>
      </c>
      <c r="BS97">
        <v>970</v>
      </c>
      <c r="BT97">
        <v>1</v>
      </c>
      <c r="BU97">
        <v>0</v>
      </c>
      <c r="BV97">
        <v>1</v>
      </c>
      <c r="BW97">
        <v>40</v>
      </c>
      <c r="BX97">
        <v>0</v>
      </c>
      <c r="BY97">
        <v>40</v>
      </c>
      <c r="BZ97">
        <v>11520</v>
      </c>
      <c r="CA97">
        <v>0</v>
      </c>
      <c r="CB97">
        <v>11520</v>
      </c>
      <c r="CC97">
        <v>334.08</v>
      </c>
      <c r="CD97" t="s">
        <v>930</v>
      </c>
      <c r="CE97" t="s">
        <v>931</v>
      </c>
      <c r="CG97" t="s">
        <v>421</v>
      </c>
      <c r="CN97" t="str">
        <v>M46</v>
      </c>
      <c r="CO97" t="str">
        <v>1127-ETB0002EN</v>
      </c>
      <c r="CP97" t="str">
        <v>CSGU2004557</v>
      </c>
      <c r="CQ97" s="23">
        <v>98.170400000000001</v>
      </c>
      <c r="CR97" s="25">
        <f t="shared" si="6"/>
        <v>1.3573484281359778E-2</v>
      </c>
      <c r="CS97" s="21">
        <f t="shared" si="7"/>
        <v>33.933710703399441</v>
      </c>
    </row>
    <row r="98" spans="2:97" x14ac:dyDescent="0.35">
      <c r="B98" t="s">
        <v>299</v>
      </c>
      <c r="C98" t="s">
        <v>932</v>
      </c>
      <c r="D98" t="s">
        <v>395</v>
      </c>
      <c r="E98" t="s">
        <v>395</v>
      </c>
      <c r="F98" t="s">
        <v>396</v>
      </c>
      <c r="G98" t="s">
        <v>397</v>
      </c>
      <c r="H98" t="s">
        <v>398</v>
      </c>
      <c r="I98" t="s">
        <v>399</v>
      </c>
      <c r="J98" t="s">
        <v>749</v>
      </c>
      <c r="K98" t="s">
        <v>777</v>
      </c>
      <c r="L98" t="s">
        <v>778</v>
      </c>
      <c r="M98" t="s">
        <v>403</v>
      </c>
      <c r="N98">
        <v>1</v>
      </c>
      <c r="O98">
        <v>1</v>
      </c>
      <c r="P98" t="s">
        <v>933</v>
      </c>
      <c r="Q98" t="s">
        <v>934</v>
      </c>
      <c r="R98" t="s">
        <v>536</v>
      </c>
      <c r="S98" t="s">
        <v>935</v>
      </c>
      <c r="T98" t="s">
        <v>408</v>
      </c>
      <c r="U98">
        <v>50950075777</v>
      </c>
      <c r="W98">
        <v>1080</v>
      </c>
      <c r="X98" t="s">
        <v>409</v>
      </c>
      <c r="Y98" t="s">
        <v>410</v>
      </c>
      <c r="Z98" t="s">
        <v>410</v>
      </c>
      <c r="AA98" t="s">
        <v>411</v>
      </c>
      <c r="AB98" t="s">
        <v>554</v>
      </c>
      <c r="AC98" t="s">
        <v>411</v>
      </c>
      <c r="AD98">
        <v>46083</v>
      </c>
      <c r="AE98">
        <v>46111</v>
      </c>
      <c r="AF98">
        <v>46091</v>
      </c>
      <c r="AG98" t="s">
        <v>936</v>
      </c>
      <c r="AH98">
        <v>6126433</v>
      </c>
      <c r="AI98">
        <v>46085</v>
      </c>
      <c r="AJ98">
        <v>46086</v>
      </c>
      <c r="AK98">
        <v>1080</v>
      </c>
      <c r="AL98" t="s">
        <v>396</v>
      </c>
      <c r="AM98" t="s">
        <v>937</v>
      </c>
      <c r="AN98">
        <v>46086</v>
      </c>
      <c r="AO98">
        <v>46086.40929398148</v>
      </c>
      <c r="AP98" t="s">
        <v>51</v>
      </c>
      <c r="AQ98">
        <v>4.1398799999999998</v>
      </c>
      <c r="AR98">
        <v>4471.08</v>
      </c>
      <c r="AS98" t="s">
        <v>51</v>
      </c>
      <c r="AT98">
        <v>4471.08</v>
      </c>
      <c r="AU98" t="s">
        <v>415</v>
      </c>
      <c r="AV98" t="s">
        <v>772</v>
      </c>
      <c r="AW98" t="s">
        <v>863</v>
      </c>
      <c r="AX98">
        <v>46091</v>
      </c>
      <c r="AY98">
        <v>46140</v>
      </c>
      <c r="AZ98" t="s">
        <v>919</v>
      </c>
      <c r="BA98" t="s">
        <v>560</v>
      </c>
      <c r="BB98" t="s">
        <v>920</v>
      </c>
      <c r="BC98">
        <v>36</v>
      </c>
      <c r="BD98" t="s">
        <v>521</v>
      </c>
      <c r="BE98">
        <v>8.7870000000000008</v>
      </c>
      <c r="BF98">
        <v>6.5519999999999996</v>
      </c>
      <c r="BG98" t="s">
        <v>522</v>
      </c>
      <c r="BH98">
        <v>595</v>
      </c>
      <c r="BI98">
        <v>395</v>
      </c>
      <c r="BJ98">
        <v>290</v>
      </c>
      <c r="BK98">
        <v>15</v>
      </c>
      <c r="BL98" t="s">
        <v>521</v>
      </c>
      <c r="BM98">
        <v>158.80500000000001</v>
      </c>
      <c r="BN98">
        <v>98.28</v>
      </c>
      <c r="BO98">
        <v>317.61</v>
      </c>
      <c r="BP98" t="s">
        <v>522</v>
      </c>
      <c r="BQ98">
        <v>1200</v>
      </c>
      <c r="BR98">
        <v>1000</v>
      </c>
      <c r="BS98">
        <v>1025</v>
      </c>
      <c r="BT98">
        <v>2</v>
      </c>
      <c r="BU98">
        <v>0</v>
      </c>
      <c r="BV98">
        <v>2</v>
      </c>
      <c r="BW98">
        <v>30</v>
      </c>
      <c r="BX98">
        <v>0</v>
      </c>
      <c r="BY98">
        <v>30</v>
      </c>
      <c r="BZ98">
        <v>1080</v>
      </c>
      <c r="CA98">
        <v>0</v>
      </c>
      <c r="CB98">
        <v>1080</v>
      </c>
      <c r="CC98">
        <v>196.56</v>
      </c>
      <c r="CD98" t="s">
        <v>938</v>
      </c>
      <c r="CE98" t="s">
        <v>939</v>
      </c>
      <c r="CG98" t="s">
        <v>421</v>
      </c>
      <c r="CN98" t="str">
        <v>M23</v>
      </c>
      <c r="CO98" t="str">
        <v>1202-1060185-72EN</v>
      </c>
      <c r="CP98" t="str">
        <v>CSGU2004557</v>
      </c>
      <c r="CQ98" s="23">
        <v>61.734499999999997</v>
      </c>
      <c r="CR98" s="25">
        <f t="shared" si="6"/>
        <v>8.5356916684418641E-3</v>
      </c>
      <c r="CS98" s="21">
        <f t="shared" si="7"/>
        <v>21.339229171104659</v>
      </c>
    </row>
    <row r="99" spans="2:97" x14ac:dyDescent="0.35">
      <c r="B99" t="s">
        <v>299</v>
      </c>
      <c r="C99" t="s">
        <v>776</v>
      </c>
      <c r="D99" t="s">
        <v>395</v>
      </c>
      <c r="E99" t="s">
        <v>395</v>
      </c>
      <c r="F99" t="s">
        <v>396</v>
      </c>
      <c r="G99" t="s">
        <v>397</v>
      </c>
      <c r="H99" t="s">
        <v>398</v>
      </c>
      <c r="I99" t="s">
        <v>399</v>
      </c>
      <c r="J99" t="s">
        <v>749</v>
      </c>
      <c r="K99" t="s">
        <v>777</v>
      </c>
      <c r="L99" t="s">
        <v>778</v>
      </c>
      <c r="M99" t="s">
        <v>403</v>
      </c>
      <c r="N99">
        <v>1</v>
      </c>
      <c r="O99">
        <v>2</v>
      </c>
      <c r="P99" t="s">
        <v>779</v>
      </c>
      <c r="Q99" t="s">
        <v>587</v>
      </c>
      <c r="R99" t="s">
        <v>536</v>
      </c>
      <c r="S99" t="s">
        <v>780</v>
      </c>
      <c r="T99" t="s">
        <v>408</v>
      </c>
      <c r="U99">
        <v>50950076748</v>
      </c>
      <c r="W99">
        <v>504</v>
      </c>
      <c r="X99" t="s">
        <v>409</v>
      </c>
      <c r="Y99" t="s">
        <v>410</v>
      </c>
      <c r="Z99" t="s">
        <v>410</v>
      </c>
      <c r="AA99" t="s">
        <v>411</v>
      </c>
      <c r="AB99" t="s">
        <v>554</v>
      </c>
      <c r="AC99" t="s">
        <v>411</v>
      </c>
      <c r="AD99">
        <v>46083</v>
      </c>
      <c r="AE99">
        <v>46139</v>
      </c>
      <c r="AF99">
        <v>46091</v>
      </c>
      <c r="AG99" t="s">
        <v>781</v>
      </c>
      <c r="AH99">
        <v>6126434</v>
      </c>
      <c r="AI99">
        <v>46085</v>
      </c>
      <c r="AJ99">
        <v>46086</v>
      </c>
      <c r="AK99">
        <v>504</v>
      </c>
      <c r="AL99" t="s">
        <v>396</v>
      </c>
      <c r="AM99" t="s">
        <v>940</v>
      </c>
      <c r="AN99">
        <v>46086</v>
      </c>
      <c r="AO99">
        <v>46086.40929398148</v>
      </c>
      <c r="AP99" t="s">
        <v>51</v>
      </c>
      <c r="AQ99">
        <v>2.1913299999999998</v>
      </c>
      <c r="AR99">
        <v>1104.43</v>
      </c>
      <c r="AS99" t="s">
        <v>51</v>
      </c>
      <c r="AT99">
        <v>1104.43</v>
      </c>
      <c r="AU99" t="s">
        <v>415</v>
      </c>
      <c r="AV99" t="s">
        <v>772</v>
      </c>
      <c r="AW99" t="s">
        <v>863</v>
      </c>
      <c r="AX99">
        <v>46091</v>
      </c>
      <c r="AY99">
        <v>46140</v>
      </c>
      <c r="AZ99" t="s">
        <v>919</v>
      </c>
      <c r="BA99" t="s">
        <v>560</v>
      </c>
      <c r="BB99" t="s">
        <v>920</v>
      </c>
      <c r="BC99">
        <v>28</v>
      </c>
      <c r="BD99" t="s">
        <v>521</v>
      </c>
      <c r="BE99">
        <v>4.1197999999999997</v>
      </c>
      <c r="BF99">
        <v>2.2568000000000001</v>
      </c>
      <c r="BG99" t="s">
        <v>522</v>
      </c>
      <c r="BH99">
        <v>795</v>
      </c>
      <c r="BI99">
        <v>395</v>
      </c>
      <c r="BJ99">
        <v>145</v>
      </c>
      <c r="BK99">
        <v>18</v>
      </c>
      <c r="BL99" t="s">
        <v>521</v>
      </c>
      <c r="BM99">
        <v>99.156400000000005</v>
      </c>
      <c r="BN99">
        <v>40.622399999999999</v>
      </c>
      <c r="BO99">
        <v>99.156400000000005</v>
      </c>
      <c r="BP99" t="s">
        <v>522</v>
      </c>
      <c r="BQ99">
        <v>1200</v>
      </c>
      <c r="BR99">
        <v>800</v>
      </c>
      <c r="BS99">
        <v>1030</v>
      </c>
      <c r="BT99">
        <v>1</v>
      </c>
      <c r="BU99">
        <v>0</v>
      </c>
      <c r="BV99">
        <v>1</v>
      </c>
      <c r="BW99">
        <v>18</v>
      </c>
      <c r="BX99">
        <v>0</v>
      </c>
      <c r="BY99">
        <v>18</v>
      </c>
      <c r="BZ99">
        <v>504</v>
      </c>
      <c r="CA99">
        <v>0</v>
      </c>
      <c r="CB99">
        <v>504</v>
      </c>
      <c r="CC99">
        <v>40.622399999999999</v>
      </c>
      <c r="CD99" t="s">
        <v>783</v>
      </c>
      <c r="CE99" t="s">
        <v>784</v>
      </c>
      <c r="CG99" t="s">
        <v>421</v>
      </c>
      <c r="CN99" t="str">
        <v>MCS</v>
      </c>
      <c r="CO99" t="str">
        <v>0070-G130008EN</v>
      </c>
      <c r="CP99" t="str">
        <v>CSGU2004557</v>
      </c>
      <c r="CQ99" s="23">
        <v>1000.0000000000001</v>
      </c>
      <c r="CR99" s="25">
        <f t="shared" si="6"/>
        <v>0.13826453066667529</v>
      </c>
      <c r="CS99" s="21">
        <f t="shared" si="7"/>
        <v>345.66132666668824</v>
      </c>
    </row>
    <row r="100" spans="2:97" x14ac:dyDescent="0.35">
      <c r="B100" t="s">
        <v>299</v>
      </c>
      <c r="C100" t="s">
        <v>941</v>
      </c>
      <c r="D100" t="s">
        <v>395</v>
      </c>
      <c r="E100" t="s">
        <v>823</v>
      </c>
      <c r="F100" t="s">
        <v>396</v>
      </c>
      <c r="G100" t="s">
        <v>397</v>
      </c>
      <c r="H100" t="s">
        <v>398</v>
      </c>
      <c r="I100" t="s">
        <v>399</v>
      </c>
      <c r="J100" t="s">
        <v>749</v>
      </c>
      <c r="K100" t="s">
        <v>777</v>
      </c>
      <c r="L100" t="s">
        <v>778</v>
      </c>
      <c r="M100" t="s">
        <v>403</v>
      </c>
      <c r="N100">
        <v>1</v>
      </c>
      <c r="O100">
        <v>1</v>
      </c>
      <c r="P100" t="s">
        <v>942</v>
      </c>
      <c r="Q100" t="s">
        <v>943</v>
      </c>
      <c r="R100" t="s">
        <v>536</v>
      </c>
      <c r="S100" t="s">
        <v>944</v>
      </c>
      <c r="T100" t="s">
        <v>408</v>
      </c>
      <c r="U100">
        <v>50950079558</v>
      </c>
      <c r="W100">
        <v>6552</v>
      </c>
      <c r="X100" t="s">
        <v>409</v>
      </c>
      <c r="Y100" t="s">
        <v>410</v>
      </c>
      <c r="Z100" t="s">
        <v>410</v>
      </c>
      <c r="AA100" t="s">
        <v>411</v>
      </c>
      <c r="AB100" t="s">
        <v>554</v>
      </c>
      <c r="AC100" t="s">
        <v>411</v>
      </c>
      <c r="AD100">
        <v>46083</v>
      </c>
      <c r="AE100">
        <v>46139</v>
      </c>
      <c r="AF100">
        <v>46091</v>
      </c>
      <c r="AG100" t="s">
        <v>781</v>
      </c>
      <c r="AH100">
        <v>6126435</v>
      </c>
      <c r="AI100">
        <v>46085</v>
      </c>
      <c r="AJ100">
        <v>46086</v>
      </c>
      <c r="AK100">
        <v>6552</v>
      </c>
      <c r="AL100" t="s">
        <v>396</v>
      </c>
      <c r="AM100" t="s">
        <v>945</v>
      </c>
      <c r="AN100">
        <v>46086</v>
      </c>
      <c r="AO100">
        <v>46086.40929398148</v>
      </c>
      <c r="AP100" t="s">
        <v>51</v>
      </c>
      <c r="AQ100">
        <v>2.3639100000000002</v>
      </c>
      <c r="AR100">
        <v>15488.33</v>
      </c>
      <c r="AS100" t="s">
        <v>51</v>
      </c>
      <c r="AT100">
        <v>15488.33</v>
      </c>
      <c r="AU100" t="s">
        <v>415</v>
      </c>
      <c r="AV100" t="s">
        <v>772</v>
      </c>
      <c r="AW100" t="s">
        <v>863</v>
      </c>
      <c r="AX100">
        <v>46091</v>
      </c>
      <c r="AY100">
        <v>46140</v>
      </c>
      <c r="AZ100" t="s">
        <v>919</v>
      </c>
      <c r="BA100" t="s">
        <v>560</v>
      </c>
      <c r="BB100" t="s">
        <v>920</v>
      </c>
      <c r="BC100">
        <v>28</v>
      </c>
      <c r="BD100" t="s">
        <v>521</v>
      </c>
      <c r="BE100">
        <v>4.6406000000000001</v>
      </c>
      <c r="BF100">
        <v>2.7776000000000001</v>
      </c>
      <c r="BG100" t="s">
        <v>522</v>
      </c>
      <c r="BH100">
        <v>795</v>
      </c>
      <c r="BI100">
        <v>395</v>
      </c>
      <c r="BJ100">
        <v>145</v>
      </c>
      <c r="BK100">
        <v>18</v>
      </c>
      <c r="BL100" t="s">
        <v>521</v>
      </c>
      <c r="BM100">
        <v>108.5308</v>
      </c>
      <c r="BN100">
        <v>49.9968</v>
      </c>
      <c r="BO100">
        <v>1410.9004</v>
      </c>
      <c r="BP100" t="s">
        <v>522</v>
      </c>
      <c r="BQ100">
        <v>1200</v>
      </c>
      <c r="BR100">
        <v>800</v>
      </c>
      <c r="BS100">
        <v>1030</v>
      </c>
      <c r="BT100">
        <v>13</v>
      </c>
      <c r="BU100">
        <v>0</v>
      </c>
      <c r="BV100">
        <v>13</v>
      </c>
      <c r="BW100">
        <v>234</v>
      </c>
      <c r="BX100">
        <v>0</v>
      </c>
      <c r="BY100">
        <v>234</v>
      </c>
      <c r="BZ100">
        <v>6552</v>
      </c>
      <c r="CA100">
        <v>0</v>
      </c>
      <c r="CB100">
        <v>6552</v>
      </c>
      <c r="CC100">
        <v>649.95839999999998</v>
      </c>
      <c r="CD100" t="s">
        <v>783</v>
      </c>
      <c r="CE100" t="s">
        <v>784</v>
      </c>
      <c r="CG100" t="s">
        <v>421</v>
      </c>
      <c r="CN100" t="str">
        <v>M19</v>
      </c>
      <c r="CO100" t="str">
        <v>1275-5YY0685EN</v>
      </c>
      <c r="CP100" t="str">
        <v>CSGU6547742</v>
      </c>
      <c r="CQ100" s="23">
        <v>1456.1120000000001</v>
      </c>
      <c r="CR100" s="25">
        <f t="shared" si="6"/>
        <v>0.17799391400538356</v>
      </c>
      <c r="CS100" s="21">
        <f t="shared" si="7"/>
        <v>444.98478501345892</v>
      </c>
    </row>
    <row r="101" spans="2:97" x14ac:dyDescent="0.35">
      <c r="B101" t="s">
        <v>297</v>
      </c>
      <c r="C101" t="s">
        <v>946</v>
      </c>
      <c r="D101" t="s">
        <v>395</v>
      </c>
      <c r="E101" t="s">
        <v>395</v>
      </c>
      <c r="F101" t="s">
        <v>396</v>
      </c>
      <c r="G101" t="s">
        <v>397</v>
      </c>
      <c r="H101" t="s">
        <v>398</v>
      </c>
      <c r="I101" t="s">
        <v>399</v>
      </c>
      <c r="J101" t="s">
        <v>749</v>
      </c>
      <c r="K101" t="s">
        <v>786</v>
      </c>
      <c r="L101" t="s">
        <v>787</v>
      </c>
      <c r="M101" t="s">
        <v>403</v>
      </c>
      <c r="N101">
        <v>2</v>
      </c>
      <c r="O101">
        <v>1</v>
      </c>
      <c r="P101" t="s">
        <v>788</v>
      </c>
      <c r="Q101" t="s">
        <v>789</v>
      </c>
      <c r="R101" t="s">
        <v>790</v>
      </c>
      <c r="S101" t="s">
        <v>791</v>
      </c>
      <c r="T101" t="s">
        <v>408</v>
      </c>
      <c r="U101">
        <v>50950071835</v>
      </c>
      <c r="W101">
        <v>30240</v>
      </c>
      <c r="X101" t="s">
        <v>409</v>
      </c>
      <c r="Y101" t="s">
        <v>410</v>
      </c>
      <c r="Z101" t="s">
        <v>410</v>
      </c>
      <c r="AA101" t="s">
        <v>411</v>
      </c>
      <c r="AB101" t="s">
        <v>554</v>
      </c>
      <c r="AC101" t="s">
        <v>411</v>
      </c>
      <c r="AD101">
        <v>46083</v>
      </c>
      <c r="AE101">
        <v>46090</v>
      </c>
      <c r="AF101">
        <v>46091</v>
      </c>
      <c r="AG101" t="s">
        <v>754</v>
      </c>
      <c r="AH101">
        <v>6126436</v>
      </c>
      <c r="AI101">
        <v>46085</v>
      </c>
      <c r="AJ101">
        <v>46086</v>
      </c>
      <c r="AK101">
        <v>30240</v>
      </c>
      <c r="AL101" t="s">
        <v>396</v>
      </c>
      <c r="AM101" t="s">
        <v>947</v>
      </c>
      <c r="AN101">
        <v>46086</v>
      </c>
      <c r="AO101">
        <v>46086.40929398148</v>
      </c>
      <c r="AP101" t="s">
        <v>51</v>
      </c>
      <c r="AQ101">
        <v>1.3860399999999999</v>
      </c>
      <c r="AR101">
        <v>41913.83</v>
      </c>
      <c r="AS101" t="s">
        <v>51</v>
      </c>
      <c r="AT101">
        <v>41913.83</v>
      </c>
      <c r="AU101" t="s">
        <v>415</v>
      </c>
      <c r="AV101" t="s">
        <v>772</v>
      </c>
      <c r="AW101" t="s">
        <v>863</v>
      </c>
      <c r="AX101">
        <v>46091</v>
      </c>
      <c r="AY101">
        <v>46140</v>
      </c>
      <c r="AZ101" t="s">
        <v>919</v>
      </c>
      <c r="BA101" t="s">
        <v>560</v>
      </c>
      <c r="BB101" t="s">
        <v>920</v>
      </c>
      <c r="BC101">
        <v>108</v>
      </c>
      <c r="BD101" t="s">
        <v>521</v>
      </c>
      <c r="BE101">
        <v>2.8953000000000002</v>
      </c>
      <c r="BF101">
        <v>1.8403</v>
      </c>
      <c r="BG101" t="s">
        <v>522</v>
      </c>
      <c r="BH101">
        <v>495</v>
      </c>
      <c r="BI101">
        <v>295</v>
      </c>
      <c r="BJ101">
        <v>180</v>
      </c>
      <c r="BK101">
        <v>40</v>
      </c>
      <c r="BL101" t="s">
        <v>521</v>
      </c>
      <c r="BM101">
        <v>142.81200000000001</v>
      </c>
      <c r="BN101">
        <v>73.611999999999995</v>
      </c>
      <c r="BO101">
        <v>999.68960000000004</v>
      </c>
      <c r="BP101" t="s">
        <v>522</v>
      </c>
      <c r="BQ101">
        <v>1200</v>
      </c>
      <c r="BR101">
        <v>1000</v>
      </c>
      <c r="BS101">
        <v>1060</v>
      </c>
      <c r="BT101">
        <v>7</v>
      </c>
      <c r="BU101">
        <v>0</v>
      </c>
      <c r="BV101">
        <v>7</v>
      </c>
      <c r="BW101">
        <v>280</v>
      </c>
      <c r="BX101">
        <v>0</v>
      </c>
      <c r="BY101">
        <v>280</v>
      </c>
      <c r="BZ101">
        <v>30240</v>
      </c>
      <c r="CA101">
        <v>0</v>
      </c>
      <c r="CB101">
        <v>30240</v>
      </c>
      <c r="CC101">
        <v>515.28959999999995</v>
      </c>
      <c r="CD101" t="s">
        <v>793</v>
      </c>
      <c r="CE101" t="s">
        <v>794</v>
      </c>
      <c r="CG101" t="s">
        <v>421</v>
      </c>
      <c r="CN101" t="str">
        <v>M01</v>
      </c>
      <c r="CO101" t="str">
        <v>1438-1010133EN</v>
      </c>
      <c r="CP101" t="str">
        <v>CSGU6547742</v>
      </c>
      <c r="CQ101" s="23">
        <v>768.73919999999998</v>
      </c>
      <c r="CR101" s="25">
        <f t="shared" si="6"/>
        <v>9.397003737169074E-2</v>
      </c>
      <c r="CS101" s="21">
        <f t="shared" si="7"/>
        <v>234.92509342922685</v>
      </c>
    </row>
    <row r="102" spans="2:97" x14ac:dyDescent="0.35">
      <c r="B102" t="s">
        <v>296</v>
      </c>
      <c r="C102" t="s">
        <v>948</v>
      </c>
      <c r="D102" t="s">
        <v>395</v>
      </c>
      <c r="E102" t="s">
        <v>395</v>
      </c>
      <c r="F102" t="s">
        <v>396</v>
      </c>
      <c r="G102" t="s">
        <v>397</v>
      </c>
      <c r="H102" t="s">
        <v>398</v>
      </c>
      <c r="I102" t="s">
        <v>399</v>
      </c>
      <c r="J102" t="s">
        <v>749</v>
      </c>
      <c r="K102" t="s">
        <v>786</v>
      </c>
      <c r="L102" t="s">
        <v>787</v>
      </c>
      <c r="M102" t="s">
        <v>403</v>
      </c>
      <c r="N102">
        <v>1</v>
      </c>
      <c r="O102">
        <v>1</v>
      </c>
      <c r="P102" t="s">
        <v>949</v>
      </c>
      <c r="Q102" t="s">
        <v>430</v>
      </c>
      <c r="R102" t="s">
        <v>790</v>
      </c>
      <c r="S102" t="s">
        <v>950</v>
      </c>
      <c r="T102" t="s">
        <v>408</v>
      </c>
      <c r="U102">
        <v>50950075102</v>
      </c>
      <c r="W102">
        <v>37800</v>
      </c>
      <c r="X102" t="s">
        <v>409</v>
      </c>
      <c r="Y102" t="s">
        <v>410</v>
      </c>
      <c r="Z102" t="s">
        <v>410</v>
      </c>
      <c r="AA102" t="s">
        <v>411</v>
      </c>
      <c r="AB102" t="s">
        <v>554</v>
      </c>
      <c r="AC102" t="s">
        <v>411</v>
      </c>
      <c r="AD102">
        <v>46087</v>
      </c>
      <c r="AE102">
        <v>46195</v>
      </c>
      <c r="AF102">
        <v>46091</v>
      </c>
      <c r="AG102" t="s">
        <v>754</v>
      </c>
      <c r="AH102">
        <v>6126437</v>
      </c>
      <c r="AI102">
        <v>46085</v>
      </c>
      <c r="AJ102">
        <v>46086</v>
      </c>
      <c r="AK102">
        <v>37800</v>
      </c>
      <c r="AL102" t="s">
        <v>396</v>
      </c>
      <c r="AM102" t="s">
        <v>951</v>
      </c>
      <c r="AN102">
        <v>46086</v>
      </c>
      <c r="AO102">
        <v>46086.40929398148</v>
      </c>
      <c r="AP102" t="s">
        <v>51</v>
      </c>
      <c r="AQ102">
        <v>0.63771999999999995</v>
      </c>
      <c r="AR102">
        <v>24105.81</v>
      </c>
      <c r="AS102" t="s">
        <v>51</v>
      </c>
      <c r="AT102">
        <v>24105.81</v>
      </c>
      <c r="AU102" t="s">
        <v>415</v>
      </c>
      <c r="AV102" t="s">
        <v>772</v>
      </c>
      <c r="AW102" t="s">
        <v>863</v>
      </c>
      <c r="AX102">
        <v>46091</v>
      </c>
      <c r="AY102">
        <v>46140</v>
      </c>
      <c r="AZ102" t="s">
        <v>919</v>
      </c>
      <c r="BA102" t="s">
        <v>560</v>
      </c>
      <c r="BB102" t="s">
        <v>920</v>
      </c>
      <c r="BC102">
        <v>350</v>
      </c>
      <c r="BD102" t="s">
        <v>521</v>
      </c>
      <c r="BE102">
        <v>3.74</v>
      </c>
      <c r="BF102">
        <v>2.0299999999999998</v>
      </c>
      <c r="BG102" t="s">
        <v>522</v>
      </c>
      <c r="BH102">
        <v>400</v>
      </c>
      <c r="BI102">
        <v>335</v>
      </c>
      <c r="BJ102">
        <v>230</v>
      </c>
      <c r="BK102">
        <v>36</v>
      </c>
      <c r="BL102" t="s">
        <v>521</v>
      </c>
      <c r="BM102">
        <v>159.63999999999999</v>
      </c>
      <c r="BN102">
        <v>73.08</v>
      </c>
      <c r="BO102">
        <v>478.92</v>
      </c>
      <c r="BP102" t="s">
        <v>522</v>
      </c>
      <c r="BQ102">
        <v>1219</v>
      </c>
      <c r="BR102">
        <v>1016</v>
      </c>
      <c r="BS102">
        <v>1080</v>
      </c>
      <c r="BT102">
        <v>3</v>
      </c>
      <c r="BU102">
        <v>0</v>
      </c>
      <c r="BV102">
        <v>3</v>
      </c>
      <c r="BW102">
        <v>108</v>
      </c>
      <c r="BX102">
        <v>0</v>
      </c>
      <c r="BY102">
        <v>108</v>
      </c>
      <c r="BZ102">
        <v>37800</v>
      </c>
      <c r="CA102">
        <v>0</v>
      </c>
      <c r="CB102">
        <v>37800</v>
      </c>
      <c r="CC102">
        <v>219.24</v>
      </c>
      <c r="CD102" t="s">
        <v>952</v>
      </c>
      <c r="CE102" t="s">
        <v>953</v>
      </c>
      <c r="CG102" t="s">
        <v>421</v>
      </c>
      <c r="CN102" t="str">
        <v>M45</v>
      </c>
      <c r="CO102" t="str">
        <v>1301-12C0022EN</v>
      </c>
      <c r="CP102" t="str">
        <v>CSGU6547742</v>
      </c>
      <c r="CQ102" s="23">
        <v>615.61599999999999</v>
      </c>
      <c r="CR102" s="25">
        <f t="shared" si="6"/>
        <v>7.5252385368940161E-2</v>
      </c>
      <c r="CS102" s="21">
        <f t="shared" si="7"/>
        <v>188.13096342235039</v>
      </c>
    </row>
    <row r="103" spans="2:97" x14ac:dyDescent="0.35">
      <c r="B103" t="s">
        <v>297</v>
      </c>
      <c r="C103" t="s">
        <v>954</v>
      </c>
      <c r="D103" t="s">
        <v>395</v>
      </c>
      <c r="E103" t="s">
        <v>395</v>
      </c>
      <c r="F103" t="s">
        <v>396</v>
      </c>
      <c r="G103" t="s">
        <v>397</v>
      </c>
      <c r="H103" t="s">
        <v>398</v>
      </c>
      <c r="I103" t="s">
        <v>399</v>
      </c>
      <c r="J103" t="s">
        <v>749</v>
      </c>
      <c r="K103" t="s">
        <v>786</v>
      </c>
      <c r="L103" t="s">
        <v>787</v>
      </c>
      <c r="M103" t="s">
        <v>403</v>
      </c>
      <c r="N103">
        <v>1</v>
      </c>
      <c r="O103">
        <v>1</v>
      </c>
      <c r="P103" t="s">
        <v>796</v>
      </c>
      <c r="Q103" t="s">
        <v>637</v>
      </c>
      <c r="R103" t="s">
        <v>790</v>
      </c>
      <c r="S103" t="s">
        <v>797</v>
      </c>
      <c r="T103" t="s">
        <v>408</v>
      </c>
      <c r="U103">
        <v>50950077639</v>
      </c>
      <c r="W103">
        <v>37440</v>
      </c>
      <c r="X103" t="s">
        <v>409</v>
      </c>
      <c r="Y103" t="s">
        <v>410</v>
      </c>
      <c r="Z103" t="s">
        <v>410</v>
      </c>
      <c r="AA103" t="s">
        <v>411</v>
      </c>
      <c r="AB103" t="s">
        <v>554</v>
      </c>
      <c r="AC103" t="s">
        <v>411</v>
      </c>
      <c r="AD103">
        <v>46083</v>
      </c>
      <c r="AE103">
        <v>46237</v>
      </c>
      <c r="AF103">
        <v>46091</v>
      </c>
      <c r="AG103" t="s">
        <v>754</v>
      </c>
      <c r="AH103">
        <v>6126438</v>
      </c>
      <c r="AI103">
        <v>46085</v>
      </c>
      <c r="AJ103">
        <v>46086</v>
      </c>
      <c r="AK103">
        <v>37440</v>
      </c>
      <c r="AL103" t="s">
        <v>396</v>
      </c>
      <c r="AM103" t="s">
        <v>955</v>
      </c>
      <c r="AN103">
        <v>46086</v>
      </c>
      <c r="AO103">
        <v>46086.40929398148</v>
      </c>
      <c r="AP103" t="s">
        <v>51</v>
      </c>
      <c r="AQ103">
        <v>1.44828</v>
      </c>
      <c r="AR103">
        <v>54223.65</v>
      </c>
      <c r="AS103" t="s">
        <v>51</v>
      </c>
      <c r="AT103">
        <v>54223.65</v>
      </c>
      <c r="AU103" t="s">
        <v>415</v>
      </c>
      <c r="AV103" t="s">
        <v>772</v>
      </c>
      <c r="AW103" t="s">
        <v>863</v>
      </c>
      <c r="AX103">
        <v>46091</v>
      </c>
      <c r="AY103">
        <v>46140</v>
      </c>
      <c r="AZ103" t="s">
        <v>919</v>
      </c>
      <c r="BA103" t="s">
        <v>560</v>
      </c>
      <c r="BB103" t="s">
        <v>920</v>
      </c>
      <c r="BC103">
        <v>72</v>
      </c>
      <c r="BD103" t="s">
        <v>521</v>
      </c>
      <c r="BE103">
        <v>2.5280999999999998</v>
      </c>
      <c r="BF103">
        <v>1.3421000000000001</v>
      </c>
      <c r="BG103" t="s">
        <v>522</v>
      </c>
      <c r="BH103">
        <v>495</v>
      </c>
      <c r="BI103">
        <v>295</v>
      </c>
      <c r="BJ103">
        <v>180</v>
      </c>
      <c r="BK103">
        <v>40</v>
      </c>
      <c r="BL103" t="s">
        <v>521</v>
      </c>
      <c r="BM103">
        <v>128.124</v>
      </c>
      <c r="BN103">
        <v>53.683999999999997</v>
      </c>
      <c r="BO103">
        <v>1665.6016</v>
      </c>
      <c r="BP103" t="s">
        <v>522</v>
      </c>
      <c r="BQ103">
        <v>1200</v>
      </c>
      <c r="BR103">
        <v>1000</v>
      </c>
      <c r="BS103">
        <v>1058</v>
      </c>
      <c r="BT103">
        <v>13</v>
      </c>
      <c r="BU103">
        <v>0</v>
      </c>
      <c r="BV103">
        <v>13</v>
      </c>
      <c r="BW103">
        <v>520</v>
      </c>
      <c r="BX103">
        <v>0</v>
      </c>
      <c r="BY103">
        <v>520</v>
      </c>
      <c r="BZ103">
        <v>37440</v>
      </c>
      <c r="CA103">
        <v>0</v>
      </c>
      <c r="CB103">
        <v>37440</v>
      </c>
      <c r="CC103">
        <v>697.88160000000005</v>
      </c>
      <c r="CD103" t="s">
        <v>799</v>
      </c>
      <c r="CE103" t="s">
        <v>800</v>
      </c>
      <c r="CG103" t="s">
        <v>421</v>
      </c>
      <c r="CN103" t="str">
        <v>M45</v>
      </c>
      <c r="CO103" t="str">
        <v>1346-12C0011EN</v>
      </c>
      <c r="CP103" t="str">
        <v>CSGU6547742</v>
      </c>
      <c r="CQ103" s="23">
        <v>157.5094</v>
      </c>
      <c r="CR103" s="25">
        <f t="shared" si="6"/>
        <v>1.9253817425197758E-2</v>
      </c>
      <c r="CS103" s="21">
        <f t="shared" si="7"/>
        <v>48.134543562994395</v>
      </c>
    </row>
    <row r="104" spans="2:97" x14ac:dyDescent="0.35">
      <c r="B104" t="s">
        <v>296</v>
      </c>
      <c r="C104" t="s">
        <v>880</v>
      </c>
      <c r="D104" t="s">
        <v>395</v>
      </c>
      <c r="E104" t="s">
        <v>395</v>
      </c>
      <c r="F104" t="s">
        <v>396</v>
      </c>
      <c r="G104" t="s">
        <v>397</v>
      </c>
      <c r="H104" t="s">
        <v>398</v>
      </c>
      <c r="I104" t="s">
        <v>399</v>
      </c>
      <c r="J104" t="s">
        <v>749</v>
      </c>
      <c r="K104" t="s">
        <v>629</v>
      </c>
      <c r="L104" t="s">
        <v>787</v>
      </c>
      <c r="M104" t="s">
        <v>403</v>
      </c>
      <c r="N104">
        <v>1</v>
      </c>
      <c r="O104">
        <v>2</v>
      </c>
      <c r="P104" t="s">
        <v>881</v>
      </c>
      <c r="Q104" t="s">
        <v>645</v>
      </c>
      <c r="R104" t="s">
        <v>882</v>
      </c>
      <c r="S104" t="s">
        <v>883</v>
      </c>
      <c r="T104" t="s">
        <v>408</v>
      </c>
      <c r="U104">
        <v>50950078820</v>
      </c>
      <c r="W104">
        <v>46200</v>
      </c>
      <c r="X104" t="s">
        <v>409</v>
      </c>
      <c r="Y104" t="s">
        <v>410</v>
      </c>
      <c r="Z104" t="s">
        <v>410</v>
      </c>
      <c r="AA104" t="s">
        <v>411</v>
      </c>
      <c r="AB104" t="s">
        <v>554</v>
      </c>
      <c r="AC104" t="s">
        <v>411</v>
      </c>
      <c r="AD104">
        <v>46083</v>
      </c>
      <c r="AE104">
        <v>46167</v>
      </c>
      <c r="AF104">
        <v>46092</v>
      </c>
      <c r="AG104" t="s">
        <v>754</v>
      </c>
      <c r="AH104">
        <v>6126702</v>
      </c>
      <c r="AI104">
        <v>46085</v>
      </c>
      <c r="AJ104">
        <v>46086</v>
      </c>
      <c r="AK104">
        <v>46200</v>
      </c>
      <c r="AL104" t="s">
        <v>396</v>
      </c>
      <c r="AM104" t="s">
        <v>956</v>
      </c>
      <c r="AN104">
        <v>46086</v>
      </c>
      <c r="AO104">
        <v>46086.630439814813</v>
      </c>
      <c r="AP104" t="s">
        <v>51</v>
      </c>
      <c r="AQ104">
        <v>0.19572000000000001</v>
      </c>
      <c r="AR104">
        <v>9042.25</v>
      </c>
      <c r="AS104" t="s">
        <v>51</v>
      </c>
      <c r="AT104">
        <v>9042.25</v>
      </c>
      <c r="AU104" t="s">
        <v>415</v>
      </c>
      <c r="AV104" t="s">
        <v>557</v>
      </c>
      <c r="AW104" t="s">
        <v>558</v>
      </c>
      <c r="AX104">
        <v>46092</v>
      </c>
      <c r="AY104">
        <v>46141</v>
      </c>
      <c r="AZ104" t="s">
        <v>928</v>
      </c>
      <c r="BA104" t="s">
        <v>560</v>
      </c>
      <c r="BB104" t="s">
        <v>929</v>
      </c>
      <c r="BC104">
        <v>264</v>
      </c>
      <c r="BD104" t="s">
        <v>521</v>
      </c>
      <c r="BE104">
        <v>5.2203999999999997</v>
      </c>
      <c r="BF104">
        <v>3.8304</v>
      </c>
      <c r="BG104" t="s">
        <v>522</v>
      </c>
      <c r="BH104">
        <v>595</v>
      </c>
      <c r="BI104">
        <v>395</v>
      </c>
      <c r="BJ104">
        <v>175</v>
      </c>
      <c r="BK104">
        <v>25</v>
      </c>
      <c r="BL104" t="s">
        <v>521</v>
      </c>
      <c r="BM104">
        <v>157.51</v>
      </c>
      <c r="BN104">
        <v>95.76</v>
      </c>
      <c r="BO104">
        <v>1102.5658000000001</v>
      </c>
      <c r="BP104" t="s">
        <v>522</v>
      </c>
      <c r="BQ104">
        <v>1200</v>
      </c>
      <c r="BR104">
        <v>1000</v>
      </c>
      <c r="BS104">
        <v>1035</v>
      </c>
      <c r="BT104">
        <v>7</v>
      </c>
      <c r="BU104">
        <v>0</v>
      </c>
      <c r="BV104">
        <v>7</v>
      </c>
      <c r="BW104">
        <v>175</v>
      </c>
      <c r="BX104">
        <v>0</v>
      </c>
      <c r="BY104">
        <v>175</v>
      </c>
      <c r="BZ104">
        <v>46200</v>
      </c>
      <c r="CA104">
        <v>0</v>
      </c>
      <c r="CB104">
        <v>46200</v>
      </c>
      <c r="CC104">
        <v>670.31579999999997</v>
      </c>
      <c r="CD104" t="s">
        <v>885</v>
      </c>
      <c r="CE104" t="s">
        <v>886</v>
      </c>
      <c r="CG104" t="s">
        <v>421</v>
      </c>
      <c r="CN104" t="str">
        <v>M19</v>
      </c>
      <c r="CO104" t="str">
        <v>1330-5YY0182EN</v>
      </c>
      <c r="CP104" t="str">
        <v>CSGU6547742</v>
      </c>
      <c r="CQ104" s="23">
        <v>175.63560000000001</v>
      </c>
      <c r="CR104" s="25">
        <f t="shared" si="6"/>
        <v>2.1469548965109789E-2</v>
      </c>
      <c r="CS104" s="21">
        <f t="shared" si="7"/>
        <v>53.673872412774472</v>
      </c>
    </row>
    <row r="105" spans="2:97" x14ac:dyDescent="0.35">
      <c r="B105" t="s">
        <v>299</v>
      </c>
      <c r="C105" t="s">
        <v>957</v>
      </c>
      <c r="D105" t="s">
        <v>395</v>
      </c>
      <c r="E105" t="s">
        <v>395</v>
      </c>
      <c r="F105" t="s">
        <v>396</v>
      </c>
      <c r="G105" t="s">
        <v>397</v>
      </c>
      <c r="H105" t="s">
        <v>398</v>
      </c>
      <c r="I105" t="s">
        <v>399</v>
      </c>
      <c r="J105" t="s">
        <v>749</v>
      </c>
      <c r="K105" t="s">
        <v>526</v>
      </c>
      <c r="L105" t="s">
        <v>787</v>
      </c>
      <c r="M105" t="s">
        <v>403</v>
      </c>
      <c r="N105">
        <v>1</v>
      </c>
      <c r="O105">
        <v>2</v>
      </c>
      <c r="P105" t="s">
        <v>958</v>
      </c>
      <c r="Q105" t="s">
        <v>430</v>
      </c>
      <c r="R105" t="s">
        <v>959</v>
      </c>
      <c r="S105" t="s">
        <v>960</v>
      </c>
      <c r="T105" t="s">
        <v>408</v>
      </c>
      <c r="U105">
        <v>50950079468</v>
      </c>
      <c r="W105">
        <v>31104</v>
      </c>
      <c r="X105" t="s">
        <v>409</v>
      </c>
      <c r="Y105" t="s">
        <v>410</v>
      </c>
      <c r="Z105" t="s">
        <v>410</v>
      </c>
      <c r="AA105" t="s">
        <v>411</v>
      </c>
      <c r="AB105" t="s">
        <v>554</v>
      </c>
      <c r="AC105" t="s">
        <v>411</v>
      </c>
      <c r="AD105">
        <v>46081</v>
      </c>
      <c r="AE105">
        <v>46111</v>
      </c>
      <c r="AF105">
        <v>46092</v>
      </c>
      <c r="AG105" t="s">
        <v>754</v>
      </c>
      <c r="AH105">
        <v>6126703</v>
      </c>
      <c r="AI105">
        <v>46085</v>
      </c>
      <c r="AJ105">
        <v>46086</v>
      </c>
      <c r="AK105">
        <v>31104</v>
      </c>
      <c r="AL105" t="s">
        <v>396</v>
      </c>
      <c r="AM105" t="s">
        <v>961</v>
      </c>
      <c r="AN105">
        <v>46086</v>
      </c>
      <c r="AO105">
        <v>46086.630439814813</v>
      </c>
      <c r="AP105" t="s">
        <v>51</v>
      </c>
      <c r="AQ105">
        <v>6.0139999999999999E-2</v>
      </c>
      <c r="AR105">
        <v>1870.59</v>
      </c>
      <c r="AS105" t="s">
        <v>51</v>
      </c>
      <c r="AT105">
        <v>1870.59</v>
      </c>
      <c r="AU105" t="s">
        <v>415</v>
      </c>
      <c r="AV105" t="s">
        <v>557</v>
      </c>
      <c r="AW105" t="s">
        <v>558</v>
      </c>
      <c r="AX105">
        <v>46092</v>
      </c>
      <c r="AY105">
        <v>46141</v>
      </c>
      <c r="AZ105" t="s">
        <v>928</v>
      </c>
      <c r="BA105" t="s">
        <v>560</v>
      </c>
      <c r="BB105" t="s">
        <v>929</v>
      </c>
      <c r="BC105">
        <v>576</v>
      </c>
      <c r="BD105" t="s">
        <v>521</v>
      </c>
      <c r="BE105">
        <v>8.5412999999999997</v>
      </c>
      <c r="BF105">
        <v>8.2673000000000005</v>
      </c>
      <c r="BG105" t="s">
        <v>522</v>
      </c>
      <c r="BH105">
        <v>320</v>
      </c>
      <c r="BI105">
        <v>190</v>
      </c>
      <c r="BJ105">
        <v>65</v>
      </c>
      <c r="BK105">
        <v>54</v>
      </c>
      <c r="BL105" t="s">
        <v>521</v>
      </c>
      <c r="BM105">
        <v>488.23171200000002</v>
      </c>
      <c r="BN105">
        <v>446.43571200000002</v>
      </c>
      <c r="BO105">
        <v>488.23171200000002</v>
      </c>
      <c r="BP105" t="s">
        <v>522</v>
      </c>
      <c r="BQ105">
        <v>1200</v>
      </c>
      <c r="BR105">
        <v>1000</v>
      </c>
      <c r="BS105">
        <v>355</v>
      </c>
      <c r="BT105">
        <v>1</v>
      </c>
      <c r="BU105">
        <v>0</v>
      </c>
      <c r="BV105">
        <v>1</v>
      </c>
      <c r="BW105">
        <v>54</v>
      </c>
      <c r="BX105">
        <v>0</v>
      </c>
      <c r="BY105">
        <v>54</v>
      </c>
      <c r="BZ105">
        <v>31104</v>
      </c>
      <c r="CA105">
        <v>0</v>
      </c>
      <c r="CB105">
        <v>31104</v>
      </c>
      <c r="CC105">
        <v>446.43571200000002</v>
      </c>
      <c r="CD105" t="s">
        <v>962</v>
      </c>
      <c r="CE105" t="s">
        <v>963</v>
      </c>
      <c r="CG105" t="s">
        <v>421</v>
      </c>
      <c r="CN105" t="str">
        <v>M19</v>
      </c>
      <c r="CO105" t="str">
        <v>1330-5YY0183EN</v>
      </c>
      <c r="CP105" t="str">
        <v>CSGU6547742</v>
      </c>
      <c r="CQ105" s="23">
        <v>515.39520000000005</v>
      </c>
      <c r="CR105" s="25">
        <f t="shared" si="6"/>
        <v>6.3001478531587857E-2</v>
      </c>
      <c r="CS105" s="21">
        <f t="shared" si="7"/>
        <v>157.50369632896965</v>
      </c>
    </row>
    <row r="106" spans="2:97" x14ac:dyDescent="0.35">
      <c r="B106" t="s">
        <v>299</v>
      </c>
      <c r="C106" t="s">
        <v>964</v>
      </c>
      <c r="D106" t="s">
        <v>965</v>
      </c>
      <c r="E106" t="s">
        <v>395</v>
      </c>
      <c r="F106" t="s">
        <v>396</v>
      </c>
      <c r="G106" t="s">
        <v>397</v>
      </c>
      <c r="H106" t="s">
        <v>398</v>
      </c>
      <c r="I106" t="s">
        <v>399</v>
      </c>
      <c r="J106" t="s">
        <v>749</v>
      </c>
      <c r="K106" t="s">
        <v>526</v>
      </c>
      <c r="L106" t="s">
        <v>787</v>
      </c>
      <c r="M106" t="s">
        <v>403</v>
      </c>
      <c r="N106">
        <v>1</v>
      </c>
      <c r="O106">
        <v>3</v>
      </c>
      <c r="P106" t="s">
        <v>966</v>
      </c>
      <c r="Q106" t="s">
        <v>424</v>
      </c>
      <c r="R106" t="s">
        <v>959</v>
      </c>
      <c r="S106" t="s">
        <v>967</v>
      </c>
      <c r="T106" t="s">
        <v>408</v>
      </c>
      <c r="U106">
        <v>50950079499</v>
      </c>
      <c r="W106">
        <v>114048</v>
      </c>
      <c r="X106" t="s">
        <v>409</v>
      </c>
      <c r="Y106" t="s">
        <v>410</v>
      </c>
      <c r="Z106" t="s">
        <v>410</v>
      </c>
      <c r="AA106" t="s">
        <v>411</v>
      </c>
      <c r="AB106" t="s">
        <v>554</v>
      </c>
      <c r="AC106" t="s">
        <v>411</v>
      </c>
      <c r="AD106">
        <v>46077</v>
      </c>
      <c r="AE106">
        <v>46104</v>
      </c>
      <c r="AF106">
        <v>46092</v>
      </c>
      <c r="AG106" t="s">
        <v>754</v>
      </c>
      <c r="AH106">
        <v>6126704</v>
      </c>
      <c r="AI106">
        <v>46085</v>
      </c>
      <c r="AJ106">
        <v>46086</v>
      </c>
      <c r="AK106">
        <v>114048</v>
      </c>
      <c r="AL106" t="s">
        <v>396</v>
      </c>
      <c r="AM106" t="s">
        <v>968</v>
      </c>
      <c r="AN106">
        <v>46086</v>
      </c>
      <c r="AO106">
        <v>46086.630439814813</v>
      </c>
      <c r="AP106" t="s">
        <v>51</v>
      </c>
      <c r="AQ106">
        <v>5.5079999999999997E-2</v>
      </c>
      <c r="AR106">
        <v>6281.76</v>
      </c>
      <c r="AS106" t="s">
        <v>51</v>
      </c>
      <c r="AT106">
        <v>6281.76</v>
      </c>
      <c r="AU106" t="s">
        <v>415</v>
      </c>
      <c r="AV106" t="s">
        <v>557</v>
      </c>
      <c r="AW106" t="s">
        <v>558</v>
      </c>
      <c r="AX106">
        <v>46092</v>
      </c>
      <c r="AY106">
        <v>46141</v>
      </c>
      <c r="AZ106" t="s">
        <v>928</v>
      </c>
      <c r="BA106" t="s">
        <v>560</v>
      </c>
      <c r="BB106" t="s">
        <v>929</v>
      </c>
      <c r="BC106">
        <v>594</v>
      </c>
      <c r="BD106" t="s">
        <v>521</v>
      </c>
      <c r="BE106">
        <v>8.2226999999999997</v>
      </c>
      <c r="BF106">
        <v>7.9726999999999997</v>
      </c>
      <c r="BG106" t="s">
        <v>522</v>
      </c>
      <c r="BH106">
        <v>286</v>
      </c>
      <c r="BI106">
        <v>190</v>
      </c>
      <c r="BJ106">
        <v>72</v>
      </c>
      <c r="BK106">
        <v>48</v>
      </c>
      <c r="BL106" t="s">
        <v>521</v>
      </c>
      <c r="BM106">
        <v>419.68959999999998</v>
      </c>
      <c r="BN106">
        <v>382.68959999999998</v>
      </c>
      <c r="BO106">
        <v>1678.752256</v>
      </c>
      <c r="BP106" t="s">
        <v>522</v>
      </c>
      <c r="BQ106">
        <v>1200</v>
      </c>
      <c r="BR106">
        <v>800</v>
      </c>
      <c r="BS106">
        <v>378</v>
      </c>
      <c r="BT106">
        <v>4</v>
      </c>
      <c r="BU106">
        <v>0</v>
      </c>
      <c r="BV106">
        <v>4</v>
      </c>
      <c r="BW106">
        <v>192</v>
      </c>
      <c r="BX106">
        <v>0</v>
      </c>
      <c r="BY106">
        <v>192</v>
      </c>
      <c r="BZ106">
        <v>114048</v>
      </c>
      <c r="CA106">
        <v>0</v>
      </c>
      <c r="CB106">
        <v>114048</v>
      </c>
      <c r="CC106">
        <v>1530.752256</v>
      </c>
      <c r="CD106" t="s">
        <v>969</v>
      </c>
      <c r="CE106" t="s">
        <v>970</v>
      </c>
      <c r="CG106" t="s">
        <v>421</v>
      </c>
      <c r="CN106" t="str">
        <v>M45</v>
      </c>
      <c r="CO106" t="str">
        <v>1459-12B0011EN</v>
      </c>
      <c r="CP106" t="str">
        <v>CSGU6547742</v>
      </c>
      <c r="CQ106" s="23">
        <v>811.07136000000003</v>
      </c>
      <c r="CR106" s="25">
        <f t="shared" si="6"/>
        <v>9.9144685233051769E-2</v>
      </c>
      <c r="CS106" s="21">
        <f t="shared" si="7"/>
        <v>247.86171308262942</v>
      </c>
    </row>
    <row r="107" spans="2:97" x14ac:dyDescent="0.35">
      <c r="B107" t="s">
        <v>299</v>
      </c>
      <c r="C107" t="s">
        <v>971</v>
      </c>
      <c r="D107" t="s">
        <v>395</v>
      </c>
      <c r="E107" t="s">
        <v>395</v>
      </c>
      <c r="F107" t="s">
        <v>396</v>
      </c>
      <c r="G107" t="s">
        <v>397</v>
      </c>
      <c r="H107" t="s">
        <v>398</v>
      </c>
      <c r="I107" t="s">
        <v>399</v>
      </c>
      <c r="J107" t="s">
        <v>749</v>
      </c>
      <c r="K107" t="s">
        <v>526</v>
      </c>
      <c r="L107" t="s">
        <v>787</v>
      </c>
      <c r="M107" t="s">
        <v>403</v>
      </c>
      <c r="N107">
        <v>1</v>
      </c>
      <c r="O107">
        <v>1</v>
      </c>
      <c r="P107" t="s">
        <v>972</v>
      </c>
      <c r="Q107" t="s">
        <v>405</v>
      </c>
      <c r="R107" t="s">
        <v>959</v>
      </c>
      <c r="S107" t="s">
        <v>973</v>
      </c>
      <c r="T107" t="s">
        <v>408</v>
      </c>
      <c r="U107">
        <v>50950079443</v>
      </c>
      <c r="W107">
        <v>38400</v>
      </c>
      <c r="X107" t="s">
        <v>409</v>
      </c>
      <c r="Y107" t="s">
        <v>410</v>
      </c>
      <c r="Z107" t="s">
        <v>410</v>
      </c>
      <c r="AA107" t="s">
        <v>411</v>
      </c>
      <c r="AB107" t="s">
        <v>554</v>
      </c>
      <c r="AC107" t="s">
        <v>411</v>
      </c>
      <c r="AD107">
        <v>46081</v>
      </c>
      <c r="AE107">
        <v>46125</v>
      </c>
      <c r="AF107">
        <v>46092</v>
      </c>
      <c r="AG107" t="s">
        <v>754</v>
      </c>
      <c r="AH107">
        <v>6126705</v>
      </c>
      <c r="AI107">
        <v>46085</v>
      </c>
      <c r="AJ107">
        <v>46086</v>
      </c>
      <c r="AK107">
        <v>38400</v>
      </c>
      <c r="AL107" t="s">
        <v>396</v>
      </c>
      <c r="AM107" t="s">
        <v>974</v>
      </c>
      <c r="AN107">
        <v>46086</v>
      </c>
      <c r="AO107">
        <v>46086.630439814813</v>
      </c>
      <c r="AP107" t="s">
        <v>51</v>
      </c>
      <c r="AQ107">
        <v>8.3400000000000002E-2</v>
      </c>
      <c r="AR107">
        <v>3202.56</v>
      </c>
      <c r="AS107" t="s">
        <v>51</v>
      </c>
      <c r="AT107">
        <v>3202.56</v>
      </c>
      <c r="AU107" t="s">
        <v>415</v>
      </c>
      <c r="AV107" t="s">
        <v>557</v>
      </c>
      <c r="AW107" t="s">
        <v>558</v>
      </c>
      <c r="AX107">
        <v>46092</v>
      </c>
      <c r="AY107">
        <v>46141</v>
      </c>
      <c r="AZ107" t="s">
        <v>928</v>
      </c>
      <c r="BA107" t="s">
        <v>560</v>
      </c>
      <c r="BB107" t="s">
        <v>929</v>
      </c>
      <c r="BC107">
        <v>240</v>
      </c>
      <c r="BD107" t="s">
        <v>521</v>
      </c>
      <c r="BE107">
        <v>8.8945000000000007</v>
      </c>
      <c r="BF107">
        <v>8.6395</v>
      </c>
      <c r="BG107" t="s">
        <v>522</v>
      </c>
      <c r="BH107">
        <v>270</v>
      </c>
      <c r="BI107">
        <v>158</v>
      </c>
      <c r="BJ107">
        <v>95</v>
      </c>
      <c r="BK107">
        <v>80</v>
      </c>
      <c r="BL107" t="s">
        <v>521</v>
      </c>
      <c r="BM107">
        <v>736.56</v>
      </c>
      <c r="BN107">
        <v>691.16</v>
      </c>
      <c r="BO107">
        <v>1473.1232</v>
      </c>
      <c r="BP107" t="s">
        <v>522</v>
      </c>
      <c r="BQ107">
        <v>1200</v>
      </c>
      <c r="BR107">
        <v>800</v>
      </c>
      <c r="BS107">
        <v>540</v>
      </c>
      <c r="BT107">
        <v>2</v>
      </c>
      <c r="BU107">
        <v>0</v>
      </c>
      <c r="BV107">
        <v>2</v>
      </c>
      <c r="BW107">
        <v>160</v>
      </c>
      <c r="BX107">
        <v>0</v>
      </c>
      <c r="BY107">
        <v>160</v>
      </c>
      <c r="BZ107">
        <v>38400</v>
      </c>
      <c r="CA107">
        <v>0</v>
      </c>
      <c r="CB107">
        <v>38400</v>
      </c>
      <c r="CC107">
        <v>1382.3232</v>
      </c>
      <c r="CD107" t="s">
        <v>975</v>
      </c>
      <c r="CE107" t="s">
        <v>976</v>
      </c>
      <c r="CG107" t="s">
        <v>421</v>
      </c>
      <c r="CN107" t="str">
        <v>M19</v>
      </c>
      <c r="CO107" t="str">
        <v>1301-5YY0390EN0093</v>
      </c>
      <c r="CP107" t="str">
        <v>CSGU6547742</v>
      </c>
      <c r="CQ107" s="23">
        <v>762.5376</v>
      </c>
      <c r="CR107" s="25">
        <f t="shared" si="6"/>
        <v>9.3211958970375597E-2</v>
      </c>
      <c r="CS107" s="21">
        <f t="shared" si="7"/>
        <v>233.029897425939</v>
      </c>
    </row>
    <row r="108" spans="2:97" x14ac:dyDescent="0.35">
      <c r="B108" t="s">
        <v>296</v>
      </c>
      <c r="C108" t="s">
        <v>977</v>
      </c>
      <c r="D108" t="s">
        <v>395</v>
      </c>
      <c r="E108" t="s">
        <v>395</v>
      </c>
      <c r="F108" t="s">
        <v>396</v>
      </c>
      <c r="G108" t="s">
        <v>397</v>
      </c>
      <c r="H108" t="s">
        <v>398</v>
      </c>
      <c r="I108" t="s">
        <v>399</v>
      </c>
      <c r="J108" t="s">
        <v>749</v>
      </c>
      <c r="K108" t="s">
        <v>515</v>
      </c>
      <c r="L108" t="s">
        <v>787</v>
      </c>
      <c r="M108" t="s">
        <v>403</v>
      </c>
      <c r="N108">
        <v>1</v>
      </c>
      <c r="O108">
        <v>1</v>
      </c>
      <c r="P108" t="s">
        <v>978</v>
      </c>
      <c r="Q108" t="s">
        <v>430</v>
      </c>
      <c r="R108" t="s">
        <v>691</v>
      </c>
      <c r="S108" t="s">
        <v>979</v>
      </c>
      <c r="T108" t="s">
        <v>408</v>
      </c>
      <c r="U108">
        <v>50950080014</v>
      </c>
      <c r="W108">
        <v>48000</v>
      </c>
      <c r="X108" t="s">
        <v>409</v>
      </c>
      <c r="Y108" t="s">
        <v>410</v>
      </c>
      <c r="Z108" t="s">
        <v>410</v>
      </c>
      <c r="AA108" t="s">
        <v>411</v>
      </c>
      <c r="AB108" t="s">
        <v>554</v>
      </c>
      <c r="AC108" t="s">
        <v>411</v>
      </c>
      <c r="AD108">
        <v>46083</v>
      </c>
      <c r="AE108">
        <v>46146</v>
      </c>
      <c r="AF108">
        <v>46092</v>
      </c>
      <c r="AG108" t="s">
        <v>754</v>
      </c>
      <c r="AH108">
        <v>6126706</v>
      </c>
      <c r="AI108">
        <v>46085</v>
      </c>
      <c r="AJ108">
        <v>46086</v>
      </c>
      <c r="AK108">
        <v>48000</v>
      </c>
      <c r="AL108" t="s">
        <v>396</v>
      </c>
      <c r="AM108" t="s">
        <v>980</v>
      </c>
      <c r="AN108">
        <v>46086</v>
      </c>
      <c r="AO108">
        <v>46086.630439814813</v>
      </c>
      <c r="AP108" t="s">
        <v>51</v>
      </c>
      <c r="AQ108">
        <v>2.4469999999999999E-2</v>
      </c>
      <c r="AR108">
        <v>1174.56</v>
      </c>
      <c r="AS108" t="s">
        <v>51</v>
      </c>
      <c r="AT108">
        <v>1174.56</v>
      </c>
      <c r="AU108" t="s">
        <v>415</v>
      </c>
      <c r="AV108" t="s">
        <v>557</v>
      </c>
      <c r="AW108" t="s">
        <v>558</v>
      </c>
      <c r="AX108">
        <v>46092</v>
      </c>
      <c r="AY108">
        <v>46141</v>
      </c>
      <c r="AZ108" t="s">
        <v>928</v>
      </c>
      <c r="BA108" t="s">
        <v>560</v>
      </c>
      <c r="BB108" t="s">
        <v>929</v>
      </c>
      <c r="BC108">
        <v>16000</v>
      </c>
      <c r="BD108" t="s">
        <v>521</v>
      </c>
      <c r="BE108">
        <v>8.9338499999999996</v>
      </c>
      <c r="BF108">
        <v>8</v>
      </c>
      <c r="BG108" t="s">
        <v>522</v>
      </c>
      <c r="BH108">
        <v>398</v>
      </c>
      <c r="BI108">
        <v>298</v>
      </c>
      <c r="BJ108">
        <v>155</v>
      </c>
      <c r="BK108">
        <v>6</v>
      </c>
      <c r="BL108" t="s">
        <v>521</v>
      </c>
      <c r="BM108">
        <v>34.801549999999999</v>
      </c>
      <c r="BN108">
        <v>24</v>
      </c>
      <c r="BO108">
        <v>34.801549999999999</v>
      </c>
      <c r="BP108" t="s">
        <v>522</v>
      </c>
      <c r="BQ108">
        <v>800</v>
      </c>
      <c r="BR108">
        <v>300</v>
      </c>
      <c r="BS108">
        <v>608</v>
      </c>
      <c r="BT108">
        <v>0</v>
      </c>
      <c r="BU108">
        <v>1</v>
      </c>
      <c r="BV108">
        <v>1</v>
      </c>
      <c r="BW108">
        <v>3</v>
      </c>
      <c r="BX108">
        <v>0</v>
      </c>
      <c r="BY108">
        <v>3</v>
      </c>
      <c r="BZ108">
        <v>0</v>
      </c>
      <c r="CA108">
        <v>48000</v>
      </c>
      <c r="CB108">
        <v>48000</v>
      </c>
      <c r="CC108">
        <v>24</v>
      </c>
      <c r="CD108" t="s">
        <v>523</v>
      </c>
      <c r="CE108" t="s">
        <v>981</v>
      </c>
      <c r="CG108" t="s">
        <v>421</v>
      </c>
      <c r="CN108" t="str">
        <v>M19</v>
      </c>
      <c r="CO108" t="str">
        <v>1330-5YY0112EN</v>
      </c>
      <c r="CP108" t="str">
        <v>CSGU6547742</v>
      </c>
      <c r="CQ108" s="23">
        <v>296.21136000000001</v>
      </c>
      <c r="CR108" s="25">
        <f t="shared" si="6"/>
        <v>3.6208629102196611E-2</v>
      </c>
      <c r="CS108" s="21">
        <f t="shared" si="7"/>
        <v>90.521572755491533</v>
      </c>
    </row>
    <row r="109" spans="2:97" x14ac:dyDescent="0.35">
      <c r="B109" t="s">
        <v>296</v>
      </c>
      <c r="C109" t="s">
        <v>982</v>
      </c>
      <c r="D109" t="s">
        <v>395</v>
      </c>
      <c r="E109" t="s">
        <v>395</v>
      </c>
      <c r="F109" t="s">
        <v>396</v>
      </c>
      <c r="G109" t="s">
        <v>397</v>
      </c>
      <c r="H109" t="s">
        <v>398</v>
      </c>
      <c r="I109" t="s">
        <v>399</v>
      </c>
      <c r="J109" t="s">
        <v>749</v>
      </c>
      <c r="K109" t="s">
        <v>515</v>
      </c>
      <c r="L109" t="s">
        <v>787</v>
      </c>
      <c r="M109" t="s">
        <v>403</v>
      </c>
      <c r="N109">
        <v>1</v>
      </c>
      <c r="O109">
        <v>1</v>
      </c>
      <c r="P109" t="s">
        <v>983</v>
      </c>
      <c r="Q109" t="s">
        <v>430</v>
      </c>
      <c r="R109" t="s">
        <v>691</v>
      </c>
      <c r="S109" t="s">
        <v>984</v>
      </c>
      <c r="T109" t="s">
        <v>408</v>
      </c>
      <c r="U109">
        <v>50950080016</v>
      </c>
      <c r="W109">
        <v>48000</v>
      </c>
      <c r="X109" t="s">
        <v>409</v>
      </c>
      <c r="Y109" t="s">
        <v>410</v>
      </c>
      <c r="Z109" t="s">
        <v>410</v>
      </c>
      <c r="AA109" t="s">
        <v>411</v>
      </c>
      <c r="AB109" t="s">
        <v>554</v>
      </c>
      <c r="AC109" t="s">
        <v>411</v>
      </c>
      <c r="AD109">
        <v>46081</v>
      </c>
      <c r="AE109">
        <v>46139</v>
      </c>
      <c r="AF109">
        <v>46092</v>
      </c>
      <c r="AG109" t="s">
        <v>754</v>
      </c>
      <c r="AH109">
        <v>6126707</v>
      </c>
      <c r="AI109">
        <v>46085</v>
      </c>
      <c r="AJ109">
        <v>46086</v>
      </c>
      <c r="AK109">
        <v>48000</v>
      </c>
      <c r="AL109" t="s">
        <v>396</v>
      </c>
      <c r="AM109" t="s">
        <v>985</v>
      </c>
      <c r="AN109">
        <v>46086</v>
      </c>
      <c r="AO109">
        <v>46086.630439814813</v>
      </c>
      <c r="AP109" t="s">
        <v>51</v>
      </c>
      <c r="AQ109">
        <v>3.1309999999999998E-2</v>
      </c>
      <c r="AR109">
        <v>1502.88</v>
      </c>
      <c r="AS109" t="s">
        <v>51</v>
      </c>
      <c r="AT109">
        <v>1502.88</v>
      </c>
      <c r="AU109" t="s">
        <v>415</v>
      </c>
      <c r="AV109" t="s">
        <v>557</v>
      </c>
      <c r="AW109" t="s">
        <v>558</v>
      </c>
      <c r="AX109">
        <v>46092</v>
      </c>
      <c r="AY109">
        <v>46141</v>
      </c>
      <c r="AZ109" t="s">
        <v>928</v>
      </c>
      <c r="BA109" t="s">
        <v>560</v>
      </c>
      <c r="BB109" t="s">
        <v>929</v>
      </c>
      <c r="BC109">
        <v>8000</v>
      </c>
      <c r="BD109" t="s">
        <v>521</v>
      </c>
      <c r="BE109">
        <v>10.213850000000001</v>
      </c>
      <c r="BF109">
        <v>9.2799999999999994</v>
      </c>
      <c r="BG109" t="s">
        <v>522</v>
      </c>
      <c r="BH109">
        <v>398</v>
      </c>
      <c r="BI109">
        <v>298</v>
      </c>
      <c r="BJ109">
        <v>155</v>
      </c>
      <c r="BK109">
        <v>6</v>
      </c>
      <c r="BL109" t="s">
        <v>521</v>
      </c>
      <c r="BM109">
        <v>69.283100000000005</v>
      </c>
      <c r="BN109">
        <v>55.68</v>
      </c>
      <c r="BO109">
        <v>69.283100000000005</v>
      </c>
      <c r="BP109" t="s">
        <v>522</v>
      </c>
      <c r="BQ109">
        <v>800</v>
      </c>
      <c r="BR109">
        <v>300</v>
      </c>
      <c r="BS109">
        <v>608</v>
      </c>
      <c r="BT109">
        <v>1</v>
      </c>
      <c r="BU109">
        <v>0</v>
      </c>
      <c r="BV109">
        <v>1</v>
      </c>
      <c r="BW109">
        <v>6</v>
      </c>
      <c r="BX109">
        <v>0</v>
      </c>
      <c r="BY109">
        <v>6</v>
      </c>
      <c r="BZ109">
        <v>48000</v>
      </c>
      <c r="CA109">
        <v>0</v>
      </c>
      <c r="CB109">
        <v>48000</v>
      </c>
      <c r="CC109">
        <v>55.68</v>
      </c>
      <c r="CD109" t="s">
        <v>523</v>
      </c>
      <c r="CE109" t="s">
        <v>981</v>
      </c>
      <c r="CG109" t="s">
        <v>421</v>
      </c>
      <c r="CN109" t="str">
        <v>M19</v>
      </c>
      <c r="CO109" t="str">
        <v>1330-5YY0167EN</v>
      </c>
      <c r="CP109" t="str">
        <v>CSGU6547742</v>
      </c>
      <c r="CQ109" s="23">
        <v>700.91039999999998</v>
      </c>
      <c r="CR109" s="25">
        <f t="shared" si="6"/>
        <v>8.5678701544303584E-2</v>
      </c>
      <c r="CS109" s="21">
        <f t="shared" si="7"/>
        <v>214.19675386075897</v>
      </c>
    </row>
    <row r="110" spans="2:97" x14ac:dyDescent="0.35">
      <c r="B110" t="s">
        <v>296</v>
      </c>
      <c r="C110" t="s">
        <v>986</v>
      </c>
      <c r="D110" t="s">
        <v>395</v>
      </c>
      <c r="E110" t="s">
        <v>395</v>
      </c>
      <c r="F110" t="s">
        <v>396</v>
      </c>
      <c r="G110" t="s">
        <v>397</v>
      </c>
      <c r="H110" t="s">
        <v>398</v>
      </c>
      <c r="I110" t="s">
        <v>399</v>
      </c>
      <c r="J110" t="s">
        <v>749</v>
      </c>
      <c r="K110" t="s">
        <v>515</v>
      </c>
      <c r="L110" t="s">
        <v>787</v>
      </c>
      <c r="M110" t="s">
        <v>403</v>
      </c>
      <c r="N110">
        <v>1</v>
      </c>
      <c r="O110">
        <v>1</v>
      </c>
      <c r="P110" t="s">
        <v>987</v>
      </c>
      <c r="Q110" t="s">
        <v>405</v>
      </c>
      <c r="R110" t="s">
        <v>691</v>
      </c>
      <c r="S110" t="s">
        <v>988</v>
      </c>
      <c r="T110" t="s">
        <v>408</v>
      </c>
      <c r="U110">
        <v>50950080017</v>
      </c>
      <c r="W110">
        <v>48000</v>
      </c>
      <c r="X110" t="s">
        <v>409</v>
      </c>
      <c r="Y110" t="s">
        <v>410</v>
      </c>
      <c r="Z110" t="s">
        <v>410</v>
      </c>
      <c r="AA110" t="s">
        <v>411</v>
      </c>
      <c r="AB110" t="s">
        <v>554</v>
      </c>
      <c r="AC110" t="s">
        <v>411</v>
      </c>
      <c r="AD110">
        <v>46083</v>
      </c>
      <c r="AE110">
        <v>46146</v>
      </c>
      <c r="AF110">
        <v>46092</v>
      </c>
      <c r="AG110" t="s">
        <v>754</v>
      </c>
      <c r="AH110">
        <v>6126708</v>
      </c>
      <c r="AI110">
        <v>46085</v>
      </c>
      <c r="AJ110">
        <v>46086</v>
      </c>
      <c r="AK110">
        <v>48000</v>
      </c>
      <c r="AL110" t="s">
        <v>396</v>
      </c>
      <c r="AM110" t="s">
        <v>989</v>
      </c>
      <c r="AN110">
        <v>46086</v>
      </c>
      <c r="AO110">
        <v>46086.630439814813</v>
      </c>
      <c r="AP110" t="s">
        <v>51</v>
      </c>
      <c r="AQ110">
        <v>1.1990000000000001E-2</v>
      </c>
      <c r="AR110">
        <v>575.52</v>
      </c>
      <c r="AS110" t="s">
        <v>51</v>
      </c>
      <c r="AT110">
        <v>575.52</v>
      </c>
      <c r="AU110" t="s">
        <v>415</v>
      </c>
      <c r="AV110" t="s">
        <v>557</v>
      </c>
      <c r="AW110" t="s">
        <v>558</v>
      </c>
      <c r="AX110">
        <v>46092</v>
      </c>
      <c r="AY110">
        <v>46141</v>
      </c>
      <c r="AZ110" t="s">
        <v>928</v>
      </c>
      <c r="BA110" t="s">
        <v>560</v>
      </c>
      <c r="BB110" t="s">
        <v>929</v>
      </c>
      <c r="BC110">
        <v>24000</v>
      </c>
      <c r="BD110" t="s">
        <v>521</v>
      </c>
      <c r="BE110">
        <v>11.613849999999999</v>
      </c>
      <c r="BF110">
        <v>10.68</v>
      </c>
      <c r="BG110" t="s">
        <v>522</v>
      </c>
      <c r="BH110">
        <v>398</v>
      </c>
      <c r="BI110">
        <v>298</v>
      </c>
      <c r="BJ110">
        <v>155</v>
      </c>
      <c r="BK110">
        <v>6</v>
      </c>
      <c r="BL110" t="s">
        <v>521</v>
      </c>
      <c r="BM110">
        <v>31.227699999999999</v>
      </c>
      <c r="BN110">
        <v>21.36</v>
      </c>
      <c r="BO110">
        <v>31.227699999999999</v>
      </c>
      <c r="BP110" t="s">
        <v>522</v>
      </c>
      <c r="BQ110">
        <v>800</v>
      </c>
      <c r="BR110">
        <v>300</v>
      </c>
      <c r="BS110">
        <v>608</v>
      </c>
      <c r="BT110">
        <v>0</v>
      </c>
      <c r="BU110">
        <v>1</v>
      </c>
      <c r="BV110">
        <v>1</v>
      </c>
      <c r="BW110">
        <v>2</v>
      </c>
      <c r="BX110">
        <v>0</v>
      </c>
      <c r="BY110">
        <v>2</v>
      </c>
      <c r="BZ110">
        <v>0</v>
      </c>
      <c r="CA110">
        <v>48000</v>
      </c>
      <c r="CB110">
        <v>48000</v>
      </c>
      <c r="CC110">
        <v>21.36</v>
      </c>
      <c r="CD110" t="s">
        <v>523</v>
      </c>
      <c r="CE110" t="s">
        <v>981</v>
      </c>
      <c r="CG110" t="s">
        <v>421</v>
      </c>
      <c r="CN110" t="str">
        <v>M19</v>
      </c>
      <c r="CO110" t="str">
        <v>1152-5YY0221EN</v>
      </c>
      <c r="CP110" t="str">
        <v>CSGU6547742</v>
      </c>
      <c r="CQ110" s="23">
        <v>739.49279999999999</v>
      </c>
      <c r="CR110" s="25">
        <f t="shared" si="6"/>
        <v>9.0394981876943739E-2</v>
      </c>
      <c r="CS110" s="21">
        <f t="shared" si="7"/>
        <v>225.98745469235934</v>
      </c>
    </row>
    <row r="111" spans="2:97" x14ac:dyDescent="0.35">
      <c r="B111" t="s">
        <v>299</v>
      </c>
      <c r="C111" t="s">
        <v>889</v>
      </c>
      <c r="D111" t="s">
        <v>395</v>
      </c>
      <c r="E111" t="s">
        <v>395</v>
      </c>
      <c r="F111" t="s">
        <v>396</v>
      </c>
      <c r="G111" t="s">
        <v>397</v>
      </c>
      <c r="H111" t="s">
        <v>398</v>
      </c>
      <c r="I111" t="s">
        <v>399</v>
      </c>
      <c r="J111" t="s">
        <v>749</v>
      </c>
      <c r="K111" t="s">
        <v>809</v>
      </c>
      <c r="L111" t="s">
        <v>787</v>
      </c>
      <c r="M111" t="s">
        <v>403</v>
      </c>
      <c r="N111">
        <v>1</v>
      </c>
      <c r="O111">
        <v>2</v>
      </c>
      <c r="P111" t="s">
        <v>810</v>
      </c>
      <c r="Q111" t="s">
        <v>405</v>
      </c>
      <c r="R111" t="s">
        <v>811</v>
      </c>
      <c r="S111" t="s">
        <v>812</v>
      </c>
      <c r="T111" t="s">
        <v>408</v>
      </c>
      <c r="U111">
        <v>50950080325</v>
      </c>
      <c r="W111">
        <v>7680</v>
      </c>
      <c r="X111" t="s">
        <v>409</v>
      </c>
      <c r="Y111" t="s">
        <v>410</v>
      </c>
      <c r="Z111" t="s">
        <v>410</v>
      </c>
      <c r="AA111" t="s">
        <v>411</v>
      </c>
      <c r="AB111" t="s">
        <v>554</v>
      </c>
      <c r="AC111" t="s">
        <v>411</v>
      </c>
      <c r="AD111">
        <v>46081</v>
      </c>
      <c r="AE111">
        <v>46118</v>
      </c>
      <c r="AF111">
        <v>46092</v>
      </c>
      <c r="AG111" t="s">
        <v>754</v>
      </c>
      <c r="AH111">
        <v>6126709</v>
      </c>
      <c r="AI111">
        <v>46085</v>
      </c>
      <c r="AJ111">
        <v>46086</v>
      </c>
      <c r="AK111">
        <v>7680</v>
      </c>
      <c r="AL111" t="s">
        <v>396</v>
      </c>
      <c r="AM111" t="s">
        <v>990</v>
      </c>
      <c r="AN111">
        <v>46086</v>
      </c>
      <c r="AO111">
        <v>46086.630439814813</v>
      </c>
      <c r="AP111" t="s">
        <v>51</v>
      </c>
      <c r="AQ111">
        <v>1.96204</v>
      </c>
      <c r="AR111">
        <v>15068.48</v>
      </c>
      <c r="AS111" t="s">
        <v>51</v>
      </c>
      <c r="AT111">
        <v>15068.48</v>
      </c>
      <c r="AU111" t="s">
        <v>415</v>
      </c>
      <c r="AV111" t="s">
        <v>557</v>
      </c>
      <c r="AW111" t="s">
        <v>558</v>
      </c>
      <c r="AX111">
        <v>46092</v>
      </c>
      <c r="AY111">
        <v>46141</v>
      </c>
      <c r="AZ111" t="s">
        <v>928</v>
      </c>
      <c r="BA111" t="s">
        <v>560</v>
      </c>
      <c r="BB111" t="s">
        <v>929</v>
      </c>
      <c r="BC111">
        <v>16</v>
      </c>
      <c r="BD111" t="s">
        <v>521</v>
      </c>
      <c r="BE111">
        <v>4.9545000000000003</v>
      </c>
      <c r="BF111">
        <v>3.7555000000000001</v>
      </c>
      <c r="BG111" t="s">
        <v>522</v>
      </c>
      <c r="BH111">
        <v>495</v>
      </c>
      <c r="BI111">
        <v>395</v>
      </c>
      <c r="BJ111">
        <v>190</v>
      </c>
      <c r="BK111">
        <v>30</v>
      </c>
      <c r="BL111" t="s">
        <v>521</v>
      </c>
      <c r="BM111">
        <v>175.63499999999999</v>
      </c>
      <c r="BN111">
        <v>112.66500000000001</v>
      </c>
      <c r="BO111">
        <v>2810.1696000000002</v>
      </c>
      <c r="BP111" t="s">
        <v>522</v>
      </c>
      <c r="BQ111">
        <v>1200</v>
      </c>
      <c r="BR111">
        <v>1000</v>
      </c>
      <c r="BS111">
        <v>1120</v>
      </c>
      <c r="BT111">
        <v>16</v>
      </c>
      <c r="BU111">
        <v>0</v>
      </c>
      <c r="BV111">
        <v>16</v>
      </c>
      <c r="BW111">
        <v>480</v>
      </c>
      <c r="BX111">
        <v>0</v>
      </c>
      <c r="BY111">
        <v>480</v>
      </c>
      <c r="BZ111">
        <v>7680</v>
      </c>
      <c r="CA111">
        <v>0</v>
      </c>
      <c r="CB111">
        <v>7680</v>
      </c>
      <c r="CC111">
        <v>1802.6496</v>
      </c>
      <c r="CD111" t="s">
        <v>806</v>
      </c>
      <c r="CE111" t="s">
        <v>816</v>
      </c>
      <c r="CG111" t="s">
        <v>421</v>
      </c>
      <c r="CN111" t="str">
        <v>M19</v>
      </c>
      <c r="CO111" t="str">
        <v>1330-5YY0251EN</v>
      </c>
      <c r="CP111" t="str">
        <v>CSGU6547742</v>
      </c>
      <c r="CQ111" s="23">
        <v>653.01048000000003</v>
      </c>
      <c r="CR111" s="25">
        <f t="shared" si="6"/>
        <v>7.9823455353526543E-2</v>
      </c>
      <c r="CS111" s="21">
        <f t="shared" si="7"/>
        <v>199.55863838381634</v>
      </c>
    </row>
    <row r="112" spans="2:97" x14ac:dyDescent="0.35">
      <c r="B112" t="s">
        <v>299</v>
      </c>
      <c r="C112" t="s">
        <v>991</v>
      </c>
      <c r="D112" t="s">
        <v>395</v>
      </c>
      <c r="E112" t="s">
        <v>395</v>
      </c>
      <c r="F112" t="s">
        <v>396</v>
      </c>
      <c r="G112" t="s">
        <v>397</v>
      </c>
      <c r="H112" t="s">
        <v>398</v>
      </c>
      <c r="I112" t="s">
        <v>399</v>
      </c>
      <c r="J112" t="s">
        <v>749</v>
      </c>
      <c r="K112" t="s">
        <v>526</v>
      </c>
      <c r="L112" t="s">
        <v>787</v>
      </c>
      <c r="M112" t="s">
        <v>403</v>
      </c>
      <c r="N112">
        <v>1</v>
      </c>
      <c r="O112">
        <v>1</v>
      </c>
      <c r="P112" t="s">
        <v>992</v>
      </c>
      <c r="Q112" t="s">
        <v>405</v>
      </c>
      <c r="R112" t="s">
        <v>959</v>
      </c>
      <c r="S112" t="s">
        <v>993</v>
      </c>
      <c r="T112" t="s">
        <v>408</v>
      </c>
      <c r="U112">
        <v>50950080240</v>
      </c>
      <c r="W112">
        <v>48000</v>
      </c>
      <c r="X112" t="s">
        <v>409</v>
      </c>
      <c r="Y112" t="s">
        <v>410</v>
      </c>
      <c r="Z112" t="s">
        <v>410</v>
      </c>
      <c r="AA112" t="s">
        <v>411</v>
      </c>
      <c r="AB112" t="s">
        <v>554</v>
      </c>
      <c r="AC112" t="s">
        <v>411</v>
      </c>
      <c r="AD112">
        <v>46081</v>
      </c>
      <c r="AE112">
        <v>46139</v>
      </c>
      <c r="AF112">
        <v>46092</v>
      </c>
      <c r="AG112" t="s">
        <v>754</v>
      </c>
      <c r="AH112">
        <v>6126710</v>
      </c>
      <c r="AI112">
        <v>46085</v>
      </c>
      <c r="AJ112">
        <v>46086</v>
      </c>
      <c r="AK112">
        <v>48000</v>
      </c>
      <c r="AL112" t="s">
        <v>396</v>
      </c>
      <c r="AM112" t="s">
        <v>994</v>
      </c>
      <c r="AN112">
        <v>46086</v>
      </c>
      <c r="AO112">
        <v>46086.630439814813</v>
      </c>
      <c r="AP112" t="s">
        <v>51</v>
      </c>
      <c r="AQ112">
        <v>0.10398</v>
      </c>
      <c r="AR112">
        <v>4991.04</v>
      </c>
      <c r="AS112" t="s">
        <v>51</v>
      </c>
      <c r="AT112">
        <v>4991.04</v>
      </c>
      <c r="AU112" t="s">
        <v>415</v>
      </c>
      <c r="AV112" t="s">
        <v>557</v>
      </c>
      <c r="AW112" t="s">
        <v>558</v>
      </c>
      <c r="AX112">
        <v>46092</v>
      </c>
      <c r="AY112">
        <v>46141</v>
      </c>
      <c r="AZ112" t="s">
        <v>928</v>
      </c>
      <c r="BA112" t="s">
        <v>560</v>
      </c>
      <c r="BB112" t="s">
        <v>929</v>
      </c>
      <c r="BC112">
        <v>250</v>
      </c>
      <c r="BD112" t="s">
        <v>521</v>
      </c>
      <c r="BE112">
        <v>9.0675000000000008</v>
      </c>
      <c r="BF112">
        <v>8.8175000000000008</v>
      </c>
      <c r="BG112" t="s">
        <v>522</v>
      </c>
      <c r="BH112">
        <v>286</v>
      </c>
      <c r="BI112">
        <v>190</v>
      </c>
      <c r="BJ112">
        <v>72</v>
      </c>
      <c r="BK112">
        <v>48</v>
      </c>
      <c r="BL112" t="s">
        <v>521</v>
      </c>
      <c r="BM112">
        <v>460.24</v>
      </c>
      <c r="BN112">
        <v>423.24</v>
      </c>
      <c r="BO112">
        <v>1840.96</v>
      </c>
      <c r="BP112" t="s">
        <v>522</v>
      </c>
      <c r="BQ112">
        <v>1200</v>
      </c>
      <c r="BR112">
        <v>800</v>
      </c>
      <c r="BS112">
        <v>378</v>
      </c>
      <c r="BT112">
        <v>4</v>
      </c>
      <c r="BU112">
        <v>0</v>
      </c>
      <c r="BV112">
        <v>4</v>
      </c>
      <c r="BW112">
        <v>192</v>
      </c>
      <c r="BX112">
        <v>0</v>
      </c>
      <c r="BY112">
        <v>192</v>
      </c>
      <c r="BZ112">
        <v>48000</v>
      </c>
      <c r="CA112">
        <v>0</v>
      </c>
      <c r="CB112">
        <v>48000</v>
      </c>
      <c r="CC112">
        <v>1692.96</v>
      </c>
      <c r="CD112" t="s">
        <v>969</v>
      </c>
      <c r="CE112" t="s">
        <v>970</v>
      </c>
      <c r="CG112" t="s">
        <v>421</v>
      </c>
      <c r="CN112" t="str">
        <v>M01</v>
      </c>
      <c r="CO112" t="str">
        <v>1458-1030121EN</v>
      </c>
      <c r="CP112" t="str">
        <v>CSGU6547742</v>
      </c>
      <c r="CQ112" s="23">
        <v>311.44080000000002</v>
      </c>
      <c r="CR112" s="25">
        <f t="shared" si="6"/>
        <v>3.8070263120534589E-2</v>
      </c>
      <c r="CS112" s="21">
        <f t="shared" si="7"/>
        <v>95.17565780133647</v>
      </c>
    </row>
    <row r="113" spans="2:97" x14ac:dyDescent="0.35">
      <c r="B113" t="s">
        <v>296</v>
      </c>
      <c r="C113" t="s">
        <v>995</v>
      </c>
      <c r="D113" t="s">
        <v>395</v>
      </c>
      <c r="E113" t="s">
        <v>395</v>
      </c>
      <c r="F113" t="s">
        <v>396</v>
      </c>
      <c r="G113" t="s">
        <v>397</v>
      </c>
      <c r="H113" t="s">
        <v>398</v>
      </c>
      <c r="I113" t="s">
        <v>399</v>
      </c>
      <c r="J113" t="s">
        <v>749</v>
      </c>
      <c r="K113" t="s">
        <v>515</v>
      </c>
      <c r="L113" t="s">
        <v>787</v>
      </c>
      <c r="M113" t="s">
        <v>403</v>
      </c>
      <c r="N113">
        <v>1</v>
      </c>
      <c r="O113">
        <v>1</v>
      </c>
      <c r="P113" t="s">
        <v>996</v>
      </c>
      <c r="Q113" t="s">
        <v>424</v>
      </c>
      <c r="R113" t="s">
        <v>997</v>
      </c>
      <c r="S113" t="s">
        <v>998</v>
      </c>
      <c r="T113" t="s">
        <v>408</v>
      </c>
      <c r="U113">
        <v>50950080400</v>
      </c>
      <c r="W113">
        <v>23000</v>
      </c>
      <c r="X113" t="s">
        <v>409</v>
      </c>
      <c r="Y113" t="s">
        <v>410</v>
      </c>
      <c r="Z113" t="s">
        <v>410</v>
      </c>
      <c r="AA113" t="s">
        <v>411</v>
      </c>
      <c r="AB113" t="s">
        <v>554</v>
      </c>
      <c r="AC113" t="s">
        <v>411</v>
      </c>
      <c r="AD113">
        <v>46083</v>
      </c>
      <c r="AE113">
        <v>46076</v>
      </c>
      <c r="AF113">
        <v>46092</v>
      </c>
      <c r="AG113" t="s">
        <v>754</v>
      </c>
      <c r="AH113">
        <v>6126711</v>
      </c>
      <c r="AI113">
        <v>46085</v>
      </c>
      <c r="AJ113">
        <v>46086</v>
      </c>
      <c r="AK113">
        <v>23000</v>
      </c>
      <c r="AL113" t="s">
        <v>396</v>
      </c>
      <c r="AM113" t="s">
        <v>999</v>
      </c>
      <c r="AN113">
        <v>46086</v>
      </c>
      <c r="AO113">
        <v>46086.630439814813</v>
      </c>
      <c r="AP113" t="s">
        <v>51</v>
      </c>
      <c r="AQ113">
        <v>0.23293</v>
      </c>
      <c r="AR113">
        <v>5357.39</v>
      </c>
      <c r="AS113" t="s">
        <v>51</v>
      </c>
      <c r="AT113">
        <v>5357.39</v>
      </c>
      <c r="AU113" t="s">
        <v>415</v>
      </c>
      <c r="AV113" t="s">
        <v>557</v>
      </c>
      <c r="AW113" t="s">
        <v>558</v>
      </c>
      <c r="AX113">
        <v>46092</v>
      </c>
      <c r="AY113">
        <v>46141</v>
      </c>
      <c r="AZ113" t="s">
        <v>928</v>
      </c>
      <c r="BA113" t="s">
        <v>560</v>
      </c>
      <c r="BB113" t="s">
        <v>929</v>
      </c>
      <c r="BC113">
        <v>1000</v>
      </c>
      <c r="BD113" t="s">
        <v>521</v>
      </c>
      <c r="BE113">
        <v>11.22</v>
      </c>
      <c r="BF113">
        <v>10.5</v>
      </c>
      <c r="BG113" t="s">
        <v>522</v>
      </c>
      <c r="BH113">
        <v>395</v>
      </c>
      <c r="BI113">
        <v>295</v>
      </c>
      <c r="BJ113">
        <v>220</v>
      </c>
      <c r="BK113">
        <v>32</v>
      </c>
      <c r="BL113" t="s">
        <v>521</v>
      </c>
      <c r="BM113">
        <v>283.06</v>
      </c>
      <c r="BN113">
        <v>241.5</v>
      </c>
      <c r="BO113">
        <v>283.06</v>
      </c>
      <c r="BP113" t="s">
        <v>522</v>
      </c>
      <c r="BQ113">
        <v>1200</v>
      </c>
      <c r="BR113">
        <v>800</v>
      </c>
      <c r="BS113">
        <v>1040</v>
      </c>
      <c r="BT113">
        <v>0</v>
      </c>
      <c r="BU113">
        <v>1</v>
      </c>
      <c r="BV113">
        <v>1</v>
      </c>
      <c r="BW113">
        <v>23</v>
      </c>
      <c r="BX113">
        <v>0</v>
      </c>
      <c r="BY113">
        <v>23</v>
      </c>
      <c r="BZ113">
        <v>0</v>
      </c>
      <c r="CA113">
        <v>23000</v>
      </c>
      <c r="CB113">
        <v>23000</v>
      </c>
      <c r="CC113">
        <v>241.5</v>
      </c>
      <c r="CD113" t="s">
        <v>1000</v>
      </c>
      <c r="CE113" t="s">
        <v>620</v>
      </c>
      <c r="CG113" t="s">
        <v>421</v>
      </c>
      <c r="CN113" t="str">
        <v>M19</v>
      </c>
      <c r="CO113" t="str">
        <v>1330-5YY0256EN</v>
      </c>
      <c r="CP113" t="str">
        <v>CSGU6547742</v>
      </c>
      <c r="CQ113" s="23">
        <v>217.00200000000001</v>
      </c>
      <c r="CR113" s="25">
        <f t="shared" si="6"/>
        <v>2.652614313115766E-2</v>
      </c>
      <c r="CS113" s="21">
        <f t="shared" si="7"/>
        <v>66.315357827894147</v>
      </c>
    </row>
    <row r="114" spans="2:97" x14ac:dyDescent="0.35">
      <c r="B114" t="s">
        <v>297</v>
      </c>
      <c r="C114" t="s">
        <v>1001</v>
      </c>
      <c r="D114" t="s">
        <v>395</v>
      </c>
      <c r="E114" t="s">
        <v>395</v>
      </c>
      <c r="F114" t="s">
        <v>396</v>
      </c>
      <c r="G114" t="s">
        <v>397</v>
      </c>
      <c r="H114" t="s">
        <v>398</v>
      </c>
      <c r="I114" t="s">
        <v>399</v>
      </c>
      <c r="J114" t="s">
        <v>749</v>
      </c>
      <c r="K114" t="s">
        <v>629</v>
      </c>
      <c r="L114" t="s">
        <v>787</v>
      </c>
      <c r="M114" t="s">
        <v>403</v>
      </c>
      <c r="N114">
        <v>1</v>
      </c>
      <c r="O114">
        <v>1</v>
      </c>
      <c r="P114" t="s">
        <v>1002</v>
      </c>
      <c r="Q114" t="s">
        <v>424</v>
      </c>
      <c r="R114" t="s">
        <v>1003</v>
      </c>
      <c r="S114" t="s">
        <v>1004</v>
      </c>
      <c r="T114" t="s">
        <v>408</v>
      </c>
      <c r="U114">
        <v>50950080543</v>
      </c>
      <c r="W114">
        <v>8000</v>
      </c>
      <c r="X114" t="s">
        <v>409</v>
      </c>
      <c r="Y114" t="s">
        <v>410</v>
      </c>
      <c r="Z114" t="s">
        <v>410</v>
      </c>
      <c r="AA114" t="s">
        <v>411</v>
      </c>
      <c r="AB114" t="s">
        <v>554</v>
      </c>
      <c r="AC114" t="s">
        <v>411</v>
      </c>
      <c r="AD114">
        <v>46088</v>
      </c>
      <c r="AE114">
        <v>46146</v>
      </c>
      <c r="AF114">
        <v>46092</v>
      </c>
      <c r="AG114" t="s">
        <v>754</v>
      </c>
      <c r="AH114">
        <v>6126712</v>
      </c>
      <c r="AI114">
        <v>46085</v>
      </c>
      <c r="AJ114">
        <v>46086</v>
      </c>
      <c r="AK114">
        <v>8000</v>
      </c>
      <c r="AL114" t="s">
        <v>396</v>
      </c>
      <c r="AM114" t="s">
        <v>1005</v>
      </c>
      <c r="AN114">
        <v>46086</v>
      </c>
      <c r="AO114">
        <v>46086.630439814813</v>
      </c>
      <c r="AP114" t="s">
        <v>51</v>
      </c>
      <c r="AQ114">
        <v>1.627E-2</v>
      </c>
      <c r="AR114">
        <v>130.16</v>
      </c>
      <c r="AS114" t="s">
        <v>51</v>
      </c>
      <c r="AT114">
        <v>130.16</v>
      </c>
      <c r="AU114" t="s">
        <v>415</v>
      </c>
      <c r="AV114" t="s">
        <v>557</v>
      </c>
      <c r="AW114" t="s">
        <v>558</v>
      </c>
      <c r="AX114">
        <v>46092</v>
      </c>
      <c r="AY114">
        <v>46141</v>
      </c>
      <c r="AZ114" t="s">
        <v>928</v>
      </c>
      <c r="BA114" t="s">
        <v>560</v>
      </c>
      <c r="BB114" t="s">
        <v>929</v>
      </c>
      <c r="BC114">
        <v>4000</v>
      </c>
      <c r="BD114" t="s">
        <v>521</v>
      </c>
      <c r="BE114">
        <v>3.927</v>
      </c>
      <c r="BF114">
        <v>3.2480000000000002</v>
      </c>
      <c r="BG114" t="s">
        <v>522</v>
      </c>
      <c r="BH114">
        <v>395</v>
      </c>
      <c r="BI114">
        <v>295</v>
      </c>
      <c r="BJ114">
        <v>174</v>
      </c>
      <c r="BK114">
        <v>40</v>
      </c>
      <c r="BL114" t="s">
        <v>521</v>
      </c>
      <c r="BM114">
        <v>32.853999999999999</v>
      </c>
      <c r="BN114">
        <v>6.4960000000000004</v>
      </c>
      <c r="BO114">
        <v>32.853999999999999</v>
      </c>
      <c r="BP114" t="s">
        <v>522</v>
      </c>
      <c r="BQ114">
        <v>1200</v>
      </c>
      <c r="BR114">
        <v>800</v>
      </c>
      <c r="BS114">
        <v>1030</v>
      </c>
      <c r="BT114">
        <v>0</v>
      </c>
      <c r="BU114">
        <v>1</v>
      </c>
      <c r="BV114">
        <v>1</v>
      </c>
      <c r="BW114">
        <v>2</v>
      </c>
      <c r="BX114">
        <v>0</v>
      </c>
      <c r="BY114">
        <v>2</v>
      </c>
      <c r="BZ114">
        <v>0</v>
      </c>
      <c r="CA114">
        <v>8000</v>
      </c>
      <c r="CB114">
        <v>8000</v>
      </c>
      <c r="CC114">
        <v>6.4960000000000004</v>
      </c>
      <c r="CD114" t="s">
        <v>783</v>
      </c>
      <c r="CE114" t="s">
        <v>1006</v>
      </c>
      <c r="CG114" t="s">
        <v>421</v>
      </c>
      <c r="CN114" t="str">
        <v>M01</v>
      </c>
      <c r="CO114" t="str">
        <v>1200-1030990EN0002</v>
      </c>
      <c r="CP114" t="str">
        <v>CSLU6094186</v>
      </c>
      <c r="CQ114" s="23">
        <v>864.25919999999996</v>
      </c>
      <c r="CR114" s="25">
        <f t="shared" si="6"/>
        <v>5.0571760963981215E-2</v>
      </c>
      <c r="CS114" s="21">
        <f t="shared" si="7"/>
        <v>126.42940240995304</v>
      </c>
    </row>
    <row r="115" spans="2:97" x14ac:dyDescent="0.35">
      <c r="B115" t="s">
        <v>297</v>
      </c>
      <c r="C115" t="s">
        <v>1007</v>
      </c>
      <c r="D115" t="s">
        <v>395</v>
      </c>
      <c r="E115" t="s">
        <v>395</v>
      </c>
      <c r="F115" t="s">
        <v>396</v>
      </c>
      <c r="G115" t="s">
        <v>397</v>
      </c>
      <c r="H115" t="s">
        <v>398</v>
      </c>
      <c r="I115" t="s">
        <v>399</v>
      </c>
      <c r="J115" t="s">
        <v>749</v>
      </c>
      <c r="K115" t="s">
        <v>629</v>
      </c>
      <c r="L115" t="s">
        <v>787</v>
      </c>
      <c r="M115" t="s">
        <v>403</v>
      </c>
      <c r="N115">
        <v>1</v>
      </c>
      <c r="O115">
        <v>1</v>
      </c>
      <c r="P115" t="s">
        <v>1008</v>
      </c>
      <c r="Q115" t="s">
        <v>405</v>
      </c>
      <c r="R115" t="s">
        <v>905</v>
      </c>
      <c r="S115" t="s">
        <v>906</v>
      </c>
      <c r="T115" t="s">
        <v>408</v>
      </c>
      <c r="U115">
        <v>50950080566</v>
      </c>
      <c r="W115">
        <v>12000</v>
      </c>
      <c r="X115" t="s">
        <v>409</v>
      </c>
      <c r="Y115" t="s">
        <v>410</v>
      </c>
      <c r="Z115" t="s">
        <v>410</v>
      </c>
      <c r="AA115" t="s">
        <v>411</v>
      </c>
      <c r="AB115" t="s">
        <v>554</v>
      </c>
      <c r="AC115" t="s">
        <v>411</v>
      </c>
      <c r="AD115">
        <v>46088</v>
      </c>
      <c r="AE115">
        <v>46146</v>
      </c>
      <c r="AF115">
        <v>46092</v>
      </c>
      <c r="AG115" t="s">
        <v>754</v>
      </c>
      <c r="AH115">
        <v>6126713</v>
      </c>
      <c r="AI115">
        <v>46085</v>
      </c>
      <c r="AJ115">
        <v>46086</v>
      </c>
      <c r="AK115">
        <v>12000</v>
      </c>
      <c r="AL115" t="s">
        <v>396</v>
      </c>
      <c r="AM115" t="s">
        <v>1009</v>
      </c>
      <c r="AN115">
        <v>46086</v>
      </c>
      <c r="AO115">
        <v>46086.630439814813</v>
      </c>
      <c r="AP115" t="s">
        <v>51</v>
      </c>
      <c r="AQ115">
        <v>3.9100000000000003E-2</v>
      </c>
      <c r="AR115">
        <v>469.2</v>
      </c>
      <c r="AS115" t="s">
        <v>51</v>
      </c>
      <c r="AT115">
        <v>469.2</v>
      </c>
      <c r="AU115" t="s">
        <v>415</v>
      </c>
      <c r="AV115" t="s">
        <v>557</v>
      </c>
      <c r="AW115" t="s">
        <v>558</v>
      </c>
      <c r="AX115">
        <v>46092</v>
      </c>
      <c r="AY115">
        <v>46141</v>
      </c>
      <c r="AZ115" t="s">
        <v>928</v>
      </c>
      <c r="BA115" t="s">
        <v>560</v>
      </c>
      <c r="BB115" t="s">
        <v>929</v>
      </c>
      <c r="BC115">
        <v>1200</v>
      </c>
      <c r="BD115" t="s">
        <v>521</v>
      </c>
      <c r="BE115">
        <v>7.6189999999999998</v>
      </c>
      <c r="BF115">
        <v>6.7080000000000002</v>
      </c>
      <c r="BG115" t="s">
        <v>522</v>
      </c>
      <c r="BH115">
        <v>395</v>
      </c>
      <c r="BI115">
        <v>295</v>
      </c>
      <c r="BJ115">
        <v>270</v>
      </c>
      <c r="BK115">
        <v>30</v>
      </c>
      <c r="BL115" t="s">
        <v>521</v>
      </c>
      <c r="BM115">
        <v>103.19</v>
      </c>
      <c r="BN115">
        <v>67.08</v>
      </c>
      <c r="BO115">
        <v>103.19</v>
      </c>
      <c r="BP115" t="s">
        <v>522</v>
      </c>
      <c r="BQ115">
        <v>1200</v>
      </c>
      <c r="BR115">
        <v>1000</v>
      </c>
      <c r="BS115">
        <v>984</v>
      </c>
      <c r="BT115">
        <v>0</v>
      </c>
      <c r="BU115">
        <v>1</v>
      </c>
      <c r="BV115">
        <v>1</v>
      </c>
      <c r="BW115">
        <v>10</v>
      </c>
      <c r="BX115">
        <v>0</v>
      </c>
      <c r="BY115">
        <v>10</v>
      </c>
      <c r="BZ115">
        <v>0</v>
      </c>
      <c r="CA115">
        <v>12000</v>
      </c>
      <c r="CB115">
        <v>12000</v>
      </c>
      <c r="CC115">
        <v>67.08</v>
      </c>
      <c r="CD115" t="s">
        <v>908</v>
      </c>
      <c r="CE115" t="s">
        <v>909</v>
      </c>
      <c r="CG115" t="s">
        <v>421</v>
      </c>
      <c r="CN115" t="str">
        <v>M23</v>
      </c>
      <c r="CO115" t="str">
        <v>1301-1120169EN</v>
      </c>
      <c r="CP115" t="str">
        <v>CSLU6094186</v>
      </c>
      <c r="CQ115" s="23">
        <v>161.55359999999999</v>
      </c>
      <c r="CR115" s="25">
        <f t="shared" si="6"/>
        <v>9.4532404654421205E-3</v>
      </c>
      <c r="CS115" s="21">
        <f t="shared" si="7"/>
        <v>23.6331011636053</v>
      </c>
    </row>
    <row r="116" spans="2:97" x14ac:dyDescent="0.35">
      <c r="B116" t="s">
        <v>298</v>
      </c>
      <c r="C116" t="s">
        <v>1010</v>
      </c>
      <c r="D116" t="s">
        <v>395</v>
      </c>
      <c r="E116" t="s">
        <v>395</v>
      </c>
      <c r="F116" t="s">
        <v>396</v>
      </c>
      <c r="G116" t="s">
        <v>397</v>
      </c>
      <c r="H116" t="s">
        <v>398</v>
      </c>
      <c r="I116" t="s">
        <v>399</v>
      </c>
      <c r="J116" t="s">
        <v>749</v>
      </c>
      <c r="K116" t="s">
        <v>515</v>
      </c>
      <c r="L116" t="s">
        <v>787</v>
      </c>
      <c r="M116" t="s">
        <v>403</v>
      </c>
      <c r="N116">
        <v>1</v>
      </c>
      <c r="O116">
        <v>1</v>
      </c>
      <c r="P116" t="s">
        <v>1011</v>
      </c>
      <c r="Q116" t="s">
        <v>424</v>
      </c>
      <c r="R116" t="s">
        <v>1012</v>
      </c>
      <c r="S116" t="s">
        <v>1013</v>
      </c>
      <c r="T116" t="s">
        <v>408</v>
      </c>
      <c r="U116">
        <v>50950080708</v>
      </c>
      <c r="W116">
        <v>12000</v>
      </c>
      <c r="X116" t="s">
        <v>409</v>
      </c>
      <c r="Y116" t="s">
        <v>410</v>
      </c>
      <c r="Z116" t="s">
        <v>410</v>
      </c>
      <c r="AA116" t="s">
        <v>411</v>
      </c>
      <c r="AB116" t="s">
        <v>554</v>
      </c>
      <c r="AC116" t="s">
        <v>411</v>
      </c>
      <c r="AD116">
        <v>46088</v>
      </c>
      <c r="AE116">
        <v>46146</v>
      </c>
      <c r="AF116">
        <v>46092</v>
      </c>
      <c r="AG116" t="s">
        <v>754</v>
      </c>
      <c r="AH116">
        <v>6126714</v>
      </c>
      <c r="AI116">
        <v>46085</v>
      </c>
      <c r="AJ116">
        <v>46086</v>
      </c>
      <c r="AK116">
        <v>12000</v>
      </c>
      <c r="AL116" t="s">
        <v>396</v>
      </c>
      <c r="AM116" t="s">
        <v>1014</v>
      </c>
      <c r="AN116">
        <v>46086</v>
      </c>
      <c r="AO116">
        <v>46086.630439814813</v>
      </c>
      <c r="AP116" t="s">
        <v>51</v>
      </c>
      <c r="AQ116">
        <v>5.1229999999999998E-2</v>
      </c>
      <c r="AR116">
        <v>614.76</v>
      </c>
      <c r="AS116" t="s">
        <v>51</v>
      </c>
      <c r="AT116">
        <v>614.76</v>
      </c>
      <c r="AU116" t="s">
        <v>415</v>
      </c>
      <c r="AV116" t="s">
        <v>557</v>
      </c>
      <c r="AW116" t="s">
        <v>558</v>
      </c>
      <c r="AX116">
        <v>46092</v>
      </c>
      <c r="AY116">
        <v>46141</v>
      </c>
      <c r="AZ116" t="s">
        <v>928</v>
      </c>
      <c r="BA116" t="s">
        <v>560</v>
      </c>
      <c r="BB116" t="s">
        <v>929</v>
      </c>
      <c r="BC116">
        <v>6000</v>
      </c>
      <c r="BD116" t="s">
        <v>521</v>
      </c>
      <c r="BE116">
        <v>11.191000000000001</v>
      </c>
      <c r="BF116">
        <v>10.512</v>
      </c>
      <c r="BG116" t="s">
        <v>522</v>
      </c>
      <c r="BH116">
        <v>395</v>
      </c>
      <c r="BI116">
        <v>295</v>
      </c>
      <c r="BJ116">
        <v>174</v>
      </c>
      <c r="BK116">
        <v>6</v>
      </c>
      <c r="BL116" t="s">
        <v>521</v>
      </c>
      <c r="BM116">
        <v>30.382000000000001</v>
      </c>
      <c r="BN116">
        <v>21.024000000000001</v>
      </c>
      <c r="BO116">
        <v>30.382000000000001</v>
      </c>
      <c r="BP116" t="s">
        <v>522</v>
      </c>
      <c r="BQ116">
        <v>800</v>
      </c>
      <c r="BR116">
        <v>300</v>
      </c>
      <c r="BS116">
        <v>698</v>
      </c>
      <c r="BT116">
        <v>0</v>
      </c>
      <c r="BU116">
        <v>1</v>
      </c>
      <c r="BV116">
        <v>1</v>
      </c>
      <c r="BW116">
        <v>2</v>
      </c>
      <c r="BX116">
        <v>0</v>
      </c>
      <c r="BY116">
        <v>2</v>
      </c>
      <c r="BZ116">
        <v>0</v>
      </c>
      <c r="CA116">
        <v>12000</v>
      </c>
      <c r="CB116">
        <v>12000</v>
      </c>
      <c r="CC116">
        <v>21.024000000000001</v>
      </c>
      <c r="CD116" t="s">
        <v>659</v>
      </c>
      <c r="CE116" t="s">
        <v>1006</v>
      </c>
      <c r="CG116" t="s">
        <v>421</v>
      </c>
      <c r="CN116" t="str">
        <v>M45</v>
      </c>
      <c r="CO116" t="str">
        <v>1346-12C0011EN</v>
      </c>
      <c r="CP116" t="str">
        <v>CSLU6094186</v>
      </c>
      <c r="CQ116" s="23">
        <v>472.52820000000003</v>
      </c>
      <c r="CR116" s="25">
        <f t="shared" si="6"/>
        <v>2.7649787447030137E-2</v>
      </c>
      <c r="CS116" s="21">
        <f t="shared" si="7"/>
        <v>69.124468617575346</v>
      </c>
    </row>
    <row r="117" spans="2:97" x14ac:dyDescent="0.35">
      <c r="B117" t="s">
        <v>3497</v>
      </c>
      <c r="C117" t="s">
        <v>1015</v>
      </c>
      <c r="D117" t="s">
        <v>395</v>
      </c>
      <c r="E117" t="s">
        <v>395</v>
      </c>
      <c r="F117" t="s">
        <v>396</v>
      </c>
      <c r="G117" t="s">
        <v>397</v>
      </c>
      <c r="H117" t="s">
        <v>398</v>
      </c>
      <c r="I117" t="s">
        <v>399</v>
      </c>
      <c r="J117" t="s">
        <v>749</v>
      </c>
      <c r="K117" t="s">
        <v>515</v>
      </c>
      <c r="L117" t="s">
        <v>787</v>
      </c>
      <c r="M117" t="s">
        <v>403</v>
      </c>
      <c r="N117">
        <v>2</v>
      </c>
      <c r="O117">
        <v>1</v>
      </c>
      <c r="P117" t="s">
        <v>1016</v>
      </c>
      <c r="Q117" t="s">
        <v>424</v>
      </c>
      <c r="R117" t="s">
        <v>1017</v>
      </c>
      <c r="S117" t="s">
        <v>1018</v>
      </c>
      <c r="T117" t="s">
        <v>408</v>
      </c>
      <c r="U117">
        <v>50950080776</v>
      </c>
      <c r="W117">
        <v>96000</v>
      </c>
      <c r="X117" t="s">
        <v>409</v>
      </c>
      <c r="Y117" t="s">
        <v>410</v>
      </c>
      <c r="Z117" t="s">
        <v>410</v>
      </c>
      <c r="AA117" t="s">
        <v>411</v>
      </c>
      <c r="AB117" t="s">
        <v>554</v>
      </c>
      <c r="AC117" t="s">
        <v>411</v>
      </c>
      <c r="AD117">
        <v>46088</v>
      </c>
      <c r="AE117">
        <v>46153</v>
      </c>
      <c r="AF117">
        <v>46092</v>
      </c>
      <c r="AG117" t="s">
        <v>754</v>
      </c>
      <c r="AH117">
        <v>6126715</v>
      </c>
      <c r="AI117">
        <v>46085</v>
      </c>
      <c r="AJ117">
        <v>46086</v>
      </c>
      <c r="AK117">
        <v>96000</v>
      </c>
      <c r="AL117" t="s">
        <v>396</v>
      </c>
      <c r="AM117" t="s">
        <v>1019</v>
      </c>
      <c r="AN117">
        <v>46086</v>
      </c>
      <c r="AO117">
        <v>46086.630439814813</v>
      </c>
      <c r="AP117" t="s">
        <v>51</v>
      </c>
      <c r="AQ117">
        <v>1.307E-2</v>
      </c>
      <c r="AR117">
        <v>1254.72</v>
      </c>
      <c r="AS117" t="s">
        <v>51</v>
      </c>
      <c r="AT117">
        <v>1254.72</v>
      </c>
      <c r="AU117" t="s">
        <v>415</v>
      </c>
      <c r="AV117" t="s">
        <v>557</v>
      </c>
      <c r="AW117" t="s">
        <v>558</v>
      </c>
      <c r="AX117">
        <v>46092</v>
      </c>
      <c r="AY117">
        <v>46141</v>
      </c>
      <c r="AZ117" t="s">
        <v>928</v>
      </c>
      <c r="BA117" t="s">
        <v>560</v>
      </c>
      <c r="BB117" t="s">
        <v>929</v>
      </c>
      <c r="BC117">
        <v>16000</v>
      </c>
      <c r="BD117" t="s">
        <v>521</v>
      </c>
      <c r="BE117">
        <v>14.213850000000001</v>
      </c>
      <c r="BF117">
        <v>13.28</v>
      </c>
      <c r="BG117" t="s">
        <v>522</v>
      </c>
      <c r="BH117">
        <v>398</v>
      </c>
      <c r="BI117">
        <v>298</v>
      </c>
      <c r="BJ117">
        <v>155</v>
      </c>
      <c r="BK117">
        <v>6</v>
      </c>
      <c r="BL117" t="s">
        <v>521</v>
      </c>
      <c r="BM117">
        <v>93.283100000000005</v>
      </c>
      <c r="BN117">
        <v>79.680000000000007</v>
      </c>
      <c r="BO117">
        <v>93.283100000000005</v>
      </c>
      <c r="BP117" t="s">
        <v>522</v>
      </c>
      <c r="BQ117">
        <v>800</v>
      </c>
      <c r="BR117">
        <v>300</v>
      </c>
      <c r="BS117">
        <v>608</v>
      </c>
      <c r="BT117">
        <v>1</v>
      </c>
      <c r="BU117">
        <v>0</v>
      </c>
      <c r="BV117">
        <v>1</v>
      </c>
      <c r="BW117">
        <v>6</v>
      </c>
      <c r="BX117">
        <v>0</v>
      </c>
      <c r="BY117">
        <v>6</v>
      </c>
      <c r="BZ117">
        <v>96000</v>
      </c>
      <c r="CA117">
        <v>0</v>
      </c>
      <c r="CB117">
        <v>96000</v>
      </c>
      <c r="CC117">
        <v>79.680000000000007</v>
      </c>
      <c r="CD117" t="s">
        <v>523</v>
      </c>
      <c r="CE117" t="s">
        <v>1020</v>
      </c>
      <c r="CG117" t="s">
        <v>421</v>
      </c>
      <c r="CN117" t="str">
        <v>M45</v>
      </c>
      <c r="CO117" t="str">
        <v>1346-12C0011EN</v>
      </c>
      <c r="CP117" t="str">
        <v>CSLU6094186</v>
      </c>
      <c r="CQ117" s="23">
        <v>157.5094</v>
      </c>
      <c r="CR117" s="25">
        <f t="shared" si="6"/>
        <v>9.2165958156767112E-3</v>
      </c>
      <c r="CS117" s="21">
        <f t="shared" si="7"/>
        <v>23.04148953919178</v>
      </c>
    </row>
    <row r="118" spans="2:97" x14ac:dyDescent="0.35">
      <c r="B118" t="s">
        <v>3497</v>
      </c>
      <c r="C118" t="s">
        <v>1021</v>
      </c>
      <c r="D118" t="s">
        <v>395</v>
      </c>
      <c r="E118" t="s">
        <v>395</v>
      </c>
      <c r="F118" t="s">
        <v>396</v>
      </c>
      <c r="G118" t="s">
        <v>397</v>
      </c>
      <c r="H118" t="s">
        <v>398</v>
      </c>
      <c r="I118" t="s">
        <v>399</v>
      </c>
      <c r="J118" t="s">
        <v>749</v>
      </c>
      <c r="K118" t="s">
        <v>515</v>
      </c>
      <c r="L118" t="s">
        <v>787</v>
      </c>
      <c r="M118" t="s">
        <v>403</v>
      </c>
      <c r="N118">
        <v>2</v>
      </c>
      <c r="O118">
        <v>1</v>
      </c>
      <c r="P118" t="s">
        <v>1022</v>
      </c>
      <c r="Q118" t="s">
        <v>424</v>
      </c>
      <c r="R118" t="s">
        <v>1017</v>
      </c>
      <c r="S118" t="s">
        <v>1023</v>
      </c>
      <c r="T118" t="s">
        <v>408</v>
      </c>
      <c r="U118">
        <v>50950080779</v>
      </c>
      <c r="W118">
        <v>72000</v>
      </c>
      <c r="X118" t="s">
        <v>409</v>
      </c>
      <c r="Y118" t="s">
        <v>410</v>
      </c>
      <c r="Z118" t="s">
        <v>410</v>
      </c>
      <c r="AA118" t="s">
        <v>411</v>
      </c>
      <c r="AB118" t="s">
        <v>554</v>
      </c>
      <c r="AC118" t="s">
        <v>411</v>
      </c>
      <c r="AD118">
        <v>46081</v>
      </c>
      <c r="AE118">
        <v>46111</v>
      </c>
      <c r="AF118">
        <v>46092</v>
      </c>
      <c r="AG118" t="s">
        <v>754</v>
      </c>
      <c r="AH118">
        <v>6126716</v>
      </c>
      <c r="AI118">
        <v>46085</v>
      </c>
      <c r="AJ118">
        <v>46086</v>
      </c>
      <c r="AK118">
        <v>72000</v>
      </c>
      <c r="AL118" t="s">
        <v>396</v>
      </c>
      <c r="AM118" t="s">
        <v>1024</v>
      </c>
      <c r="AN118">
        <v>46086</v>
      </c>
      <c r="AO118">
        <v>46086.630439814813</v>
      </c>
      <c r="AP118" t="s">
        <v>51</v>
      </c>
      <c r="AQ118">
        <v>1.0670000000000001E-2</v>
      </c>
      <c r="AR118">
        <v>768.24</v>
      </c>
      <c r="AS118" t="s">
        <v>51</v>
      </c>
      <c r="AT118">
        <v>768.24</v>
      </c>
      <c r="AU118" t="s">
        <v>415</v>
      </c>
      <c r="AV118" t="s">
        <v>557</v>
      </c>
      <c r="AW118" t="s">
        <v>558</v>
      </c>
      <c r="AX118">
        <v>46092</v>
      </c>
      <c r="AY118">
        <v>46141</v>
      </c>
      <c r="AZ118" t="s">
        <v>928</v>
      </c>
      <c r="BA118" t="s">
        <v>560</v>
      </c>
      <c r="BB118" t="s">
        <v>929</v>
      </c>
      <c r="BC118">
        <v>12000</v>
      </c>
      <c r="BD118" t="s">
        <v>521</v>
      </c>
      <c r="BE118">
        <v>8.4938500000000001</v>
      </c>
      <c r="BF118">
        <v>7.56</v>
      </c>
      <c r="BG118" t="s">
        <v>522</v>
      </c>
      <c r="BH118">
        <v>398</v>
      </c>
      <c r="BI118">
        <v>298</v>
      </c>
      <c r="BJ118">
        <v>155</v>
      </c>
      <c r="BK118">
        <v>6</v>
      </c>
      <c r="BL118" t="s">
        <v>521</v>
      </c>
      <c r="BM118">
        <v>58.963099999999997</v>
      </c>
      <c r="BN118">
        <v>45.36</v>
      </c>
      <c r="BO118">
        <v>58.963099999999997</v>
      </c>
      <c r="BP118" t="s">
        <v>522</v>
      </c>
      <c r="BQ118">
        <v>800</v>
      </c>
      <c r="BR118">
        <v>300</v>
      </c>
      <c r="BS118">
        <v>608</v>
      </c>
      <c r="BT118">
        <v>1</v>
      </c>
      <c r="BU118">
        <v>0</v>
      </c>
      <c r="BV118">
        <v>1</v>
      </c>
      <c r="BW118">
        <v>6</v>
      </c>
      <c r="BX118">
        <v>0</v>
      </c>
      <c r="BY118">
        <v>6</v>
      </c>
      <c r="BZ118">
        <v>72000</v>
      </c>
      <c r="CA118">
        <v>0</v>
      </c>
      <c r="CB118">
        <v>72000</v>
      </c>
      <c r="CC118">
        <v>45.36</v>
      </c>
      <c r="CD118" t="s">
        <v>523</v>
      </c>
      <c r="CE118" t="s">
        <v>1020</v>
      </c>
      <c r="CG118" t="s">
        <v>421</v>
      </c>
      <c r="CN118" t="str">
        <v>M45</v>
      </c>
      <c r="CO118" t="str">
        <v>1100-12B0008EN</v>
      </c>
      <c r="CP118" t="str">
        <v>CSLU6094186</v>
      </c>
      <c r="CQ118" s="23">
        <v>905.65920000000006</v>
      </c>
      <c r="CR118" s="25">
        <f t="shared" si="6"/>
        <v>5.2994264425800103E-2</v>
      </c>
      <c r="CS118" s="21">
        <f t="shared" si="7"/>
        <v>132.48566106450025</v>
      </c>
    </row>
    <row r="119" spans="2:97" x14ac:dyDescent="0.35">
      <c r="B119" t="s">
        <v>3497</v>
      </c>
      <c r="C119" t="s">
        <v>1025</v>
      </c>
      <c r="D119" t="s">
        <v>395</v>
      </c>
      <c r="E119" t="s">
        <v>395</v>
      </c>
      <c r="F119" t="s">
        <v>396</v>
      </c>
      <c r="G119" t="s">
        <v>397</v>
      </c>
      <c r="H119" t="s">
        <v>398</v>
      </c>
      <c r="I119" t="s">
        <v>399</v>
      </c>
      <c r="J119" t="s">
        <v>749</v>
      </c>
      <c r="K119" t="s">
        <v>515</v>
      </c>
      <c r="L119" t="s">
        <v>787</v>
      </c>
      <c r="M119" t="s">
        <v>403</v>
      </c>
      <c r="N119">
        <v>2</v>
      </c>
      <c r="O119">
        <v>1</v>
      </c>
      <c r="P119" t="s">
        <v>1026</v>
      </c>
      <c r="Q119" t="s">
        <v>424</v>
      </c>
      <c r="R119" t="s">
        <v>1017</v>
      </c>
      <c r="S119" t="s">
        <v>1027</v>
      </c>
      <c r="T119" t="s">
        <v>408</v>
      </c>
      <c r="U119">
        <v>50950080781</v>
      </c>
      <c r="W119">
        <v>96000</v>
      </c>
      <c r="X119" t="s">
        <v>409</v>
      </c>
      <c r="Y119" t="s">
        <v>410</v>
      </c>
      <c r="Z119" t="s">
        <v>410</v>
      </c>
      <c r="AA119" t="s">
        <v>411</v>
      </c>
      <c r="AB119" t="s">
        <v>554</v>
      </c>
      <c r="AC119" t="s">
        <v>411</v>
      </c>
      <c r="AD119">
        <v>46088</v>
      </c>
      <c r="AE119">
        <v>46118</v>
      </c>
      <c r="AF119">
        <v>46092</v>
      </c>
      <c r="AG119" t="s">
        <v>754</v>
      </c>
      <c r="AH119">
        <v>6126717</v>
      </c>
      <c r="AI119">
        <v>46085</v>
      </c>
      <c r="AJ119">
        <v>46086</v>
      </c>
      <c r="AK119">
        <v>96000</v>
      </c>
      <c r="AL119" t="s">
        <v>396</v>
      </c>
      <c r="AM119" t="s">
        <v>1028</v>
      </c>
      <c r="AN119">
        <v>46086</v>
      </c>
      <c r="AO119">
        <v>46086.630439814813</v>
      </c>
      <c r="AP119" t="s">
        <v>51</v>
      </c>
      <c r="AQ119">
        <v>1.307E-2</v>
      </c>
      <c r="AR119">
        <v>1254.72</v>
      </c>
      <c r="AS119" t="s">
        <v>51</v>
      </c>
      <c r="AT119">
        <v>1254.72</v>
      </c>
      <c r="AU119" t="s">
        <v>415</v>
      </c>
      <c r="AV119" t="s">
        <v>557</v>
      </c>
      <c r="AW119" t="s">
        <v>558</v>
      </c>
      <c r="AX119">
        <v>46092</v>
      </c>
      <c r="AY119">
        <v>46141</v>
      </c>
      <c r="AZ119" t="s">
        <v>928</v>
      </c>
      <c r="BA119" t="s">
        <v>560</v>
      </c>
      <c r="BB119" t="s">
        <v>929</v>
      </c>
      <c r="BC119">
        <v>16000</v>
      </c>
      <c r="BD119" t="s">
        <v>521</v>
      </c>
      <c r="BE119">
        <v>14.533849999999999</v>
      </c>
      <c r="BF119">
        <v>13.6</v>
      </c>
      <c r="BG119" t="s">
        <v>522</v>
      </c>
      <c r="BH119">
        <v>398</v>
      </c>
      <c r="BI119">
        <v>298</v>
      </c>
      <c r="BJ119">
        <v>155</v>
      </c>
      <c r="BK119">
        <v>6</v>
      </c>
      <c r="BL119" t="s">
        <v>521</v>
      </c>
      <c r="BM119">
        <v>95.203100000000006</v>
      </c>
      <c r="BN119">
        <v>81.599999999999994</v>
      </c>
      <c r="BO119">
        <v>95.203100000000006</v>
      </c>
      <c r="BP119" t="s">
        <v>522</v>
      </c>
      <c r="BQ119">
        <v>800</v>
      </c>
      <c r="BR119">
        <v>300</v>
      </c>
      <c r="BS119">
        <v>608</v>
      </c>
      <c r="BT119">
        <v>1</v>
      </c>
      <c r="BU119">
        <v>0</v>
      </c>
      <c r="BV119">
        <v>1</v>
      </c>
      <c r="BW119">
        <v>6</v>
      </c>
      <c r="BX119">
        <v>0</v>
      </c>
      <c r="BY119">
        <v>6</v>
      </c>
      <c r="BZ119">
        <v>96000</v>
      </c>
      <c r="CA119">
        <v>0</v>
      </c>
      <c r="CB119">
        <v>96000</v>
      </c>
      <c r="CC119">
        <v>81.599999999999994</v>
      </c>
      <c r="CD119" t="s">
        <v>523</v>
      </c>
      <c r="CE119" t="s">
        <v>1020</v>
      </c>
      <c r="CG119" t="s">
        <v>421</v>
      </c>
      <c r="CN119" t="str">
        <v>M19</v>
      </c>
      <c r="CO119" t="str">
        <v>1330-5YY0182EN</v>
      </c>
      <c r="CP119" t="str">
        <v>CSLU6094186</v>
      </c>
      <c r="CQ119" s="23">
        <v>351.27120000000002</v>
      </c>
      <c r="CR119" s="25">
        <f t="shared" si="6"/>
        <v>2.0554485459837558E-2</v>
      </c>
      <c r="CS119" s="21">
        <f t="shared" si="7"/>
        <v>51.386213649593891</v>
      </c>
    </row>
    <row r="120" spans="2:97" x14ac:dyDescent="0.35">
      <c r="B120" t="s">
        <v>297</v>
      </c>
      <c r="C120" t="s">
        <v>1029</v>
      </c>
      <c r="D120" t="s">
        <v>395</v>
      </c>
      <c r="E120" t="s">
        <v>395</v>
      </c>
      <c r="F120" t="s">
        <v>396</v>
      </c>
      <c r="G120" t="s">
        <v>397</v>
      </c>
      <c r="H120" t="s">
        <v>398</v>
      </c>
      <c r="I120" t="s">
        <v>399</v>
      </c>
      <c r="J120" t="s">
        <v>749</v>
      </c>
      <c r="K120" t="s">
        <v>845</v>
      </c>
      <c r="L120" t="s">
        <v>787</v>
      </c>
      <c r="M120" t="s">
        <v>403</v>
      </c>
      <c r="N120">
        <v>2</v>
      </c>
      <c r="O120">
        <v>1</v>
      </c>
      <c r="P120" t="s">
        <v>1030</v>
      </c>
      <c r="Q120" t="s">
        <v>424</v>
      </c>
      <c r="R120" t="s">
        <v>1031</v>
      </c>
      <c r="S120" t="s">
        <v>1032</v>
      </c>
      <c r="T120" t="s">
        <v>408</v>
      </c>
      <c r="U120">
        <v>50950080787</v>
      </c>
      <c r="W120">
        <v>40000</v>
      </c>
      <c r="X120" t="s">
        <v>409</v>
      </c>
      <c r="Y120" t="s">
        <v>410</v>
      </c>
      <c r="Z120" t="s">
        <v>410</v>
      </c>
      <c r="AA120" t="s">
        <v>411</v>
      </c>
      <c r="AB120" t="s">
        <v>554</v>
      </c>
      <c r="AC120" t="s">
        <v>411</v>
      </c>
      <c r="AD120">
        <v>46081</v>
      </c>
      <c r="AE120">
        <v>46139</v>
      </c>
      <c r="AF120">
        <v>46092</v>
      </c>
      <c r="AG120" t="s">
        <v>754</v>
      </c>
      <c r="AH120">
        <v>6126718</v>
      </c>
      <c r="AI120">
        <v>46085</v>
      </c>
      <c r="AJ120">
        <v>46086</v>
      </c>
      <c r="AK120">
        <v>40000</v>
      </c>
      <c r="AL120" t="s">
        <v>396</v>
      </c>
      <c r="AM120" t="s">
        <v>1033</v>
      </c>
      <c r="AN120">
        <v>46086</v>
      </c>
      <c r="AO120">
        <v>46086.630439814813</v>
      </c>
      <c r="AP120" t="s">
        <v>51</v>
      </c>
      <c r="AQ120">
        <v>4.0469999999999999E-2</v>
      </c>
      <c r="AR120">
        <v>1618.8</v>
      </c>
      <c r="AS120" t="s">
        <v>51</v>
      </c>
      <c r="AT120">
        <v>1618.8</v>
      </c>
      <c r="AU120" t="s">
        <v>415</v>
      </c>
      <c r="AV120" t="s">
        <v>557</v>
      </c>
      <c r="AW120" t="s">
        <v>558</v>
      </c>
      <c r="AX120">
        <v>46092</v>
      </c>
      <c r="AY120">
        <v>46141</v>
      </c>
      <c r="AZ120" t="s">
        <v>928</v>
      </c>
      <c r="BA120" t="s">
        <v>560</v>
      </c>
      <c r="BB120" t="s">
        <v>929</v>
      </c>
      <c r="BC120">
        <v>500</v>
      </c>
      <c r="BD120" t="s">
        <v>521</v>
      </c>
      <c r="BE120">
        <v>8.3230000000000004</v>
      </c>
      <c r="BF120">
        <v>7.4</v>
      </c>
      <c r="BG120" t="s">
        <v>522</v>
      </c>
      <c r="BH120">
        <v>395</v>
      </c>
      <c r="BI120">
        <v>295</v>
      </c>
      <c r="BJ120">
        <v>220</v>
      </c>
      <c r="BK120">
        <v>40</v>
      </c>
      <c r="BL120" t="s">
        <v>521</v>
      </c>
      <c r="BM120">
        <v>359.92</v>
      </c>
      <c r="BN120">
        <v>296</v>
      </c>
      <c r="BO120">
        <v>719.84</v>
      </c>
      <c r="BP120" t="s">
        <v>522</v>
      </c>
      <c r="BQ120">
        <v>1200</v>
      </c>
      <c r="BR120">
        <v>1000</v>
      </c>
      <c r="BS120">
        <v>1053</v>
      </c>
      <c r="BT120">
        <v>2</v>
      </c>
      <c r="BU120">
        <v>0</v>
      </c>
      <c r="BV120">
        <v>2</v>
      </c>
      <c r="BW120">
        <v>80</v>
      </c>
      <c r="BX120">
        <v>0</v>
      </c>
      <c r="BY120">
        <v>80</v>
      </c>
      <c r="BZ120">
        <v>40000</v>
      </c>
      <c r="CA120">
        <v>0</v>
      </c>
      <c r="CB120">
        <v>40000</v>
      </c>
      <c r="CC120">
        <v>592</v>
      </c>
      <c r="CD120" t="s">
        <v>856</v>
      </c>
      <c r="CE120" t="s">
        <v>1034</v>
      </c>
      <c r="CG120" t="s">
        <v>421</v>
      </c>
      <c r="CN120" t="str">
        <v>M19</v>
      </c>
      <c r="CO120" t="str">
        <v>1330-5YY0183EN</v>
      </c>
      <c r="CP120" t="str">
        <v>CSLU6094186</v>
      </c>
      <c r="CQ120" s="23">
        <v>773.09280000000001</v>
      </c>
      <c r="CR120" s="25">
        <f t="shared" si="6"/>
        <v>4.5237197688581081E-2</v>
      </c>
      <c r="CS120" s="21">
        <f t="shared" si="7"/>
        <v>113.0929942214527</v>
      </c>
    </row>
    <row r="121" spans="2:97" x14ac:dyDescent="0.35">
      <c r="B121" t="s">
        <v>297</v>
      </c>
      <c r="C121" t="s">
        <v>831</v>
      </c>
      <c r="D121" t="s">
        <v>395</v>
      </c>
      <c r="E121" t="s">
        <v>395</v>
      </c>
      <c r="F121" t="s">
        <v>396</v>
      </c>
      <c r="G121" t="s">
        <v>397</v>
      </c>
      <c r="H121" t="s">
        <v>398</v>
      </c>
      <c r="I121" t="s">
        <v>399</v>
      </c>
      <c r="J121" t="s">
        <v>749</v>
      </c>
      <c r="K121" t="s">
        <v>629</v>
      </c>
      <c r="L121" t="s">
        <v>787</v>
      </c>
      <c r="M121" t="s">
        <v>403</v>
      </c>
      <c r="N121">
        <v>4</v>
      </c>
      <c r="O121">
        <v>2</v>
      </c>
      <c r="P121" t="s">
        <v>832</v>
      </c>
      <c r="Q121" t="s">
        <v>645</v>
      </c>
      <c r="R121" t="s">
        <v>833</v>
      </c>
      <c r="S121" t="s">
        <v>834</v>
      </c>
      <c r="T121" t="s">
        <v>408</v>
      </c>
      <c r="U121">
        <v>50950080792</v>
      </c>
      <c r="W121">
        <v>9600</v>
      </c>
      <c r="X121" t="s">
        <v>409</v>
      </c>
      <c r="Y121" t="s">
        <v>410</v>
      </c>
      <c r="Z121" t="s">
        <v>410</v>
      </c>
      <c r="AA121" t="s">
        <v>411</v>
      </c>
      <c r="AB121" t="s">
        <v>554</v>
      </c>
      <c r="AC121" t="s">
        <v>411</v>
      </c>
      <c r="AD121">
        <v>46081</v>
      </c>
      <c r="AE121">
        <v>46132</v>
      </c>
      <c r="AF121">
        <v>46092</v>
      </c>
      <c r="AG121" t="s">
        <v>754</v>
      </c>
      <c r="AH121">
        <v>6126719</v>
      </c>
      <c r="AI121">
        <v>46085</v>
      </c>
      <c r="AJ121">
        <v>46086</v>
      </c>
      <c r="AK121">
        <v>9600</v>
      </c>
      <c r="AL121" t="s">
        <v>396</v>
      </c>
      <c r="AM121" t="s">
        <v>1035</v>
      </c>
      <c r="AN121">
        <v>46086</v>
      </c>
      <c r="AO121">
        <v>46086.630439814813</v>
      </c>
      <c r="AP121" t="s">
        <v>51</v>
      </c>
      <c r="AQ121">
        <v>0.11833</v>
      </c>
      <c r="AR121">
        <v>1135.97</v>
      </c>
      <c r="AS121" t="s">
        <v>51</v>
      </c>
      <c r="AT121">
        <v>1135.97</v>
      </c>
      <c r="AU121" t="s">
        <v>415</v>
      </c>
      <c r="AV121" t="s">
        <v>557</v>
      </c>
      <c r="AW121" t="s">
        <v>558</v>
      </c>
      <c r="AX121">
        <v>46092</v>
      </c>
      <c r="AY121">
        <v>46141</v>
      </c>
      <c r="AZ121" t="s">
        <v>928</v>
      </c>
      <c r="BA121" t="s">
        <v>560</v>
      </c>
      <c r="BB121" t="s">
        <v>929</v>
      </c>
      <c r="BC121">
        <v>320</v>
      </c>
      <c r="BD121" t="s">
        <v>521</v>
      </c>
      <c r="BE121">
        <v>4.1859999999999999</v>
      </c>
      <c r="BF121">
        <v>3.6160000000000001</v>
      </c>
      <c r="BG121" t="s">
        <v>522</v>
      </c>
      <c r="BH121">
        <v>395</v>
      </c>
      <c r="BI121">
        <v>295</v>
      </c>
      <c r="BJ121">
        <v>255</v>
      </c>
      <c r="BK121">
        <v>30</v>
      </c>
      <c r="BL121" t="s">
        <v>521</v>
      </c>
      <c r="BM121">
        <v>152.58000000000001</v>
      </c>
      <c r="BN121">
        <v>108.48</v>
      </c>
      <c r="BO121">
        <v>152.58000000000001</v>
      </c>
      <c r="BP121" t="s">
        <v>522</v>
      </c>
      <c r="BQ121">
        <v>1200</v>
      </c>
      <c r="BR121">
        <v>1000</v>
      </c>
      <c r="BS121">
        <v>918</v>
      </c>
      <c r="BT121">
        <v>1</v>
      </c>
      <c r="BU121">
        <v>0</v>
      </c>
      <c r="BV121">
        <v>1</v>
      </c>
      <c r="BW121">
        <v>30</v>
      </c>
      <c r="BX121">
        <v>0</v>
      </c>
      <c r="BY121">
        <v>30</v>
      </c>
      <c r="BZ121">
        <v>9600</v>
      </c>
      <c r="CA121">
        <v>0</v>
      </c>
      <c r="CB121">
        <v>9600</v>
      </c>
      <c r="CC121">
        <v>108.48</v>
      </c>
      <c r="CD121" t="s">
        <v>633</v>
      </c>
      <c r="CE121" t="s">
        <v>836</v>
      </c>
      <c r="CG121" t="s">
        <v>421</v>
      </c>
      <c r="CN121" t="str">
        <v>M01</v>
      </c>
      <c r="CO121" t="str">
        <v>1201-1030400EN</v>
      </c>
      <c r="CP121" t="str">
        <v>CSLU6094186</v>
      </c>
      <c r="CQ121" s="23">
        <v>224.244</v>
      </c>
      <c r="CR121" s="25">
        <f t="shared" si="6"/>
        <v>1.3121542664060739E-2</v>
      </c>
      <c r="CS121" s="21">
        <f t="shared" si="7"/>
        <v>32.803856660151844</v>
      </c>
    </row>
    <row r="122" spans="2:97" x14ac:dyDescent="0.35">
      <c r="B122" t="s">
        <v>297</v>
      </c>
      <c r="C122" t="s">
        <v>1036</v>
      </c>
      <c r="D122" t="s">
        <v>395</v>
      </c>
      <c r="E122" t="s">
        <v>395</v>
      </c>
      <c r="F122" t="s">
        <v>396</v>
      </c>
      <c r="G122" t="s">
        <v>397</v>
      </c>
      <c r="H122" t="s">
        <v>398</v>
      </c>
      <c r="I122" t="s">
        <v>399</v>
      </c>
      <c r="J122" t="s">
        <v>749</v>
      </c>
      <c r="K122" t="s">
        <v>629</v>
      </c>
      <c r="L122" t="s">
        <v>787</v>
      </c>
      <c r="M122" t="s">
        <v>403</v>
      </c>
      <c r="N122">
        <v>7</v>
      </c>
      <c r="O122">
        <v>1</v>
      </c>
      <c r="P122" t="s">
        <v>1037</v>
      </c>
      <c r="Q122" t="s">
        <v>430</v>
      </c>
      <c r="R122" t="s">
        <v>1038</v>
      </c>
      <c r="S122" t="s">
        <v>840</v>
      </c>
      <c r="T122" t="s">
        <v>408</v>
      </c>
      <c r="U122">
        <v>50950080800</v>
      </c>
      <c r="W122">
        <v>33600</v>
      </c>
      <c r="X122" t="s">
        <v>409</v>
      </c>
      <c r="Y122" t="s">
        <v>410</v>
      </c>
      <c r="Z122" t="s">
        <v>410</v>
      </c>
      <c r="AA122" t="s">
        <v>411</v>
      </c>
      <c r="AB122" t="s">
        <v>554</v>
      </c>
      <c r="AC122" t="s">
        <v>411</v>
      </c>
      <c r="AD122">
        <v>46088</v>
      </c>
      <c r="AE122">
        <v>46146</v>
      </c>
      <c r="AF122">
        <v>46092</v>
      </c>
      <c r="AG122" t="s">
        <v>754</v>
      </c>
      <c r="AH122">
        <v>6126720</v>
      </c>
      <c r="AI122">
        <v>46085</v>
      </c>
      <c r="AJ122">
        <v>46086</v>
      </c>
      <c r="AK122">
        <v>33600</v>
      </c>
      <c r="AL122" t="s">
        <v>396</v>
      </c>
      <c r="AM122" t="s">
        <v>1039</v>
      </c>
      <c r="AN122">
        <v>46086</v>
      </c>
      <c r="AO122">
        <v>46086.630439814813</v>
      </c>
      <c r="AP122" t="s">
        <v>51</v>
      </c>
      <c r="AQ122">
        <v>1.3639999999999999E-2</v>
      </c>
      <c r="AR122">
        <v>458.3</v>
      </c>
      <c r="AS122" t="s">
        <v>51</v>
      </c>
      <c r="AT122">
        <v>458.3</v>
      </c>
      <c r="AU122" t="s">
        <v>415</v>
      </c>
      <c r="AV122" t="s">
        <v>557</v>
      </c>
      <c r="AW122" t="s">
        <v>558</v>
      </c>
      <c r="AX122">
        <v>46092</v>
      </c>
      <c r="AY122">
        <v>46141</v>
      </c>
      <c r="AZ122" t="s">
        <v>928</v>
      </c>
      <c r="BA122" t="s">
        <v>560</v>
      </c>
      <c r="BB122" t="s">
        <v>929</v>
      </c>
      <c r="BC122">
        <v>16800</v>
      </c>
      <c r="BD122" t="s">
        <v>521</v>
      </c>
      <c r="BE122">
        <v>8.2989999999999995</v>
      </c>
      <c r="BF122">
        <v>7.3920000000000003</v>
      </c>
      <c r="BG122" t="s">
        <v>522</v>
      </c>
      <c r="BH122">
        <v>395</v>
      </c>
      <c r="BI122">
        <v>295</v>
      </c>
      <c r="BJ122">
        <v>270</v>
      </c>
      <c r="BK122">
        <v>4</v>
      </c>
      <c r="BL122" t="s">
        <v>521</v>
      </c>
      <c r="BM122">
        <v>24.597999999999999</v>
      </c>
      <c r="BN122">
        <v>14.784000000000001</v>
      </c>
      <c r="BO122">
        <v>24.597999999999999</v>
      </c>
      <c r="BP122" t="s">
        <v>522</v>
      </c>
      <c r="BQ122">
        <v>800</v>
      </c>
      <c r="BR122">
        <v>300</v>
      </c>
      <c r="BS122">
        <v>698</v>
      </c>
      <c r="BT122">
        <v>0</v>
      </c>
      <c r="BU122">
        <v>1</v>
      </c>
      <c r="BV122">
        <v>1</v>
      </c>
      <c r="BW122">
        <v>2</v>
      </c>
      <c r="BX122">
        <v>0</v>
      </c>
      <c r="BY122">
        <v>2</v>
      </c>
      <c r="BZ122">
        <v>0</v>
      </c>
      <c r="CA122">
        <v>33600</v>
      </c>
      <c r="CB122">
        <v>33600</v>
      </c>
      <c r="CC122">
        <v>14.784000000000001</v>
      </c>
      <c r="CD122" t="s">
        <v>659</v>
      </c>
      <c r="CE122" t="s">
        <v>634</v>
      </c>
      <c r="CG122" t="s">
        <v>421</v>
      </c>
      <c r="CN122" t="str">
        <v>M01</v>
      </c>
      <c r="CO122" t="str">
        <v>1277-1030069EN</v>
      </c>
      <c r="CP122" t="str">
        <v>CSLU6094186</v>
      </c>
      <c r="CQ122" s="23">
        <v>305.16000000000003</v>
      </c>
      <c r="CR122" s="25">
        <f t="shared" si="6"/>
        <v>1.7856308125812844E-2</v>
      </c>
      <c r="CS122" s="21">
        <f t="shared" si="7"/>
        <v>44.640770314532112</v>
      </c>
    </row>
    <row r="123" spans="2:97" x14ac:dyDescent="0.35">
      <c r="B123" t="s">
        <v>295</v>
      </c>
      <c r="C123" t="s">
        <v>1040</v>
      </c>
      <c r="D123" t="s">
        <v>395</v>
      </c>
      <c r="E123" t="s">
        <v>395</v>
      </c>
      <c r="F123" t="s">
        <v>396</v>
      </c>
      <c r="G123" t="s">
        <v>397</v>
      </c>
      <c r="H123" t="s">
        <v>398</v>
      </c>
      <c r="I123" t="s">
        <v>399</v>
      </c>
      <c r="J123" t="s">
        <v>749</v>
      </c>
      <c r="K123" t="s">
        <v>526</v>
      </c>
      <c r="L123" t="s">
        <v>787</v>
      </c>
      <c r="M123" t="s">
        <v>403</v>
      </c>
      <c r="N123">
        <v>1</v>
      </c>
      <c r="O123">
        <v>1</v>
      </c>
      <c r="P123" t="s">
        <v>1041</v>
      </c>
      <c r="Q123" t="s">
        <v>430</v>
      </c>
      <c r="R123" t="s">
        <v>1042</v>
      </c>
      <c r="S123" t="s">
        <v>440</v>
      </c>
      <c r="T123" t="s">
        <v>408</v>
      </c>
      <c r="U123">
        <v>50950080839</v>
      </c>
      <c r="W123">
        <v>24640</v>
      </c>
      <c r="X123" t="s">
        <v>409</v>
      </c>
      <c r="Y123" t="s">
        <v>410</v>
      </c>
      <c r="Z123" t="s">
        <v>410</v>
      </c>
      <c r="AA123" t="s">
        <v>411</v>
      </c>
      <c r="AB123" t="s">
        <v>554</v>
      </c>
      <c r="AC123" t="s">
        <v>411</v>
      </c>
      <c r="AD123">
        <v>46081</v>
      </c>
      <c r="AE123">
        <v>46139</v>
      </c>
      <c r="AF123">
        <v>46092</v>
      </c>
      <c r="AG123" t="s">
        <v>754</v>
      </c>
      <c r="AH123">
        <v>6126721</v>
      </c>
      <c r="AI123">
        <v>46085</v>
      </c>
      <c r="AJ123">
        <v>46086</v>
      </c>
      <c r="AK123">
        <v>24640</v>
      </c>
      <c r="AL123" t="s">
        <v>396</v>
      </c>
      <c r="AM123" t="s">
        <v>1043</v>
      </c>
      <c r="AN123">
        <v>46086</v>
      </c>
      <c r="AO123">
        <v>46086.630439814813</v>
      </c>
      <c r="AP123" t="s">
        <v>51</v>
      </c>
      <c r="AQ123">
        <v>5.0889999999999998E-2</v>
      </c>
      <c r="AR123">
        <v>1253.93</v>
      </c>
      <c r="AS123" t="s">
        <v>51</v>
      </c>
      <c r="AT123">
        <v>1253.93</v>
      </c>
      <c r="AU123" t="s">
        <v>415</v>
      </c>
      <c r="AV123" t="s">
        <v>557</v>
      </c>
      <c r="AW123" t="s">
        <v>558</v>
      </c>
      <c r="AX123">
        <v>46092</v>
      </c>
      <c r="AY123">
        <v>46141</v>
      </c>
      <c r="AZ123" t="s">
        <v>928</v>
      </c>
      <c r="BA123" t="s">
        <v>560</v>
      </c>
      <c r="BB123" t="s">
        <v>929</v>
      </c>
      <c r="BC123">
        <v>308</v>
      </c>
      <c r="BD123" t="s">
        <v>521</v>
      </c>
      <c r="BE123">
        <v>9.3520000000000003</v>
      </c>
      <c r="BF123">
        <v>9.0489999999999995</v>
      </c>
      <c r="BG123" t="s">
        <v>522</v>
      </c>
      <c r="BH123">
        <v>286</v>
      </c>
      <c r="BI123">
        <v>192</v>
      </c>
      <c r="BJ123">
        <v>87</v>
      </c>
      <c r="BK123">
        <v>80</v>
      </c>
      <c r="BL123" t="s">
        <v>521</v>
      </c>
      <c r="BM123">
        <v>776.16319999999996</v>
      </c>
      <c r="BN123">
        <v>723.92319999999995</v>
      </c>
      <c r="BO123">
        <v>776.16319999999996</v>
      </c>
      <c r="BP123" t="s">
        <v>522</v>
      </c>
      <c r="BQ123">
        <v>1200</v>
      </c>
      <c r="BR123">
        <v>1000</v>
      </c>
      <c r="BS123">
        <v>510</v>
      </c>
      <c r="BT123">
        <v>1</v>
      </c>
      <c r="BU123">
        <v>0</v>
      </c>
      <c r="BV123">
        <v>1</v>
      </c>
      <c r="BW123">
        <v>80</v>
      </c>
      <c r="BX123">
        <v>0</v>
      </c>
      <c r="BY123">
        <v>80</v>
      </c>
      <c r="BZ123">
        <v>24640</v>
      </c>
      <c r="CA123">
        <v>0</v>
      </c>
      <c r="CB123">
        <v>24640</v>
      </c>
      <c r="CC123">
        <v>723.92319999999995</v>
      </c>
      <c r="CD123" t="s">
        <v>1044</v>
      </c>
      <c r="CE123" t="s">
        <v>1045</v>
      </c>
      <c r="CG123" t="s">
        <v>421</v>
      </c>
      <c r="CN123" t="str">
        <v>M19</v>
      </c>
      <c r="CO123" t="str">
        <v>1271-5YY0098EN</v>
      </c>
      <c r="CP123" t="str">
        <v>CSLU6094186</v>
      </c>
      <c r="CQ123" s="23">
        <v>261.74</v>
      </c>
      <c r="CR123" s="25">
        <f t="shared" si="6"/>
        <v>1.5315605219721634E-2</v>
      </c>
      <c r="CS123" s="21">
        <f t="shared" si="7"/>
        <v>38.289013049304089</v>
      </c>
    </row>
    <row r="124" spans="2:97" x14ac:dyDescent="0.35">
      <c r="B124" t="s">
        <v>297</v>
      </c>
      <c r="C124" t="s">
        <v>1046</v>
      </c>
      <c r="D124" t="s">
        <v>395</v>
      </c>
      <c r="E124" t="s">
        <v>395</v>
      </c>
      <c r="F124" t="s">
        <v>396</v>
      </c>
      <c r="G124" t="s">
        <v>397</v>
      </c>
      <c r="H124" t="s">
        <v>398</v>
      </c>
      <c r="I124" t="s">
        <v>399</v>
      </c>
      <c r="J124" t="s">
        <v>749</v>
      </c>
      <c r="K124" t="s">
        <v>515</v>
      </c>
      <c r="L124" t="s">
        <v>787</v>
      </c>
      <c r="M124" t="s">
        <v>403</v>
      </c>
      <c r="N124">
        <v>1</v>
      </c>
      <c r="O124">
        <v>1</v>
      </c>
      <c r="P124" t="s">
        <v>1047</v>
      </c>
      <c r="Q124" t="s">
        <v>424</v>
      </c>
      <c r="R124" t="s">
        <v>691</v>
      </c>
      <c r="S124" t="s">
        <v>1048</v>
      </c>
      <c r="T124" t="s">
        <v>408</v>
      </c>
      <c r="U124">
        <v>50950080966</v>
      </c>
      <c r="W124">
        <v>120000</v>
      </c>
      <c r="X124" t="s">
        <v>409</v>
      </c>
      <c r="Y124" t="s">
        <v>410</v>
      </c>
      <c r="Z124" t="s">
        <v>410</v>
      </c>
      <c r="AA124" t="s">
        <v>411</v>
      </c>
      <c r="AB124" t="s">
        <v>554</v>
      </c>
      <c r="AC124" t="s">
        <v>411</v>
      </c>
      <c r="AD124">
        <v>46081</v>
      </c>
      <c r="AE124">
        <v>46139</v>
      </c>
      <c r="AF124">
        <v>46092</v>
      </c>
      <c r="AG124" t="s">
        <v>754</v>
      </c>
      <c r="AH124">
        <v>6126722</v>
      </c>
      <c r="AI124">
        <v>46085</v>
      </c>
      <c r="AJ124">
        <v>46086</v>
      </c>
      <c r="AK124">
        <v>120000</v>
      </c>
      <c r="AL124" t="s">
        <v>396</v>
      </c>
      <c r="AM124" t="s">
        <v>1049</v>
      </c>
      <c r="AN124">
        <v>46086</v>
      </c>
      <c r="AO124">
        <v>46086.630439814813</v>
      </c>
      <c r="AP124" t="s">
        <v>51</v>
      </c>
      <c r="AQ124">
        <v>1.2959999999999999E-2</v>
      </c>
      <c r="AR124">
        <v>1555.2</v>
      </c>
      <c r="AS124" t="s">
        <v>51</v>
      </c>
      <c r="AT124">
        <v>1555.2</v>
      </c>
      <c r="AU124" t="s">
        <v>415</v>
      </c>
      <c r="AV124" t="s">
        <v>557</v>
      </c>
      <c r="AW124" t="s">
        <v>558</v>
      </c>
      <c r="AX124">
        <v>46092</v>
      </c>
      <c r="AY124">
        <v>46141</v>
      </c>
      <c r="AZ124" t="s">
        <v>928</v>
      </c>
      <c r="BA124" t="s">
        <v>560</v>
      </c>
      <c r="BB124" t="s">
        <v>929</v>
      </c>
      <c r="BC124">
        <v>20000</v>
      </c>
      <c r="BD124" t="s">
        <v>521</v>
      </c>
      <c r="BE124">
        <v>11.879</v>
      </c>
      <c r="BF124">
        <v>11.2</v>
      </c>
      <c r="BG124" t="s">
        <v>522</v>
      </c>
      <c r="BH124">
        <v>395</v>
      </c>
      <c r="BI124">
        <v>295</v>
      </c>
      <c r="BJ124">
        <v>174</v>
      </c>
      <c r="BK124">
        <v>6</v>
      </c>
      <c r="BL124" t="s">
        <v>521</v>
      </c>
      <c r="BM124">
        <v>79.274000000000001</v>
      </c>
      <c r="BN124">
        <v>67.2</v>
      </c>
      <c r="BO124">
        <v>79.274000000000001</v>
      </c>
      <c r="BP124" t="s">
        <v>522</v>
      </c>
      <c r="BQ124">
        <v>800</v>
      </c>
      <c r="BR124">
        <v>300</v>
      </c>
      <c r="BS124">
        <v>698</v>
      </c>
      <c r="BT124">
        <v>1</v>
      </c>
      <c r="BU124">
        <v>0</v>
      </c>
      <c r="BV124">
        <v>1</v>
      </c>
      <c r="BW124">
        <v>6</v>
      </c>
      <c r="BX124">
        <v>0</v>
      </c>
      <c r="BY124">
        <v>6</v>
      </c>
      <c r="BZ124">
        <v>120000</v>
      </c>
      <c r="CA124">
        <v>0</v>
      </c>
      <c r="CB124">
        <v>120000</v>
      </c>
      <c r="CC124">
        <v>67.2</v>
      </c>
      <c r="CD124" t="s">
        <v>659</v>
      </c>
      <c r="CE124" t="s">
        <v>1006</v>
      </c>
      <c r="CG124" t="s">
        <v>421</v>
      </c>
      <c r="CN124" t="str">
        <v>M19</v>
      </c>
      <c r="CO124" t="str">
        <v>1271-5YY0098EN</v>
      </c>
      <c r="CP124" t="str">
        <v>CSLU6094186</v>
      </c>
      <c r="CQ124" s="23">
        <v>523.48</v>
      </c>
      <c r="CR124" s="25">
        <f t="shared" si="6"/>
        <v>3.0631210439443269E-2</v>
      </c>
      <c r="CS124" s="21">
        <f t="shared" si="7"/>
        <v>76.578026098608177</v>
      </c>
    </row>
    <row r="125" spans="2:97" x14ac:dyDescent="0.35">
      <c r="B125" t="s">
        <v>296</v>
      </c>
      <c r="C125" t="s">
        <v>1050</v>
      </c>
      <c r="D125" t="s">
        <v>395</v>
      </c>
      <c r="E125" t="s">
        <v>395</v>
      </c>
      <c r="F125" t="s">
        <v>396</v>
      </c>
      <c r="G125" t="s">
        <v>397</v>
      </c>
      <c r="H125" t="s">
        <v>398</v>
      </c>
      <c r="I125" t="s">
        <v>399</v>
      </c>
      <c r="J125" t="s">
        <v>749</v>
      </c>
      <c r="K125" t="s">
        <v>629</v>
      </c>
      <c r="L125" t="s">
        <v>787</v>
      </c>
      <c r="M125" t="s">
        <v>403</v>
      </c>
      <c r="N125">
        <v>1</v>
      </c>
      <c r="O125">
        <v>1</v>
      </c>
      <c r="P125" t="s">
        <v>911</v>
      </c>
      <c r="Q125" t="s">
        <v>424</v>
      </c>
      <c r="R125" t="s">
        <v>912</v>
      </c>
      <c r="S125" t="s">
        <v>913</v>
      </c>
      <c r="T125" t="s">
        <v>408</v>
      </c>
      <c r="U125">
        <v>50950080913</v>
      </c>
      <c r="W125">
        <v>30000</v>
      </c>
      <c r="X125" t="s">
        <v>409</v>
      </c>
      <c r="Y125" t="s">
        <v>410</v>
      </c>
      <c r="Z125" t="s">
        <v>410</v>
      </c>
      <c r="AA125" t="s">
        <v>411</v>
      </c>
      <c r="AB125" t="s">
        <v>554</v>
      </c>
      <c r="AC125" t="s">
        <v>411</v>
      </c>
      <c r="AD125">
        <v>46088</v>
      </c>
      <c r="AE125">
        <v>46153</v>
      </c>
      <c r="AF125">
        <v>46092</v>
      </c>
      <c r="AG125" t="s">
        <v>754</v>
      </c>
      <c r="AH125">
        <v>6126723</v>
      </c>
      <c r="AI125">
        <v>46085</v>
      </c>
      <c r="AJ125">
        <v>46086</v>
      </c>
      <c r="AK125">
        <v>30000</v>
      </c>
      <c r="AL125" t="s">
        <v>396</v>
      </c>
      <c r="AM125" t="s">
        <v>1051</v>
      </c>
      <c r="AN125">
        <v>46086</v>
      </c>
      <c r="AO125">
        <v>46086.630439814813</v>
      </c>
      <c r="AP125" t="s">
        <v>51</v>
      </c>
      <c r="AQ125">
        <v>6.123E-2</v>
      </c>
      <c r="AR125">
        <v>1836.9</v>
      </c>
      <c r="AS125" t="s">
        <v>51</v>
      </c>
      <c r="AT125">
        <v>1836.9</v>
      </c>
      <c r="AU125" t="s">
        <v>415</v>
      </c>
      <c r="AV125" t="s">
        <v>557</v>
      </c>
      <c r="AW125" t="s">
        <v>558</v>
      </c>
      <c r="AX125">
        <v>46092</v>
      </c>
      <c r="AY125">
        <v>46141</v>
      </c>
      <c r="AZ125" t="s">
        <v>928</v>
      </c>
      <c r="BA125" t="s">
        <v>560</v>
      </c>
      <c r="BB125" t="s">
        <v>929</v>
      </c>
      <c r="BC125">
        <v>1200</v>
      </c>
      <c r="BD125" t="s">
        <v>521</v>
      </c>
      <c r="BE125">
        <v>7.0679999999999996</v>
      </c>
      <c r="BF125">
        <v>6.1980000000000004</v>
      </c>
      <c r="BG125" t="s">
        <v>522</v>
      </c>
      <c r="BH125">
        <v>595</v>
      </c>
      <c r="BI125">
        <v>395</v>
      </c>
      <c r="BJ125">
        <v>190</v>
      </c>
      <c r="BK125">
        <v>25</v>
      </c>
      <c r="BL125" t="s">
        <v>521</v>
      </c>
      <c r="BM125">
        <v>203.7</v>
      </c>
      <c r="BN125">
        <v>154.94999999999999</v>
      </c>
      <c r="BO125">
        <v>203.7</v>
      </c>
      <c r="BP125" t="s">
        <v>522</v>
      </c>
      <c r="BQ125">
        <v>1200</v>
      </c>
      <c r="BR125">
        <v>1000</v>
      </c>
      <c r="BS125">
        <v>1088</v>
      </c>
      <c r="BT125">
        <v>1</v>
      </c>
      <c r="BU125">
        <v>0</v>
      </c>
      <c r="BV125">
        <v>1</v>
      </c>
      <c r="BW125">
        <v>25</v>
      </c>
      <c r="BX125">
        <v>0</v>
      </c>
      <c r="BY125">
        <v>25</v>
      </c>
      <c r="BZ125">
        <v>30000</v>
      </c>
      <c r="CA125">
        <v>0</v>
      </c>
      <c r="CB125">
        <v>30000</v>
      </c>
      <c r="CC125">
        <v>154.94999999999999</v>
      </c>
      <c r="CD125" t="s">
        <v>842</v>
      </c>
      <c r="CE125" t="s">
        <v>898</v>
      </c>
      <c r="CG125" t="s">
        <v>421</v>
      </c>
      <c r="CN125" t="str">
        <v>M19</v>
      </c>
      <c r="CO125" t="str">
        <v>1271-5YY0100EN</v>
      </c>
      <c r="CP125" t="str">
        <v>CSLU6094186</v>
      </c>
      <c r="CQ125" s="23">
        <v>1256</v>
      </c>
      <c r="CR125" s="25">
        <f t="shared" si="6"/>
        <v>7.3494307923780741E-2</v>
      </c>
      <c r="CS125" s="21">
        <f t="shared" si="7"/>
        <v>183.73576980945185</v>
      </c>
    </row>
    <row r="126" spans="2:97" x14ac:dyDescent="0.35">
      <c r="B126" t="s">
        <v>3497</v>
      </c>
      <c r="C126" t="s">
        <v>1052</v>
      </c>
      <c r="D126" t="s">
        <v>395</v>
      </c>
      <c r="E126" t="s">
        <v>395</v>
      </c>
      <c r="F126" t="s">
        <v>396</v>
      </c>
      <c r="G126" t="s">
        <v>397</v>
      </c>
      <c r="H126" t="s">
        <v>398</v>
      </c>
      <c r="I126" t="s">
        <v>399</v>
      </c>
      <c r="J126" t="s">
        <v>749</v>
      </c>
      <c r="K126" t="s">
        <v>515</v>
      </c>
      <c r="L126" t="s">
        <v>787</v>
      </c>
      <c r="M126" t="s">
        <v>403</v>
      </c>
      <c r="N126">
        <v>1</v>
      </c>
      <c r="O126">
        <v>1</v>
      </c>
      <c r="P126" t="s">
        <v>1053</v>
      </c>
      <c r="Q126" t="s">
        <v>424</v>
      </c>
      <c r="R126" t="s">
        <v>1017</v>
      </c>
      <c r="S126" t="s">
        <v>1054</v>
      </c>
      <c r="T126" t="s">
        <v>408</v>
      </c>
      <c r="U126">
        <v>50950080975</v>
      </c>
      <c r="W126">
        <v>72000</v>
      </c>
      <c r="X126" t="s">
        <v>409</v>
      </c>
      <c r="Y126" t="s">
        <v>410</v>
      </c>
      <c r="Z126" t="s">
        <v>410</v>
      </c>
      <c r="AA126" t="s">
        <v>411</v>
      </c>
      <c r="AB126" t="s">
        <v>554</v>
      </c>
      <c r="AC126" t="s">
        <v>411</v>
      </c>
      <c r="AD126">
        <v>46081</v>
      </c>
      <c r="AE126">
        <v>46139</v>
      </c>
      <c r="AF126">
        <v>46092</v>
      </c>
      <c r="AG126" t="s">
        <v>754</v>
      </c>
      <c r="AH126">
        <v>6126724</v>
      </c>
      <c r="AI126">
        <v>46085</v>
      </c>
      <c r="AJ126">
        <v>46086</v>
      </c>
      <c r="AK126">
        <v>72000</v>
      </c>
      <c r="AL126" t="s">
        <v>396</v>
      </c>
      <c r="AM126" t="s">
        <v>1055</v>
      </c>
      <c r="AN126">
        <v>46086</v>
      </c>
      <c r="AO126">
        <v>46086.630439814813</v>
      </c>
      <c r="AP126" t="s">
        <v>51</v>
      </c>
      <c r="AQ126">
        <v>1.0630000000000001E-2</v>
      </c>
      <c r="AR126">
        <v>765.36</v>
      </c>
      <c r="AS126" t="s">
        <v>51</v>
      </c>
      <c r="AT126">
        <v>765.36</v>
      </c>
      <c r="AU126" t="s">
        <v>415</v>
      </c>
      <c r="AV126" t="s">
        <v>557</v>
      </c>
      <c r="AW126" t="s">
        <v>558</v>
      </c>
      <c r="AX126">
        <v>46092</v>
      </c>
      <c r="AY126">
        <v>46141</v>
      </c>
      <c r="AZ126" t="s">
        <v>928</v>
      </c>
      <c r="BA126" t="s">
        <v>560</v>
      </c>
      <c r="BB126" t="s">
        <v>929</v>
      </c>
      <c r="BC126">
        <v>12000</v>
      </c>
      <c r="BD126" t="s">
        <v>521</v>
      </c>
      <c r="BE126">
        <v>8.3738499999999991</v>
      </c>
      <c r="BF126">
        <v>7.44</v>
      </c>
      <c r="BG126" t="s">
        <v>522</v>
      </c>
      <c r="BH126">
        <v>398</v>
      </c>
      <c r="BI126">
        <v>298</v>
      </c>
      <c r="BJ126">
        <v>155</v>
      </c>
      <c r="BK126">
        <v>6</v>
      </c>
      <c r="BL126" t="s">
        <v>521</v>
      </c>
      <c r="BM126">
        <v>58.243099999999998</v>
      </c>
      <c r="BN126">
        <v>44.64</v>
      </c>
      <c r="BO126">
        <v>58.243099999999998</v>
      </c>
      <c r="BP126" t="s">
        <v>522</v>
      </c>
      <c r="BQ126">
        <v>800</v>
      </c>
      <c r="BR126">
        <v>300</v>
      </c>
      <c r="BS126">
        <v>608</v>
      </c>
      <c r="BT126">
        <v>1</v>
      </c>
      <c r="BU126">
        <v>0</v>
      </c>
      <c r="BV126">
        <v>1</v>
      </c>
      <c r="BW126">
        <v>6</v>
      </c>
      <c r="BX126">
        <v>0</v>
      </c>
      <c r="BY126">
        <v>6</v>
      </c>
      <c r="BZ126">
        <v>72000</v>
      </c>
      <c r="CA126">
        <v>0</v>
      </c>
      <c r="CB126">
        <v>72000</v>
      </c>
      <c r="CC126">
        <v>44.64</v>
      </c>
      <c r="CD126" t="s">
        <v>523</v>
      </c>
      <c r="CE126" t="s">
        <v>1056</v>
      </c>
      <c r="CG126" t="s">
        <v>421</v>
      </c>
      <c r="CN126" t="str">
        <v>M19</v>
      </c>
      <c r="CO126" t="str">
        <v>1330-5YY0167EN</v>
      </c>
      <c r="CP126" t="str">
        <v>CSLU6094186</v>
      </c>
      <c r="CQ126" s="23">
        <v>175.2276</v>
      </c>
      <c r="CR126" s="25">
        <f t="shared" si="6"/>
        <v>1.0253368782758824E-2</v>
      </c>
      <c r="CS126" s="21">
        <f t="shared" si="7"/>
        <v>25.63342195689706</v>
      </c>
    </row>
    <row r="127" spans="2:97" x14ac:dyDescent="0.35">
      <c r="B127" t="s">
        <v>299</v>
      </c>
      <c r="C127" t="s">
        <v>1057</v>
      </c>
      <c r="D127" t="s">
        <v>395</v>
      </c>
      <c r="E127" t="s">
        <v>395</v>
      </c>
      <c r="F127" t="s">
        <v>396</v>
      </c>
      <c r="G127" t="s">
        <v>397</v>
      </c>
      <c r="H127" t="s">
        <v>398</v>
      </c>
      <c r="I127" t="s">
        <v>399</v>
      </c>
      <c r="J127" t="s">
        <v>749</v>
      </c>
      <c r="K127" t="s">
        <v>845</v>
      </c>
      <c r="L127" t="s">
        <v>787</v>
      </c>
      <c r="M127" t="s">
        <v>403</v>
      </c>
      <c r="N127">
        <v>1</v>
      </c>
      <c r="O127">
        <v>1</v>
      </c>
      <c r="P127" t="s">
        <v>1058</v>
      </c>
      <c r="Q127" t="s">
        <v>430</v>
      </c>
      <c r="R127" t="s">
        <v>847</v>
      </c>
      <c r="S127" t="s">
        <v>1059</v>
      </c>
      <c r="T127" t="s">
        <v>408</v>
      </c>
      <c r="U127">
        <v>50950080986</v>
      </c>
      <c r="W127">
        <v>4860</v>
      </c>
      <c r="X127" t="s">
        <v>409</v>
      </c>
      <c r="Y127" t="s">
        <v>410</v>
      </c>
      <c r="Z127" t="s">
        <v>410</v>
      </c>
      <c r="AA127" t="s">
        <v>411</v>
      </c>
      <c r="AB127" t="s">
        <v>554</v>
      </c>
      <c r="AC127" t="s">
        <v>411</v>
      </c>
      <c r="AD127">
        <v>46081</v>
      </c>
      <c r="AE127">
        <v>46139</v>
      </c>
      <c r="AF127">
        <v>46091</v>
      </c>
      <c r="AG127" t="s">
        <v>754</v>
      </c>
      <c r="AH127">
        <v>6126439</v>
      </c>
      <c r="AI127">
        <v>46085</v>
      </c>
      <c r="AJ127">
        <v>46086</v>
      </c>
      <c r="AK127">
        <v>4860</v>
      </c>
      <c r="AL127" t="s">
        <v>396</v>
      </c>
      <c r="AM127" t="s">
        <v>1060</v>
      </c>
      <c r="AN127">
        <v>46086</v>
      </c>
      <c r="AO127">
        <v>46086.40929398148</v>
      </c>
      <c r="AP127" t="s">
        <v>51</v>
      </c>
      <c r="AQ127">
        <v>1.4178500000000001</v>
      </c>
      <c r="AR127">
        <v>6890.76</v>
      </c>
      <c r="AS127" t="s">
        <v>51</v>
      </c>
      <c r="AT127">
        <v>6890.76</v>
      </c>
      <c r="AU127" t="s">
        <v>415</v>
      </c>
      <c r="AV127" t="s">
        <v>772</v>
      </c>
      <c r="AW127" t="s">
        <v>863</v>
      </c>
      <c r="AX127">
        <v>46091</v>
      </c>
      <c r="AY127">
        <v>46140</v>
      </c>
      <c r="AZ127" t="s">
        <v>919</v>
      </c>
      <c r="BA127" t="s">
        <v>560</v>
      </c>
      <c r="BB127" t="s">
        <v>920</v>
      </c>
      <c r="BC127">
        <v>27</v>
      </c>
      <c r="BD127" t="s">
        <v>521</v>
      </c>
      <c r="BE127">
        <v>13.9528</v>
      </c>
      <c r="BF127">
        <v>12.7248</v>
      </c>
      <c r="BG127" t="s">
        <v>522</v>
      </c>
      <c r="BH127">
        <v>495</v>
      </c>
      <c r="BI127">
        <v>395</v>
      </c>
      <c r="BJ127">
        <v>170</v>
      </c>
      <c r="BK127">
        <v>30</v>
      </c>
      <c r="BL127" t="s">
        <v>521</v>
      </c>
      <c r="BM127">
        <v>445.584</v>
      </c>
      <c r="BN127">
        <v>381.74400000000003</v>
      </c>
      <c r="BO127">
        <v>2673.5093999999999</v>
      </c>
      <c r="BP127" t="s">
        <v>522</v>
      </c>
      <c r="BQ127">
        <v>1200</v>
      </c>
      <c r="BR127">
        <v>1000</v>
      </c>
      <c r="BS127">
        <v>1000</v>
      </c>
      <c r="BT127">
        <v>6</v>
      </c>
      <c r="BU127">
        <v>0</v>
      </c>
      <c r="BV127">
        <v>6</v>
      </c>
      <c r="BW127">
        <v>180</v>
      </c>
      <c r="BX127">
        <v>0</v>
      </c>
      <c r="BY127">
        <v>180</v>
      </c>
      <c r="BZ127">
        <v>4860</v>
      </c>
      <c r="CA127">
        <v>0</v>
      </c>
      <c r="CB127">
        <v>4860</v>
      </c>
      <c r="CC127">
        <v>2290.4694</v>
      </c>
      <c r="CD127" t="s">
        <v>850</v>
      </c>
      <c r="CE127" t="s">
        <v>851</v>
      </c>
      <c r="CG127" t="s">
        <v>421</v>
      </c>
      <c r="CN127" t="str">
        <v>M19</v>
      </c>
      <c r="CO127" t="str">
        <v>1301-5YY0305EN0093</v>
      </c>
      <c r="CP127" t="str">
        <v>CSLU6094186</v>
      </c>
      <c r="CQ127" s="23">
        <v>3310.7402999999999</v>
      </c>
      <c r="CR127" s="25">
        <f t="shared" si="6"/>
        <v>0.19372656613365463</v>
      </c>
      <c r="CS127" s="21">
        <f t="shared" si="7"/>
        <v>484.31641533413659</v>
      </c>
    </row>
    <row r="128" spans="2:97" x14ac:dyDescent="0.35">
      <c r="B128" t="s">
        <v>3497</v>
      </c>
      <c r="C128" t="s">
        <v>1061</v>
      </c>
      <c r="D128" t="s">
        <v>395</v>
      </c>
      <c r="E128" t="s">
        <v>395</v>
      </c>
      <c r="F128" t="s">
        <v>396</v>
      </c>
      <c r="G128" t="s">
        <v>397</v>
      </c>
      <c r="H128" t="s">
        <v>398</v>
      </c>
      <c r="I128" t="s">
        <v>399</v>
      </c>
      <c r="J128" t="s">
        <v>749</v>
      </c>
      <c r="K128" t="s">
        <v>515</v>
      </c>
      <c r="L128" t="s">
        <v>787</v>
      </c>
      <c r="M128" t="s">
        <v>403</v>
      </c>
      <c r="N128">
        <v>1</v>
      </c>
      <c r="O128">
        <v>1</v>
      </c>
      <c r="P128" t="s">
        <v>1062</v>
      </c>
      <c r="Q128" t="s">
        <v>405</v>
      </c>
      <c r="R128" t="s">
        <v>691</v>
      </c>
      <c r="S128" t="s">
        <v>1048</v>
      </c>
      <c r="T128" t="s">
        <v>408</v>
      </c>
      <c r="U128">
        <v>50950080991</v>
      </c>
      <c r="W128">
        <v>24000</v>
      </c>
      <c r="X128" t="s">
        <v>409</v>
      </c>
      <c r="Y128" t="s">
        <v>410</v>
      </c>
      <c r="Z128" t="s">
        <v>410</v>
      </c>
      <c r="AA128" t="s">
        <v>411</v>
      </c>
      <c r="AB128" t="s">
        <v>554</v>
      </c>
      <c r="AC128" t="s">
        <v>411</v>
      </c>
      <c r="AD128">
        <v>46081</v>
      </c>
      <c r="AE128">
        <v>46139</v>
      </c>
      <c r="AF128">
        <v>46092</v>
      </c>
      <c r="AG128" t="s">
        <v>754</v>
      </c>
      <c r="AH128">
        <v>6126725</v>
      </c>
      <c r="AI128">
        <v>46085</v>
      </c>
      <c r="AJ128">
        <v>46086</v>
      </c>
      <c r="AK128">
        <v>24000</v>
      </c>
      <c r="AL128" t="s">
        <v>396</v>
      </c>
      <c r="AM128" t="s">
        <v>1063</v>
      </c>
      <c r="AN128">
        <v>46086</v>
      </c>
      <c r="AO128">
        <v>46086.630439814813</v>
      </c>
      <c r="AP128" t="s">
        <v>51</v>
      </c>
      <c r="AQ128">
        <v>3.2770000000000001E-2</v>
      </c>
      <c r="AR128">
        <v>786.48</v>
      </c>
      <c r="AS128" t="s">
        <v>51</v>
      </c>
      <c r="AT128">
        <v>786.48</v>
      </c>
      <c r="AU128" t="s">
        <v>415</v>
      </c>
      <c r="AV128" t="s">
        <v>557</v>
      </c>
      <c r="AW128" t="s">
        <v>558</v>
      </c>
      <c r="AX128">
        <v>46092</v>
      </c>
      <c r="AY128">
        <v>46141</v>
      </c>
      <c r="AZ128" t="s">
        <v>928</v>
      </c>
      <c r="BA128" t="s">
        <v>560</v>
      </c>
      <c r="BB128" t="s">
        <v>929</v>
      </c>
      <c r="BC128">
        <v>4000</v>
      </c>
      <c r="BD128" t="s">
        <v>521</v>
      </c>
      <c r="BE128">
        <v>4.4618500000000001</v>
      </c>
      <c r="BF128">
        <v>3.528</v>
      </c>
      <c r="BG128" t="s">
        <v>522</v>
      </c>
      <c r="BH128">
        <v>398</v>
      </c>
      <c r="BI128">
        <v>298</v>
      </c>
      <c r="BJ128">
        <v>155</v>
      </c>
      <c r="BK128">
        <v>6</v>
      </c>
      <c r="BL128" t="s">
        <v>521</v>
      </c>
      <c r="BM128">
        <v>34.771099999999997</v>
      </c>
      <c r="BN128">
        <v>21.167999999999999</v>
      </c>
      <c r="BO128">
        <v>34.771099999999997</v>
      </c>
      <c r="BP128" t="s">
        <v>522</v>
      </c>
      <c r="BQ128">
        <v>800</v>
      </c>
      <c r="BR128">
        <v>300</v>
      </c>
      <c r="BS128">
        <v>608</v>
      </c>
      <c r="BT128">
        <v>1</v>
      </c>
      <c r="BU128">
        <v>0</v>
      </c>
      <c r="BV128">
        <v>1</v>
      </c>
      <c r="BW128">
        <v>6</v>
      </c>
      <c r="BX128">
        <v>0</v>
      </c>
      <c r="BY128">
        <v>6</v>
      </c>
      <c r="BZ128">
        <v>24000</v>
      </c>
      <c r="CA128">
        <v>0</v>
      </c>
      <c r="CB128">
        <v>24000</v>
      </c>
      <c r="CC128">
        <v>21.167999999999999</v>
      </c>
      <c r="CD128" t="s">
        <v>523</v>
      </c>
      <c r="CE128" t="s">
        <v>981</v>
      </c>
      <c r="CG128" t="s">
        <v>421</v>
      </c>
      <c r="CN128" t="str">
        <v>M19</v>
      </c>
      <c r="CO128" t="str">
        <v>1330-5YY0171EN</v>
      </c>
      <c r="CP128" t="str">
        <v>CSLU6094186</v>
      </c>
      <c r="CQ128" s="23">
        <v>689.15808000000004</v>
      </c>
      <c r="CR128" s="25">
        <f t="shared" si="6"/>
        <v>4.0325793104841981E-2</v>
      </c>
      <c r="CS128" s="21">
        <f t="shared" si="7"/>
        <v>100.81448276210496</v>
      </c>
    </row>
    <row r="129" spans="2:97" x14ac:dyDescent="0.35">
      <c r="B129" t="s">
        <v>299</v>
      </c>
      <c r="C129" t="s">
        <v>1064</v>
      </c>
      <c r="D129" t="s">
        <v>395</v>
      </c>
      <c r="E129" t="s">
        <v>395</v>
      </c>
      <c r="F129" t="s">
        <v>396</v>
      </c>
      <c r="G129" t="s">
        <v>397</v>
      </c>
      <c r="H129" t="s">
        <v>398</v>
      </c>
      <c r="I129" t="s">
        <v>399</v>
      </c>
      <c r="J129" t="s">
        <v>749</v>
      </c>
      <c r="K129" t="s">
        <v>526</v>
      </c>
      <c r="L129" t="s">
        <v>787</v>
      </c>
      <c r="M129" t="s">
        <v>403</v>
      </c>
      <c r="N129">
        <v>1</v>
      </c>
      <c r="O129">
        <v>1</v>
      </c>
      <c r="P129" t="s">
        <v>1065</v>
      </c>
      <c r="Q129" t="s">
        <v>430</v>
      </c>
      <c r="R129" t="s">
        <v>959</v>
      </c>
      <c r="S129" t="s">
        <v>1066</v>
      </c>
      <c r="T129" t="s">
        <v>408</v>
      </c>
      <c r="U129">
        <v>50950081022</v>
      </c>
      <c r="W129">
        <v>12000</v>
      </c>
      <c r="X129" t="s">
        <v>409</v>
      </c>
      <c r="Y129" t="s">
        <v>410</v>
      </c>
      <c r="Z129" t="s">
        <v>410</v>
      </c>
      <c r="AA129" t="s">
        <v>411</v>
      </c>
      <c r="AB129" t="s">
        <v>554</v>
      </c>
      <c r="AC129" t="s">
        <v>411</v>
      </c>
      <c r="AD129">
        <v>46088</v>
      </c>
      <c r="AE129">
        <v>46146</v>
      </c>
      <c r="AF129">
        <v>46092</v>
      </c>
      <c r="AG129" t="s">
        <v>754</v>
      </c>
      <c r="AH129">
        <v>6126726</v>
      </c>
      <c r="AI129">
        <v>46085</v>
      </c>
      <c r="AJ129">
        <v>46086</v>
      </c>
      <c r="AK129">
        <v>12000</v>
      </c>
      <c r="AL129" t="s">
        <v>396</v>
      </c>
      <c r="AM129" t="s">
        <v>1067</v>
      </c>
      <c r="AN129">
        <v>46086</v>
      </c>
      <c r="AO129">
        <v>46086.630439814813</v>
      </c>
      <c r="AP129" t="s">
        <v>51</v>
      </c>
      <c r="AQ129">
        <v>9.8100000000000007E-2</v>
      </c>
      <c r="AR129">
        <v>1177.2</v>
      </c>
      <c r="AS129" t="s">
        <v>51</v>
      </c>
      <c r="AT129">
        <v>1177.2</v>
      </c>
      <c r="AU129" t="s">
        <v>415</v>
      </c>
      <c r="AV129" t="s">
        <v>557</v>
      </c>
      <c r="AW129" t="s">
        <v>558</v>
      </c>
      <c r="AX129">
        <v>46092</v>
      </c>
      <c r="AY129">
        <v>46141</v>
      </c>
      <c r="AZ129" t="s">
        <v>928</v>
      </c>
      <c r="BA129" t="s">
        <v>560</v>
      </c>
      <c r="BB129" t="s">
        <v>929</v>
      </c>
      <c r="BC129">
        <v>250</v>
      </c>
      <c r="BD129" t="s">
        <v>521</v>
      </c>
      <c r="BE129">
        <v>7.8822999999999999</v>
      </c>
      <c r="BF129">
        <v>7.6322999999999999</v>
      </c>
      <c r="BG129" t="s">
        <v>522</v>
      </c>
      <c r="BH129">
        <v>286</v>
      </c>
      <c r="BI129">
        <v>190</v>
      </c>
      <c r="BJ129">
        <v>72</v>
      </c>
      <c r="BK129">
        <v>48</v>
      </c>
      <c r="BL129" t="s">
        <v>521</v>
      </c>
      <c r="BM129">
        <v>403.34800000000001</v>
      </c>
      <c r="BN129">
        <v>366.34800000000001</v>
      </c>
      <c r="BO129">
        <v>403.34800000000001</v>
      </c>
      <c r="BP129" t="s">
        <v>522</v>
      </c>
      <c r="BQ129">
        <v>1200</v>
      </c>
      <c r="BR129">
        <v>800</v>
      </c>
      <c r="BS129">
        <v>378</v>
      </c>
      <c r="BT129">
        <v>1</v>
      </c>
      <c r="BU129">
        <v>0</v>
      </c>
      <c r="BV129">
        <v>1</v>
      </c>
      <c r="BW129">
        <v>48</v>
      </c>
      <c r="BX129">
        <v>0</v>
      </c>
      <c r="BY129">
        <v>48</v>
      </c>
      <c r="BZ129">
        <v>12000</v>
      </c>
      <c r="CA129">
        <v>0</v>
      </c>
      <c r="CB129">
        <v>12000</v>
      </c>
      <c r="CC129">
        <v>366.34800000000001</v>
      </c>
      <c r="CD129" t="s">
        <v>969</v>
      </c>
      <c r="CE129" t="s">
        <v>970</v>
      </c>
      <c r="CG129" t="s">
        <v>421</v>
      </c>
      <c r="CN129" t="str">
        <v>M19</v>
      </c>
      <c r="CO129" t="str">
        <v>1301-5YY0306EN0093</v>
      </c>
      <c r="CP129" t="str">
        <v>CSLU6094186</v>
      </c>
      <c r="CQ129" s="23">
        <v>493.40627999999998</v>
      </c>
      <c r="CR129" s="25">
        <f t="shared" si="6"/>
        <v>2.8871459453699982E-2</v>
      </c>
      <c r="CS129" s="21">
        <f t="shared" si="7"/>
        <v>72.178648634249953</v>
      </c>
    </row>
    <row r="130" spans="2:97" x14ac:dyDescent="0.35">
      <c r="B130" t="s">
        <v>299</v>
      </c>
      <c r="C130" t="s">
        <v>1068</v>
      </c>
      <c r="D130" t="s">
        <v>395</v>
      </c>
      <c r="E130" t="s">
        <v>395</v>
      </c>
      <c r="F130" t="s">
        <v>396</v>
      </c>
      <c r="G130" t="s">
        <v>397</v>
      </c>
      <c r="H130" t="s">
        <v>398</v>
      </c>
      <c r="I130" t="s">
        <v>399</v>
      </c>
      <c r="J130" t="s">
        <v>749</v>
      </c>
      <c r="K130" t="s">
        <v>809</v>
      </c>
      <c r="L130" t="s">
        <v>787</v>
      </c>
      <c r="M130" t="s">
        <v>403</v>
      </c>
      <c r="N130">
        <v>1</v>
      </c>
      <c r="O130">
        <v>1</v>
      </c>
      <c r="P130" t="s">
        <v>1069</v>
      </c>
      <c r="Q130" t="s">
        <v>424</v>
      </c>
      <c r="R130" t="s">
        <v>811</v>
      </c>
      <c r="S130" t="s">
        <v>1070</v>
      </c>
      <c r="T130" t="s">
        <v>408</v>
      </c>
      <c r="U130">
        <v>50950081200</v>
      </c>
      <c r="W130">
        <v>1920</v>
      </c>
      <c r="X130" t="s">
        <v>409</v>
      </c>
      <c r="Y130" t="s">
        <v>410</v>
      </c>
      <c r="Z130" t="s">
        <v>410</v>
      </c>
      <c r="AA130" t="s">
        <v>411</v>
      </c>
      <c r="AB130" t="s">
        <v>554</v>
      </c>
      <c r="AC130" t="s">
        <v>411</v>
      </c>
      <c r="AD130">
        <v>46088</v>
      </c>
      <c r="AE130">
        <v>46139</v>
      </c>
      <c r="AF130">
        <v>46092</v>
      </c>
      <c r="AG130" t="s">
        <v>754</v>
      </c>
      <c r="AH130">
        <v>6126727</v>
      </c>
      <c r="AI130">
        <v>46085</v>
      </c>
      <c r="AJ130">
        <v>46086</v>
      </c>
      <c r="AK130">
        <v>1920</v>
      </c>
      <c r="AL130" t="s">
        <v>396</v>
      </c>
      <c r="AM130" t="s">
        <v>1071</v>
      </c>
      <c r="AN130">
        <v>46086</v>
      </c>
      <c r="AO130">
        <v>46086.630439814813</v>
      </c>
      <c r="AP130" t="s">
        <v>51</v>
      </c>
      <c r="AQ130">
        <v>2.3610099999999998</v>
      </c>
      <c r="AR130">
        <v>4533.12</v>
      </c>
      <c r="AS130" t="s">
        <v>51</v>
      </c>
      <c r="AT130">
        <v>4533.12</v>
      </c>
      <c r="AU130" t="s">
        <v>415</v>
      </c>
      <c r="AV130" t="s">
        <v>557</v>
      </c>
      <c r="AW130" t="s">
        <v>558</v>
      </c>
      <c r="AX130">
        <v>46092</v>
      </c>
      <c r="AY130">
        <v>46141</v>
      </c>
      <c r="AZ130" t="s">
        <v>928</v>
      </c>
      <c r="BA130" t="s">
        <v>560</v>
      </c>
      <c r="BB130" t="s">
        <v>929</v>
      </c>
      <c r="BC130">
        <v>16</v>
      </c>
      <c r="BD130" t="s">
        <v>521</v>
      </c>
      <c r="BE130">
        <v>6.3334000000000001</v>
      </c>
      <c r="BF130">
        <v>5.1344000000000003</v>
      </c>
      <c r="BG130" t="s">
        <v>522</v>
      </c>
      <c r="BH130">
        <v>495</v>
      </c>
      <c r="BI130">
        <v>395</v>
      </c>
      <c r="BJ130">
        <v>190</v>
      </c>
      <c r="BK130">
        <v>30</v>
      </c>
      <c r="BL130" t="s">
        <v>521</v>
      </c>
      <c r="BM130">
        <v>217.00200000000001</v>
      </c>
      <c r="BN130">
        <v>154.03200000000001</v>
      </c>
      <c r="BO130">
        <v>868.00800000000004</v>
      </c>
      <c r="BP130" t="s">
        <v>522</v>
      </c>
      <c r="BQ130">
        <v>1200</v>
      </c>
      <c r="BR130">
        <v>1000</v>
      </c>
      <c r="BS130">
        <v>1120</v>
      </c>
      <c r="BT130">
        <v>4</v>
      </c>
      <c r="BU130">
        <v>0</v>
      </c>
      <c r="BV130">
        <v>4</v>
      </c>
      <c r="BW130">
        <v>120</v>
      </c>
      <c r="BX130">
        <v>0</v>
      </c>
      <c r="BY130">
        <v>120</v>
      </c>
      <c r="BZ130">
        <v>1920</v>
      </c>
      <c r="CA130">
        <v>0</v>
      </c>
      <c r="CB130">
        <v>1920</v>
      </c>
      <c r="CC130">
        <v>616.12800000000004</v>
      </c>
      <c r="CD130" t="s">
        <v>806</v>
      </c>
      <c r="CE130" t="s">
        <v>816</v>
      </c>
      <c r="CG130" t="s">
        <v>421</v>
      </c>
      <c r="CN130" t="str">
        <v>M45</v>
      </c>
      <c r="CO130" t="str">
        <v>1339-12C0008EN</v>
      </c>
      <c r="CP130" t="str">
        <v>CSLU6094186</v>
      </c>
      <c r="CQ130" s="23">
        <v>1915.3634999999999</v>
      </c>
      <c r="CR130" s="25">
        <f t="shared" si="6"/>
        <v>0.11207668380172803</v>
      </c>
      <c r="CS130" s="21">
        <f t="shared" si="7"/>
        <v>280.19170950432004</v>
      </c>
    </row>
    <row r="131" spans="2:97" x14ac:dyDescent="0.35">
      <c r="B131" t="s">
        <v>299</v>
      </c>
      <c r="C131" t="s">
        <v>1072</v>
      </c>
      <c r="D131" t="s">
        <v>395</v>
      </c>
      <c r="E131" t="s">
        <v>823</v>
      </c>
      <c r="F131" t="s">
        <v>396</v>
      </c>
      <c r="G131" t="s">
        <v>397</v>
      </c>
      <c r="H131" t="s">
        <v>398</v>
      </c>
      <c r="I131" t="s">
        <v>399</v>
      </c>
      <c r="J131" t="s">
        <v>749</v>
      </c>
      <c r="K131" t="s">
        <v>809</v>
      </c>
      <c r="L131" t="s">
        <v>787</v>
      </c>
      <c r="M131" t="s">
        <v>403</v>
      </c>
      <c r="N131">
        <v>1</v>
      </c>
      <c r="O131">
        <v>1</v>
      </c>
      <c r="P131" t="s">
        <v>1073</v>
      </c>
      <c r="Q131" t="s">
        <v>637</v>
      </c>
      <c r="R131" t="s">
        <v>811</v>
      </c>
      <c r="S131" t="s">
        <v>1074</v>
      </c>
      <c r="T131" t="s">
        <v>408</v>
      </c>
      <c r="U131">
        <v>50950081288</v>
      </c>
      <c r="W131">
        <v>1920</v>
      </c>
      <c r="X131" t="s">
        <v>409</v>
      </c>
      <c r="Y131" t="s">
        <v>410</v>
      </c>
      <c r="Z131" t="s">
        <v>410</v>
      </c>
      <c r="AA131" t="s">
        <v>411</v>
      </c>
      <c r="AB131" t="s">
        <v>554</v>
      </c>
      <c r="AC131" t="s">
        <v>411</v>
      </c>
      <c r="AD131">
        <v>46088</v>
      </c>
      <c r="AE131">
        <v>46139</v>
      </c>
      <c r="AF131">
        <v>46092</v>
      </c>
      <c r="AG131" t="s">
        <v>754</v>
      </c>
      <c r="AH131">
        <v>6126728</v>
      </c>
      <c r="AI131">
        <v>46085</v>
      </c>
      <c r="AJ131">
        <v>46086</v>
      </c>
      <c r="AK131">
        <v>1920</v>
      </c>
      <c r="AL131" t="s">
        <v>396</v>
      </c>
      <c r="AM131" t="s">
        <v>1075</v>
      </c>
      <c r="AN131">
        <v>46086</v>
      </c>
      <c r="AO131">
        <v>46086.630439814813</v>
      </c>
      <c r="AP131" t="s">
        <v>51</v>
      </c>
      <c r="AQ131">
        <v>2.0480299999999998</v>
      </c>
      <c r="AR131">
        <v>3932.2</v>
      </c>
      <c r="AS131" t="s">
        <v>51</v>
      </c>
      <c r="AT131">
        <v>3932.2</v>
      </c>
      <c r="AU131" t="s">
        <v>415</v>
      </c>
      <c r="AV131" t="s">
        <v>557</v>
      </c>
      <c r="AW131" t="s">
        <v>558</v>
      </c>
      <c r="AX131">
        <v>46092</v>
      </c>
      <c r="AY131">
        <v>46141</v>
      </c>
      <c r="AZ131" t="s">
        <v>928</v>
      </c>
      <c r="BA131" t="s">
        <v>560</v>
      </c>
      <c r="BB131" t="s">
        <v>929</v>
      </c>
      <c r="BC131">
        <v>16</v>
      </c>
      <c r="BD131" t="s">
        <v>521</v>
      </c>
      <c r="BE131">
        <v>5.8639999999999999</v>
      </c>
      <c r="BF131">
        <v>4.665</v>
      </c>
      <c r="BG131" t="s">
        <v>522</v>
      </c>
      <c r="BH131">
        <v>495</v>
      </c>
      <c r="BI131">
        <v>395</v>
      </c>
      <c r="BJ131">
        <v>190</v>
      </c>
      <c r="BK131">
        <v>30</v>
      </c>
      <c r="BL131" t="s">
        <v>521</v>
      </c>
      <c r="BM131">
        <v>202.92</v>
      </c>
      <c r="BN131">
        <v>139.94999999999999</v>
      </c>
      <c r="BO131">
        <v>811.67520000000002</v>
      </c>
      <c r="BP131" t="s">
        <v>522</v>
      </c>
      <c r="BQ131">
        <v>1200</v>
      </c>
      <c r="BR131">
        <v>1000</v>
      </c>
      <c r="BS131">
        <v>1120</v>
      </c>
      <c r="BT131">
        <v>4</v>
      </c>
      <c r="BU131">
        <v>0</v>
      </c>
      <c r="BV131">
        <v>4</v>
      </c>
      <c r="BW131">
        <v>120</v>
      </c>
      <c r="BX131">
        <v>0</v>
      </c>
      <c r="BY131">
        <v>120</v>
      </c>
      <c r="BZ131">
        <v>1920</v>
      </c>
      <c r="CA131">
        <v>0</v>
      </c>
      <c r="CB131">
        <v>1920</v>
      </c>
      <c r="CC131">
        <v>559.79520000000002</v>
      </c>
      <c r="CD131" t="s">
        <v>806</v>
      </c>
      <c r="CE131" t="s">
        <v>816</v>
      </c>
      <c r="CG131" t="s">
        <v>421</v>
      </c>
      <c r="CN131" t="str">
        <v>M45</v>
      </c>
      <c r="CO131" t="str">
        <v>1339-12C0007EN</v>
      </c>
      <c r="CP131" t="str">
        <v>CSLU6094186</v>
      </c>
      <c r="CQ131" s="23">
        <v>2548.9796000000001</v>
      </c>
      <c r="CR131" s="25">
        <f t="shared" si="6"/>
        <v>0.14915246147598366</v>
      </c>
      <c r="CS131" s="21">
        <f t="shared" si="7"/>
        <v>372.88115368995915</v>
      </c>
    </row>
    <row r="132" spans="2:97" x14ac:dyDescent="0.35">
      <c r="B132" t="s">
        <v>3497</v>
      </c>
      <c r="C132" t="s">
        <v>1076</v>
      </c>
      <c r="D132" t="s">
        <v>395</v>
      </c>
      <c r="E132" t="s">
        <v>395</v>
      </c>
      <c r="F132" t="s">
        <v>396</v>
      </c>
      <c r="G132" t="s">
        <v>397</v>
      </c>
      <c r="H132" t="s">
        <v>398</v>
      </c>
      <c r="I132" t="s">
        <v>399</v>
      </c>
      <c r="J132" t="s">
        <v>749</v>
      </c>
      <c r="K132" t="s">
        <v>515</v>
      </c>
      <c r="L132" t="s">
        <v>787</v>
      </c>
      <c r="M132" t="s">
        <v>403</v>
      </c>
      <c r="N132">
        <v>1</v>
      </c>
      <c r="O132">
        <v>1</v>
      </c>
      <c r="P132" t="s">
        <v>1016</v>
      </c>
      <c r="Q132" t="s">
        <v>424</v>
      </c>
      <c r="R132" t="s">
        <v>1017</v>
      </c>
      <c r="S132" t="s">
        <v>1018</v>
      </c>
      <c r="T132" t="s">
        <v>408</v>
      </c>
      <c r="U132">
        <v>50950081598</v>
      </c>
      <c r="W132">
        <v>96000</v>
      </c>
      <c r="X132" t="s">
        <v>409</v>
      </c>
      <c r="Y132" t="s">
        <v>410</v>
      </c>
      <c r="Z132" t="s">
        <v>410</v>
      </c>
      <c r="AA132" t="s">
        <v>411</v>
      </c>
      <c r="AB132" t="s">
        <v>554</v>
      </c>
      <c r="AC132" t="s">
        <v>411</v>
      </c>
      <c r="AD132">
        <v>46082</v>
      </c>
      <c r="AE132">
        <v>46139</v>
      </c>
      <c r="AF132">
        <v>46092</v>
      </c>
      <c r="AG132" t="s">
        <v>754</v>
      </c>
      <c r="AH132">
        <v>6126729</v>
      </c>
      <c r="AI132">
        <v>46085</v>
      </c>
      <c r="AJ132">
        <v>46086</v>
      </c>
      <c r="AK132">
        <v>96000</v>
      </c>
      <c r="AL132" t="s">
        <v>396</v>
      </c>
      <c r="AM132" t="s">
        <v>1077</v>
      </c>
      <c r="AN132">
        <v>46086</v>
      </c>
      <c r="AO132">
        <v>46086.630439814813</v>
      </c>
      <c r="AP132" t="s">
        <v>51</v>
      </c>
      <c r="AQ132">
        <v>1.307E-2</v>
      </c>
      <c r="AR132">
        <v>1254.72</v>
      </c>
      <c r="AS132" t="s">
        <v>51</v>
      </c>
      <c r="AT132">
        <v>1254.72</v>
      </c>
      <c r="AU132" t="s">
        <v>415</v>
      </c>
      <c r="AV132" t="s">
        <v>557</v>
      </c>
      <c r="AW132" t="s">
        <v>558</v>
      </c>
      <c r="AX132">
        <v>46092</v>
      </c>
      <c r="AY132">
        <v>46141</v>
      </c>
      <c r="AZ132" t="s">
        <v>928</v>
      </c>
      <c r="BA132" t="s">
        <v>560</v>
      </c>
      <c r="BB132" t="s">
        <v>929</v>
      </c>
      <c r="BC132">
        <v>16000</v>
      </c>
      <c r="BD132" t="s">
        <v>521</v>
      </c>
      <c r="BE132">
        <v>14.213850000000001</v>
      </c>
      <c r="BF132">
        <v>13.28</v>
      </c>
      <c r="BG132" t="s">
        <v>522</v>
      </c>
      <c r="BH132">
        <v>398</v>
      </c>
      <c r="BI132">
        <v>298</v>
      </c>
      <c r="BJ132">
        <v>155</v>
      </c>
      <c r="BK132">
        <v>6</v>
      </c>
      <c r="BL132" t="s">
        <v>521</v>
      </c>
      <c r="BM132">
        <v>93.283100000000005</v>
      </c>
      <c r="BN132">
        <v>79.680000000000007</v>
      </c>
      <c r="BO132">
        <v>93.283100000000005</v>
      </c>
      <c r="BP132" t="s">
        <v>522</v>
      </c>
      <c r="BQ132">
        <v>800</v>
      </c>
      <c r="BR132">
        <v>300</v>
      </c>
      <c r="BS132">
        <v>608</v>
      </c>
      <c r="BT132">
        <v>1</v>
      </c>
      <c r="BU132">
        <v>0</v>
      </c>
      <c r="BV132">
        <v>1</v>
      </c>
      <c r="BW132">
        <v>6</v>
      </c>
      <c r="BX132">
        <v>0</v>
      </c>
      <c r="BY132">
        <v>6</v>
      </c>
      <c r="BZ132">
        <v>96000</v>
      </c>
      <c r="CA132">
        <v>0</v>
      </c>
      <c r="CB132">
        <v>96000</v>
      </c>
      <c r="CC132">
        <v>79.680000000000007</v>
      </c>
      <c r="CD132" t="s">
        <v>523</v>
      </c>
      <c r="CE132" t="s">
        <v>1020</v>
      </c>
      <c r="CG132" t="s">
        <v>421</v>
      </c>
      <c r="CN132" t="str">
        <v>M45</v>
      </c>
      <c r="CO132" t="str">
        <v>1404-12C0002EN</v>
      </c>
      <c r="CP132" t="str">
        <v>CSLU6094186</v>
      </c>
      <c r="CQ132" s="23">
        <v>1318.3378</v>
      </c>
      <c r="CR132" s="25">
        <f t="shared" si="6"/>
        <v>7.7141977882770441E-2</v>
      </c>
      <c r="CS132" s="21">
        <f t="shared" si="7"/>
        <v>192.85494470692609</v>
      </c>
    </row>
    <row r="133" spans="2:97" x14ac:dyDescent="0.35">
      <c r="B133" t="s">
        <v>3497</v>
      </c>
      <c r="C133" t="s">
        <v>1078</v>
      </c>
      <c r="D133" t="s">
        <v>395</v>
      </c>
      <c r="E133" t="s">
        <v>395</v>
      </c>
      <c r="F133" t="s">
        <v>396</v>
      </c>
      <c r="G133" t="s">
        <v>397</v>
      </c>
      <c r="H133" t="s">
        <v>398</v>
      </c>
      <c r="I133" t="s">
        <v>399</v>
      </c>
      <c r="J133" t="s">
        <v>749</v>
      </c>
      <c r="K133" t="s">
        <v>515</v>
      </c>
      <c r="L133" t="s">
        <v>787</v>
      </c>
      <c r="M133" t="s">
        <v>403</v>
      </c>
      <c r="N133">
        <v>1</v>
      </c>
      <c r="O133">
        <v>1</v>
      </c>
      <c r="P133" t="s">
        <v>1026</v>
      </c>
      <c r="Q133" t="s">
        <v>424</v>
      </c>
      <c r="R133" t="s">
        <v>1017</v>
      </c>
      <c r="S133" t="s">
        <v>1027</v>
      </c>
      <c r="T133" t="s">
        <v>408</v>
      </c>
      <c r="U133">
        <v>50950081599</v>
      </c>
      <c r="W133">
        <v>96000</v>
      </c>
      <c r="X133" t="s">
        <v>409</v>
      </c>
      <c r="Y133" t="s">
        <v>410</v>
      </c>
      <c r="Z133" t="s">
        <v>410</v>
      </c>
      <c r="AA133" t="s">
        <v>411</v>
      </c>
      <c r="AB133" t="s">
        <v>554</v>
      </c>
      <c r="AC133" t="s">
        <v>411</v>
      </c>
      <c r="AD133">
        <v>46082</v>
      </c>
      <c r="AE133">
        <v>46139</v>
      </c>
      <c r="AF133">
        <v>46092</v>
      </c>
      <c r="AG133" t="s">
        <v>754</v>
      </c>
      <c r="AH133">
        <v>6126730</v>
      </c>
      <c r="AI133">
        <v>46085</v>
      </c>
      <c r="AJ133">
        <v>46086</v>
      </c>
      <c r="AK133">
        <v>96000</v>
      </c>
      <c r="AL133" t="s">
        <v>396</v>
      </c>
      <c r="AM133" t="s">
        <v>1079</v>
      </c>
      <c r="AN133">
        <v>46086</v>
      </c>
      <c r="AO133">
        <v>46086.630439814813</v>
      </c>
      <c r="AP133" t="s">
        <v>51</v>
      </c>
      <c r="AQ133">
        <v>1.307E-2</v>
      </c>
      <c r="AR133">
        <v>1254.72</v>
      </c>
      <c r="AS133" t="s">
        <v>51</v>
      </c>
      <c r="AT133">
        <v>1254.72</v>
      </c>
      <c r="AU133" t="s">
        <v>415</v>
      </c>
      <c r="AV133" t="s">
        <v>557</v>
      </c>
      <c r="AW133" t="s">
        <v>558</v>
      </c>
      <c r="AX133">
        <v>46092</v>
      </c>
      <c r="AY133">
        <v>46141</v>
      </c>
      <c r="AZ133" t="s">
        <v>928</v>
      </c>
      <c r="BA133" t="s">
        <v>560</v>
      </c>
      <c r="BB133" t="s">
        <v>929</v>
      </c>
      <c r="BC133">
        <v>16000</v>
      </c>
      <c r="BD133" t="s">
        <v>521</v>
      </c>
      <c r="BE133">
        <v>14.533849999999999</v>
      </c>
      <c r="BF133">
        <v>13.6</v>
      </c>
      <c r="BG133" t="s">
        <v>522</v>
      </c>
      <c r="BH133">
        <v>398</v>
      </c>
      <c r="BI133">
        <v>298</v>
      </c>
      <c r="BJ133">
        <v>155</v>
      </c>
      <c r="BK133">
        <v>6</v>
      </c>
      <c r="BL133" t="s">
        <v>521</v>
      </c>
      <c r="BM133">
        <v>95.203100000000006</v>
      </c>
      <c r="BN133">
        <v>81.599999999999994</v>
      </c>
      <c r="BO133">
        <v>95.203100000000006</v>
      </c>
      <c r="BP133" t="s">
        <v>522</v>
      </c>
      <c r="BQ133">
        <v>800</v>
      </c>
      <c r="BR133">
        <v>300</v>
      </c>
      <c r="BS133">
        <v>608</v>
      </c>
      <c r="BT133">
        <v>1</v>
      </c>
      <c r="BU133">
        <v>0</v>
      </c>
      <c r="BV133">
        <v>1</v>
      </c>
      <c r="BW133">
        <v>6</v>
      </c>
      <c r="BX133">
        <v>0</v>
      </c>
      <c r="BY133">
        <v>6</v>
      </c>
      <c r="BZ133">
        <v>96000</v>
      </c>
      <c r="CA133">
        <v>0</v>
      </c>
      <c r="CB133">
        <v>96000</v>
      </c>
      <c r="CC133">
        <v>81.599999999999994</v>
      </c>
      <c r="CD133" t="s">
        <v>523</v>
      </c>
      <c r="CE133" t="s">
        <v>1020</v>
      </c>
      <c r="CG133" t="s">
        <v>421</v>
      </c>
      <c r="CN133" t="str">
        <v>M45</v>
      </c>
      <c r="CO133" t="str">
        <v>AYSP61BS362EN</v>
      </c>
      <c r="CP133" t="str">
        <v>CSLU6094186</v>
      </c>
      <c r="CQ133" s="23">
        <v>382.04809999999998</v>
      </c>
      <c r="CR133" s="25">
        <f t="shared" si="6"/>
        <v>2.2355382725394408E-2</v>
      </c>
      <c r="CS133" s="21">
        <f t="shared" si="7"/>
        <v>55.888456813486016</v>
      </c>
    </row>
    <row r="134" spans="2:97" x14ac:dyDescent="0.35">
      <c r="B134" t="s">
        <v>297</v>
      </c>
      <c r="C134" t="s">
        <v>1080</v>
      </c>
      <c r="D134" t="s">
        <v>549</v>
      </c>
      <c r="E134" t="s">
        <v>395</v>
      </c>
      <c r="F134" t="s">
        <v>396</v>
      </c>
      <c r="G134" t="s">
        <v>397</v>
      </c>
      <c r="H134" t="s">
        <v>398</v>
      </c>
      <c r="I134" t="s">
        <v>399</v>
      </c>
      <c r="J134" t="s">
        <v>749</v>
      </c>
      <c r="K134" t="s">
        <v>1081</v>
      </c>
      <c r="L134" t="s">
        <v>766</v>
      </c>
      <c r="M134" t="s">
        <v>403</v>
      </c>
      <c r="N134">
        <v>1</v>
      </c>
      <c r="O134">
        <v>1</v>
      </c>
      <c r="P134" t="s">
        <v>1082</v>
      </c>
      <c r="Q134" t="s">
        <v>424</v>
      </c>
      <c r="R134" t="s">
        <v>1083</v>
      </c>
      <c r="S134" t="s">
        <v>1084</v>
      </c>
      <c r="T134" t="s">
        <v>408</v>
      </c>
      <c r="U134">
        <v>50950080560</v>
      </c>
      <c r="W134">
        <v>10400</v>
      </c>
      <c r="X134" t="s">
        <v>409</v>
      </c>
      <c r="Y134" t="s">
        <v>410</v>
      </c>
      <c r="Z134" t="s">
        <v>410</v>
      </c>
      <c r="AA134" t="s">
        <v>411</v>
      </c>
      <c r="AB134" t="s">
        <v>554</v>
      </c>
      <c r="AC134" t="s">
        <v>411</v>
      </c>
      <c r="AD134">
        <v>46088</v>
      </c>
      <c r="AE134">
        <v>46146</v>
      </c>
      <c r="AF134">
        <v>46091</v>
      </c>
      <c r="AG134" t="s">
        <v>770</v>
      </c>
      <c r="AH134">
        <v>6128664</v>
      </c>
      <c r="AI134">
        <v>46086</v>
      </c>
      <c r="AJ134">
        <v>46087</v>
      </c>
      <c r="AK134">
        <v>10400</v>
      </c>
      <c r="AL134" t="s">
        <v>396</v>
      </c>
      <c r="AM134" t="s">
        <v>1085</v>
      </c>
      <c r="AN134">
        <v>46087</v>
      </c>
      <c r="AO134">
        <v>46087.636724537035</v>
      </c>
      <c r="AP134" t="s">
        <v>51</v>
      </c>
      <c r="AQ134">
        <v>0.69545000000000001</v>
      </c>
      <c r="AR134">
        <v>7232.68</v>
      </c>
      <c r="AS134" t="s">
        <v>51</v>
      </c>
      <c r="AT134">
        <v>7232.68</v>
      </c>
      <c r="AU134" t="s">
        <v>415</v>
      </c>
      <c r="AV134" t="s">
        <v>772</v>
      </c>
      <c r="AW134" t="s">
        <v>863</v>
      </c>
      <c r="AX134">
        <v>46091</v>
      </c>
      <c r="AY134">
        <v>46140</v>
      </c>
      <c r="AZ134" t="s">
        <v>1086</v>
      </c>
      <c r="BA134" t="s">
        <v>560</v>
      </c>
      <c r="BB134" t="s">
        <v>1087</v>
      </c>
      <c r="BC134">
        <v>130</v>
      </c>
      <c r="BD134" t="s">
        <v>521</v>
      </c>
      <c r="BE134">
        <v>12.42</v>
      </c>
      <c r="BF134">
        <v>10.984999999999999</v>
      </c>
      <c r="BG134" t="s">
        <v>522</v>
      </c>
      <c r="BH134">
        <v>395</v>
      </c>
      <c r="BI134">
        <v>295</v>
      </c>
      <c r="BJ134">
        <v>180</v>
      </c>
      <c r="BK134">
        <v>40</v>
      </c>
      <c r="BL134" t="s">
        <v>521</v>
      </c>
      <c r="BM134">
        <v>520.79999999999995</v>
      </c>
      <c r="BN134">
        <v>439.4</v>
      </c>
      <c r="BO134">
        <v>1041.5999999999999</v>
      </c>
      <c r="BP134" t="s">
        <v>522</v>
      </c>
      <c r="BQ134">
        <v>1200</v>
      </c>
      <c r="BR134">
        <v>800</v>
      </c>
      <c r="BS134">
        <v>1060</v>
      </c>
      <c r="BT134">
        <v>2</v>
      </c>
      <c r="BU134">
        <v>0</v>
      </c>
      <c r="BV134">
        <v>2</v>
      </c>
      <c r="BW134">
        <v>80</v>
      </c>
      <c r="BX134">
        <v>0</v>
      </c>
      <c r="BY134">
        <v>80</v>
      </c>
      <c r="BZ134">
        <v>10400</v>
      </c>
      <c r="CA134">
        <v>0</v>
      </c>
      <c r="CB134">
        <v>10400</v>
      </c>
      <c r="CC134">
        <v>878.8</v>
      </c>
      <c r="CD134" t="s">
        <v>694</v>
      </c>
      <c r="CE134" t="s">
        <v>1088</v>
      </c>
      <c r="CG134" t="s">
        <v>421</v>
      </c>
      <c r="CN134" t="str">
        <v>M19</v>
      </c>
      <c r="CO134" t="str">
        <v>1275-5YY0783EN</v>
      </c>
      <c r="CP134" t="str">
        <v>CSLU6140168</v>
      </c>
      <c r="CQ134" s="23">
        <v>297.4692</v>
      </c>
      <c r="CR134" s="25">
        <f t="shared" ref="CR134:CR197" si="8">IFERROR(CQ134/(SUMIFS(CQ:CQ,CP:CP,CP134)),100%)</f>
        <v>2.302724118114052E-2</v>
      </c>
      <c r="CS134" s="21">
        <f t="shared" si="7"/>
        <v>57.568102952851298</v>
      </c>
    </row>
    <row r="135" spans="2:97" x14ac:dyDescent="0.35">
      <c r="B135" s="34" t="s">
        <v>297</v>
      </c>
      <c r="C135" t="s">
        <v>921</v>
      </c>
      <c r="D135" t="s">
        <v>549</v>
      </c>
      <c r="E135" t="s">
        <v>395</v>
      </c>
      <c r="F135" t="s">
        <v>396</v>
      </c>
      <c r="G135" t="s">
        <v>397</v>
      </c>
      <c r="H135" t="s">
        <v>398</v>
      </c>
      <c r="I135" t="s">
        <v>399</v>
      </c>
      <c r="J135" t="s">
        <v>749</v>
      </c>
      <c r="K135" t="s">
        <v>922</v>
      </c>
      <c r="L135" t="s">
        <v>766</v>
      </c>
      <c r="M135" t="s">
        <v>403</v>
      </c>
      <c r="N135">
        <v>10</v>
      </c>
      <c r="O135">
        <v>1</v>
      </c>
      <c r="P135" t="s">
        <v>923</v>
      </c>
      <c r="Q135" t="s">
        <v>645</v>
      </c>
      <c r="R135" t="s">
        <v>924</v>
      </c>
      <c r="S135" t="s">
        <v>925</v>
      </c>
      <c r="T135" t="s">
        <v>408</v>
      </c>
      <c r="U135">
        <v>50950080751</v>
      </c>
      <c r="W135">
        <v>11520</v>
      </c>
      <c r="X135" t="s">
        <v>409</v>
      </c>
      <c r="Y135" t="s">
        <v>410</v>
      </c>
      <c r="Z135" t="s">
        <v>410</v>
      </c>
      <c r="AA135" t="s">
        <v>411</v>
      </c>
      <c r="AB135" t="s">
        <v>554</v>
      </c>
      <c r="AC135" t="s">
        <v>411</v>
      </c>
      <c r="AD135">
        <v>46084</v>
      </c>
      <c r="AE135">
        <v>46132</v>
      </c>
      <c r="AF135">
        <v>46091</v>
      </c>
      <c r="AG135" t="s">
        <v>926</v>
      </c>
      <c r="AH135">
        <v>6128665</v>
      </c>
      <c r="AI135">
        <v>46086</v>
      </c>
      <c r="AJ135">
        <v>46087</v>
      </c>
      <c r="AK135">
        <v>11520</v>
      </c>
      <c r="AL135" t="s">
        <v>396</v>
      </c>
      <c r="AM135" t="s">
        <v>1089</v>
      </c>
      <c r="AN135">
        <v>46087</v>
      </c>
      <c r="AO135">
        <v>46087.636724537035</v>
      </c>
      <c r="AP135" t="s">
        <v>51</v>
      </c>
      <c r="AQ135">
        <v>0.59975999999999996</v>
      </c>
      <c r="AR135">
        <v>6909.2</v>
      </c>
      <c r="AS135" t="s">
        <v>51</v>
      </c>
      <c r="AT135">
        <v>6909.2</v>
      </c>
      <c r="AU135" t="s">
        <v>415</v>
      </c>
      <c r="AV135" t="s">
        <v>772</v>
      </c>
      <c r="AW135" t="s">
        <v>863</v>
      </c>
      <c r="AX135">
        <v>46091</v>
      </c>
      <c r="AY135">
        <v>46140</v>
      </c>
      <c r="AZ135" t="s">
        <v>1086</v>
      </c>
      <c r="BA135" t="s">
        <v>560</v>
      </c>
      <c r="BB135" t="s">
        <v>1087</v>
      </c>
      <c r="BC135">
        <v>288</v>
      </c>
      <c r="BD135" t="s">
        <v>521</v>
      </c>
      <c r="BE135">
        <v>9.8219999999999992</v>
      </c>
      <c r="BF135">
        <v>8.3520000000000003</v>
      </c>
      <c r="BG135" t="s">
        <v>522</v>
      </c>
      <c r="BH135">
        <v>400</v>
      </c>
      <c r="BI135">
        <v>300</v>
      </c>
      <c r="BJ135">
        <v>160</v>
      </c>
      <c r="BK135">
        <v>40</v>
      </c>
      <c r="BL135" t="s">
        <v>521</v>
      </c>
      <c r="BM135">
        <v>417.88</v>
      </c>
      <c r="BN135">
        <v>334.08</v>
      </c>
      <c r="BO135">
        <v>417.88</v>
      </c>
      <c r="BP135" t="s">
        <v>522</v>
      </c>
      <c r="BQ135">
        <v>1200</v>
      </c>
      <c r="BR135">
        <v>800</v>
      </c>
      <c r="BS135">
        <v>970</v>
      </c>
      <c r="BT135">
        <v>1</v>
      </c>
      <c r="BU135">
        <v>0</v>
      </c>
      <c r="BV135">
        <v>1</v>
      </c>
      <c r="BW135">
        <v>40</v>
      </c>
      <c r="BX135">
        <v>0</v>
      </c>
      <c r="BY135">
        <v>40</v>
      </c>
      <c r="BZ135">
        <v>11520</v>
      </c>
      <c r="CA135">
        <v>0</v>
      </c>
      <c r="CB135">
        <v>11520</v>
      </c>
      <c r="CC135">
        <v>334.08</v>
      </c>
      <c r="CD135" t="s">
        <v>930</v>
      </c>
      <c r="CE135" t="s">
        <v>931</v>
      </c>
      <c r="CG135" t="s">
        <v>421</v>
      </c>
      <c r="CN135" t="str">
        <v>M19</v>
      </c>
      <c r="CO135" t="str">
        <v>1606-5YY5022EN</v>
      </c>
      <c r="CP135" t="str">
        <v>CSLU6140168</v>
      </c>
      <c r="CQ135" s="23">
        <v>917.86800000000005</v>
      </c>
      <c r="CR135" s="25">
        <f t="shared" si="8"/>
        <v>7.1052625980945541E-2</v>
      </c>
      <c r="CS135" s="21">
        <f t="shared" ref="CS135:CS198" si="9">CR135*$CS$2</f>
        <v>177.63156495236385</v>
      </c>
    </row>
    <row r="136" spans="2:97" x14ac:dyDescent="0.35">
      <c r="B136" t="s">
        <v>299</v>
      </c>
      <c r="C136" t="s">
        <v>932</v>
      </c>
      <c r="D136" t="s">
        <v>395</v>
      </c>
      <c r="E136" t="s">
        <v>395</v>
      </c>
      <c r="F136" t="s">
        <v>396</v>
      </c>
      <c r="G136" t="s">
        <v>397</v>
      </c>
      <c r="H136" t="s">
        <v>398</v>
      </c>
      <c r="I136" t="s">
        <v>399</v>
      </c>
      <c r="J136" t="s">
        <v>749</v>
      </c>
      <c r="K136" t="s">
        <v>777</v>
      </c>
      <c r="L136" t="s">
        <v>778</v>
      </c>
      <c r="M136" t="s">
        <v>403</v>
      </c>
      <c r="N136">
        <v>1</v>
      </c>
      <c r="O136">
        <v>2</v>
      </c>
      <c r="P136" t="s">
        <v>933</v>
      </c>
      <c r="Q136" t="s">
        <v>934</v>
      </c>
      <c r="R136" t="s">
        <v>536</v>
      </c>
      <c r="S136" t="s">
        <v>935</v>
      </c>
      <c r="T136" t="s">
        <v>408</v>
      </c>
      <c r="U136">
        <v>50950075777</v>
      </c>
      <c r="W136">
        <v>1620</v>
      </c>
      <c r="X136" t="s">
        <v>409</v>
      </c>
      <c r="Y136" t="s">
        <v>410</v>
      </c>
      <c r="Z136" t="s">
        <v>410</v>
      </c>
      <c r="AA136" t="s">
        <v>411</v>
      </c>
      <c r="AB136" t="s">
        <v>554</v>
      </c>
      <c r="AC136" t="s">
        <v>411</v>
      </c>
      <c r="AD136">
        <v>46083</v>
      </c>
      <c r="AE136">
        <v>46111</v>
      </c>
      <c r="AF136">
        <v>46092</v>
      </c>
      <c r="AG136" t="s">
        <v>936</v>
      </c>
      <c r="AH136">
        <v>6128289</v>
      </c>
      <c r="AI136">
        <v>46086</v>
      </c>
      <c r="AJ136">
        <v>46087</v>
      </c>
      <c r="AK136">
        <v>1620</v>
      </c>
      <c r="AL136" t="s">
        <v>396</v>
      </c>
      <c r="AM136" t="s">
        <v>1090</v>
      </c>
      <c r="AN136">
        <v>46087</v>
      </c>
      <c r="AO136">
        <v>46087.395694444444</v>
      </c>
      <c r="AP136" t="s">
        <v>51</v>
      </c>
      <c r="AQ136">
        <v>4.1398799999999998</v>
      </c>
      <c r="AR136">
        <v>6706.62</v>
      </c>
      <c r="AS136" t="s">
        <v>51</v>
      </c>
      <c r="AT136">
        <v>6706.62</v>
      </c>
      <c r="AU136" t="s">
        <v>415</v>
      </c>
      <c r="AV136" t="s">
        <v>557</v>
      </c>
      <c r="AW136" t="s">
        <v>558</v>
      </c>
      <c r="AX136">
        <v>46092</v>
      </c>
      <c r="AY136">
        <v>46141</v>
      </c>
      <c r="AZ136" t="s">
        <v>1091</v>
      </c>
      <c r="BA136" t="s">
        <v>560</v>
      </c>
      <c r="BB136" t="s">
        <v>1092</v>
      </c>
      <c r="BC136">
        <v>36</v>
      </c>
      <c r="BD136" t="s">
        <v>521</v>
      </c>
      <c r="BE136">
        <v>8.7870000000000008</v>
      </c>
      <c r="BF136">
        <v>6.5519999999999996</v>
      </c>
      <c r="BG136" t="s">
        <v>522</v>
      </c>
      <c r="BH136">
        <v>595</v>
      </c>
      <c r="BI136">
        <v>395</v>
      </c>
      <c r="BJ136">
        <v>290</v>
      </c>
      <c r="BK136">
        <v>15</v>
      </c>
      <c r="BL136" t="s">
        <v>521</v>
      </c>
      <c r="BM136">
        <v>158.80500000000001</v>
      </c>
      <c r="BN136">
        <v>98.28</v>
      </c>
      <c r="BO136">
        <v>476.41500000000002</v>
      </c>
      <c r="BP136" t="s">
        <v>522</v>
      </c>
      <c r="BQ136">
        <v>1200</v>
      </c>
      <c r="BR136">
        <v>1000</v>
      </c>
      <c r="BS136">
        <v>1025</v>
      </c>
      <c r="BT136">
        <v>3</v>
      </c>
      <c r="BU136">
        <v>0</v>
      </c>
      <c r="BV136">
        <v>3</v>
      </c>
      <c r="BW136">
        <v>45</v>
      </c>
      <c r="BX136">
        <v>0</v>
      </c>
      <c r="BY136">
        <v>45</v>
      </c>
      <c r="BZ136">
        <v>1620</v>
      </c>
      <c r="CA136">
        <v>0</v>
      </c>
      <c r="CB136">
        <v>1620</v>
      </c>
      <c r="CC136">
        <v>294.83999999999997</v>
      </c>
      <c r="CD136" t="s">
        <v>938</v>
      </c>
      <c r="CE136" t="s">
        <v>939</v>
      </c>
      <c r="CG136" t="s">
        <v>421</v>
      </c>
      <c r="CN136" t="str">
        <v>M23</v>
      </c>
      <c r="CO136" t="str">
        <v>1346-1120062EN</v>
      </c>
      <c r="CP136" t="str">
        <v>CSLU6140168</v>
      </c>
      <c r="CQ136" s="23">
        <v>92.834999999999994</v>
      </c>
      <c r="CR136" s="25">
        <f t="shared" si="8"/>
        <v>7.1864042900951757E-3</v>
      </c>
      <c r="CS136" s="21">
        <f t="shared" si="9"/>
        <v>17.96601072523794</v>
      </c>
    </row>
    <row r="137" spans="2:97" x14ac:dyDescent="0.35">
      <c r="B137" t="s">
        <v>299</v>
      </c>
      <c r="C137" t="s">
        <v>1093</v>
      </c>
      <c r="D137" t="s">
        <v>395</v>
      </c>
      <c r="E137" t="s">
        <v>395</v>
      </c>
      <c r="F137" t="s">
        <v>396</v>
      </c>
      <c r="G137" t="s">
        <v>397</v>
      </c>
      <c r="H137" t="s">
        <v>398</v>
      </c>
      <c r="I137" t="s">
        <v>399</v>
      </c>
      <c r="J137" t="s">
        <v>749</v>
      </c>
      <c r="K137" t="s">
        <v>777</v>
      </c>
      <c r="L137" t="s">
        <v>778</v>
      </c>
      <c r="M137" t="s">
        <v>403</v>
      </c>
      <c r="N137">
        <v>1</v>
      </c>
      <c r="O137">
        <v>1</v>
      </c>
      <c r="P137" t="s">
        <v>933</v>
      </c>
      <c r="Q137" t="s">
        <v>934</v>
      </c>
      <c r="R137" t="s">
        <v>536</v>
      </c>
      <c r="S137" t="s">
        <v>935</v>
      </c>
      <c r="T137" t="s">
        <v>408</v>
      </c>
      <c r="U137">
        <v>50950075921</v>
      </c>
      <c r="W137">
        <v>540</v>
      </c>
      <c r="X137" t="s">
        <v>409</v>
      </c>
      <c r="Y137" t="s">
        <v>410</v>
      </c>
      <c r="Z137" t="s">
        <v>410</v>
      </c>
      <c r="AA137" t="s">
        <v>411</v>
      </c>
      <c r="AB137" t="s">
        <v>554</v>
      </c>
      <c r="AC137" t="s">
        <v>411</v>
      </c>
      <c r="AD137">
        <v>46090</v>
      </c>
      <c r="AE137">
        <v>46118</v>
      </c>
      <c r="AF137">
        <v>46092</v>
      </c>
      <c r="AG137" t="s">
        <v>936</v>
      </c>
      <c r="AH137">
        <v>6128290</v>
      </c>
      <c r="AI137">
        <v>46086</v>
      </c>
      <c r="AJ137">
        <v>46087</v>
      </c>
      <c r="AK137">
        <v>540</v>
      </c>
      <c r="AL137" t="s">
        <v>396</v>
      </c>
      <c r="AM137" t="s">
        <v>1094</v>
      </c>
      <c r="AN137">
        <v>46087</v>
      </c>
      <c r="AO137">
        <v>46087.395694444444</v>
      </c>
      <c r="AP137" t="s">
        <v>51</v>
      </c>
      <c r="AQ137">
        <v>4.1398799999999998</v>
      </c>
      <c r="AR137">
        <v>2235.54</v>
      </c>
      <c r="AS137" t="s">
        <v>51</v>
      </c>
      <c r="AT137">
        <v>2235.54</v>
      </c>
      <c r="AU137" t="s">
        <v>415</v>
      </c>
      <c r="AV137" t="s">
        <v>557</v>
      </c>
      <c r="AW137" t="s">
        <v>558</v>
      </c>
      <c r="AX137">
        <v>46092</v>
      </c>
      <c r="AY137">
        <v>46141</v>
      </c>
      <c r="AZ137" t="s">
        <v>1091</v>
      </c>
      <c r="BA137" t="s">
        <v>560</v>
      </c>
      <c r="BB137" t="s">
        <v>1092</v>
      </c>
      <c r="BC137">
        <v>36</v>
      </c>
      <c r="BD137" t="s">
        <v>521</v>
      </c>
      <c r="BE137">
        <v>8.7870000000000008</v>
      </c>
      <c r="BF137">
        <v>6.5519999999999996</v>
      </c>
      <c r="BG137" t="s">
        <v>522</v>
      </c>
      <c r="BH137">
        <v>595</v>
      </c>
      <c r="BI137">
        <v>395</v>
      </c>
      <c r="BJ137">
        <v>290</v>
      </c>
      <c r="BK137">
        <v>15</v>
      </c>
      <c r="BL137" t="s">
        <v>521</v>
      </c>
      <c r="BM137">
        <v>158.80500000000001</v>
      </c>
      <c r="BN137">
        <v>98.28</v>
      </c>
      <c r="BO137">
        <v>158.80500000000001</v>
      </c>
      <c r="BP137" t="s">
        <v>522</v>
      </c>
      <c r="BQ137">
        <v>1200</v>
      </c>
      <c r="BR137">
        <v>1000</v>
      </c>
      <c r="BS137">
        <v>1025</v>
      </c>
      <c r="BT137">
        <v>1</v>
      </c>
      <c r="BU137">
        <v>0</v>
      </c>
      <c r="BV137">
        <v>1</v>
      </c>
      <c r="BW137">
        <v>15</v>
      </c>
      <c r="BX137">
        <v>0</v>
      </c>
      <c r="BY137">
        <v>15</v>
      </c>
      <c r="BZ137">
        <v>540</v>
      </c>
      <c r="CA137">
        <v>0</v>
      </c>
      <c r="CB137">
        <v>540</v>
      </c>
      <c r="CC137">
        <v>98.28</v>
      </c>
      <c r="CD137" t="s">
        <v>938</v>
      </c>
      <c r="CE137" t="s">
        <v>939</v>
      </c>
      <c r="CG137" t="s">
        <v>421</v>
      </c>
      <c r="CN137" t="str">
        <v>M23</v>
      </c>
      <c r="CO137" t="str">
        <v>1301-1120169EN</v>
      </c>
      <c r="CP137" t="str">
        <v>CSLU6140168</v>
      </c>
      <c r="CQ137" s="23">
        <v>323.10719999999998</v>
      </c>
      <c r="CR137" s="25">
        <f t="shared" si="8"/>
        <v>2.5011891724464264E-2</v>
      </c>
      <c r="CS137" s="21">
        <f t="shared" si="9"/>
        <v>62.529729311160658</v>
      </c>
    </row>
    <row r="138" spans="2:97" x14ac:dyDescent="0.35">
      <c r="B138" t="s">
        <v>299</v>
      </c>
      <c r="C138" t="s">
        <v>941</v>
      </c>
      <c r="D138" t="s">
        <v>395</v>
      </c>
      <c r="E138" t="s">
        <v>823</v>
      </c>
      <c r="F138" t="s">
        <v>396</v>
      </c>
      <c r="G138" t="s">
        <v>397</v>
      </c>
      <c r="H138" t="s">
        <v>398</v>
      </c>
      <c r="I138" t="s">
        <v>399</v>
      </c>
      <c r="J138" t="s">
        <v>749</v>
      </c>
      <c r="K138" t="s">
        <v>777</v>
      </c>
      <c r="L138" t="s">
        <v>778</v>
      </c>
      <c r="M138" t="s">
        <v>403</v>
      </c>
      <c r="N138">
        <v>1</v>
      </c>
      <c r="O138">
        <v>2</v>
      </c>
      <c r="P138" t="s">
        <v>942</v>
      </c>
      <c r="Q138" t="s">
        <v>943</v>
      </c>
      <c r="R138" t="s">
        <v>536</v>
      </c>
      <c r="S138" t="s">
        <v>944</v>
      </c>
      <c r="T138" t="s">
        <v>408</v>
      </c>
      <c r="U138">
        <v>50950079558</v>
      </c>
      <c r="W138">
        <v>504</v>
      </c>
      <c r="X138" t="s">
        <v>409</v>
      </c>
      <c r="Y138" t="s">
        <v>410</v>
      </c>
      <c r="Z138" t="s">
        <v>410</v>
      </c>
      <c r="AA138" t="s">
        <v>411</v>
      </c>
      <c r="AB138" t="s">
        <v>554</v>
      </c>
      <c r="AC138" t="s">
        <v>411</v>
      </c>
      <c r="AD138">
        <v>46083</v>
      </c>
      <c r="AE138">
        <v>46139</v>
      </c>
      <c r="AF138">
        <v>46091</v>
      </c>
      <c r="AG138" t="s">
        <v>781</v>
      </c>
      <c r="AH138">
        <v>6128666</v>
      </c>
      <c r="AI138">
        <v>46086</v>
      </c>
      <c r="AJ138">
        <v>46087</v>
      </c>
      <c r="AK138">
        <v>504</v>
      </c>
      <c r="AL138" t="s">
        <v>396</v>
      </c>
      <c r="AM138" t="s">
        <v>1095</v>
      </c>
      <c r="AN138">
        <v>46087</v>
      </c>
      <c r="AO138">
        <v>46087.636724537035</v>
      </c>
      <c r="AP138" t="s">
        <v>51</v>
      </c>
      <c r="AQ138">
        <v>2.3639100000000002</v>
      </c>
      <c r="AR138">
        <v>1191.4100000000001</v>
      </c>
      <c r="AS138" t="s">
        <v>51</v>
      </c>
      <c r="AT138">
        <v>1191.4100000000001</v>
      </c>
      <c r="AU138" t="s">
        <v>415</v>
      </c>
      <c r="AV138" t="s">
        <v>772</v>
      </c>
      <c r="AW138" t="s">
        <v>863</v>
      </c>
      <c r="AX138">
        <v>46091</v>
      </c>
      <c r="AY138">
        <v>46140</v>
      </c>
      <c r="AZ138" t="s">
        <v>1086</v>
      </c>
      <c r="BA138" t="s">
        <v>560</v>
      </c>
      <c r="BB138" t="s">
        <v>1087</v>
      </c>
      <c r="BC138">
        <v>28</v>
      </c>
      <c r="BD138" t="s">
        <v>521</v>
      </c>
      <c r="BE138">
        <v>4.6406000000000001</v>
      </c>
      <c r="BF138">
        <v>2.7776000000000001</v>
      </c>
      <c r="BG138" t="s">
        <v>522</v>
      </c>
      <c r="BH138">
        <v>795</v>
      </c>
      <c r="BI138">
        <v>395</v>
      </c>
      <c r="BJ138">
        <v>145</v>
      </c>
      <c r="BK138">
        <v>18</v>
      </c>
      <c r="BL138" t="s">
        <v>521</v>
      </c>
      <c r="BM138">
        <v>108.5308</v>
      </c>
      <c r="BN138">
        <v>49.9968</v>
      </c>
      <c r="BO138">
        <v>108.5308</v>
      </c>
      <c r="BP138" t="s">
        <v>522</v>
      </c>
      <c r="BQ138">
        <v>1200</v>
      </c>
      <c r="BR138">
        <v>800</v>
      </c>
      <c r="BS138">
        <v>1030</v>
      </c>
      <c r="BT138">
        <v>1</v>
      </c>
      <c r="BU138">
        <v>0</v>
      </c>
      <c r="BV138">
        <v>1</v>
      </c>
      <c r="BW138">
        <v>18</v>
      </c>
      <c r="BX138">
        <v>0</v>
      </c>
      <c r="BY138">
        <v>18</v>
      </c>
      <c r="BZ138">
        <v>504</v>
      </c>
      <c r="CA138">
        <v>0</v>
      </c>
      <c r="CB138">
        <v>504</v>
      </c>
      <c r="CC138">
        <v>49.9968</v>
      </c>
      <c r="CD138" t="s">
        <v>783</v>
      </c>
      <c r="CE138" t="s">
        <v>784</v>
      </c>
      <c r="CG138" t="s">
        <v>421</v>
      </c>
      <c r="CN138" t="str">
        <v>M46</v>
      </c>
      <c r="CO138" t="str">
        <v>1415-EQN0006EN</v>
      </c>
      <c r="CP138" t="str">
        <v>CSLU6140168</v>
      </c>
      <c r="CQ138" s="23">
        <v>424.3374</v>
      </c>
      <c r="CR138" s="25">
        <f t="shared" si="8"/>
        <v>3.2848172691418466E-2</v>
      </c>
      <c r="CS138" s="21">
        <f t="shared" si="9"/>
        <v>82.120431728546166</v>
      </c>
    </row>
    <row r="139" spans="2:97" x14ac:dyDescent="0.35">
      <c r="B139" t="s">
        <v>297</v>
      </c>
      <c r="C139" t="s">
        <v>946</v>
      </c>
      <c r="D139" t="s">
        <v>395</v>
      </c>
      <c r="E139" t="s">
        <v>395</v>
      </c>
      <c r="F139" t="s">
        <v>396</v>
      </c>
      <c r="G139" t="s">
        <v>397</v>
      </c>
      <c r="H139" t="s">
        <v>398</v>
      </c>
      <c r="I139" t="s">
        <v>399</v>
      </c>
      <c r="J139" t="s">
        <v>749</v>
      </c>
      <c r="K139" t="s">
        <v>786</v>
      </c>
      <c r="L139" t="s">
        <v>787</v>
      </c>
      <c r="M139" t="s">
        <v>403</v>
      </c>
      <c r="N139">
        <v>2</v>
      </c>
      <c r="O139">
        <v>2</v>
      </c>
      <c r="P139" t="s">
        <v>788</v>
      </c>
      <c r="Q139" t="s">
        <v>789</v>
      </c>
      <c r="R139" t="s">
        <v>790</v>
      </c>
      <c r="S139" t="s">
        <v>791</v>
      </c>
      <c r="T139" t="s">
        <v>408</v>
      </c>
      <c r="U139">
        <v>50950071835</v>
      </c>
      <c r="W139">
        <v>12960</v>
      </c>
      <c r="X139" t="s">
        <v>409</v>
      </c>
      <c r="Y139" t="s">
        <v>410</v>
      </c>
      <c r="Z139" t="s">
        <v>410</v>
      </c>
      <c r="AA139" t="s">
        <v>411</v>
      </c>
      <c r="AB139" t="s">
        <v>554</v>
      </c>
      <c r="AC139" t="s">
        <v>411</v>
      </c>
      <c r="AD139">
        <v>46083</v>
      </c>
      <c r="AE139">
        <v>46090</v>
      </c>
      <c r="AF139">
        <v>46092</v>
      </c>
      <c r="AG139" t="s">
        <v>754</v>
      </c>
      <c r="AH139">
        <v>6128292</v>
      </c>
      <c r="AI139">
        <v>46086</v>
      </c>
      <c r="AJ139">
        <v>46087</v>
      </c>
      <c r="AK139">
        <v>12960</v>
      </c>
      <c r="AL139" t="s">
        <v>396</v>
      </c>
      <c r="AM139" t="s">
        <v>1096</v>
      </c>
      <c r="AN139">
        <v>46087</v>
      </c>
      <c r="AO139">
        <v>46087.395694444444</v>
      </c>
      <c r="AP139" t="s">
        <v>51</v>
      </c>
      <c r="AQ139">
        <v>1.3860399999999999</v>
      </c>
      <c r="AR139">
        <v>17963.07</v>
      </c>
      <c r="AS139" t="s">
        <v>51</v>
      </c>
      <c r="AT139">
        <v>17963.07</v>
      </c>
      <c r="AU139" t="s">
        <v>415</v>
      </c>
      <c r="AV139" t="s">
        <v>557</v>
      </c>
      <c r="AW139" t="s">
        <v>558</v>
      </c>
      <c r="AX139">
        <v>46092</v>
      </c>
      <c r="AY139">
        <v>46141</v>
      </c>
      <c r="AZ139" t="s">
        <v>1091</v>
      </c>
      <c r="BA139" t="s">
        <v>560</v>
      </c>
      <c r="BB139" t="s">
        <v>1092</v>
      </c>
      <c r="BC139">
        <v>108</v>
      </c>
      <c r="BD139" t="s">
        <v>521</v>
      </c>
      <c r="BE139">
        <v>2.8953000000000002</v>
      </c>
      <c r="BF139">
        <v>1.8403</v>
      </c>
      <c r="BG139" t="s">
        <v>522</v>
      </c>
      <c r="BH139">
        <v>495</v>
      </c>
      <c r="BI139">
        <v>295</v>
      </c>
      <c r="BJ139">
        <v>180</v>
      </c>
      <c r="BK139">
        <v>40</v>
      </c>
      <c r="BL139" t="s">
        <v>521</v>
      </c>
      <c r="BM139">
        <v>142.81200000000001</v>
      </c>
      <c r="BN139">
        <v>73.611999999999995</v>
      </c>
      <c r="BO139">
        <v>428.4384</v>
      </c>
      <c r="BP139" t="s">
        <v>522</v>
      </c>
      <c r="BQ139">
        <v>1200</v>
      </c>
      <c r="BR139">
        <v>1000</v>
      </c>
      <c r="BS139">
        <v>1060</v>
      </c>
      <c r="BT139">
        <v>3</v>
      </c>
      <c r="BU139">
        <v>0</v>
      </c>
      <c r="BV139">
        <v>3</v>
      </c>
      <c r="BW139">
        <v>120</v>
      </c>
      <c r="BX139">
        <v>0</v>
      </c>
      <c r="BY139">
        <v>120</v>
      </c>
      <c r="BZ139">
        <v>12960</v>
      </c>
      <c r="CA139">
        <v>0</v>
      </c>
      <c r="CB139">
        <v>12960</v>
      </c>
      <c r="CC139">
        <v>220.83840000000001</v>
      </c>
      <c r="CD139" t="s">
        <v>793</v>
      </c>
      <c r="CE139" t="s">
        <v>794</v>
      </c>
      <c r="CG139" t="s">
        <v>421</v>
      </c>
      <c r="CN139" t="str">
        <v>M45</v>
      </c>
      <c r="CO139" t="str">
        <v>1346-12B0010EN</v>
      </c>
      <c r="CP139" t="str">
        <v>CSLU6140168</v>
      </c>
      <c r="CQ139" s="23">
        <v>570.12</v>
      </c>
      <c r="CR139" s="25">
        <f t="shared" si="8"/>
        <v>4.4133277469371054E-2</v>
      </c>
      <c r="CS139" s="21">
        <f t="shared" si="9"/>
        <v>110.33319367342763</v>
      </c>
    </row>
    <row r="140" spans="2:97" x14ac:dyDescent="0.35">
      <c r="B140" t="s">
        <v>297</v>
      </c>
      <c r="C140" t="s">
        <v>785</v>
      </c>
      <c r="D140" t="s">
        <v>395</v>
      </c>
      <c r="E140" t="s">
        <v>395</v>
      </c>
      <c r="F140" t="s">
        <v>396</v>
      </c>
      <c r="G140" t="s">
        <v>397</v>
      </c>
      <c r="H140" t="s">
        <v>398</v>
      </c>
      <c r="I140" t="s">
        <v>399</v>
      </c>
      <c r="J140" t="s">
        <v>749</v>
      </c>
      <c r="K140" t="s">
        <v>786</v>
      </c>
      <c r="L140" t="s">
        <v>787</v>
      </c>
      <c r="M140" t="s">
        <v>403</v>
      </c>
      <c r="N140">
        <v>1</v>
      </c>
      <c r="O140">
        <v>3</v>
      </c>
      <c r="P140" t="s">
        <v>788</v>
      </c>
      <c r="Q140" t="s">
        <v>789</v>
      </c>
      <c r="R140" t="s">
        <v>790</v>
      </c>
      <c r="S140" t="s">
        <v>791</v>
      </c>
      <c r="T140" t="s">
        <v>408</v>
      </c>
      <c r="U140">
        <v>50950072176</v>
      </c>
      <c r="W140">
        <v>8640</v>
      </c>
      <c r="X140" t="s">
        <v>409</v>
      </c>
      <c r="Y140" t="s">
        <v>410</v>
      </c>
      <c r="Z140" t="s">
        <v>410</v>
      </c>
      <c r="AA140" t="s">
        <v>411</v>
      </c>
      <c r="AB140" t="s">
        <v>554</v>
      </c>
      <c r="AC140" t="s">
        <v>411</v>
      </c>
      <c r="AD140">
        <v>46076</v>
      </c>
      <c r="AE140">
        <v>46076</v>
      </c>
      <c r="AF140">
        <v>46092</v>
      </c>
      <c r="AG140" t="s">
        <v>754</v>
      </c>
      <c r="AH140">
        <v>6128293</v>
      </c>
      <c r="AI140">
        <v>46086</v>
      </c>
      <c r="AJ140">
        <v>46087</v>
      </c>
      <c r="AK140">
        <v>8640</v>
      </c>
      <c r="AL140" t="s">
        <v>396</v>
      </c>
      <c r="AM140" t="s">
        <v>1097</v>
      </c>
      <c r="AN140">
        <v>46087</v>
      </c>
      <c r="AO140">
        <v>46087.395694444444</v>
      </c>
      <c r="AP140" t="s">
        <v>51</v>
      </c>
      <c r="AQ140">
        <v>1.3860399999999999</v>
      </c>
      <c r="AR140">
        <v>11975.38</v>
      </c>
      <c r="AS140" t="s">
        <v>51</v>
      </c>
      <c r="AT140">
        <v>11975.38</v>
      </c>
      <c r="AU140" t="s">
        <v>415</v>
      </c>
      <c r="AV140" t="s">
        <v>557</v>
      </c>
      <c r="AW140" t="s">
        <v>558</v>
      </c>
      <c r="AX140">
        <v>46092</v>
      </c>
      <c r="AY140">
        <v>46141</v>
      </c>
      <c r="AZ140" t="s">
        <v>1091</v>
      </c>
      <c r="BA140" t="s">
        <v>560</v>
      </c>
      <c r="BB140" t="s">
        <v>1092</v>
      </c>
      <c r="BC140">
        <v>108</v>
      </c>
      <c r="BD140" t="s">
        <v>521</v>
      </c>
      <c r="BE140">
        <v>2.8953000000000002</v>
      </c>
      <c r="BF140">
        <v>1.8403</v>
      </c>
      <c r="BG140" t="s">
        <v>522</v>
      </c>
      <c r="BH140">
        <v>495</v>
      </c>
      <c r="BI140">
        <v>295</v>
      </c>
      <c r="BJ140">
        <v>180</v>
      </c>
      <c r="BK140">
        <v>40</v>
      </c>
      <c r="BL140" t="s">
        <v>521</v>
      </c>
      <c r="BM140">
        <v>142.81200000000001</v>
      </c>
      <c r="BN140">
        <v>73.611999999999995</v>
      </c>
      <c r="BO140">
        <v>285.62560000000002</v>
      </c>
      <c r="BP140" t="s">
        <v>522</v>
      </c>
      <c r="BQ140">
        <v>1200</v>
      </c>
      <c r="BR140">
        <v>1000</v>
      </c>
      <c r="BS140">
        <v>1060</v>
      </c>
      <c r="BT140">
        <v>2</v>
      </c>
      <c r="BU140">
        <v>0</v>
      </c>
      <c r="BV140">
        <v>2</v>
      </c>
      <c r="BW140">
        <v>80</v>
      </c>
      <c r="BX140">
        <v>0</v>
      </c>
      <c r="BY140">
        <v>80</v>
      </c>
      <c r="BZ140">
        <v>8640</v>
      </c>
      <c r="CA140">
        <v>0</v>
      </c>
      <c r="CB140">
        <v>8640</v>
      </c>
      <c r="CC140">
        <v>147.22559999999999</v>
      </c>
      <c r="CD140" t="s">
        <v>793</v>
      </c>
      <c r="CE140" t="s">
        <v>794</v>
      </c>
      <c r="CG140" t="s">
        <v>421</v>
      </c>
      <c r="CN140" t="str">
        <v>M45</v>
      </c>
      <c r="CO140" t="str">
        <v>1301-12C0022EN</v>
      </c>
      <c r="CP140" t="str">
        <v>CSLU6140168</v>
      </c>
      <c r="CQ140" s="23">
        <v>769.52</v>
      </c>
      <c r="CR140" s="25">
        <f t="shared" si="8"/>
        <v>5.9568932291851569E-2</v>
      </c>
      <c r="CS140" s="21">
        <f t="shared" si="9"/>
        <v>148.92233072962892</v>
      </c>
    </row>
    <row r="141" spans="2:97" x14ac:dyDescent="0.35">
      <c r="B141" t="s">
        <v>296</v>
      </c>
      <c r="C141" t="s">
        <v>948</v>
      </c>
      <c r="D141" t="s">
        <v>395</v>
      </c>
      <c r="E141" t="s">
        <v>395</v>
      </c>
      <c r="F141" t="s">
        <v>396</v>
      </c>
      <c r="G141" t="s">
        <v>397</v>
      </c>
      <c r="H141" t="s">
        <v>398</v>
      </c>
      <c r="I141" t="s">
        <v>399</v>
      </c>
      <c r="J141" t="s">
        <v>749</v>
      </c>
      <c r="K141" t="s">
        <v>786</v>
      </c>
      <c r="L141" t="s">
        <v>787</v>
      </c>
      <c r="M141" t="s">
        <v>403</v>
      </c>
      <c r="N141">
        <v>1</v>
      </c>
      <c r="O141">
        <v>3</v>
      </c>
      <c r="P141" t="s">
        <v>949</v>
      </c>
      <c r="Q141" t="s">
        <v>430</v>
      </c>
      <c r="R141" t="s">
        <v>790</v>
      </c>
      <c r="S141" t="s">
        <v>950</v>
      </c>
      <c r="T141" t="s">
        <v>408</v>
      </c>
      <c r="U141">
        <v>50950075102</v>
      </c>
      <c r="W141">
        <v>12600</v>
      </c>
      <c r="X141" t="s">
        <v>409</v>
      </c>
      <c r="Y141" t="s">
        <v>410</v>
      </c>
      <c r="Z141" t="s">
        <v>410</v>
      </c>
      <c r="AA141" t="s">
        <v>411</v>
      </c>
      <c r="AB141" t="s">
        <v>554</v>
      </c>
      <c r="AC141" t="s">
        <v>411</v>
      </c>
      <c r="AD141">
        <v>46087</v>
      </c>
      <c r="AE141">
        <v>46195</v>
      </c>
      <c r="AF141">
        <v>46092</v>
      </c>
      <c r="AG141" t="s">
        <v>754</v>
      </c>
      <c r="AH141">
        <v>6128294</v>
      </c>
      <c r="AI141">
        <v>46086</v>
      </c>
      <c r="AJ141">
        <v>46087</v>
      </c>
      <c r="AK141">
        <v>12600</v>
      </c>
      <c r="AL141" t="s">
        <v>396</v>
      </c>
      <c r="AM141" t="s">
        <v>1098</v>
      </c>
      <c r="AN141">
        <v>46087</v>
      </c>
      <c r="AO141">
        <v>46087.395694444444</v>
      </c>
      <c r="AP141" t="s">
        <v>51</v>
      </c>
      <c r="AQ141">
        <v>0.63771999999999995</v>
      </c>
      <c r="AR141">
        <v>8035.27</v>
      </c>
      <c r="AS141" t="s">
        <v>51</v>
      </c>
      <c r="AT141">
        <v>8035.27</v>
      </c>
      <c r="AU141" t="s">
        <v>415</v>
      </c>
      <c r="AV141" t="s">
        <v>557</v>
      </c>
      <c r="AW141" t="s">
        <v>558</v>
      </c>
      <c r="AX141">
        <v>46092</v>
      </c>
      <c r="AY141">
        <v>46141</v>
      </c>
      <c r="AZ141" t="s">
        <v>1091</v>
      </c>
      <c r="BA141" t="s">
        <v>560</v>
      </c>
      <c r="BB141" t="s">
        <v>1092</v>
      </c>
      <c r="BC141">
        <v>350</v>
      </c>
      <c r="BD141" t="s">
        <v>521</v>
      </c>
      <c r="BE141">
        <v>3.74</v>
      </c>
      <c r="BF141">
        <v>2.0299999999999998</v>
      </c>
      <c r="BG141" t="s">
        <v>522</v>
      </c>
      <c r="BH141">
        <v>400</v>
      </c>
      <c r="BI141">
        <v>335</v>
      </c>
      <c r="BJ141">
        <v>230</v>
      </c>
      <c r="BK141">
        <v>36</v>
      </c>
      <c r="BL141" t="s">
        <v>521</v>
      </c>
      <c r="BM141">
        <v>159.63999999999999</v>
      </c>
      <c r="BN141">
        <v>73.08</v>
      </c>
      <c r="BO141">
        <v>159.63999999999999</v>
      </c>
      <c r="BP141" t="s">
        <v>522</v>
      </c>
      <c r="BQ141">
        <v>1219</v>
      </c>
      <c r="BR141">
        <v>1016</v>
      </c>
      <c r="BS141">
        <v>1080</v>
      </c>
      <c r="BT141">
        <v>1</v>
      </c>
      <c r="BU141">
        <v>0</v>
      </c>
      <c r="BV141">
        <v>1</v>
      </c>
      <c r="BW141">
        <v>36</v>
      </c>
      <c r="BX141">
        <v>0</v>
      </c>
      <c r="BY141">
        <v>36</v>
      </c>
      <c r="BZ141">
        <v>12600</v>
      </c>
      <c r="CA141">
        <v>0</v>
      </c>
      <c r="CB141">
        <v>12600</v>
      </c>
      <c r="CC141">
        <v>73.08</v>
      </c>
      <c r="CD141" t="s">
        <v>952</v>
      </c>
      <c r="CE141" t="s">
        <v>953</v>
      </c>
      <c r="CG141" t="s">
        <v>421</v>
      </c>
      <c r="CN141" t="str">
        <v>M19</v>
      </c>
      <c r="CO141" t="str">
        <v>1330-5YY0183EN</v>
      </c>
      <c r="CP141" t="str">
        <v>CSLU6140168</v>
      </c>
      <c r="CQ141" s="23">
        <v>515.39520000000005</v>
      </c>
      <c r="CR141" s="25">
        <f t="shared" si="8"/>
        <v>3.9897003030909269E-2</v>
      </c>
      <c r="CS141" s="21">
        <f t="shared" si="9"/>
        <v>99.742507577273173</v>
      </c>
    </row>
    <row r="142" spans="2:97" x14ac:dyDescent="0.35">
      <c r="B142" t="s">
        <v>297</v>
      </c>
      <c r="C142" t="s">
        <v>954</v>
      </c>
      <c r="D142" t="s">
        <v>395</v>
      </c>
      <c r="E142" t="s">
        <v>395</v>
      </c>
      <c r="F142" t="s">
        <v>396</v>
      </c>
      <c r="G142" t="s">
        <v>397</v>
      </c>
      <c r="H142" t="s">
        <v>398</v>
      </c>
      <c r="I142" t="s">
        <v>399</v>
      </c>
      <c r="J142" t="s">
        <v>749</v>
      </c>
      <c r="K142" t="s">
        <v>786</v>
      </c>
      <c r="L142" t="s">
        <v>787</v>
      </c>
      <c r="M142" t="s">
        <v>403</v>
      </c>
      <c r="N142">
        <v>1</v>
      </c>
      <c r="O142">
        <v>2</v>
      </c>
      <c r="P142" t="s">
        <v>796</v>
      </c>
      <c r="Q142" t="s">
        <v>637</v>
      </c>
      <c r="R142" t="s">
        <v>790</v>
      </c>
      <c r="S142" t="s">
        <v>797</v>
      </c>
      <c r="T142" t="s">
        <v>408</v>
      </c>
      <c r="U142">
        <v>50950077639</v>
      </c>
      <c r="W142">
        <v>5760</v>
      </c>
      <c r="X142" t="s">
        <v>409</v>
      </c>
      <c r="Y142" t="s">
        <v>410</v>
      </c>
      <c r="Z142" t="s">
        <v>410</v>
      </c>
      <c r="AA142" t="s">
        <v>411</v>
      </c>
      <c r="AB142" t="s">
        <v>554</v>
      </c>
      <c r="AC142" t="s">
        <v>411</v>
      </c>
      <c r="AD142">
        <v>46083</v>
      </c>
      <c r="AE142">
        <v>46237</v>
      </c>
      <c r="AF142">
        <v>46092</v>
      </c>
      <c r="AG142" t="s">
        <v>754</v>
      </c>
      <c r="AH142">
        <v>6128295</v>
      </c>
      <c r="AI142">
        <v>46086</v>
      </c>
      <c r="AJ142">
        <v>46087</v>
      </c>
      <c r="AK142">
        <v>5760</v>
      </c>
      <c r="AL142" t="s">
        <v>396</v>
      </c>
      <c r="AM142" t="s">
        <v>1099</v>
      </c>
      <c r="AN142">
        <v>46087</v>
      </c>
      <c r="AO142">
        <v>46087.395694444444</v>
      </c>
      <c r="AP142" t="s">
        <v>51</v>
      </c>
      <c r="AQ142">
        <v>1.44828</v>
      </c>
      <c r="AR142">
        <v>8342.1</v>
      </c>
      <c r="AS142" t="s">
        <v>51</v>
      </c>
      <c r="AT142">
        <v>8342.1</v>
      </c>
      <c r="AU142" t="s">
        <v>415</v>
      </c>
      <c r="AV142" t="s">
        <v>557</v>
      </c>
      <c r="AW142" t="s">
        <v>558</v>
      </c>
      <c r="AX142">
        <v>46092</v>
      </c>
      <c r="AY142">
        <v>46141</v>
      </c>
      <c r="AZ142" t="s">
        <v>1091</v>
      </c>
      <c r="BA142" t="s">
        <v>560</v>
      </c>
      <c r="BB142" t="s">
        <v>1092</v>
      </c>
      <c r="BC142">
        <v>72</v>
      </c>
      <c r="BD142" t="s">
        <v>521</v>
      </c>
      <c r="BE142">
        <v>2.5280999999999998</v>
      </c>
      <c r="BF142">
        <v>1.3421000000000001</v>
      </c>
      <c r="BG142" t="s">
        <v>522</v>
      </c>
      <c r="BH142">
        <v>495</v>
      </c>
      <c r="BI142">
        <v>295</v>
      </c>
      <c r="BJ142">
        <v>180</v>
      </c>
      <c r="BK142">
        <v>40</v>
      </c>
      <c r="BL142" t="s">
        <v>521</v>
      </c>
      <c r="BM142">
        <v>128.124</v>
      </c>
      <c r="BN142">
        <v>53.683999999999997</v>
      </c>
      <c r="BO142">
        <v>256.24639999999999</v>
      </c>
      <c r="BP142" t="s">
        <v>522</v>
      </c>
      <c r="BQ142">
        <v>1200</v>
      </c>
      <c r="BR142">
        <v>1000</v>
      </c>
      <c r="BS142">
        <v>1058</v>
      </c>
      <c r="BT142">
        <v>2</v>
      </c>
      <c r="BU142">
        <v>0</v>
      </c>
      <c r="BV142">
        <v>2</v>
      </c>
      <c r="BW142">
        <v>80</v>
      </c>
      <c r="BX142">
        <v>0</v>
      </c>
      <c r="BY142">
        <v>80</v>
      </c>
      <c r="BZ142">
        <v>5760</v>
      </c>
      <c r="CA142">
        <v>0</v>
      </c>
      <c r="CB142">
        <v>5760</v>
      </c>
      <c r="CC142">
        <v>107.3664</v>
      </c>
      <c r="CD142" t="s">
        <v>799</v>
      </c>
      <c r="CE142" t="s">
        <v>800</v>
      </c>
      <c r="CG142" t="s">
        <v>421</v>
      </c>
      <c r="CN142" t="str">
        <v>M19</v>
      </c>
      <c r="CO142" t="str">
        <v>1330-5YY0182EN</v>
      </c>
      <c r="CP142" t="str">
        <v>CSLU6140168</v>
      </c>
      <c r="CQ142" s="23">
        <v>878.178</v>
      </c>
      <c r="CR142" s="25">
        <f t="shared" si="8"/>
        <v>6.7980203012519003E-2</v>
      </c>
      <c r="CS142" s="21">
        <f t="shared" si="9"/>
        <v>169.95050753129752</v>
      </c>
    </row>
    <row r="143" spans="2:97" x14ac:dyDescent="0.35">
      <c r="B143" t="s">
        <v>296</v>
      </c>
      <c r="C143" t="s">
        <v>1100</v>
      </c>
      <c r="D143" t="s">
        <v>395</v>
      </c>
      <c r="E143" t="s">
        <v>395</v>
      </c>
      <c r="F143" t="s">
        <v>396</v>
      </c>
      <c r="G143" t="s">
        <v>397</v>
      </c>
      <c r="H143" t="s">
        <v>398</v>
      </c>
      <c r="I143" t="s">
        <v>399</v>
      </c>
      <c r="J143" t="s">
        <v>749</v>
      </c>
      <c r="K143" t="s">
        <v>629</v>
      </c>
      <c r="L143" t="s">
        <v>787</v>
      </c>
      <c r="M143" t="s">
        <v>403</v>
      </c>
      <c r="N143">
        <v>1</v>
      </c>
      <c r="O143">
        <v>1</v>
      </c>
      <c r="P143" t="s">
        <v>1101</v>
      </c>
      <c r="Q143" t="s">
        <v>943</v>
      </c>
      <c r="R143" t="s">
        <v>882</v>
      </c>
      <c r="S143" t="s">
        <v>883</v>
      </c>
      <c r="T143" t="s">
        <v>408</v>
      </c>
      <c r="U143">
        <v>50950078936</v>
      </c>
      <c r="W143">
        <v>30000</v>
      </c>
      <c r="X143" t="s">
        <v>409</v>
      </c>
      <c r="Y143" t="s">
        <v>410</v>
      </c>
      <c r="Z143" t="s">
        <v>410</v>
      </c>
      <c r="AA143" t="s">
        <v>411</v>
      </c>
      <c r="AB143" t="s">
        <v>554</v>
      </c>
      <c r="AC143" t="s">
        <v>411</v>
      </c>
      <c r="AD143">
        <v>46088</v>
      </c>
      <c r="AE143">
        <v>46146</v>
      </c>
      <c r="AF143">
        <v>46092</v>
      </c>
      <c r="AG143" t="s">
        <v>754</v>
      </c>
      <c r="AH143">
        <v>6128296</v>
      </c>
      <c r="AI143">
        <v>46086</v>
      </c>
      <c r="AJ143">
        <v>46087</v>
      </c>
      <c r="AK143">
        <v>30000</v>
      </c>
      <c r="AL143" t="s">
        <v>396</v>
      </c>
      <c r="AM143" t="s">
        <v>1102</v>
      </c>
      <c r="AN143">
        <v>46087</v>
      </c>
      <c r="AO143">
        <v>46087.395694444444</v>
      </c>
      <c r="AP143" t="s">
        <v>51</v>
      </c>
      <c r="AQ143">
        <v>0.21010999999999999</v>
      </c>
      <c r="AR143">
        <v>6303.3</v>
      </c>
      <c r="AS143" t="s">
        <v>51</v>
      </c>
      <c r="AT143">
        <v>6303.3</v>
      </c>
      <c r="AU143" t="s">
        <v>415</v>
      </c>
      <c r="AV143" t="s">
        <v>557</v>
      </c>
      <c r="AW143" t="s">
        <v>558</v>
      </c>
      <c r="AX143">
        <v>46092</v>
      </c>
      <c r="AY143">
        <v>46141</v>
      </c>
      <c r="AZ143" t="s">
        <v>1091</v>
      </c>
      <c r="BA143" t="s">
        <v>560</v>
      </c>
      <c r="BB143" t="s">
        <v>1092</v>
      </c>
      <c r="BC143">
        <v>100</v>
      </c>
      <c r="BD143" t="s">
        <v>521</v>
      </c>
      <c r="BE143">
        <v>3.851</v>
      </c>
      <c r="BF143">
        <v>2.601</v>
      </c>
      <c r="BG143" t="s">
        <v>522</v>
      </c>
      <c r="BH143">
        <v>595</v>
      </c>
      <c r="BI143">
        <v>395</v>
      </c>
      <c r="BJ143">
        <v>155</v>
      </c>
      <c r="BK143">
        <v>30</v>
      </c>
      <c r="BL143" t="s">
        <v>521</v>
      </c>
      <c r="BM143">
        <v>142.53</v>
      </c>
      <c r="BN143">
        <v>78.03</v>
      </c>
      <c r="BO143">
        <v>1425.3</v>
      </c>
      <c r="BP143" t="s">
        <v>522</v>
      </c>
      <c r="BQ143">
        <v>1200</v>
      </c>
      <c r="BR143">
        <v>1000</v>
      </c>
      <c r="BS143">
        <v>1088</v>
      </c>
      <c r="BT143">
        <v>10</v>
      </c>
      <c r="BU143">
        <v>0</v>
      </c>
      <c r="BV143">
        <v>10</v>
      </c>
      <c r="BW143">
        <v>300</v>
      </c>
      <c r="BX143">
        <v>0</v>
      </c>
      <c r="BY143">
        <v>300</v>
      </c>
      <c r="BZ143">
        <v>30000</v>
      </c>
      <c r="CA143">
        <v>0</v>
      </c>
      <c r="CB143">
        <v>30000</v>
      </c>
      <c r="CC143">
        <v>780.3</v>
      </c>
      <c r="CD143" t="s">
        <v>842</v>
      </c>
      <c r="CE143" t="s">
        <v>1103</v>
      </c>
      <c r="CG143" t="s">
        <v>421</v>
      </c>
      <c r="CN143" t="str">
        <v>M19</v>
      </c>
      <c r="CO143" t="str">
        <v>1330-5YY0183EN</v>
      </c>
      <c r="CP143" t="str">
        <v>CSLU6140168</v>
      </c>
      <c r="CQ143" s="23">
        <v>773.09280000000001</v>
      </c>
      <c r="CR143" s="25">
        <f t="shared" si="8"/>
        <v>5.9845504546363899E-2</v>
      </c>
      <c r="CS143" s="21">
        <f t="shared" si="9"/>
        <v>149.61376136590974</v>
      </c>
    </row>
    <row r="144" spans="2:97" x14ac:dyDescent="0.35">
      <c r="B144" t="s">
        <v>299</v>
      </c>
      <c r="C144" t="s">
        <v>964</v>
      </c>
      <c r="D144" t="s">
        <v>965</v>
      </c>
      <c r="E144" t="s">
        <v>395</v>
      </c>
      <c r="F144" t="s">
        <v>396</v>
      </c>
      <c r="G144" t="s">
        <v>397</v>
      </c>
      <c r="H144" t="s">
        <v>398</v>
      </c>
      <c r="I144" t="s">
        <v>399</v>
      </c>
      <c r="J144" t="s">
        <v>749</v>
      </c>
      <c r="K144" t="s">
        <v>526</v>
      </c>
      <c r="L144" t="s">
        <v>787</v>
      </c>
      <c r="M144" t="s">
        <v>403</v>
      </c>
      <c r="N144">
        <v>1</v>
      </c>
      <c r="O144">
        <v>4</v>
      </c>
      <c r="P144" t="s">
        <v>966</v>
      </c>
      <c r="Q144" t="s">
        <v>424</v>
      </c>
      <c r="R144" t="s">
        <v>959</v>
      </c>
      <c r="S144" t="s">
        <v>967</v>
      </c>
      <c r="T144" t="s">
        <v>408</v>
      </c>
      <c r="U144">
        <v>50950079499</v>
      </c>
      <c r="W144">
        <v>85536</v>
      </c>
      <c r="X144" t="s">
        <v>409</v>
      </c>
      <c r="Y144" t="s">
        <v>410</v>
      </c>
      <c r="Z144" t="s">
        <v>410</v>
      </c>
      <c r="AA144" t="s">
        <v>411</v>
      </c>
      <c r="AB144" t="s">
        <v>554</v>
      </c>
      <c r="AC144" t="s">
        <v>411</v>
      </c>
      <c r="AD144">
        <v>46077</v>
      </c>
      <c r="AE144">
        <v>46104</v>
      </c>
      <c r="AF144">
        <v>46092</v>
      </c>
      <c r="AG144" t="s">
        <v>754</v>
      </c>
      <c r="AH144">
        <v>6128611</v>
      </c>
      <c r="AI144">
        <v>46086</v>
      </c>
      <c r="AJ144">
        <v>46087</v>
      </c>
      <c r="AK144">
        <v>85536</v>
      </c>
      <c r="AL144" t="s">
        <v>396</v>
      </c>
      <c r="AM144" t="s">
        <v>1104</v>
      </c>
      <c r="AN144">
        <v>46087</v>
      </c>
      <c r="AO144">
        <v>46087.395694444444</v>
      </c>
      <c r="AP144" t="s">
        <v>51</v>
      </c>
      <c r="AQ144">
        <v>5.5079999999999997E-2</v>
      </c>
      <c r="AR144">
        <v>4711.32</v>
      </c>
      <c r="AS144" t="s">
        <v>51</v>
      </c>
      <c r="AT144">
        <v>4711.32</v>
      </c>
      <c r="AU144" t="s">
        <v>415</v>
      </c>
      <c r="AV144" t="s">
        <v>557</v>
      </c>
      <c r="AW144" t="s">
        <v>558</v>
      </c>
      <c r="AX144">
        <v>46092</v>
      </c>
      <c r="AY144">
        <v>46141</v>
      </c>
      <c r="AZ144" t="s">
        <v>1091</v>
      </c>
      <c r="BA144" t="s">
        <v>560</v>
      </c>
      <c r="BB144" t="s">
        <v>1092</v>
      </c>
      <c r="BC144">
        <v>594</v>
      </c>
      <c r="BD144" t="s">
        <v>521</v>
      </c>
      <c r="BE144">
        <v>8.2226999999999997</v>
      </c>
      <c r="BF144">
        <v>7.9726999999999997</v>
      </c>
      <c r="BG144" t="s">
        <v>522</v>
      </c>
      <c r="BH144">
        <v>286</v>
      </c>
      <c r="BI144">
        <v>190</v>
      </c>
      <c r="BJ144">
        <v>72</v>
      </c>
      <c r="BK144">
        <v>48</v>
      </c>
      <c r="BL144" t="s">
        <v>521</v>
      </c>
      <c r="BM144">
        <v>419.68959999999998</v>
      </c>
      <c r="BN144">
        <v>382.68959999999998</v>
      </c>
      <c r="BO144">
        <v>1259.064192</v>
      </c>
      <c r="BP144" t="s">
        <v>522</v>
      </c>
      <c r="BQ144">
        <v>1200</v>
      </c>
      <c r="BR144">
        <v>800</v>
      </c>
      <c r="BS144">
        <v>378</v>
      </c>
      <c r="BT144">
        <v>3</v>
      </c>
      <c r="BU144">
        <v>0</v>
      </c>
      <c r="BV144">
        <v>3</v>
      </c>
      <c r="BW144">
        <v>144</v>
      </c>
      <c r="BX144">
        <v>0</v>
      </c>
      <c r="BY144">
        <v>144</v>
      </c>
      <c r="BZ144">
        <v>85536</v>
      </c>
      <c r="CA144">
        <v>0</v>
      </c>
      <c r="CB144">
        <v>85536</v>
      </c>
      <c r="CC144">
        <v>1148.064192</v>
      </c>
      <c r="CD144" t="s">
        <v>969</v>
      </c>
      <c r="CE144" t="s">
        <v>970</v>
      </c>
      <c r="CG144" t="s">
        <v>421</v>
      </c>
      <c r="CN144" t="str">
        <v>M45</v>
      </c>
      <c r="CO144" t="str">
        <v>1484-12C0012EN</v>
      </c>
      <c r="CP144" t="str">
        <v>CSLU6140168</v>
      </c>
      <c r="CQ144" s="23">
        <v>203.7</v>
      </c>
      <c r="CR144" s="25">
        <f t="shared" si="8"/>
        <v>1.5768519996686457E-2</v>
      </c>
      <c r="CS144" s="21">
        <f t="shared" si="9"/>
        <v>39.42129999171614</v>
      </c>
    </row>
    <row r="145" spans="2:97" x14ac:dyDescent="0.35">
      <c r="B145" t="s">
        <v>296</v>
      </c>
      <c r="C145" t="s">
        <v>801</v>
      </c>
      <c r="D145" t="s">
        <v>395</v>
      </c>
      <c r="E145" t="s">
        <v>395</v>
      </c>
      <c r="F145" t="s">
        <v>396</v>
      </c>
      <c r="G145" t="s">
        <v>397</v>
      </c>
      <c r="H145" t="s">
        <v>398</v>
      </c>
      <c r="I145" t="s">
        <v>399</v>
      </c>
      <c r="J145" t="s">
        <v>749</v>
      </c>
      <c r="K145" t="s">
        <v>629</v>
      </c>
      <c r="L145" t="s">
        <v>787</v>
      </c>
      <c r="M145" t="s">
        <v>403</v>
      </c>
      <c r="N145">
        <v>1</v>
      </c>
      <c r="O145">
        <v>3</v>
      </c>
      <c r="P145" t="s">
        <v>802</v>
      </c>
      <c r="Q145" t="s">
        <v>405</v>
      </c>
      <c r="R145" t="s">
        <v>803</v>
      </c>
      <c r="S145" t="s">
        <v>804</v>
      </c>
      <c r="T145" t="s">
        <v>408</v>
      </c>
      <c r="U145">
        <v>50950079596</v>
      </c>
      <c r="W145">
        <v>17280</v>
      </c>
      <c r="X145" t="s">
        <v>409</v>
      </c>
      <c r="Y145" t="s">
        <v>410</v>
      </c>
      <c r="Z145" t="s">
        <v>410</v>
      </c>
      <c r="AA145" t="s">
        <v>411</v>
      </c>
      <c r="AB145" t="s">
        <v>554</v>
      </c>
      <c r="AC145" t="s">
        <v>411</v>
      </c>
      <c r="AD145">
        <v>46083</v>
      </c>
      <c r="AE145">
        <v>46153</v>
      </c>
      <c r="AF145">
        <v>46092</v>
      </c>
      <c r="AG145" t="s">
        <v>754</v>
      </c>
      <c r="AH145">
        <v>6128297</v>
      </c>
      <c r="AI145">
        <v>46086</v>
      </c>
      <c r="AJ145">
        <v>46087</v>
      </c>
      <c r="AK145">
        <v>17280</v>
      </c>
      <c r="AL145" t="s">
        <v>396</v>
      </c>
      <c r="AM145" t="s">
        <v>1105</v>
      </c>
      <c r="AN145">
        <v>46087</v>
      </c>
      <c r="AO145">
        <v>46087.395694444444</v>
      </c>
      <c r="AP145" t="s">
        <v>51</v>
      </c>
      <c r="AQ145">
        <v>0.30101</v>
      </c>
      <c r="AR145">
        <v>5201.45</v>
      </c>
      <c r="AS145" t="s">
        <v>51</v>
      </c>
      <c r="AT145">
        <v>5201.45</v>
      </c>
      <c r="AU145" t="s">
        <v>415</v>
      </c>
      <c r="AV145" t="s">
        <v>557</v>
      </c>
      <c r="AW145" t="s">
        <v>558</v>
      </c>
      <c r="AX145">
        <v>46092</v>
      </c>
      <c r="AY145">
        <v>46141</v>
      </c>
      <c r="AZ145" t="s">
        <v>1091</v>
      </c>
      <c r="BA145" t="s">
        <v>560</v>
      </c>
      <c r="BB145" t="s">
        <v>1092</v>
      </c>
      <c r="BC145">
        <v>288</v>
      </c>
      <c r="BD145" t="s">
        <v>521</v>
      </c>
      <c r="BE145">
        <v>13.2311</v>
      </c>
      <c r="BF145">
        <v>11.8161</v>
      </c>
      <c r="BG145" t="s">
        <v>522</v>
      </c>
      <c r="BH145">
        <v>395</v>
      </c>
      <c r="BI145">
        <v>295</v>
      </c>
      <c r="BJ145">
        <v>160</v>
      </c>
      <c r="BK145">
        <v>60</v>
      </c>
      <c r="BL145" t="s">
        <v>521</v>
      </c>
      <c r="BM145">
        <v>820.86383999999998</v>
      </c>
      <c r="BN145">
        <v>708.96384</v>
      </c>
      <c r="BO145">
        <v>820.86383999999998</v>
      </c>
      <c r="BP145" t="s">
        <v>522</v>
      </c>
      <c r="BQ145">
        <v>1200</v>
      </c>
      <c r="BR145">
        <v>1000</v>
      </c>
      <c r="BS145">
        <v>1120</v>
      </c>
      <c r="BT145">
        <v>1</v>
      </c>
      <c r="BU145">
        <v>0</v>
      </c>
      <c r="BV145">
        <v>1</v>
      </c>
      <c r="BW145">
        <v>60</v>
      </c>
      <c r="BX145">
        <v>0</v>
      </c>
      <c r="BY145">
        <v>60</v>
      </c>
      <c r="BZ145">
        <v>17280</v>
      </c>
      <c r="CA145">
        <v>0</v>
      </c>
      <c r="CB145">
        <v>17280</v>
      </c>
      <c r="CC145">
        <v>708.96384</v>
      </c>
      <c r="CD145" t="s">
        <v>806</v>
      </c>
      <c r="CE145" t="s">
        <v>807</v>
      </c>
      <c r="CG145" t="s">
        <v>421</v>
      </c>
      <c r="CN145" t="str">
        <v>M19</v>
      </c>
      <c r="CO145" t="str">
        <v>1271-5YY0100EN</v>
      </c>
      <c r="CP145" t="str">
        <v>CSLU6140168</v>
      </c>
      <c r="CQ145" s="23">
        <v>314</v>
      </c>
      <c r="CR145" s="25">
        <f t="shared" si="8"/>
        <v>2.4306898767597195E-2</v>
      </c>
      <c r="CS145" s="21">
        <f t="shared" si="9"/>
        <v>60.767246918992988</v>
      </c>
    </row>
    <row r="146" spans="2:97" x14ac:dyDescent="0.35">
      <c r="B146" t="s">
        <v>296</v>
      </c>
      <c r="C146" t="s">
        <v>1106</v>
      </c>
      <c r="D146" t="s">
        <v>395</v>
      </c>
      <c r="E146" t="s">
        <v>395</v>
      </c>
      <c r="F146" t="s">
        <v>396</v>
      </c>
      <c r="G146" t="s">
        <v>397</v>
      </c>
      <c r="H146" t="s">
        <v>398</v>
      </c>
      <c r="I146" t="s">
        <v>399</v>
      </c>
      <c r="J146" t="s">
        <v>749</v>
      </c>
      <c r="K146" t="s">
        <v>629</v>
      </c>
      <c r="L146" t="s">
        <v>787</v>
      </c>
      <c r="M146" t="s">
        <v>403</v>
      </c>
      <c r="N146">
        <v>1</v>
      </c>
      <c r="O146">
        <v>1</v>
      </c>
      <c r="P146" t="s">
        <v>875</v>
      </c>
      <c r="Q146" t="s">
        <v>430</v>
      </c>
      <c r="R146" t="s">
        <v>876</v>
      </c>
      <c r="S146" t="s">
        <v>877</v>
      </c>
      <c r="T146" t="s">
        <v>408</v>
      </c>
      <c r="U146">
        <v>50950080007</v>
      </c>
      <c r="W146">
        <v>25600</v>
      </c>
      <c r="X146" t="s">
        <v>409</v>
      </c>
      <c r="Y146" t="s">
        <v>410</v>
      </c>
      <c r="Z146" t="s">
        <v>410</v>
      </c>
      <c r="AA146" t="s">
        <v>411</v>
      </c>
      <c r="AB146" t="s">
        <v>554</v>
      </c>
      <c r="AC146" t="s">
        <v>411</v>
      </c>
      <c r="AD146">
        <v>46090</v>
      </c>
      <c r="AE146">
        <v>46181</v>
      </c>
      <c r="AF146">
        <v>46092</v>
      </c>
      <c r="AG146" t="s">
        <v>754</v>
      </c>
      <c r="AH146">
        <v>6128298</v>
      </c>
      <c r="AI146">
        <v>46086</v>
      </c>
      <c r="AJ146">
        <v>46087</v>
      </c>
      <c r="AK146">
        <v>25600</v>
      </c>
      <c r="AL146" t="s">
        <v>396</v>
      </c>
      <c r="AM146" t="s">
        <v>1107</v>
      </c>
      <c r="AN146">
        <v>46087</v>
      </c>
      <c r="AO146">
        <v>46087.395694444444</v>
      </c>
      <c r="AP146" t="s">
        <v>51</v>
      </c>
      <c r="AQ146">
        <v>0.11867</v>
      </c>
      <c r="AR146">
        <v>3037.92</v>
      </c>
      <c r="AS146" t="s">
        <v>51</v>
      </c>
      <c r="AT146">
        <v>3037.92</v>
      </c>
      <c r="AU146" t="s">
        <v>415</v>
      </c>
      <c r="AV146" t="s">
        <v>557</v>
      </c>
      <c r="AW146" t="s">
        <v>558</v>
      </c>
      <c r="AX146">
        <v>46092</v>
      </c>
      <c r="AY146">
        <v>46141</v>
      </c>
      <c r="AZ146" t="s">
        <v>1091</v>
      </c>
      <c r="BA146" t="s">
        <v>560</v>
      </c>
      <c r="BB146" t="s">
        <v>1092</v>
      </c>
      <c r="BC146">
        <v>160</v>
      </c>
      <c r="BD146" t="s">
        <v>521</v>
      </c>
      <c r="BE146">
        <v>6.3452000000000002</v>
      </c>
      <c r="BF146">
        <v>4.7952000000000004</v>
      </c>
      <c r="BG146" t="s">
        <v>522</v>
      </c>
      <c r="BH146">
        <v>595</v>
      </c>
      <c r="BI146">
        <v>495</v>
      </c>
      <c r="BJ146">
        <v>190</v>
      </c>
      <c r="BK146">
        <v>20</v>
      </c>
      <c r="BL146" t="s">
        <v>521</v>
      </c>
      <c r="BM146">
        <v>153.904</v>
      </c>
      <c r="BN146">
        <v>95.903999999999996</v>
      </c>
      <c r="BO146">
        <v>1231.232</v>
      </c>
      <c r="BP146" t="s">
        <v>522</v>
      </c>
      <c r="BQ146">
        <v>1200</v>
      </c>
      <c r="BR146">
        <v>1000</v>
      </c>
      <c r="BS146">
        <v>1110</v>
      </c>
      <c r="BT146">
        <v>8</v>
      </c>
      <c r="BU146">
        <v>0</v>
      </c>
      <c r="BV146">
        <v>8</v>
      </c>
      <c r="BW146">
        <v>160</v>
      </c>
      <c r="BX146">
        <v>0</v>
      </c>
      <c r="BY146">
        <v>160</v>
      </c>
      <c r="BZ146">
        <v>25600</v>
      </c>
      <c r="CA146">
        <v>0</v>
      </c>
      <c r="CB146">
        <v>25600</v>
      </c>
      <c r="CC146">
        <v>767.23199999999997</v>
      </c>
      <c r="CD146" t="s">
        <v>592</v>
      </c>
      <c r="CE146" t="s">
        <v>879</v>
      </c>
      <c r="CG146" t="s">
        <v>421</v>
      </c>
      <c r="CN146" t="str">
        <v>M19</v>
      </c>
      <c r="CO146" t="str">
        <v>1307-5YY0174EN</v>
      </c>
      <c r="CP146" t="str">
        <v>CSLU6140168</v>
      </c>
      <c r="CQ146" s="23">
        <v>1210.0440000000001</v>
      </c>
      <c r="CR146" s="25">
        <f t="shared" si="8"/>
        <v>9.3670117873689104E-2</v>
      </c>
      <c r="CS146" s="21">
        <f t="shared" si="9"/>
        <v>234.17529468422276</v>
      </c>
    </row>
    <row r="147" spans="2:97" x14ac:dyDescent="0.35">
      <c r="B147" t="s">
        <v>299</v>
      </c>
      <c r="C147" t="s">
        <v>817</v>
      </c>
      <c r="D147" t="s">
        <v>395</v>
      </c>
      <c r="E147" t="s">
        <v>395</v>
      </c>
      <c r="F147" t="s">
        <v>396</v>
      </c>
      <c r="G147" t="s">
        <v>397</v>
      </c>
      <c r="H147" t="s">
        <v>398</v>
      </c>
      <c r="I147" t="s">
        <v>399</v>
      </c>
      <c r="J147" t="s">
        <v>749</v>
      </c>
      <c r="K147" t="s">
        <v>809</v>
      </c>
      <c r="L147" t="s">
        <v>787</v>
      </c>
      <c r="M147" t="s">
        <v>403</v>
      </c>
      <c r="N147">
        <v>1</v>
      </c>
      <c r="O147">
        <v>9</v>
      </c>
      <c r="P147" t="s">
        <v>818</v>
      </c>
      <c r="Q147" t="s">
        <v>430</v>
      </c>
      <c r="R147" t="s">
        <v>811</v>
      </c>
      <c r="S147" t="s">
        <v>819</v>
      </c>
      <c r="T147" t="s">
        <v>408</v>
      </c>
      <c r="U147">
        <v>50950080248</v>
      </c>
      <c r="W147">
        <v>4320</v>
      </c>
      <c r="X147" t="s">
        <v>409</v>
      </c>
      <c r="Y147" t="s">
        <v>410</v>
      </c>
      <c r="Z147" t="s">
        <v>410</v>
      </c>
      <c r="AA147" t="s">
        <v>411</v>
      </c>
      <c r="AB147" t="s">
        <v>554</v>
      </c>
      <c r="AC147" t="s">
        <v>411</v>
      </c>
      <c r="AD147">
        <v>46077</v>
      </c>
      <c r="AE147">
        <v>46111</v>
      </c>
      <c r="AF147">
        <v>46091</v>
      </c>
      <c r="AG147" t="s">
        <v>754</v>
      </c>
      <c r="AH147">
        <v>6130023</v>
      </c>
      <c r="AI147">
        <v>46087</v>
      </c>
      <c r="AJ147">
        <v>46087</v>
      </c>
      <c r="AK147">
        <v>4320</v>
      </c>
      <c r="AL147" t="s">
        <v>396</v>
      </c>
      <c r="AM147" t="s">
        <v>1108</v>
      </c>
      <c r="AN147">
        <v>46087</v>
      </c>
      <c r="AO147">
        <v>46087.636724537035</v>
      </c>
      <c r="AP147" t="s">
        <v>51</v>
      </c>
      <c r="AQ147">
        <v>1.20448</v>
      </c>
      <c r="AR147">
        <v>5203.3500000000004</v>
      </c>
      <c r="AS147" t="s">
        <v>51</v>
      </c>
      <c r="AT147">
        <v>5203.3500000000004</v>
      </c>
      <c r="AU147" t="s">
        <v>415</v>
      </c>
      <c r="AV147" t="s">
        <v>772</v>
      </c>
      <c r="AW147" t="s">
        <v>863</v>
      </c>
      <c r="AX147">
        <v>46091</v>
      </c>
      <c r="AY147">
        <v>46140</v>
      </c>
      <c r="AZ147" t="s">
        <v>1086</v>
      </c>
      <c r="BA147" t="s">
        <v>560</v>
      </c>
      <c r="BB147" t="s">
        <v>1087</v>
      </c>
      <c r="BC147">
        <v>48</v>
      </c>
      <c r="BD147" t="s">
        <v>521</v>
      </c>
      <c r="BE147">
        <v>7.6898999999999997</v>
      </c>
      <c r="BF147">
        <v>6.2298999999999998</v>
      </c>
      <c r="BG147" t="s">
        <v>522</v>
      </c>
      <c r="BH147">
        <v>495</v>
      </c>
      <c r="BI147">
        <v>395</v>
      </c>
      <c r="BJ147">
        <v>190</v>
      </c>
      <c r="BK147">
        <v>30</v>
      </c>
      <c r="BL147" t="s">
        <v>521</v>
      </c>
      <c r="BM147">
        <v>257.697</v>
      </c>
      <c r="BN147">
        <v>186.89699999999999</v>
      </c>
      <c r="BO147">
        <v>773.09280000000001</v>
      </c>
      <c r="BP147" t="s">
        <v>522</v>
      </c>
      <c r="BQ147">
        <v>1200</v>
      </c>
      <c r="BR147">
        <v>1000</v>
      </c>
      <c r="BS147">
        <v>1120</v>
      </c>
      <c r="BT147">
        <v>3</v>
      </c>
      <c r="BU147">
        <v>0</v>
      </c>
      <c r="BV147">
        <v>3</v>
      </c>
      <c r="BW147">
        <v>90</v>
      </c>
      <c r="BX147">
        <v>0</v>
      </c>
      <c r="BY147">
        <v>90</v>
      </c>
      <c r="BZ147">
        <v>4320</v>
      </c>
      <c r="CA147">
        <v>0</v>
      </c>
      <c r="CB147">
        <v>4320</v>
      </c>
      <c r="CC147">
        <v>560.69280000000003</v>
      </c>
      <c r="CD147" t="s">
        <v>806</v>
      </c>
      <c r="CE147" t="s">
        <v>821</v>
      </c>
      <c r="CG147" t="s">
        <v>421</v>
      </c>
      <c r="CN147" t="str">
        <v>M19</v>
      </c>
      <c r="CO147" t="str">
        <v>1330-5YY0168EN</v>
      </c>
      <c r="CP147" t="str">
        <v>CSLU6140168</v>
      </c>
      <c r="CQ147" s="23">
        <v>513.98400000000004</v>
      </c>
      <c r="CR147" s="25">
        <f t="shared" si="8"/>
        <v>3.9787761325365212E-2</v>
      </c>
      <c r="CS147" s="21">
        <f t="shared" si="9"/>
        <v>99.469403313413025</v>
      </c>
    </row>
    <row r="148" spans="2:97" x14ac:dyDescent="0.35">
      <c r="B148" t="s">
        <v>299</v>
      </c>
      <c r="C148" t="s">
        <v>889</v>
      </c>
      <c r="D148" t="s">
        <v>395</v>
      </c>
      <c r="E148" t="s">
        <v>395</v>
      </c>
      <c r="F148" t="s">
        <v>396</v>
      </c>
      <c r="G148" t="s">
        <v>397</v>
      </c>
      <c r="H148" t="s">
        <v>398</v>
      </c>
      <c r="I148" t="s">
        <v>399</v>
      </c>
      <c r="J148" t="s">
        <v>749</v>
      </c>
      <c r="K148" t="s">
        <v>809</v>
      </c>
      <c r="L148" t="s">
        <v>787</v>
      </c>
      <c r="M148" t="s">
        <v>403</v>
      </c>
      <c r="N148">
        <v>1</v>
      </c>
      <c r="O148">
        <v>3</v>
      </c>
      <c r="P148" t="s">
        <v>810</v>
      </c>
      <c r="Q148" t="s">
        <v>405</v>
      </c>
      <c r="R148" t="s">
        <v>811</v>
      </c>
      <c r="S148" t="s">
        <v>812</v>
      </c>
      <c r="T148" t="s">
        <v>408</v>
      </c>
      <c r="U148">
        <v>50950080325</v>
      </c>
      <c r="W148">
        <v>6240</v>
      </c>
      <c r="X148" t="s">
        <v>409</v>
      </c>
      <c r="Y148" t="s">
        <v>410</v>
      </c>
      <c r="Z148" t="s">
        <v>410</v>
      </c>
      <c r="AA148" t="s">
        <v>411</v>
      </c>
      <c r="AB148" t="s">
        <v>554</v>
      </c>
      <c r="AC148" t="s">
        <v>411</v>
      </c>
      <c r="AD148">
        <v>46081</v>
      </c>
      <c r="AE148">
        <v>46118</v>
      </c>
      <c r="AF148">
        <v>46091</v>
      </c>
      <c r="AG148" t="s">
        <v>754</v>
      </c>
      <c r="AH148">
        <v>6128668</v>
      </c>
      <c r="AI148">
        <v>46086</v>
      </c>
      <c r="AJ148">
        <v>46087</v>
      </c>
      <c r="AK148">
        <v>6240</v>
      </c>
      <c r="AL148" t="s">
        <v>396</v>
      </c>
      <c r="AM148" t="s">
        <v>1109</v>
      </c>
      <c r="AN148">
        <v>46087</v>
      </c>
      <c r="AO148">
        <v>46087.636724537035</v>
      </c>
      <c r="AP148" t="s">
        <v>51</v>
      </c>
      <c r="AQ148">
        <v>1.96204</v>
      </c>
      <c r="AR148">
        <v>12243.14</v>
      </c>
      <c r="AS148" t="s">
        <v>51</v>
      </c>
      <c r="AT148">
        <v>12243.14</v>
      </c>
      <c r="AU148" t="s">
        <v>415</v>
      </c>
      <c r="AV148" t="s">
        <v>772</v>
      </c>
      <c r="AW148" t="s">
        <v>863</v>
      </c>
      <c r="AX148">
        <v>46091</v>
      </c>
      <c r="AY148">
        <v>46140</v>
      </c>
      <c r="AZ148" t="s">
        <v>1086</v>
      </c>
      <c r="BA148" t="s">
        <v>560</v>
      </c>
      <c r="BB148" t="s">
        <v>1087</v>
      </c>
      <c r="BC148">
        <v>16</v>
      </c>
      <c r="BD148" t="s">
        <v>521</v>
      </c>
      <c r="BE148">
        <v>4.9545000000000003</v>
      </c>
      <c r="BF148">
        <v>3.7555000000000001</v>
      </c>
      <c r="BG148" t="s">
        <v>522</v>
      </c>
      <c r="BH148">
        <v>495</v>
      </c>
      <c r="BI148">
        <v>395</v>
      </c>
      <c r="BJ148">
        <v>190</v>
      </c>
      <c r="BK148">
        <v>30</v>
      </c>
      <c r="BL148" t="s">
        <v>521</v>
      </c>
      <c r="BM148">
        <v>175.63499999999999</v>
      </c>
      <c r="BN148">
        <v>112.66500000000001</v>
      </c>
      <c r="BO148">
        <v>2283.2628</v>
      </c>
      <c r="BP148" t="s">
        <v>522</v>
      </c>
      <c r="BQ148">
        <v>1200</v>
      </c>
      <c r="BR148">
        <v>1000</v>
      </c>
      <c r="BS148">
        <v>1120</v>
      </c>
      <c r="BT148">
        <v>13</v>
      </c>
      <c r="BU148">
        <v>0</v>
      </c>
      <c r="BV148">
        <v>13</v>
      </c>
      <c r="BW148">
        <v>390</v>
      </c>
      <c r="BX148">
        <v>0</v>
      </c>
      <c r="BY148">
        <v>390</v>
      </c>
      <c r="BZ148">
        <v>6240</v>
      </c>
      <c r="CA148">
        <v>0</v>
      </c>
      <c r="CB148">
        <v>6240</v>
      </c>
      <c r="CC148">
        <v>1464.6528000000001</v>
      </c>
      <c r="CD148" t="s">
        <v>806</v>
      </c>
      <c r="CE148" t="s">
        <v>816</v>
      </c>
      <c r="CG148" t="s">
        <v>421</v>
      </c>
      <c r="CN148" t="str">
        <v>M19</v>
      </c>
      <c r="CO148" t="str">
        <v>1330-5YY0167EN</v>
      </c>
      <c r="CP148" t="str">
        <v>CSLU6140168</v>
      </c>
      <c r="CQ148" s="23">
        <v>525.68280000000004</v>
      </c>
      <c r="CR148" s="25">
        <f t="shared" si="8"/>
        <v>4.0693371348621159E-2</v>
      </c>
      <c r="CS148" s="21">
        <f t="shared" si="9"/>
        <v>101.73342837155289</v>
      </c>
    </row>
    <row r="149" spans="2:97" x14ac:dyDescent="0.35">
      <c r="B149" t="s">
        <v>297</v>
      </c>
      <c r="C149" t="s">
        <v>1110</v>
      </c>
      <c r="D149" t="s">
        <v>395</v>
      </c>
      <c r="E149" t="s">
        <v>395</v>
      </c>
      <c r="F149" t="s">
        <v>396</v>
      </c>
      <c r="G149" t="s">
        <v>397</v>
      </c>
      <c r="H149" t="s">
        <v>398</v>
      </c>
      <c r="I149" t="s">
        <v>399</v>
      </c>
      <c r="J149" t="s">
        <v>749</v>
      </c>
      <c r="K149" t="s">
        <v>629</v>
      </c>
      <c r="L149" t="s">
        <v>787</v>
      </c>
      <c r="M149" t="s">
        <v>403</v>
      </c>
      <c r="N149">
        <v>1</v>
      </c>
      <c r="O149">
        <v>1</v>
      </c>
      <c r="P149" t="s">
        <v>1111</v>
      </c>
      <c r="Q149" t="s">
        <v>789</v>
      </c>
      <c r="R149" t="s">
        <v>1112</v>
      </c>
      <c r="S149" t="s">
        <v>1113</v>
      </c>
      <c r="T149" t="s">
        <v>408</v>
      </c>
      <c r="U149">
        <v>50950080550</v>
      </c>
      <c r="W149">
        <v>6400</v>
      </c>
      <c r="X149" t="s">
        <v>409</v>
      </c>
      <c r="Y149" t="s">
        <v>410</v>
      </c>
      <c r="Z149" t="s">
        <v>410</v>
      </c>
      <c r="AA149" t="s">
        <v>411</v>
      </c>
      <c r="AB149" t="s">
        <v>554</v>
      </c>
      <c r="AC149" t="s">
        <v>411</v>
      </c>
      <c r="AD149">
        <v>46088</v>
      </c>
      <c r="AE149">
        <v>46146</v>
      </c>
      <c r="AF149">
        <v>46091</v>
      </c>
      <c r="AG149" t="s">
        <v>754</v>
      </c>
      <c r="AH149">
        <v>6128669</v>
      </c>
      <c r="AI149">
        <v>46086</v>
      </c>
      <c r="AJ149">
        <v>46087</v>
      </c>
      <c r="AK149">
        <v>6400</v>
      </c>
      <c r="AL149" t="s">
        <v>396</v>
      </c>
      <c r="AM149" t="s">
        <v>1114</v>
      </c>
      <c r="AN149">
        <v>46087</v>
      </c>
      <c r="AO149">
        <v>46087.636724537035</v>
      </c>
      <c r="AP149" t="s">
        <v>51</v>
      </c>
      <c r="AQ149">
        <v>0.11799</v>
      </c>
      <c r="AR149">
        <v>755.13</v>
      </c>
      <c r="AS149" t="s">
        <v>51</v>
      </c>
      <c r="AT149">
        <v>755.13</v>
      </c>
      <c r="AU149" t="s">
        <v>415</v>
      </c>
      <c r="AV149" t="s">
        <v>772</v>
      </c>
      <c r="AW149" t="s">
        <v>863</v>
      </c>
      <c r="AX149">
        <v>46091</v>
      </c>
      <c r="AY149">
        <v>46140</v>
      </c>
      <c r="AZ149" t="s">
        <v>1086</v>
      </c>
      <c r="BA149" t="s">
        <v>560</v>
      </c>
      <c r="BB149" t="s">
        <v>1087</v>
      </c>
      <c r="BC149">
        <v>320</v>
      </c>
      <c r="BD149" t="s">
        <v>521</v>
      </c>
      <c r="BE149">
        <v>8.8447999999999993</v>
      </c>
      <c r="BF149">
        <v>7.5648</v>
      </c>
      <c r="BG149" t="s">
        <v>522</v>
      </c>
      <c r="BH149">
        <v>595</v>
      </c>
      <c r="BI149">
        <v>395</v>
      </c>
      <c r="BJ149">
        <v>225</v>
      </c>
      <c r="BK149">
        <v>20</v>
      </c>
      <c r="BL149" t="s">
        <v>521</v>
      </c>
      <c r="BM149">
        <v>203.89599999999999</v>
      </c>
      <c r="BN149">
        <v>151.29599999999999</v>
      </c>
      <c r="BO149">
        <v>203.89599999999999</v>
      </c>
      <c r="BP149" t="s">
        <v>522</v>
      </c>
      <c r="BQ149">
        <v>1200</v>
      </c>
      <c r="BR149">
        <v>1000</v>
      </c>
      <c r="BS149">
        <v>1060</v>
      </c>
      <c r="BT149">
        <v>1</v>
      </c>
      <c r="BU149">
        <v>0</v>
      </c>
      <c r="BV149">
        <v>1</v>
      </c>
      <c r="BW149">
        <v>20</v>
      </c>
      <c r="BX149">
        <v>0</v>
      </c>
      <c r="BY149">
        <v>20</v>
      </c>
      <c r="BZ149">
        <v>6400</v>
      </c>
      <c r="CA149">
        <v>0</v>
      </c>
      <c r="CB149">
        <v>6400</v>
      </c>
      <c r="CC149">
        <v>151.29599999999999</v>
      </c>
      <c r="CD149" t="s">
        <v>793</v>
      </c>
      <c r="CE149" t="s">
        <v>1115</v>
      </c>
      <c r="CG149" t="s">
        <v>421</v>
      </c>
      <c r="CN149" t="str">
        <v>M19</v>
      </c>
      <c r="CO149" t="str">
        <v>1301-5YY0322EN0093</v>
      </c>
      <c r="CP149" t="str">
        <v>CSLU6140168</v>
      </c>
      <c r="CQ149" s="23">
        <v>891.16980000000001</v>
      </c>
      <c r="CR149" s="25">
        <f t="shared" si="8"/>
        <v>6.898590481955362E-2</v>
      </c>
      <c r="CS149" s="21">
        <f t="shared" si="9"/>
        <v>172.46476204888404</v>
      </c>
    </row>
    <row r="150" spans="2:97" x14ac:dyDescent="0.35">
      <c r="B150" t="s">
        <v>297</v>
      </c>
      <c r="C150" t="s">
        <v>1116</v>
      </c>
      <c r="D150" t="s">
        <v>395</v>
      </c>
      <c r="E150" t="s">
        <v>395</v>
      </c>
      <c r="F150" t="s">
        <v>396</v>
      </c>
      <c r="G150" t="s">
        <v>397</v>
      </c>
      <c r="H150" t="s">
        <v>398</v>
      </c>
      <c r="I150" t="s">
        <v>399</v>
      </c>
      <c r="J150" t="s">
        <v>749</v>
      </c>
      <c r="K150" t="s">
        <v>629</v>
      </c>
      <c r="L150" t="s">
        <v>787</v>
      </c>
      <c r="M150" t="s">
        <v>403</v>
      </c>
      <c r="N150">
        <v>1</v>
      </c>
      <c r="O150">
        <v>1</v>
      </c>
      <c r="P150" t="s">
        <v>1117</v>
      </c>
      <c r="Q150" t="s">
        <v>405</v>
      </c>
      <c r="R150" t="s">
        <v>1112</v>
      </c>
      <c r="S150" t="s">
        <v>1113</v>
      </c>
      <c r="T150" t="s">
        <v>408</v>
      </c>
      <c r="U150">
        <v>50950080620</v>
      </c>
      <c r="W150">
        <v>12800</v>
      </c>
      <c r="X150" t="s">
        <v>409</v>
      </c>
      <c r="Y150" t="s">
        <v>410</v>
      </c>
      <c r="Z150" t="s">
        <v>410</v>
      </c>
      <c r="AA150" t="s">
        <v>411</v>
      </c>
      <c r="AB150" t="s">
        <v>554</v>
      </c>
      <c r="AC150" t="s">
        <v>411</v>
      </c>
      <c r="AD150">
        <v>46088</v>
      </c>
      <c r="AE150">
        <v>46146</v>
      </c>
      <c r="AF150">
        <v>46091</v>
      </c>
      <c r="AG150" t="s">
        <v>754</v>
      </c>
      <c r="AH150">
        <v>6128670</v>
      </c>
      <c r="AI150">
        <v>46086</v>
      </c>
      <c r="AJ150">
        <v>46087</v>
      </c>
      <c r="AK150">
        <v>12800</v>
      </c>
      <c r="AL150" t="s">
        <v>396</v>
      </c>
      <c r="AM150" t="s">
        <v>1118</v>
      </c>
      <c r="AN150">
        <v>46087</v>
      </c>
      <c r="AO150">
        <v>46087.636724537035</v>
      </c>
      <c r="AP150" t="s">
        <v>51</v>
      </c>
      <c r="AQ150">
        <v>0.11779000000000001</v>
      </c>
      <c r="AR150">
        <v>1507.71</v>
      </c>
      <c r="AS150" t="s">
        <v>51</v>
      </c>
      <c r="AT150">
        <v>1507.71</v>
      </c>
      <c r="AU150" t="s">
        <v>415</v>
      </c>
      <c r="AV150" t="s">
        <v>772</v>
      </c>
      <c r="AW150" t="s">
        <v>863</v>
      </c>
      <c r="AX150">
        <v>46091</v>
      </c>
      <c r="AY150">
        <v>46140</v>
      </c>
      <c r="AZ150" t="s">
        <v>1086</v>
      </c>
      <c r="BA150" t="s">
        <v>560</v>
      </c>
      <c r="BB150" t="s">
        <v>1087</v>
      </c>
      <c r="BC150">
        <v>320</v>
      </c>
      <c r="BD150" t="s">
        <v>521</v>
      </c>
      <c r="BE150">
        <v>8.7653999999999996</v>
      </c>
      <c r="BF150">
        <v>7.4854000000000003</v>
      </c>
      <c r="BG150" t="s">
        <v>522</v>
      </c>
      <c r="BH150">
        <v>595</v>
      </c>
      <c r="BI150">
        <v>395</v>
      </c>
      <c r="BJ150">
        <v>225</v>
      </c>
      <c r="BK150">
        <v>20</v>
      </c>
      <c r="BL150" t="s">
        <v>521</v>
      </c>
      <c r="BM150">
        <v>202.30799999999999</v>
      </c>
      <c r="BN150">
        <v>149.708</v>
      </c>
      <c r="BO150">
        <v>404.61759999999998</v>
      </c>
      <c r="BP150" t="s">
        <v>522</v>
      </c>
      <c r="BQ150">
        <v>1200</v>
      </c>
      <c r="BR150">
        <v>1000</v>
      </c>
      <c r="BS150">
        <v>1060</v>
      </c>
      <c r="BT150">
        <v>2</v>
      </c>
      <c r="BU150">
        <v>0</v>
      </c>
      <c r="BV150">
        <v>2</v>
      </c>
      <c r="BW150">
        <v>40</v>
      </c>
      <c r="BX150">
        <v>0</v>
      </c>
      <c r="BY150">
        <v>40</v>
      </c>
      <c r="BZ150">
        <v>12800</v>
      </c>
      <c r="CA150">
        <v>0</v>
      </c>
      <c r="CB150">
        <v>12800</v>
      </c>
      <c r="CC150">
        <v>299.41759999999999</v>
      </c>
      <c r="CD150" t="s">
        <v>793</v>
      </c>
      <c r="CE150" t="s">
        <v>1115</v>
      </c>
      <c r="CG150" t="s">
        <v>421</v>
      </c>
      <c r="CN150" t="str">
        <v>M19</v>
      </c>
      <c r="CO150" t="str">
        <v>1330-5YY0251EN</v>
      </c>
      <c r="CP150" t="str">
        <v>CSLU6140168</v>
      </c>
      <c r="CQ150" s="23">
        <v>435.34032000000002</v>
      </c>
      <c r="CR150" s="25">
        <f t="shared" si="8"/>
        <v>3.3699914292017095E-2</v>
      </c>
      <c r="CS150" s="21">
        <f t="shared" si="9"/>
        <v>84.249785730042746</v>
      </c>
    </row>
    <row r="151" spans="2:97" x14ac:dyDescent="0.35">
      <c r="B151" t="s">
        <v>295</v>
      </c>
      <c r="C151" t="s">
        <v>1119</v>
      </c>
      <c r="D151" t="s">
        <v>395</v>
      </c>
      <c r="E151" t="s">
        <v>395</v>
      </c>
      <c r="F151" t="s">
        <v>396</v>
      </c>
      <c r="G151" t="s">
        <v>397</v>
      </c>
      <c r="H151" t="s">
        <v>398</v>
      </c>
      <c r="I151" t="s">
        <v>399</v>
      </c>
      <c r="J151" t="s">
        <v>749</v>
      </c>
      <c r="K151" t="s">
        <v>845</v>
      </c>
      <c r="L151" t="s">
        <v>787</v>
      </c>
      <c r="M151" t="s">
        <v>403</v>
      </c>
      <c r="N151">
        <v>1</v>
      </c>
      <c r="O151">
        <v>2</v>
      </c>
      <c r="P151" t="s">
        <v>1120</v>
      </c>
      <c r="Q151" t="s">
        <v>637</v>
      </c>
      <c r="R151" t="s">
        <v>1121</v>
      </c>
      <c r="S151" t="s">
        <v>1122</v>
      </c>
      <c r="T151" t="s">
        <v>408</v>
      </c>
      <c r="U151">
        <v>50950080822</v>
      </c>
      <c r="W151">
        <v>10000</v>
      </c>
      <c r="X151" t="s">
        <v>409</v>
      </c>
      <c r="Y151" t="s">
        <v>410</v>
      </c>
      <c r="Z151" t="s">
        <v>410</v>
      </c>
      <c r="AA151" t="s">
        <v>411</v>
      </c>
      <c r="AB151" t="s">
        <v>554</v>
      </c>
      <c r="AC151" t="s">
        <v>411</v>
      </c>
      <c r="AD151">
        <v>46080</v>
      </c>
      <c r="AE151">
        <v>46111</v>
      </c>
      <c r="AF151">
        <v>46092</v>
      </c>
      <c r="AG151" t="s">
        <v>754</v>
      </c>
      <c r="AH151">
        <v>6128299</v>
      </c>
      <c r="AI151">
        <v>46086</v>
      </c>
      <c r="AJ151">
        <v>46087</v>
      </c>
      <c r="AK151">
        <v>10000</v>
      </c>
      <c r="AL151" t="s">
        <v>396</v>
      </c>
      <c r="AM151" t="s">
        <v>1123</v>
      </c>
      <c r="AN151">
        <v>46087</v>
      </c>
      <c r="AO151">
        <v>46087.395694444444</v>
      </c>
      <c r="AP151" t="s">
        <v>51</v>
      </c>
      <c r="AQ151">
        <v>5.704E-2</v>
      </c>
      <c r="AR151">
        <v>570.4</v>
      </c>
      <c r="AS151" t="s">
        <v>51</v>
      </c>
      <c r="AT151">
        <v>570.4</v>
      </c>
      <c r="AU151" t="s">
        <v>415</v>
      </c>
      <c r="AV151" t="s">
        <v>557</v>
      </c>
      <c r="AW151" t="s">
        <v>558</v>
      </c>
      <c r="AX151">
        <v>46092</v>
      </c>
      <c r="AY151">
        <v>46141</v>
      </c>
      <c r="AZ151" t="s">
        <v>1091</v>
      </c>
      <c r="BA151" t="s">
        <v>560</v>
      </c>
      <c r="BB151" t="s">
        <v>1092</v>
      </c>
      <c r="BC151">
        <v>500</v>
      </c>
      <c r="BD151" t="s">
        <v>521</v>
      </c>
      <c r="BE151">
        <v>9.3520000000000003</v>
      </c>
      <c r="BF151">
        <v>8.7919999999999998</v>
      </c>
      <c r="BG151" t="s">
        <v>522</v>
      </c>
      <c r="BH151">
        <v>295</v>
      </c>
      <c r="BI151">
        <v>195</v>
      </c>
      <c r="BJ151">
        <v>138</v>
      </c>
      <c r="BK151">
        <v>100</v>
      </c>
      <c r="BL151" t="s">
        <v>521</v>
      </c>
      <c r="BM151">
        <v>214.04</v>
      </c>
      <c r="BN151">
        <v>175.84</v>
      </c>
      <c r="BO151">
        <v>214.04</v>
      </c>
      <c r="BP151" t="s">
        <v>522</v>
      </c>
      <c r="BQ151">
        <v>1200</v>
      </c>
      <c r="BR151">
        <v>1000</v>
      </c>
      <c r="BS151">
        <v>850</v>
      </c>
      <c r="BT151">
        <v>0</v>
      </c>
      <c r="BU151">
        <v>1</v>
      </c>
      <c r="BV151">
        <v>1</v>
      </c>
      <c r="BW151">
        <v>20</v>
      </c>
      <c r="BX151">
        <v>0</v>
      </c>
      <c r="BY151">
        <v>20</v>
      </c>
      <c r="BZ151">
        <v>0</v>
      </c>
      <c r="CA151">
        <v>10000</v>
      </c>
      <c r="CB151">
        <v>10000</v>
      </c>
      <c r="CC151">
        <v>175.84</v>
      </c>
      <c r="CD151" t="s">
        <v>1124</v>
      </c>
      <c r="CE151" t="s">
        <v>1125</v>
      </c>
      <c r="CG151" t="s">
        <v>421</v>
      </c>
      <c r="CN151" t="str">
        <v>M45</v>
      </c>
      <c r="CO151" t="str">
        <v>1164-12B0011EN</v>
      </c>
      <c r="CP151" t="str">
        <v>CSLU6140168</v>
      </c>
      <c r="CQ151" s="23">
        <v>146.57040000000001</v>
      </c>
      <c r="CR151" s="25">
        <f t="shared" si="8"/>
        <v>1.134608877428735E-2</v>
      </c>
      <c r="CS151" s="21">
        <f t="shared" si="9"/>
        <v>28.365221935718374</v>
      </c>
    </row>
    <row r="152" spans="2:97" x14ac:dyDescent="0.35">
      <c r="B152" t="s">
        <v>299</v>
      </c>
      <c r="C152" t="s">
        <v>1126</v>
      </c>
      <c r="D152" t="s">
        <v>965</v>
      </c>
      <c r="E152" t="s">
        <v>395</v>
      </c>
      <c r="F152" t="s">
        <v>396</v>
      </c>
      <c r="G152" t="s">
        <v>397</v>
      </c>
      <c r="H152" t="s">
        <v>398</v>
      </c>
      <c r="I152" t="s">
        <v>399</v>
      </c>
      <c r="J152" t="s">
        <v>749</v>
      </c>
      <c r="K152" t="s">
        <v>629</v>
      </c>
      <c r="L152" t="s">
        <v>787</v>
      </c>
      <c r="M152" t="s">
        <v>403</v>
      </c>
      <c r="N152">
        <v>1</v>
      </c>
      <c r="O152">
        <v>1</v>
      </c>
      <c r="P152" t="s">
        <v>1127</v>
      </c>
      <c r="Q152" t="s">
        <v>405</v>
      </c>
      <c r="R152" t="s">
        <v>1128</v>
      </c>
      <c r="S152" t="s">
        <v>1129</v>
      </c>
      <c r="T152" t="s">
        <v>408</v>
      </c>
      <c r="U152">
        <v>50950080980</v>
      </c>
      <c r="W152">
        <v>7200</v>
      </c>
      <c r="X152" t="s">
        <v>409</v>
      </c>
      <c r="Y152" t="s">
        <v>410</v>
      </c>
      <c r="Z152" t="s">
        <v>410</v>
      </c>
      <c r="AA152" t="s">
        <v>411</v>
      </c>
      <c r="AB152" t="s">
        <v>554</v>
      </c>
      <c r="AC152" t="s">
        <v>411</v>
      </c>
      <c r="AD152">
        <v>46088</v>
      </c>
      <c r="AE152">
        <v>46146</v>
      </c>
      <c r="AF152">
        <v>46091</v>
      </c>
      <c r="AG152" t="s">
        <v>754</v>
      </c>
      <c r="AH152">
        <v>6128671</v>
      </c>
      <c r="AI152">
        <v>46086</v>
      </c>
      <c r="AJ152">
        <v>46087</v>
      </c>
      <c r="AK152">
        <v>7200</v>
      </c>
      <c r="AL152" t="s">
        <v>396</v>
      </c>
      <c r="AM152" t="s">
        <v>1130</v>
      </c>
      <c r="AN152">
        <v>46087</v>
      </c>
      <c r="AO152">
        <v>46087.636724537035</v>
      </c>
      <c r="AP152" t="s">
        <v>51</v>
      </c>
      <c r="AQ152">
        <v>2.1219100000000002</v>
      </c>
      <c r="AR152">
        <v>15277.74</v>
      </c>
      <c r="AS152" t="s">
        <v>51</v>
      </c>
      <c r="AT152">
        <v>15277.74</v>
      </c>
      <c r="AU152" t="s">
        <v>415</v>
      </c>
      <c r="AV152" t="s">
        <v>772</v>
      </c>
      <c r="AW152" t="s">
        <v>863</v>
      </c>
      <c r="AX152">
        <v>46091</v>
      </c>
      <c r="AY152">
        <v>46140</v>
      </c>
      <c r="AZ152" t="s">
        <v>1086</v>
      </c>
      <c r="BA152" t="s">
        <v>560</v>
      </c>
      <c r="BB152" t="s">
        <v>1087</v>
      </c>
      <c r="BC152">
        <v>80</v>
      </c>
      <c r="BD152" t="s">
        <v>521</v>
      </c>
      <c r="BE152">
        <v>9.6</v>
      </c>
      <c r="BF152">
        <v>5.67</v>
      </c>
      <c r="BG152" t="s">
        <v>522</v>
      </c>
      <c r="BH152">
        <v>520</v>
      </c>
      <c r="BI152">
        <v>330</v>
      </c>
      <c r="BJ152">
        <v>190</v>
      </c>
      <c r="BK152">
        <v>30</v>
      </c>
      <c r="BL152" t="s">
        <v>521</v>
      </c>
      <c r="BM152">
        <v>314</v>
      </c>
      <c r="BN152">
        <v>170.1</v>
      </c>
      <c r="BO152">
        <v>942</v>
      </c>
      <c r="BP152" t="s">
        <v>522</v>
      </c>
      <c r="BQ152">
        <v>1066</v>
      </c>
      <c r="BR152">
        <v>1066</v>
      </c>
      <c r="BS152">
        <v>1100</v>
      </c>
      <c r="BT152">
        <v>3</v>
      </c>
      <c r="BU152">
        <v>0</v>
      </c>
      <c r="BV152">
        <v>3</v>
      </c>
      <c r="BW152">
        <v>90</v>
      </c>
      <c r="BX152">
        <v>0</v>
      </c>
      <c r="BY152">
        <v>90</v>
      </c>
      <c r="BZ152">
        <v>7200</v>
      </c>
      <c r="CA152">
        <v>0</v>
      </c>
      <c r="CB152">
        <v>7200</v>
      </c>
      <c r="CC152">
        <v>510.3</v>
      </c>
      <c r="CD152" t="s">
        <v>1131</v>
      </c>
      <c r="CE152" t="s">
        <v>1132</v>
      </c>
      <c r="CG152" t="s">
        <v>421</v>
      </c>
      <c r="CN152" t="str">
        <v>M45</v>
      </c>
      <c r="CO152" t="str">
        <v>1484-12B0015EN</v>
      </c>
      <c r="CP152" t="str">
        <v>CSLU6140168</v>
      </c>
      <c r="CQ152" s="23">
        <v>683.97</v>
      </c>
      <c r="CR152" s="25">
        <f t="shared" si="8"/>
        <v>5.2946463535265775E-2</v>
      </c>
      <c r="CS152" s="21">
        <f t="shared" si="9"/>
        <v>132.36615883816444</v>
      </c>
    </row>
    <row r="153" spans="2:97" x14ac:dyDescent="0.35">
      <c r="B153" t="s">
        <v>299</v>
      </c>
      <c r="C153" t="s">
        <v>844</v>
      </c>
      <c r="D153" t="s">
        <v>395</v>
      </c>
      <c r="E153" t="s">
        <v>395</v>
      </c>
      <c r="F153" t="s">
        <v>396</v>
      </c>
      <c r="G153" t="s">
        <v>397</v>
      </c>
      <c r="H153" t="s">
        <v>398</v>
      </c>
      <c r="I153" t="s">
        <v>399</v>
      </c>
      <c r="J153" t="s">
        <v>749</v>
      </c>
      <c r="K153" t="s">
        <v>845</v>
      </c>
      <c r="L153" t="s">
        <v>787</v>
      </c>
      <c r="M153" t="s">
        <v>403</v>
      </c>
      <c r="N153">
        <v>1</v>
      </c>
      <c r="O153">
        <v>3</v>
      </c>
      <c r="P153" t="s">
        <v>846</v>
      </c>
      <c r="Q153" t="s">
        <v>405</v>
      </c>
      <c r="R153" t="s">
        <v>847</v>
      </c>
      <c r="S153" t="s">
        <v>848</v>
      </c>
      <c r="T153" t="s">
        <v>408</v>
      </c>
      <c r="U153">
        <v>50950080992</v>
      </c>
      <c r="W153">
        <v>1620</v>
      </c>
      <c r="X153" t="s">
        <v>409</v>
      </c>
      <c r="Y153" t="s">
        <v>410</v>
      </c>
      <c r="Z153" t="s">
        <v>410</v>
      </c>
      <c r="AA153" t="s">
        <v>411</v>
      </c>
      <c r="AB153" t="s">
        <v>554</v>
      </c>
      <c r="AC153" t="s">
        <v>411</v>
      </c>
      <c r="AD153">
        <v>46081</v>
      </c>
      <c r="AE153">
        <v>46139</v>
      </c>
      <c r="AF153">
        <v>46092</v>
      </c>
      <c r="AG153" t="s">
        <v>754</v>
      </c>
      <c r="AH153">
        <v>6128300</v>
      </c>
      <c r="AI153">
        <v>46086</v>
      </c>
      <c r="AJ153">
        <v>46087</v>
      </c>
      <c r="AK153">
        <v>1620</v>
      </c>
      <c r="AL153" t="s">
        <v>396</v>
      </c>
      <c r="AM153" t="s">
        <v>1133</v>
      </c>
      <c r="AN153">
        <v>46087</v>
      </c>
      <c r="AO153">
        <v>46087.395694444444</v>
      </c>
      <c r="AP153" t="s">
        <v>51</v>
      </c>
      <c r="AQ153">
        <v>1.3785799999999999</v>
      </c>
      <c r="AR153">
        <v>2233.3000000000002</v>
      </c>
      <c r="AS153" t="s">
        <v>51</v>
      </c>
      <c r="AT153">
        <v>2233.3000000000002</v>
      </c>
      <c r="AU153" t="s">
        <v>415</v>
      </c>
      <c r="AV153" t="s">
        <v>557</v>
      </c>
      <c r="AW153" t="s">
        <v>558</v>
      </c>
      <c r="AX153">
        <v>46092</v>
      </c>
      <c r="AY153">
        <v>46141</v>
      </c>
      <c r="AZ153" t="s">
        <v>1091</v>
      </c>
      <c r="BA153" t="s">
        <v>560</v>
      </c>
      <c r="BB153" t="s">
        <v>1092</v>
      </c>
      <c r="BC153">
        <v>27</v>
      </c>
      <c r="BD153" t="s">
        <v>521</v>
      </c>
      <c r="BE153">
        <v>14.865399999999999</v>
      </c>
      <c r="BF153">
        <v>13.6374</v>
      </c>
      <c r="BG153" t="s">
        <v>522</v>
      </c>
      <c r="BH153">
        <v>495</v>
      </c>
      <c r="BI153">
        <v>395</v>
      </c>
      <c r="BJ153">
        <v>170</v>
      </c>
      <c r="BK153">
        <v>30</v>
      </c>
      <c r="BL153" t="s">
        <v>521</v>
      </c>
      <c r="BM153">
        <v>472.96199999999999</v>
      </c>
      <c r="BN153">
        <v>409.12200000000001</v>
      </c>
      <c r="BO153">
        <v>945.92579999999998</v>
      </c>
      <c r="BP153" t="s">
        <v>522</v>
      </c>
      <c r="BQ153">
        <v>1200</v>
      </c>
      <c r="BR153">
        <v>1000</v>
      </c>
      <c r="BS153">
        <v>1000</v>
      </c>
      <c r="BT153">
        <v>2</v>
      </c>
      <c r="BU153">
        <v>0</v>
      </c>
      <c r="BV153">
        <v>2</v>
      </c>
      <c r="BW153">
        <v>60</v>
      </c>
      <c r="BX153">
        <v>0</v>
      </c>
      <c r="BY153">
        <v>60</v>
      </c>
      <c r="BZ153">
        <v>1620</v>
      </c>
      <c r="CA153">
        <v>0</v>
      </c>
      <c r="CB153">
        <v>1620</v>
      </c>
      <c r="CC153">
        <v>818.24580000000003</v>
      </c>
      <c r="CD153" t="s">
        <v>850</v>
      </c>
      <c r="CE153" t="s">
        <v>851</v>
      </c>
      <c r="CG153" t="s">
        <v>421</v>
      </c>
      <c r="CN153" t="str">
        <v>M45</v>
      </c>
      <c r="CO153" t="str">
        <v>1404-12B0003EN</v>
      </c>
      <c r="CP153" t="str">
        <v>CSLU6140168</v>
      </c>
      <c r="CQ153" s="23">
        <v>2431.7591200000002</v>
      </c>
      <c r="CR153" s="25">
        <f t="shared" si="8"/>
        <v>0.18824370304783833</v>
      </c>
      <c r="CS153" s="21">
        <f t="shared" si="9"/>
        <v>470.60925761959584</v>
      </c>
    </row>
    <row r="154" spans="2:97" x14ac:dyDescent="0.35">
      <c r="B154" t="s">
        <v>299</v>
      </c>
      <c r="C154" t="s">
        <v>916</v>
      </c>
      <c r="D154" t="s">
        <v>395</v>
      </c>
      <c r="E154" t="s">
        <v>823</v>
      </c>
      <c r="F154" t="s">
        <v>396</v>
      </c>
      <c r="G154" t="s">
        <v>397</v>
      </c>
      <c r="H154" t="s">
        <v>398</v>
      </c>
      <c r="I154" t="s">
        <v>399</v>
      </c>
      <c r="J154" t="s">
        <v>749</v>
      </c>
      <c r="K154" t="s">
        <v>809</v>
      </c>
      <c r="L154" t="s">
        <v>787</v>
      </c>
      <c r="M154" t="s">
        <v>403</v>
      </c>
      <c r="N154">
        <v>1</v>
      </c>
      <c r="O154">
        <v>2</v>
      </c>
      <c r="P154" t="s">
        <v>824</v>
      </c>
      <c r="Q154" t="s">
        <v>424</v>
      </c>
      <c r="R154" t="s">
        <v>811</v>
      </c>
      <c r="S154" t="s">
        <v>825</v>
      </c>
      <c r="T154" t="s">
        <v>408</v>
      </c>
      <c r="U154">
        <v>50950081257</v>
      </c>
      <c r="W154">
        <v>4320</v>
      </c>
      <c r="X154" t="s">
        <v>409</v>
      </c>
      <c r="Y154" t="s">
        <v>410</v>
      </c>
      <c r="Z154" t="s">
        <v>410</v>
      </c>
      <c r="AA154" t="s">
        <v>411</v>
      </c>
      <c r="AB154" t="s">
        <v>554</v>
      </c>
      <c r="AC154" t="s">
        <v>411</v>
      </c>
      <c r="AD154">
        <v>46081</v>
      </c>
      <c r="AE154">
        <v>46139</v>
      </c>
      <c r="AF154">
        <v>46091</v>
      </c>
      <c r="AG154" t="s">
        <v>754</v>
      </c>
      <c r="AH154">
        <v>6128672</v>
      </c>
      <c r="AI154">
        <v>46086</v>
      </c>
      <c r="AJ154">
        <v>46087</v>
      </c>
      <c r="AK154">
        <v>4320</v>
      </c>
      <c r="AL154" t="s">
        <v>396</v>
      </c>
      <c r="AM154" t="s">
        <v>1134</v>
      </c>
      <c r="AN154">
        <v>46087</v>
      </c>
      <c r="AO154">
        <v>46087.636724537035</v>
      </c>
      <c r="AP154" t="s">
        <v>51</v>
      </c>
      <c r="AQ154">
        <v>1.15734</v>
      </c>
      <c r="AR154">
        <v>4999.71</v>
      </c>
      <c r="AS154" t="s">
        <v>51</v>
      </c>
      <c r="AT154">
        <v>4999.71</v>
      </c>
      <c r="AU154" t="s">
        <v>415</v>
      </c>
      <c r="AV154" t="s">
        <v>772</v>
      </c>
      <c r="AW154" t="s">
        <v>863</v>
      </c>
      <c r="AX154">
        <v>46091</v>
      </c>
      <c r="AY154">
        <v>46140</v>
      </c>
      <c r="AZ154" t="s">
        <v>1086</v>
      </c>
      <c r="BA154" t="s">
        <v>560</v>
      </c>
      <c r="BB154" t="s">
        <v>1087</v>
      </c>
      <c r="BC154">
        <v>48</v>
      </c>
      <c r="BD154" t="s">
        <v>521</v>
      </c>
      <c r="BE154">
        <v>8.2250999999999994</v>
      </c>
      <c r="BF154">
        <v>6.7651000000000003</v>
      </c>
      <c r="BG154" t="s">
        <v>522</v>
      </c>
      <c r="BH154">
        <v>495</v>
      </c>
      <c r="BI154">
        <v>395</v>
      </c>
      <c r="BJ154">
        <v>190</v>
      </c>
      <c r="BK154">
        <v>30</v>
      </c>
      <c r="BL154" t="s">
        <v>521</v>
      </c>
      <c r="BM154">
        <v>273.75299999999999</v>
      </c>
      <c r="BN154">
        <v>202.953</v>
      </c>
      <c r="BO154">
        <v>821.26080000000002</v>
      </c>
      <c r="BP154" t="s">
        <v>522</v>
      </c>
      <c r="BQ154">
        <v>1200</v>
      </c>
      <c r="BR154">
        <v>1000</v>
      </c>
      <c r="BS154">
        <v>1120</v>
      </c>
      <c r="BT154">
        <v>3</v>
      </c>
      <c r="BU154">
        <v>0</v>
      </c>
      <c r="BV154">
        <v>3</v>
      </c>
      <c r="BW154">
        <v>90</v>
      </c>
      <c r="BX154">
        <v>0</v>
      </c>
      <c r="BY154">
        <v>90</v>
      </c>
      <c r="BZ154">
        <v>4320</v>
      </c>
      <c r="CA154">
        <v>0</v>
      </c>
      <c r="CB154">
        <v>4320</v>
      </c>
      <c r="CC154">
        <v>608.86080000000004</v>
      </c>
      <c r="CD154" t="s">
        <v>806</v>
      </c>
      <c r="CE154" t="s">
        <v>821</v>
      </c>
      <c r="CG154" t="s">
        <v>421</v>
      </c>
      <c r="CN154" t="str">
        <v>M19</v>
      </c>
      <c r="CO154" t="str">
        <v>1275-5YY0561EN</v>
      </c>
      <c r="CP154" t="str">
        <v>CSLU6151413</v>
      </c>
      <c r="CQ154" s="23">
        <v>266.25200000000001</v>
      </c>
      <c r="CR154" s="25">
        <f t="shared" si="8"/>
        <v>1.9804483361335442E-2</v>
      </c>
      <c r="CS154" s="21">
        <f t="shared" si="9"/>
        <v>49.511208403338607</v>
      </c>
    </row>
    <row r="155" spans="2:97" x14ac:dyDescent="0.35">
      <c r="B155" t="s">
        <v>299</v>
      </c>
      <c r="C155" t="s">
        <v>1135</v>
      </c>
      <c r="D155" t="s">
        <v>395</v>
      </c>
      <c r="E155" t="s">
        <v>395</v>
      </c>
      <c r="F155" t="s">
        <v>396</v>
      </c>
      <c r="G155" t="s">
        <v>397</v>
      </c>
      <c r="H155" t="s">
        <v>398</v>
      </c>
      <c r="I155" t="s">
        <v>399</v>
      </c>
      <c r="J155" t="s">
        <v>749</v>
      </c>
      <c r="K155" t="s">
        <v>845</v>
      </c>
      <c r="L155" t="s">
        <v>787</v>
      </c>
      <c r="M155" t="s">
        <v>403</v>
      </c>
      <c r="N155">
        <v>1</v>
      </c>
      <c r="O155">
        <v>1</v>
      </c>
      <c r="P155" t="s">
        <v>853</v>
      </c>
      <c r="Q155" t="s">
        <v>789</v>
      </c>
      <c r="R155" t="s">
        <v>847</v>
      </c>
      <c r="S155" t="s">
        <v>854</v>
      </c>
      <c r="T155" t="s">
        <v>408</v>
      </c>
      <c r="U155">
        <v>50950081271</v>
      </c>
      <c r="W155">
        <v>9504</v>
      </c>
      <c r="X155" t="s">
        <v>409</v>
      </c>
      <c r="Y155" t="s">
        <v>410</v>
      </c>
      <c r="Z155" t="s">
        <v>410</v>
      </c>
      <c r="AA155" t="s">
        <v>411</v>
      </c>
      <c r="AB155" t="s">
        <v>554</v>
      </c>
      <c r="AC155" t="s">
        <v>411</v>
      </c>
      <c r="AD155">
        <v>46088</v>
      </c>
      <c r="AE155">
        <v>46146</v>
      </c>
      <c r="AF155">
        <v>46092</v>
      </c>
      <c r="AG155" t="s">
        <v>754</v>
      </c>
      <c r="AH155">
        <v>6128301</v>
      </c>
      <c r="AI155">
        <v>46086</v>
      </c>
      <c r="AJ155">
        <v>46087</v>
      </c>
      <c r="AK155">
        <v>9504</v>
      </c>
      <c r="AL155" t="s">
        <v>396</v>
      </c>
      <c r="AM155" t="s">
        <v>1136</v>
      </c>
      <c r="AN155">
        <v>46087</v>
      </c>
      <c r="AO155">
        <v>46087.395694444444</v>
      </c>
      <c r="AP155" t="s">
        <v>51</v>
      </c>
      <c r="AQ155">
        <v>1.00054</v>
      </c>
      <c r="AR155">
        <v>9509.1200000000008</v>
      </c>
      <c r="AS155" t="s">
        <v>51</v>
      </c>
      <c r="AT155">
        <v>9509.1200000000008</v>
      </c>
      <c r="AU155" t="s">
        <v>415</v>
      </c>
      <c r="AV155" t="s">
        <v>557</v>
      </c>
      <c r="AW155" t="s">
        <v>558</v>
      </c>
      <c r="AX155">
        <v>46092</v>
      </c>
      <c r="AY155">
        <v>46141</v>
      </c>
      <c r="AZ155" t="s">
        <v>1091</v>
      </c>
      <c r="BA155" t="s">
        <v>560</v>
      </c>
      <c r="BB155" t="s">
        <v>1092</v>
      </c>
      <c r="BC155">
        <v>33</v>
      </c>
      <c r="BD155" t="s">
        <v>521</v>
      </c>
      <c r="BE155">
        <v>12.9557</v>
      </c>
      <c r="BF155">
        <v>12.005699999999999</v>
      </c>
      <c r="BG155" t="s">
        <v>522</v>
      </c>
      <c r="BH155">
        <v>495</v>
      </c>
      <c r="BI155">
        <v>395</v>
      </c>
      <c r="BJ155">
        <v>150</v>
      </c>
      <c r="BK155">
        <v>36</v>
      </c>
      <c r="BL155" t="s">
        <v>521</v>
      </c>
      <c r="BM155">
        <v>493.40519999999998</v>
      </c>
      <c r="BN155">
        <v>432.20519999999999</v>
      </c>
      <c r="BO155">
        <v>3947.2502399999998</v>
      </c>
      <c r="BP155" t="s">
        <v>522</v>
      </c>
      <c r="BQ155">
        <v>1200</v>
      </c>
      <c r="BR155">
        <v>1000</v>
      </c>
      <c r="BS155">
        <v>1053</v>
      </c>
      <c r="BT155">
        <v>8</v>
      </c>
      <c r="BU155">
        <v>0</v>
      </c>
      <c r="BV155">
        <v>8</v>
      </c>
      <c r="BW155">
        <v>288</v>
      </c>
      <c r="BX155">
        <v>0</v>
      </c>
      <c r="BY155">
        <v>288</v>
      </c>
      <c r="BZ155">
        <v>9504</v>
      </c>
      <c r="CA155">
        <v>0</v>
      </c>
      <c r="CB155">
        <v>9504</v>
      </c>
      <c r="CC155">
        <v>3457.6502399999999</v>
      </c>
      <c r="CD155" t="s">
        <v>856</v>
      </c>
      <c r="CE155" t="s">
        <v>857</v>
      </c>
      <c r="CG155" t="s">
        <v>421</v>
      </c>
      <c r="CN155" t="str">
        <v>M19</v>
      </c>
      <c r="CO155" t="str">
        <v>1275-5YY0564EN</v>
      </c>
      <c r="CP155" t="str">
        <v>CSLU6151413</v>
      </c>
      <c r="CQ155" s="23">
        <v>118.1572</v>
      </c>
      <c r="CR155" s="25">
        <f t="shared" si="8"/>
        <v>8.7888252536017907E-3</v>
      </c>
      <c r="CS155" s="21">
        <f t="shared" si="9"/>
        <v>21.972063134004475</v>
      </c>
    </row>
    <row r="156" spans="2:97" x14ac:dyDescent="0.35">
      <c r="B156" t="s">
        <v>299</v>
      </c>
      <c r="C156" t="s">
        <v>1137</v>
      </c>
      <c r="D156" t="s">
        <v>395</v>
      </c>
      <c r="E156" t="s">
        <v>395</v>
      </c>
      <c r="F156" t="s">
        <v>396</v>
      </c>
      <c r="G156" t="s">
        <v>397</v>
      </c>
      <c r="H156" t="s">
        <v>398</v>
      </c>
      <c r="I156" t="s">
        <v>399</v>
      </c>
      <c r="J156" t="s">
        <v>749</v>
      </c>
      <c r="K156" t="s">
        <v>809</v>
      </c>
      <c r="L156" t="s">
        <v>787</v>
      </c>
      <c r="M156" t="s">
        <v>403</v>
      </c>
      <c r="N156">
        <v>1</v>
      </c>
      <c r="O156">
        <v>1</v>
      </c>
      <c r="P156" t="s">
        <v>1138</v>
      </c>
      <c r="Q156" t="s">
        <v>943</v>
      </c>
      <c r="R156" t="s">
        <v>811</v>
      </c>
      <c r="S156" t="s">
        <v>1139</v>
      </c>
      <c r="T156" t="s">
        <v>408</v>
      </c>
      <c r="U156">
        <v>50950081276</v>
      </c>
      <c r="W156">
        <v>2880</v>
      </c>
      <c r="X156" t="s">
        <v>409</v>
      </c>
      <c r="Y156" t="s">
        <v>410</v>
      </c>
      <c r="Z156" t="s">
        <v>410</v>
      </c>
      <c r="AA156" t="s">
        <v>411</v>
      </c>
      <c r="AB156" t="s">
        <v>554</v>
      </c>
      <c r="AC156" t="s">
        <v>411</v>
      </c>
      <c r="AD156">
        <v>46088</v>
      </c>
      <c r="AE156">
        <v>46146</v>
      </c>
      <c r="AF156">
        <v>46091</v>
      </c>
      <c r="AG156" t="s">
        <v>754</v>
      </c>
      <c r="AH156">
        <v>6128673</v>
      </c>
      <c r="AI156">
        <v>46086</v>
      </c>
      <c r="AJ156">
        <v>46087</v>
      </c>
      <c r="AK156">
        <v>2880</v>
      </c>
      <c r="AL156" t="s">
        <v>396</v>
      </c>
      <c r="AM156" t="s">
        <v>1140</v>
      </c>
      <c r="AN156">
        <v>46087</v>
      </c>
      <c r="AO156">
        <v>46087.636724537035</v>
      </c>
      <c r="AP156" t="s">
        <v>51</v>
      </c>
      <c r="AQ156">
        <v>1.50905</v>
      </c>
      <c r="AR156">
        <v>4346.04</v>
      </c>
      <c r="AS156" t="s">
        <v>51</v>
      </c>
      <c r="AT156">
        <v>4346.04</v>
      </c>
      <c r="AU156" t="s">
        <v>415</v>
      </c>
      <c r="AV156" t="s">
        <v>772</v>
      </c>
      <c r="AW156" t="s">
        <v>863</v>
      </c>
      <c r="AX156">
        <v>46091</v>
      </c>
      <c r="AY156">
        <v>46140</v>
      </c>
      <c r="AZ156" t="s">
        <v>1086</v>
      </c>
      <c r="BA156" t="s">
        <v>560</v>
      </c>
      <c r="BB156" t="s">
        <v>1087</v>
      </c>
      <c r="BC156">
        <v>16</v>
      </c>
      <c r="BD156" t="s">
        <v>521</v>
      </c>
      <c r="BE156">
        <v>4.0369000000000002</v>
      </c>
      <c r="BF156">
        <v>2.8378999999999999</v>
      </c>
      <c r="BG156" t="s">
        <v>522</v>
      </c>
      <c r="BH156">
        <v>495</v>
      </c>
      <c r="BI156">
        <v>395</v>
      </c>
      <c r="BJ156">
        <v>190</v>
      </c>
      <c r="BK156">
        <v>30</v>
      </c>
      <c r="BL156" t="s">
        <v>521</v>
      </c>
      <c r="BM156">
        <v>148.107</v>
      </c>
      <c r="BN156">
        <v>85.137</v>
      </c>
      <c r="BO156">
        <v>888.63408000000004</v>
      </c>
      <c r="BP156" t="s">
        <v>522</v>
      </c>
      <c r="BQ156">
        <v>1200</v>
      </c>
      <c r="BR156">
        <v>1000</v>
      </c>
      <c r="BS156">
        <v>1120</v>
      </c>
      <c r="BT156">
        <v>6</v>
      </c>
      <c r="BU156">
        <v>0</v>
      </c>
      <c r="BV156">
        <v>6</v>
      </c>
      <c r="BW156">
        <v>180</v>
      </c>
      <c r="BX156">
        <v>0</v>
      </c>
      <c r="BY156">
        <v>180</v>
      </c>
      <c r="BZ156">
        <v>2880</v>
      </c>
      <c r="CA156">
        <v>0</v>
      </c>
      <c r="CB156">
        <v>2880</v>
      </c>
      <c r="CC156">
        <v>510.81407999999999</v>
      </c>
      <c r="CD156" t="s">
        <v>806</v>
      </c>
      <c r="CE156" t="s">
        <v>816</v>
      </c>
      <c r="CG156" t="s">
        <v>421</v>
      </c>
      <c r="CN156" t="str">
        <v>M45</v>
      </c>
      <c r="CO156" t="str">
        <v>1438-12C0005EN</v>
      </c>
      <c r="CP156" t="str">
        <v>CSLU6151413</v>
      </c>
      <c r="CQ156" s="23">
        <v>159.63999999999999</v>
      </c>
      <c r="CR156" s="25">
        <f t="shared" si="8"/>
        <v>1.1874418685319132E-2</v>
      </c>
      <c r="CS156" s="21">
        <f t="shared" si="9"/>
        <v>29.686046713297831</v>
      </c>
    </row>
    <row r="157" spans="2:97" x14ac:dyDescent="0.35">
      <c r="B157" t="s">
        <v>296</v>
      </c>
      <c r="C157" t="s">
        <v>1141</v>
      </c>
      <c r="D157" t="s">
        <v>395</v>
      </c>
      <c r="E157" t="s">
        <v>395</v>
      </c>
      <c r="F157" t="s">
        <v>396</v>
      </c>
      <c r="G157" t="s">
        <v>397</v>
      </c>
      <c r="H157" t="s">
        <v>398</v>
      </c>
      <c r="I157" t="s">
        <v>399</v>
      </c>
      <c r="J157" t="s">
        <v>749</v>
      </c>
      <c r="K157" t="s">
        <v>1142</v>
      </c>
      <c r="L157" t="s">
        <v>787</v>
      </c>
      <c r="M157" t="s">
        <v>403</v>
      </c>
      <c r="N157">
        <v>1</v>
      </c>
      <c r="O157">
        <v>1</v>
      </c>
      <c r="P157" t="s">
        <v>1143</v>
      </c>
      <c r="Q157" t="s">
        <v>424</v>
      </c>
      <c r="R157" t="s">
        <v>1144</v>
      </c>
      <c r="S157" t="s">
        <v>1145</v>
      </c>
      <c r="T157" t="s">
        <v>408</v>
      </c>
      <c r="U157">
        <v>50950081388</v>
      </c>
      <c r="W157">
        <v>18000</v>
      </c>
      <c r="X157" t="s">
        <v>409</v>
      </c>
      <c r="Y157" t="s">
        <v>410</v>
      </c>
      <c r="Z157" t="s">
        <v>410</v>
      </c>
      <c r="AA157" t="s">
        <v>411</v>
      </c>
      <c r="AB157" t="s">
        <v>554</v>
      </c>
      <c r="AC157" t="s">
        <v>411</v>
      </c>
      <c r="AD157">
        <v>46083</v>
      </c>
      <c r="AE157">
        <v>46160</v>
      </c>
      <c r="AF157">
        <v>46091</v>
      </c>
      <c r="AG157" t="s">
        <v>754</v>
      </c>
      <c r="AH157">
        <v>6128674</v>
      </c>
      <c r="AI157">
        <v>46086</v>
      </c>
      <c r="AJ157">
        <v>46087</v>
      </c>
      <c r="AK157">
        <v>18000</v>
      </c>
      <c r="AL157" t="s">
        <v>396</v>
      </c>
      <c r="AM157" t="s">
        <v>1146</v>
      </c>
      <c r="AN157">
        <v>46087</v>
      </c>
      <c r="AO157">
        <v>46087.636724537035</v>
      </c>
      <c r="AP157" t="s">
        <v>51</v>
      </c>
      <c r="AQ157">
        <v>0.15309</v>
      </c>
      <c r="AR157">
        <v>2755.62</v>
      </c>
      <c r="AS157" t="s">
        <v>51</v>
      </c>
      <c r="AT157">
        <v>2755.62</v>
      </c>
      <c r="AU157" t="s">
        <v>415</v>
      </c>
      <c r="AV157" t="s">
        <v>772</v>
      </c>
      <c r="AW157" t="s">
        <v>863</v>
      </c>
      <c r="AX157">
        <v>46091</v>
      </c>
      <c r="AY157">
        <v>46140</v>
      </c>
      <c r="AZ157" t="s">
        <v>1086</v>
      </c>
      <c r="BA157" t="s">
        <v>560</v>
      </c>
      <c r="BB157" t="s">
        <v>1087</v>
      </c>
      <c r="BC157">
        <v>9000</v>
      </c>
      <c r="BD157" t="s">
        <v>521</v>
      </c>
      <c r="BE157">
        <v>382.048</v>
      </c>
      <c r="BF157">
        <v>361.548</v>
      </c>
      <c r="BG157" t="s">
        <v>522</v>
      </c>
      <c r="BH157">
        <v>1050</v>
      </c>
      <c r="BI157">
        <v>480</v>
      </c>
      <c r="BJ157">
        <v>460</v>
      </c>
      <c r="BK157">
        <v>1</v>
      </c>
      <c r="BL157" t="s">
        <v>521</v>
      </c>
      <c r="BM157">
        <v>382.04809999999998</v>
      </c>
      <c r="BN157">
        <v>361.548</v>
      </c>
      <c r="BO157">
        <v>764.09619999999995</v>
      </c>
      <c r="BP157" t="s">
        <v>522</v>
      </c>
      <c r="BQ157">
        <v>1050</v>
      </c>
      <c r="BR157">
        <v>480</v>
      </c>
      <c r="BS157">
        <v>480</v>
      </c>
      <c r="BT157">
        <v>2</v>
      </c>
      <c r="BU157">
        <v>0</v>
      </c>
      <c r="BV157">
        <v>2</v>
      </c>
      <c r="BW157">
        <v>2</v>
      </c>
      <c r="BX157">
        <v>0</v>
      </c>
      <c r="BY157">
        <v>2</v>
      </c>
      <c r="BZ157">
        <v>18000</v>
      </c>
      <c r="CA157">
        <v>0</v>
      </c>
      <c r="CB157">
        <v>18000</v>
      </c>
      <c r="CC157">
        <v>723.096</v>
      </c>
      <c r="CD157" t="s">
        <v>641</v>
      </c>
      <c r="CE157" t="s">
        <v>1147</v>
      </c>
      <c r="CG157" t="s">
        <v>421</v>
      </c>
      <c r="CN157" t="str">
        <v>M01</v>
      </c>
      <c r="CO157" t="str">
        <v>1438-1010133EN</v>
      </c>
      <c r="CP157" t="str">
        <v>CSLU6151413</v>
      </c>
      <c r="CQ157" s="23">
        <v>1921.848</v>
      </c>
      <c r="CR157" s="25">
        <f t="shared" si="8"/>
        <v>0.14295181534416943</v>
      </c>
      <c r="CS157" s="21">
        <f t="shared" si="9"/>
        <v>357.37953836042357</v>
      </c>
    </row>
    <row r="158" spans="2:97" x14ac:dyDescent="0.35">
      <c r="B158" t="s">
        <v>297</v>
      </c>
      <c r="C158" t="s">
        <v>1148</v>
      </c>
      <c r="D158" t="s">
        <v>395</v>
      </c>
      <c r="E158" t="s">
        <v>395</v>
      </c>
      <c r="F158" t="s">
        <v>396</v>
      </c>
      <c r="G158" t="s">
        <v>397</v>
      </c>
      <c r="H158" t="s">
        <v>398</v>
      </c>
      <c r="I158" t="s">
        <v>399</v>
      </c>
      <c r="J158" t="s">
        <v>749</v>
      </c>
      <c r="K158" t="s">
        <v>629</v>
      </c>
      <c r="L158" t="s">
        <v>787</v>
      </c>
      <c r="M158" t="s">
        <v>403</v>
      </c>
      <c r="N158">
        <v>1</v>
      </c>
      <c r="O158">
        <v>1</v>
      </c>
      <c r="P158" t="s">
        <v>1149</v>
      </c>
      <c r="Q158" t="s">
        <v>430</v>
      </c>
      <c r="R158" t="s">
        <v>1112</v>
      </c>
      <c r="S158" t="s">
        <v>1113</v>
      </c>
      <c r="T158" t="s">
        <v>408</v>
      </c>
      <c r="U158">
        <v>50950081408</v>
      </c>
      <c r="W158">
        <v>9600</v>
      </c>
      <c r="X158" t="s">
        <v>409</v>
      </c>
      <c r="Y158" t="s">
        <v>410</v>
      </c>
      <c r="Z158" t="s">
        <v>410</v>
      </c>
      <c r="AA158" t="s">
        <v>411</v>
      </c>
      <c r="AB158" t="s">
        <v>554</v>
      </c>
      <c r="AC158" t="s">
        <v>411</v>
      </c>
      <c r="AD158">
        <v>46088</v>
      </c>
      <c r="AE158">
        <v>46146</v>
      </c>
      <c r="AF158">
        <v>46091</v>
      </c>
      <c r="AG158" t="s">
        <v>754</v>
      </c>
      <c r="AH158">
        <v>6130024</v>
      </c>
      <c r="AI158">
        <v>46087</v>
      </c>
      <c r="AJ158">
        <v>46087</v>
      </c>
      <c r="AK158">
        <v>9600</v>
      </c>
      <c r="AL158" t="s">
        <v>396</v>
      </c>
      <c r="AM158" t="s">
        <v>1150</v>
      </c>
      <c r="AN158">
        <v>46087</v>
      </c>
      <c r="AO158">
        <v>46087.636724537035</v>
      </c>
      <c r="AP158" t="s">
        <v>51</v>
      </c>
      <c r="AQ158">
        <v>0.12992000000000001</v>
      </c>
      <c r="AR158">
        <v>1247.24</v>
      </c>
      <c r="AS158" t="s">
        <v>51</v>
      </c>
      <c r="AT158">
        <v>1247.24</v>
      </c>
      <c r="AU158" t="s">
        <v>415</v>
      </c>
      <c r="AV158" t="s">
        <v>772</v>
      </c>
      <c r="AW158" t="s">
        <v>863</v>
      </c>
      <c r="AX158">
        <v>46091</v>
      </c>
      <c r="AY158">
        <v>46140</v>
      </c>
      <c r="AZ158" t="s">
        <v>1086</v>
      </c>
      <c r="BA158" t="s">
        <v>560</v>
      </c>
      <c r="BB158" t="s">
        <v>1087</v>
      </c>
      <c r="BC158">
        <v>160</v>
      </c>
      <c r="BD158" t="s">
        <v>521</v>
      </c>
      <c r="BE158">
        <v>4.2907000000000002</v>
      </c>
      <c r="BF158">
        <v>3.3837000000000002</v>
      </c>
      <c r="BG158" t="s">
        <v>522</v>
      </c>
      <c r="BH158">
        <v>395</v>
      </c>
      <c r="BI158">
        <v>295</v>
      </c>
      <c r="BJ158">
        <v>270</v>
      </c>
      <c r="BK158">
        <v>30</v>
      </c>
      <c r="BL158" t="s">
        <v>521</v>
      </c>
      <c r="BM158">
        <v>155.721</v>
      </c>
      <c r="BN158">
        <v>101.511</v>
      </c>
      <c r="BO158">
        <v>311.44080000000002</v>
      </c>
      <c r="BP158" t="s">
        <v>522</v>
      </c>
      <c r="BQ158">
        <v>1200</v>
      </c>
      <c r="BR158">
        <v>1000</v>
      </c>
      <c r="BS158">
        <v>968</v>
      </c>
      <c r="BT158">
        <v>2</v>
      </c>
      <c r="BU158">
        <v>0</v>
      </c>
      <c r="BV158">
        <v>2</v>
      </c>
      <c r="BW158">
        <v>60</v>
      </c>
      <c r="BX158">
        <v>0</v>
      </c>
      <c r="BY158">
        <v>60</v>
      </c>
      <c r="BZ158">
        <v>9600</v>
      </c>
      <c r="CA158">
        <v>0</v>
      </c>
      <c r="CB158">
        <v>9600</v>
      </c>
      <c r="CC158">
        <v>203.02080000000001</v>
      </c>
      <c r="CD158" t="s">
        <v>1151</v>
      </c>
      <c r="CE158" t="s">
        <v>634</v>
      </c>
      <c r="CG158" t="s">
        <v>421</v>
      </c>
      <c r="CN158" t="str">
        <v>M45</v>
      </c>
      <c r="CO158" t="str">
        <v>1438-12C0005EN</v>
      </c>
      <c r="CP158" t="str">
        <v>CSLU6151413</v>
      </c>
      <c r="CQ158" s="23">
        <v>638.55999999999995</v>
      </c>
      <c r="CR158" s="25">
        <f t="shared" si="8"/>
        <v>4.749767474127653E-2</v>
      </c>
      <c r="CS158" s="21">
        <f t="shared" si="9"/>
        <v>118.74418685319132</v>
      </c>
    </row>
    <row r="159" spans="2:97" x14ac:dyDescent="0.35">
      <c r="B159" t="s">
        <v>296</v>
      </c>
      <c r="C159" t="s">
        <v>1152</v>
      </c>
      <c r="D159" t="s">
        <v>395</v>
      </c>
      <c r="E159" t="s">
        <v>395</v>
      </c>
      <c r="F159" t="s">
        <v>396</v>
      </c>
      <c r="G159" t="s">
        <v>397</v>
      </c>
      <c r="H159" t="s">
        <v>398</v>
      </c>
      <c r="I159" t="s">
        <v>399</v>
      </c>
      <c r="J159" t="s">
        <v>749</v>
      </c>
      <c r="K159" t="s">
        <v>629</v>
      </c>
      <c r="L159" t="s">
        <v>787</v>
      </c>
      <c r="M159" t="s">
        <v>403</v>
      </c>
      <c r="N159">
        <v>1</v>
      </c>
      <c r="O159">
        <v>1</v>
      </c>
      <c r="P159" t="s">
        <v>1153</v>
      </c>
      <c r="Q159" t="s">
        <v>424</v>
      </c>
      <c r="R159" t="s">
        <v>1154</v>
      </c>
      <c r="S159" t="s">
        <v>1155</v>
      </c>
      <c r="T159" t="s">
        <v>408</v>
      </c>
      <c r="U159">
        <v>50950081447</v>
      </c>
      <c r="W159">
        <v>48000</v>
      </c>
      <c r="X159" t="s">
        <v>409</v>
      </c>
      <c r="Y159" t="s">
        <v>410</v>
      </c>
      <c r="Z159" t="s">
        <v>410</v>
      </c>
      <c r="AA159" t="s">
        <v>411</v>
      </c>
      <c r="AB159" t="s">
        <v>554</v>
      </c>
      <c r="AC159" t="s">
        <v>411</v>
      </c>
      <c r="AD159">
        <v>46088</v>
      </c>
      <c r="AE159">
        <v>46146</v>
      </c>
      <c r="AF159">
        <v>46091</v>
      </c>
      <c r="AG159" t="s">
        <v>754</v>
      </c>
      <c r="AH159">
        <v>6130025</v>
      </c>
      <c r="AI159">
        <v>46087</v>
      </c>
      <c r="AJ159">
        <v>46087</v>
      </c>
      <c r="AK159">
        <v>48000</v>
      </c>
      <c r="AL159" t="s">
        <v>396</v>
      </c>
      <c r="AM159" t="s">
        <v>1156</v>
      </c>
      <c r="AN159">
        <v>46087</v>
      </c>
      <c r="AO159">
        <v>46087.636724537035</v>
      </c>
      <c r="AP159" t="s">
        <v>51</v>
      </c>
      <c r="AQ159">
        <v>3.2939999999999997E-2</v>
      </c>
      <c r="AR159">
        <v>1581.12</v>
      </c>
      <c r="AS159" t="s">
        <v>51</v>
      </c>
      <c r="AT159">
        <v>1581.12</v>
      </c>
      <c r="AU159" t="s">
        <v>415</v>
      </c>
      <c r="AV159" t="s">
        <v>772</v>
      </c>
      <c r="AW159" t="s">
        <v>863</v>
      </c>
      <c r="AX159">
        <v>46091</v>
      </c>
      <c r="AY159">
        <v>46140</v>
      </c>
      <c r="AZ159" t="s">
        <v>1086</v>
      </c>
      <c r="BA159" t="s">
        <v>560</v>
      </c>
      <c r="BB159" t="s">
        <v>1087</v>
      </c>
      <c r="BC159">
        <v>2000</v>
      </c>
      <c r="BD159" t="s">
        <v>521</v>
      </c>
      <c r="BE159">
        <v>12.436</v>
      </c>
      <c r="BF159">
        <v>10.906000000000001</v>
      </c>
      <c r="BG159" t="s">
        <v>522</v>
      </c>
      <c r="BH159">
        <v>595</v>
      </c>
      <c r="BI159">
        <v>495</v>
      </c>
      <c r="BJ159">
        <v>310</v>
      </c>
      <c r="BK159">
        <v>12</v>
      </c>
      <c r="BL159" t="s">
        <v>521</v>
      </c>
      <c r="BM159">
        <v>176.232</v>
      </c>
      <c r="BN159">
        <v>130.87200000000001</v>
      </c>
      <c r="BO159">
        <v>352.464</v>
      </c>
      <c r="BP159" t="s">
        <v>522</v>
      </c>
      <c r="BQ159">
        <v>1200</v>
      </c>
      <c r="BR159">
        <v>1000</v>
      </c>
      <c r="BS159">
        <v>1088</v>
      </c>
      <c r="BT159">
        <v>2</v>
      </c>
      <c r="BU159">
        <v>0</v>
      </c>
      <c r="BV159">
        <v>2</v>
      </c>
      <c r="BW159">
        <v>24</v>
      </c>
      <c r="BX159">
        <v>0</v>
      </c>
      <c r="BY159">
        <v>24</v>
      </c>
      <c r="BZ159">
        <v>48000</v>
      </c>
      <c r="CA159">
        <v>0</v>
      </c>
      <c r="CB159">
        <v>48000</v>
      </c>
      <c r="CC159">
        <v>261.74400000000003</v>
      </c>
      <c r="CD159" t="s">
        <v>842</v>
      </c>
      <c r="CE159" t="s">
        <v>843</v>
      </c>
      <c r="CG159" t="s">
        <v>421</v>
      </c>
      <c r="CN159" t="str">
        <v>M45</v>
      </c>
      <c r="CO159" t="str">
        <v>1438-12C0005EN</v>
      </c>
      <c r="CP159" t="str">
        <v>CSLU6151413</v>
      </c>
      <c r="CQ159" s="23">
        <v>159.63999999999999</v>
      </c>
      <c r="CR159" s="25">
        <f t="shared" si="8"/>
        <v>1.1874418685319132E-2</v>
      </c>
      <c r="CS159" s="21">
        <f t="shared" si="9"/>
        <v>29.686046713297831</v>
      </c>
    </row>
    <row r="160" spans="2:97" x14ac:dyDescent="0.35">
      <c r="B160" t="s">
        <v>296</v>
      </c>
      <c r="C160" t="s">
        <v>1157</v>
      </c>
      <c r="D160" t="s">
        <v>395</v>
      </c>
      <c r="E160" t="s">
        <v>395</v>
      </c>
      <c r="F160" t="s">
        <v>396</v>
      </c>
      <c r="G160" t="s">
        <v>397</v>
      </c>
      <c r="H160" t="s">
        <v>398</v>
      </c>
      <c r="I160" t="s">
        <v>399</v>
      </c>
      <c r="J160" t="s">
        <v>749</v>
      </c>
      <c r="K160" t="s">
        <v>1142</v>
      </c>
      <c r="L160" t="s">
        <v>787</v>
      </c>
      <c r="M160" t="s">
        <v>403</v>
      </c>
      <c r="N160">
        <v>1</v>
      </c>
      <c r="O160">
        <v>2</v>
      </c>
      <c r="P160" t="s">
        <v>1158</v>
      </c>
      <c r="Q160" t="s">
        <v>405</v>
      </c>
      <c r="R160" t="s">
        <v>1159</v>
      </c>
      <c r="S160" t="s">
        <v>1160</v>
      </c>
      <c r="T160" t="s">
        <v>408</v>
      </c>
      <c r="U160">
        <v>50950081460</v>
      </c>
      <c r="W160">
        <v>45360</v>
      </c>
      <c r="X160" t="s">
        <v>409</v>
      </c>
      <c r="Y160" t="s">
        <v>410</v>
      </c>
      <c r="Z160" t="s">
        <v>410</v>
      </c>
      <c r="AA160" t="s">
        <v>411</v>
      </c>
      <c r="AB160" t="s">
        <v>554</v>
      </c>
      <c r="AC160" t="s">
        <v>411</v>
      </c>
      <c r="AD160">
        <v>46081</v>
      </c>
      <c r="AE160">
        <v>46153</v>
      </c>
      <c r="AF160">
        <v>46091</v>
      </c>
      <c r="AG160" t="s">
        <v>754</v>
      </c>
      <c r="AH160">
        <v>6128676</v>
      </c>
      <c r="AI160">
        <v>46086</v>
      </c>
      <c r="AJ160">
        <v>46087</v>
      </c>
      <c r="AK160">
        <v>45360</v>
      </c>
      <c r="AL160" t="s">
        <v>396</v>
      </c>
      <c r="AM160" t="s">
        <v>1161</v>
      </c>
      <c r="AN160">
        <v>46087</v>
      </c>
      <c r="AO160">
        <v>46087.636724537035</v>
      </c>
      <c r="AP160" t="s">
        <v>51</v>
      </c>
      <c r="AQ160">
        <v>7.1290000000000006E-2</v>
      </c>
      <c r="AR160">
        <v>3233.7</v>
      </c>
      <c r="AS160" t="s">
        <v>51</v>
      </c>
      <c r="AT160">
        <v>3233.7</v>
      </c>
      <c r="AU160" t="s">
        <v>415</v>
      </c>
      <c r="AV160" t="s">
        <v>772</v>
      </c>
      <c r="AW160" t="s">
        <v>863</v>
      </c>
      <c r="AX160">
        <v>46091</v>
      </c>
      <c r="AY160">
        <v>46140</v>
      </c>
      <c r="AZ160" t="s">
        <v>1086</v>
      </c>
      <c r="BA160" t="s">
        <v>560</v>
      </c>
      <c r="BB160" t="s">
        <v>1087</v>
      </c>
      <c r="BC160">
        <v>15120</v>
      </c>
      <c r="BD160" t="s">
        <v>521</v>
      </c>
      <c r="BE160">
        <v>659.16880000000003</v>
      </c>
      <c r="BF160">
        <v>638.66880000000003</v>
      </c>
      <c r="BG160" t="s">
        <v>522</v>
      </c>
      <c r="BH160">
        <v>1050</v>
      </c>
      <c r="BI160">
        <v>480</v>
      </c>
      <c r="BJ160">
        <v>460</v>
      </c>
      <c r="BK160">
        <v>1</v>
      </c>
      <c r="BL160" t="s">
        <v>521</v>
      </c>
      <c r="BM160">
        <v>659.16890000000001</v>
      </c>
      <c r="BN160">
        <v>638.66880000000003</v>
      </c>
      <c r="BO160">
        <v>1977.5066999999999</v>
      </c>
      <c r="BP160" t="s">
        <v>522</v>
      </c>
      <c r="BQ160">
        <v>1050</v>
      </c>
      <c r="BR160">
        <v>480</v>
      </c>
      <c r="BS160">
        <v>480</v>
      </c>
      <c r="BT160">
        <v>3</v>
      </c>
      <c r="BU160">
        <v>0</v>
      </c>
      <c r="BV160">
        <v>3</v>
      </c>
      <c r="BW160">
        <v>3</v>
      </c>
      <c r="BX160">
        <v>0</v>
      </c>
      <c r="BY160">
        <v>3</v>
      </c>
      <c r="BZ160">
        <v>45360</v>
      </c>
      <c r="CA160">
        <v>0</v>
      </c>
      <c r="CB160">
        <v>45360</v>
      </c>
      <c r="CC160">
        <v>1916.0064</v>
      </c>
      <c r="CD160" t="s">
        <v>641</v>
      </c>
      <c r="CE160" t="s">
        <v>1147</v>
      </c>
      <c r="CG160" t="s">
        <v>421</v>
      </c>
      <c r="CN160" t="str">
        <v>M19</v>
      </c>
      <c r="CO160" t="str">
        <v>1271-5YY0099EN</v>
      </c>
      <c r="CP160" t="str">
        <v>CSLU6151413</v>
      </c>
      <c r="CQ160" s="23">
        <v>1177.096</v>
      </c>
      <c r="CR160" s="25">
        <f t="shared" si="8"/>
        <v>8.7555316567366648E-2</v>
      </c>
      <c r="CS160" s="21">
        <f t="shared" si="9"/>
        <v>218.88829141841663</v>
      </c>
    </row>
    <row r="161" spans="2:97" x14ac:dyDescent="0.35">
      <c r="B161" t="s">
        <v>296</v>
      </c>
      <c r="C161" t="s">
        <v>1162</v>
      </c>
      <c r="D161" t="s">
        <v>395</v>
      </c>
      <c r="E161" t="s">
        <v>395</v>
      </c>
      <c r="F161" t="s">
        <v>396</v>
      </c>
      <c r="G161" t="s">
        <v>397</v>
      </c>
      <c r="H161" t="s">
        <v>398</v>
      </c>
      <c r="I161" t="s">
        <v>399</v>
      </c>
      <c r="J161" t="s">
        <v>749</v>
      </c>
      <c r="K161" t="s">
        <v>1142</v>
      </c>
      <c r="L161" t="s">
        <v>787</v>
      </c>
      <c r="M161" t="s">
        <v>403</v>
      </c>
      <c r="N161">
        <v>1</v>
      </c>
      <c r="O161">
        <v>2</v>
      </c>
      <c r="P161" t="s">
        <v>1163</v>
      </c>
      <c r="Q161" t="s">
        <v>430</v>
      </c>
      <c r="R161" t="s">
        <v>1164</v>
      </c>
      <c r="S161" t="s">
        <v>1165</v>
      </c>
      <c r="T161" t="s">
        <v>408</v>
      </c>
      <c r="U161">
        <v>50950081481</v>
      </c>
      <c r="W161">
        <v>37800</v>
      </c>
      <c r="X161" t="s">
        <v>409</v>
      </c>
      <c r="Y161" t="s">
        <v>410</v>
      </c>
      <c r="Z161" t="s">
        <v>410</v>
      </c>
      <c r="AA161" t="s">
        <v>411</v>
      </c>
      <c r="AB161" t="s">
        <v>554</v>
      </c>
      <c r="AC161" t="s">
        <v>411</v>
      </c>
      <c r="AD161">
        <v>46081</v>
      </c>
      <c r="AE161">
        <v>46153</v>
      </c>
      <c r="AF161">
        <v>46091</v>
      </c>
      <c r="AG161" t="s">
        <v>754</v>
      </c>
      <c r="AH161">
        <v>6128677</v>
      </c>
      <c r="AI161">
        <v>46086</v>
      </c>
      <c r="AJ161">
        <v>46087</v>
      </c>
      <c r="AK161">
        <v>37800</v>
      </c>
      <c r="AL161" t="s">
        <v>396</v>
      </c>
      <c r="AM161" t="s">
        <v>1166</v>
      </c>
      <c r="AN161">
        <v>46087</v>
      </c>
      <c r="AO161">
        <v>46087.636724537035</v>
      </c>
      <c r="AP161" t="s">
        <v>51</v>
      </c>
      <c r="AQ161">
        <v>0.11984</v>
      </c>
      <c r="AR161">
        <v>4529.95</v>
      </c>
      <c r="AS161" t="s">
        <v>51</v>
      </c>
      <c r="AT161">
        <v>4529.95</v>
      </c>
      <c r="AU161" t="s">
        <v>415</v>
      </c>
      <c r="AV161" t="s">
        <v>772</v>
      </c>
      <c r="AW161" t="s">
        <v>863</v>
      </c>
      <c r="AX161">
        <v>46091</v>
      </c>
      <c r="AY161">
        <v>46140</v>
      </c>
      <c r="AZ161" t="s">
        <v>1086</v>
      </c>
      <c r="BA161" t="s">
        <v>560</v>
      </c>
      <c r="BB161" t="s">
        <v>1087</v>
      </c>
      <c r="BC161">
        <v>7560</v>
      </c>
      <c r="BD161" t="s">
        <v>521</v>
      </c>
      <c r="BE161">
        <v>637.24480000000005</v>
      </c>
      <c r="BF161">
        <v>616.74480000000005</v>
      </c>
      <c r="BG161" t="s">
        <v>522</v>
      </c>
      <c r="BH161">
        <v>1050</v>
      </c>
      <c r="BI161">
        <v>480</v>
      </c>
      <c r="BJ161">
        <v>460</v>
      </c>
      <c r="BK161">
        <v>1</v>
      </c>
      <c r="BL161" t="s">
        <v>521</v>
      </c>
      <c r="BM161">
        <v>637.24490000000003</v>
      </c>
      <c r="BN161">
        <v>616.74480000000005</v>
      </c>
      <c r="BO161">
        <v>3186.2244999999998</v>
      </c>
      <c r="BP161" t="s">
        <v>522</v>
      </c>
      <c r="BQ161">
        <v>1050</v>
      </c>
      <c r="BR161">
        <v>480</v>
      </c>
      <c r="BS161">
        <v>480</v>
      </c>
      <c r="BT161">
        <v>5</v>
      </c>
      <c r="BU161">
        <v>0</v>
      </c>
      <c r="BV161">
        <v>5</v>
      </c>
      <c r="BW161">
        <v>5</v>
      </c>
      <c r="BX161">
        <v>0</v>
      </c>
      <c r="BY161">
        <v>5</v>
      </c>
      <c r="BZ161">
        <v>37800</v>
      </c>
      <c r="CA161">
        <v>0</v>
      </c>
      <c r="CB161">
        <v>37800</v>
      </c>
      <c r="CC161">
        <v>3083.7240000000002</v>
      </c>
      <c r="CD161" t="s">
        <v>641</v>
      </c>
      <c r="CE161" t="s">
        <v>1147</v>
      </c>
      <c r="CG161" t="s">
        <v>421</v>
      </c>
      <c r="CN161" t="str">
        <v>M19</v>
      </c>
      <c r="CO161" t="str">
        <v>1307-5YY0182EN</v>
      </c>
      <c r="CP161" t="str">
        <v>CSLU6151413</v>
      </c>
      <c r="CQ161" s="23">
        <v>419.688064</v>
      </c>
      <c r="CR161" s="25">
        <f t="shared" si="8"/>
        <v>3.1217437917608448E-2</v>
      </c>
      <c r="CS161" s="21">
        <f t="shared" si="9"/>
        <v>78.043594794021118</v>
      </c>
    </row>
    <row r="162" spans="2:97" x14ac:dyDescent="0.35">
      <c r="B162" t="s">
        <v>296</v>
      </c>
      <c r="C162" t="s">
        <v>1167</v>
      </c>
      <c r="D162" t="s">
        <v>395</v>
      </c>
      <c r="E162" t="s">
        <v>395</v>
      </c>
      <c r="F162" t="s">
        <v>396</v>
      </c>
      <c r="G162" t="s">
        <v>397</v>
      </c>
      <c r="H162" t="s">
        <v>398</v>
      </c>
      <c r="I162" t="s">
        <v>399</v>
      </c>
      <c r="J162" t="s">
        <v>749</v>
      </c>
      <c r="K162" t="s">
        <v>1142</v>
      </c>
      <c r="L162" t="s">
        <v>787</v>
      </c>
      <c r="M162" t="s">
        <v>403</v>
      </c>
      <c r="N162">
        <v>1</v>
      </c>
      <c r="O162">
        <v>2</v>
      </c>
      <c r="P162" t="s">
        <v>1168</v>
      </c>
      <c r="Q162" t="s">
        <v>430</v>
      </c>
      <c r="R162" t="s">
        <v>1164</v>
      </c>
      <c r="S162" t="s">
        <v>1165</v>
      </c>
      <c r="T162" t="s">
        <v>408</v>
      </c>
      <c r="U162">
        <v>50950081421</v>
      </c>
      <c r="W162">
        <v>37800</v>
      </c>
      <c r="X162" t="s">
        <v>409</v>
      </c>
      <c r="Y162" t="s">
        <v>410</v>
      </c>
      <c r="Z162" t="s">
        <v>410</v>
      </c>
      <c r="AA162" t="s">
        <v>411</v>
      </c>
      <c r="AB162" t="s">
        <v>554</v>
      </c>
      <c r="AC162" t="s">
        <v>411</v>
      </c>
      <c r="AD162">
        <v>46081</v>
      </c>
      <c r="AE162">
        <v>46153</v>
      </c>
      <c r="AF162">
        <v>46091</v>
      </c>
      <c r="AG162" t="s">
        <v>754</v>
      </c>
      <c r="AH162">
        <v>6128678</v>
      </c>
      <c r="AI162">
        <v>46086</v>
      </c>
      <c r="AJ162">
        <v>46087</v>
      </c>
      <c r="AK162">
        <v>37800</v>
      </c>
      <c r="AL162" t="s">
        <v>396</v>
      </c>
      <c r="AM162" t="s">
        <v>1169</v>
      </c>
      <c r="AN162">
        <v>46087</v>
      </c>
      <c r="AO162">
        <v>46087.636724537035</v>
      </c>
      <c r="AP162" t="s">
        <v>51</v>
      </c>
      <c r="AQ162">
        <v>0.12003</v>
      </c>
      <c r="AR162">
        <v>4537.1499999999996</v>
      </c>
      <c r="AS162" t="s">
        <v>51</v>
      </c>
      <c r="AT162">
        <v>4537.1499999999996</v>
      </c>
      <c r="AU162" t="s">
        <v>415</v>
      </c>
      <c r="AV162" t="s">
        <v>772</v>
      </c>
      <c r="AW162" t="s">
        <v>863</v>
      </c>
      <c r="AX162">
        <v>46091</v>
      </c>
      <c r="AY162">
        <v>46140</v>
      </c>
      <c r="AZ162" t="s">
        <v>1086</v>
      </c>
      <c r="BA162" t="s">
        <v>560</v>
      </c>
      <c r="BB162" t="s">
        <v>1087</v>
      </c>
      <c r="BC162">
        <v>7560</v>
      </c>
      <c r="BD162" t="s">
        <v>521</v>
      </c>
      <c r="BE162">
        <v>638.45439999999996</v>
      </c>
      <c r="BF162">
        <v>617.95439999999996</v>
      </c>
      <c r="BG162" t="s">
        <v>522</v>
      </c>
      <c r="BH162">
        <v>1050</v>
      </c>
      <c r="BI162">
        <v>480</v>
      </c>
      <c r="BJ162">
        <v>460</v>
      </c>
      <c r="BK162">
        <v>1</v>
      </c>
      <c r="BL162" t="s">
        <v>521</v>
      </c>
      <c r="BM162">
        <v>638.45450000000005</v>
      </c>
      <c r="BN162">
        <v>617.95439999999996</v>
      </c>
      <c r="BO162">
        <v>3192.2725</v>
      </c>
      <c r="BP162" t="s">
        <v>522</v>
      </c>
      <c r="BQ162">
        <v>1050</v>
      </c>
      <c r="BR162">
        <v>480</v>
      </c>
      <c r="BS162">
        <v>480</v>
      </c>
      <c r="BT162">
        <v>5</v>
      </c>
      <c r="BU162">
        <v>0</v>
      </c>
      <c r="BV162">
        <v>5</v>
      </c>
      <c r="BW162">
        <v>5</v>
      </c>
      <c r="BX162">
        <v>0</v>
      </c>
      <c r="BY162">
        <v>5</v>
      </c>
      <c r="BZ162">
        <v>37800</v>
      </c>
      <c r="CA162">
        <v>0</v>
      </c>
      <c r="CB162">
        <v>37800</v>
      </c>
      <c r="CC162">
        <v>3089.7719999999999</v>
      </c>
      <c r="CD162" t="s">
        <v>641</v>
      </c>
      <c r="CE162" t="s">
        <v>1147</v>
      </c>
      <c r="CG162" t="s">
        <v>421</v>
      </c>
      <c r="CN162" t="str">
        <v>M45</v>
      </c>
      <c r="CO162" t="str">
        <v>1210-10C0133EN</v>
      </c>
      <c r="CP162" t="str">
        <v>CSLU6151413</v>
      </c>
      <c r="CQ162" s="23">
        <v>283.06</v>
      </c>
      <c r="CR162" s="25">
        <f t="shared" si="8"/>
        <v>2.1054704040756916E-2</v>
      </c>
      <c r="CS162" s="21">
        <f t="shared" si="9"/>
        <v>52.636760101892293</v>
      </c>
    </row>
    <row r="163" spans="2:97" x14ac:dyDescent="0.35">
      <c r="B163" t="s">
        <v>299</v>
      </c>
      <c r="C163" t="s">
        <v>1170</v>
      </c>
      <c r="D163" t="s">
        <v>395</v>
      </c>
      <c r="E163" t="s">
        <v>395</v>
      </c>
      <c r="F163" t="s">
        <v>396</v>
      </c>
      <c r="G163" t="s">
        <v>397</v>
      </c>
      <c r="H163" t="s">
        <v>398</v>
      </c>
      <c r="I163" t="s">
        <v>399</v>
      </c>
      <c r="J163" t="s">
        <v>749</v>
      </c>
      <c r="K163" t="s">
        <v>809</v>
      </c>
      <c r="L163" t="s">
        <v>750</v>
      </c>
      <c r="M163" t="s">
        <v>403</v>
      </c>
      <c r="N163">
        <v>1</v>
      </c>
      <c r="O163">
        <v>2</v>
      </c>
      <c r="P163" t="s">
        <v>1171</v>
      </c>
      <c r="Q163" t="s">
        <v>424</v>
      </c>
      <c r="R163" t="s">
        <v>811</v>
      </c>
      <c r="S163" t="s">
        <v>1172</v>
      </c>
      <c r="T163" t="s">
        <v>408</v>
      </c>
      <c r="U163">
        <v>50950081406</v>
      </c>
      <c r="W163">
        <v>1440</v>
      </c>
      <c r="X163" t="s">
        <v>409</v>
      </c>
      <c r="Y163" t="s">
        <v>410</v>
      </c>
      <c r="Z163" t="s">
        <v>410</v>
      </c>
      <c r="AA163" t="s">
        <v>411</v>
      </c>
      <c r="AB163" t="s">
        <v>554</v>
      </c>
      <c r="AC163" t="s">
        <v>411</v>
      </c>
      <c r="AD163">
        <v>46077</v>
      </c>
      <c r="AE163">
        <v>46118</v>
      </c>
      <c r="AF163">
        <v>46091</v>
      </c>
      <c r="AG163" t="s">
        <v>754</v>
      </c>
      <c r="AH163">
        <v>6128679</v>
      </c>
      <c r="AI163">
        <v>46086</v>
      </c>
      <c r="AJ163">
        <v>46087</v>
      </c>
      <c r="AK163">
        <v>1440</v>
      </c>
      <c r="AL163" t="s">
        <v>396</v>
      </c>
      <c r="AM163" t="s">
        <v>1173</v>
      </c>
      <c r="AN163">
        <v>46087</v>
      </c>
      <c r="AO163">
        <v>46087.636724537035</v>
      </c>
      <c r="AP163" t="s">
        <v>51</v>
      </c>
      <c r="AQ163">
        <v>2.2482600000000001</v>
      </c>
      <c r="AR163">
        <v>3237.48</v>
      </c>
      <c r="AS163" t="s">
        <v>51</v>
      </c>
      <c r="AT163">
        <v>3237.48</v>
      </c>
      <c r="AU163" t="s">
        <v>415</v>
      </c>
      <c r="AV163" t="s">
        <v>772</v>
      </c>
      <c r="AW163" t="s">
        <v>863</v>
      </c>
      <c r="AX163">
        <v>46091</v>
      </c>
      <c r="AY163">
        <v>46140</v>
      </c>
      <c r="AZ163" t="s">
        <v>1086</v>
      </c>
      <c r="BA163" t="s">
        <v>560</v>
      </c>
      <c r="BB163" t="s">
        <v>1087</v>
      </c>
      <c r="BC163">
        <v>16</v>
      </c>
      <c r="BD163" t="s">
        <v>521</v>
      </c>
      <c r="BE163">
        <v>6.3556999999999997</v>
      </c>
      <c r="BF163">
        <v>5.1566999999999998</v>
      </c>
      <c r="BG163" t="s">
        <v>522</v>
      </c>
      <c r="BH163">
        <v>495</v>
      </c>
      <c r="BI163">
        <v>395</v>
      </c>
      <c r="BJ163">
        <v>190</v>
      </c>
      <c r="BK163">
        <v>30</v>
      </c>
      <c r="BL163" t="s">
        <v>521</v>
      </c>
      <c r="BM163">
        <v>217.67099999999999</v>
      </c>
      <c r="BN163">
        <v>154.70099999999999</v>
      </c>
      <c r="BO163">
        <v>653.01048000000003</v>
      </c>
      <c r="BP163" t="s">
        <v>522</v>
      </c>
      <c r="BQ163">
        <v>1200</v>
      </c>
      <c r="BR163">
        <v>1000</v>
      </c>
      <c r="BS163">
        <v>1120</v>
      </c>
      <c r="BT163">
        <v>3</v>
      </c>
      <c r="BU163">
        <v>0</v>
      </c>
      <c r="BV163">
        <v>3</v>
      </c>
      <c r="BW163">
        <v>90</v>
      </c>
      <c r="BX163">
        <v>0</v>
      </c>
      <c r="BY163">
        <v>90</v>
      </c>
      <c r="BZ163">
        <v>1440</v>
      </c>
      <c r="CA163">
        <v>0</v>
      </c>
      <c r="CB163">
        <v>1440</v>
      </c>
      <c r="CC163">
        <v>464.10048</v>
      </c>
      <c r="CD163" t="s">
        <v>806</v>
      </c>
      <c r="CE163" t="s">
        <v>816</v>
      </c>
      <c r="CG163" t="s">
        <v>421</v>
      </c>
      <c r="CN163" t="str">
        <v>M23</v>
      </c>
      <c r="CO163" t="str">
        <v>1401-1060059-92EN</v>
      </c>
      <c r="CP163" t="str">
        <v>CSLU6151413</v>
      </c>
      <c r="CQ163" s="23">
        <v>214.04</v>
      </c>
      <c r="CR163" s="25">
        <f t="shared" si="8"/>
        <v>1.5920825453556171E-2</v>
      </c>
      <c r="CS163" s="21">
        <f t="shared" si="9"/>
        <v>39.802063633890427</v>
      </c>
    </row>
    <row r="164" spans="2:97" x14ac:dyDescent="0.35">
      <c r="B164" t="s">
        <v>296</v>
      </c>
      <c r="C164" t="s">
        <v>1174</v>
      </c>
      <c r="D164" t="s">
        <v>395</v>
      </c>
      <c r="E164" t="s">
        <v>395</v>
      </c>
      <c r="F164" t="s">
        <v>396</v>
      </c>
      <c r="G164" t="s">
        <v>397</v>
      </c>
      <c r="H164" t="s">
        <v>398</v>
      </c>
      <c r="I164" t="s">
        <v>399</v>
      </c>
      <c r="J164" t="s">
        <v>749</v>
      </c>
      <c r="K164" t="s">
        <v>786</v>
      </c>
      <c r="L164" t="s">
        <v>787</v>
      </c>
      <c r="M164" t="s">
        <v>403</v>
      </c>
      <c r="N164">
        <v>1</v>
      </c>
      <c r="O164">
        <v>1</v>
      </c>
      <c r="P164" t="s">
        <v>949</v>
      </c>
      <c r="Q164" t="s">
        <v>430</v>
      </c>
      <c r="R164" t="s">
        <v>790</v>
      </c>
      <c r="S164" t="s">
        <v>950</v>
      </c>
      <c r="T164" t="s">
        <v>408</v>
      </c>
      <c r="U164">
        <v>50950078180</v>
      </c>
      <c r="W164">
        <v>25200</v>
      </c>
      <c r="X164" t="s">
        <v>409</v>
      </c>
      <c r="Y164" t="s">
        <v>410</v>
      </c>
      <c r="Z164" t="s">
        <v>410</v>
      </c>
      <c r="AA164" t="s">
        <v>411</v>
      </c>
      <c r="AB164" t="s">
        <v>554</v>
      </c>
      <c r="AC164" t="s">
        <v>411</v>
      </c>
      <c r="AD164">
        <v>46087</v>
      </c>
      <c r="AE164">
        <v>46314</v>
      </c>
      <c r="AF164">
        <v>46090</v>
      </c>
      <c r="AG164" t="s">
        <v>754</v>
      </c>
      <c r="AH164">
        <v>6130102</v>
      </c>
      <c r="AI164">
        <v>46087</v>
      </c>
      <c r="AJ164">
        <v>46088</v>
      </c>
      <c r="AK164">
        <v>25200</v>
      </c>
      <c r="AL164" t="s">
        <v>396</v>
      </c>
      <c r="AM164" t="s">
        <v>1175</v>
      </c>
      <c r="AN164">
        <v>46088</v>
      </c>
      <c r="AO164">
        <v>46088.584745370368</v>
      </c>
      <c r="AP164" t="s">
        <v>51</v>
      </c>
      <c r="AQ164">
        <v>0.63771999999999995</v>
      </c>
      <c r="AR164">
        <v>16070.54</v>
      </c>
      <c r="AS164" t="s">
        <v>51</v>
      </c>
      <c r="AT164">
        <v>16070.54</v>
      </c>
      <c r="AU164" t="s">
        <v>415</v>
      </c>
      <c r="AV164" t="s">
        <v>557</v>
      </c>
      <c r="AW164" t="s">
        <v>558</v>
      </c>
      <c r="AX164">
        <v>46092</v>
      </c>
      <c r="AY164">
        <v>46141</v>
      </c>
      <c r="AZ164" t="s">
        <v>559</v>
      </c>
      <c r="BA164" t="s">
        <v>560</v>
      </c>
      <c r="BB164" t="s">
        <v>561</v>
      </c>
      <c r="BC164">
        <v>350</v>
      </c>
      <c r="BD164" t="s">
        <v>521</v>
      </c>
      <c r="BE164">
        <v>3.74</v>
      </c>
      <c r="BF164">
        <v>2.0299999999999998</v>
      </c>
      <c r="BG164" t="s">
        <v>522</v>
      </c>
      <c r="BH164">
        <v>400</v>
      </c>
      <c r="BI164">
        <v>335</v>
      </c>
      <c r="BJ164">
        <v>230</v>
      </c>
      <c r="BK164">
        <v>36</v>
      </c>
      <c r="BL164" t="s">
        <v>521</v>
      </c>
      <c r="BM164">
        <v>159.63999999999999</v>
      </c>
      <c r="BN164">
        <v>73.08</v>
      </c>
      <c r="BO164">
        <v>319.27999999999997</v>
      </c>
      <c r="BP164" t="s">
        <v>522</v>
      </c>
      <c r="BQ164">
        <v>1219</v>
      </c>
      <c r="BR164">
        <v>1016</v>
      </c>
      <c r="BS164">
        <v>1080</v>
      </c>
      <c r="BT164">
        <v>2</v>
      </c>
      <c r="BU164">
        <v>0</v>
      </c>
      <c r="BV164">
        <v>2</v>
      </c>
      <c r="BW164">
        <v>72</v>
      </c>
      <c r="BX164">
        <v>0</v>
      </c>
      <c r="BY164">
        <v>72</v>
      </c>
      <c r="BZ164">
        <v>25200</v>
      </c>
      <c r="CA164">
        <v>0</v>
      </c>
      <c r="CB164">
        <v>25200</v>
      </c>
      <c r="CC164">
        <v>146.16</v>
      </c>
      <c r="CD164" t="s">
        <v>952</v>
      </c>
      <c r="CE164" t="s">
        <v>953</v>
      </c>
      <c r="CG164" t="s">
        <v>421</v>
      </c>
      <c r="CN164" t="str">
        <v>M19</v>
      </c>
      <c r="CO164" t="str">
        <v>1301-5YY0322EN0093</v>
      </c>
      <c r="CP164" t="str">
        <v>CSLU6151413</v>
      </c>
      <c r="CQ164" s="23">
        <v>891.16980000000001</v>
      </c>
      <c r="CR164" s="25">
        <f t="shared" si="8"/>
        <v>6.6287417470008242E-2</v>
      </c>
      <c r="CS164" s="21">
        <f t="shared" si="9"/>
        <v>165.71854367502061</v>
      </c>
    </row>
    <row r="165" spans="2:97" x14ac:dyDescent="0.35">
      <c r="B165" t="s">
        <v>299</v>
      </c>
      <c r="C165" t="s">
        <v>1176</v>
      </c>
      <c r="D165" t="s">
        <v>395</v>
      </c>
      <c r="E165" t="s">
        <v>395</v>
      </c>
      <c r="F165" t="s">
        <v>396</v>
      </c>
      <c r="G165" t="s">
        <v>397</v>
      </c>
      <c r="H165" t="s">
        <v>398</v>
      </c>
      <c r="I165" t="s">
        <v>399</v>
      </c>
      <c r="J165" t="s">
        <v>749</v>
      </c>
      <c r="K165" t="s">
        <v>629</v>
      </c>
      <c r="L165" t="s">
        <v>787</v>
      </c>
      <c r="M165" t="s">
        <v>403</v>
      </c>
      <c r="N165">
        <v>1</v>
      </c>
      <c r="O165">
        <v>1</v>
      </c>
      <c r="P165" t="s">
        <v>1177</v>
      </c>
      <c r="Q165" t="s">
        <v>637</v>
      </c>
      <c r="R165" t="s">
        <v>1128</v>
      </c>
      <c r="S165" t="s">
        <v>1178</v>
      </c>
      <c r="T165" t="s">
        <v>408</v>
      </c>
      <c r="U165">
        <v>50950078279</v>
      </c>
      <c r="W165">
        <v>4800</v>
      </c>
      <c r="X165" t="s">
        <v>409</v>
      </c>
      <c r="Y165" t="s">
        <v>410</v>
      </c>
      <c r="Z165" t="s">
        <v>410</v>
      </c>
      <c r="AA165" t="s">
        <v>411</v>
      </c>
      <c r="AB165" t="s">
        <v>554</v>
      </c>
      <c r="AC165" t="s">
        <v>411</v>
      </c>
      <c r="AD165">
        <v>46090</v>
      </c>
      <c r="AE165">
        <v>46146</v>
      </c>
      <c r="AF165">
        <v>46090</v>
      </c>
      <c r="AG165" t="s">
        <v>754</v>
      </c>
      <c r="AH165">
        <v>6130103</v>
      </c>
      <c r="AI165">
        <v>46087</v>
      </c>
      <c r="AJ165">
        <v>46088</v>
      </c>
      <c r="AK165">
        <v>4800</v>
      </c>
      <c r="AL165" t="s">
        <v>396</v>
      </c>
      <c r="AM165" t="s">
        <v>1179</v>
      </c>
      <c r="AN165">
        <v>46088</v>
      </c>
      <c r="AO165">
        <v>46088.584745370368</v>
      </c>
      <c r="AP165" t="s">
        <v>51</v>
      </c>
      <c r="AQ165">
        <v>1.1251800000000001</v>
      </c>
      <c r="AR165">
        <v>5400.86</v>
      </c>
      <c r="AS165" t="s">
        <v>51</v>
      </c>
      <c r="AT165">
        <v>5400.86</v>
      </c>
      <c r="AU165" t="s">
        <v>415</v>
      </c>
      <c r="AV165" t="s">
        <v>557</v>
      </c>
      <c r="AW165" t="s">
        <v>558</v>
      </c>
      <c r="AX165">
        <v>46092</v>
      </c>
      <c r="AY165">
        <v>46141</v>
      </c>
      <c r="AZ165" t="s">
        <v>559</v>
      </c>
      <c r="BA165" t="s">
        <v>560</v>
      </c>
      <c r="BB165" t="s">
        <v>561</v>
      </c>
      <c r="BC165">
        <v>80</v>
      </c>
      <c r="BD165" t="s">
        <v>521</v>
      </c>
      <c r="BE165">
        <v>6.9805999999999999</v>
      </c>
      <c r="BF165">
        <v>3.0506000000000002</v>
      </c>
      <c r="BG165" t="s">
        <v>522</v>
      </c>
      <c r="BH165">
        <v>520</v>
      </c>
      <c r="BI165">
        <v>330</v>
      </c>
      <c r="BJ165">
        <v>190</v>
      </c>
      <c r="BK165">
        <v>30</v>
      </c>
      <c r="BL165" t="s">
        <v>521</v>
      </c>
      <c r="BM165">
        <v>235.41800000000001</v>
      </c>
      <c r="BN165">
        <v>91.518000000000001</v>
      </c>
      <c r="BO165">
        <v>470.83839999999998</v>
      </c>
      <c r="BP165" t="s">
        <v>522</v>
      </c>
      <c r="BQ165">
        <v>1066</v>
      </c>
      <c r="BR165">
        <v>1066</v>
      </c>
      <c r="BS165">
        <v>1100</v>
      </c>
      <c r="BT165">
        <v>2</v>
      </c>
      <c r="BU165">
        <v>0</v>
      </c>
      <c r="BV165">
        <v>2</v>
      </c>
      <c r="BW165">
        <v>60</v>
      </c>
      <c r="BX165">
        <v>0</v>
      </c>
      <c r="BY165">
        <v>60</v>
      </c>
      <c r="BZ165">
        <v>4800</v>
      </c>
      <c r="CA165">
        <v>0</v>
      </c>
      <c r="CB165">
        <v>4800</v>
      </c>
      <c r="CC165">
        <v>183.0384</v>
      </c>
      <c r="CD165" t="s">
        <v>1131</v>
      </c>
      <c r="CE165" t="s">
        <v>1132</v>
      </c>
      <c r="CG165" t="s">
        <v>421</v>
      </c>
      <c r="CN165" t="str">
        <v>M19</v>
      </c>
      <c r="CO165" t="str">
        <v>1301-5YY0306EN0093</v>
      </c>
      <c r="CP165" t="str">
        <v>CSLU6151413</v>
      </c>
      <c r="CQ165" s="23">
        <v>5427.4690799999998</v>
      </c>
      <c r="CR165" s="25">
        <f t="shared" si="8"/>
        <v>0.40370859595053776</v>
      </c>
      <c r="CS165" s="21">
        <f t="shared" si="9"/>
        <v>1009.2714898763444</v>
      </c>
    </row>
    <row r="166" spans="2:97" x14ac:dyDescent="0.35">
      <c r="B166" t="s">
        <v>299</v>
      </c>
      <c r="C166" t="s">
        <v>1176</v>
      </c>
      <c r="D166" t="s">
        <v>395</v>
      </c>
      <c r="E166" t="s">
        <v>395</v>
      </c>
      <c r="F166" t="s">
        <v>396</v>
      </c>
      <c r="G166" t="s">
        <v>397</v>
      </c>
      <c r="H166" t="s">
        <v>398</v>
      </c>
      <c r="I166" t="s">
        <v>399</v>
      </c>
      <c r="J166" t="s">
        <v>749</v>
      </c>
      <c r="K166" t="s">
        <v>629</v>
      </c>
      <c r="L166" t="s">
        <v>787</v>
      </c>
      <c r="M166" t="s">
        <v>403</v>
      </c>
      <c r="N166">
        <v>1</v>
      </c>
      <c r="O166">
        <v>2</v>
      </c>
      <c r="P166" t="s">
        <v>1177</v>
      </c>
      <c r="Q166" t="s">
        <v>637</v>
      </c>
      <c r="R166" t="s">
        <v>1128</v>
      </c>
      <c r="S166" t="s">
        <v>1178</v>
      </c>
      <c r="T166" t="s">
        <v>408</v>
      </c>
      <c r="U166">
        <v>50950078279</v>
      </c>
      <c r="W166">
        <v>12000</v>
      </c>
      <c r="X166" t="s">
        <v>409</v>
      </c>
      <c r="Y166" t="s">
        <v>410</v>
      </c>
      <c r="Z166" t="s">
        <v>410</v>
      </c>
      <c r="AA166" t="s">
        <v>411</v>
      </c>
      <c r="AB166" t="s">
        <v>554</v>
      </c>
      <c r="AC166" t="s">
        <v>411</v>
      </c>
      <c r="AD166">
        <v>46090</v>
      </c>
      <c r="AE166">
        <v>46146</v>
      </c>
      <c r="AF166">
        <v>46090</v>
      </c>
      <c r="AG166" t="s">
        <v>754</v>
      </c>
      <c r="AH166">
        <v>6130103</v>
      </c>
      <c r="AI166">
        <v>46087</v>
      </c>
      <c r="AJ166">
        <v>46088</v>
      </c>
      <c r="AK166">
        <v>12000</v>
      </c>
      <c r="AL166" t="s">
        <v>396</v>
      </c>
      <c r="AM166" t="s">
        <v>1179</v>
      </c>
      <c r="AN166">
        <v>46088</v>
      </c>
      <c r="AO166">
        <v>46088.584745370368</v>
      </c>
      <c r="AP166" t="s">
        <v>51</v>
      </c>
      <c r="AQ166">
        <v>1.1251800000000001</v>
      </c>
      <c r="AR166">
        <v>13502.15</v>
      </c>
      <c r="AS166" t="s">
        <v>51</v>
      </c>
      <c r="AT166">
        <v>13502.15</v>
      </c>
      <c r="AU166" t="s">
        <v>415</v>
      </c>
      <c r="AV166" t="s">
        <v>557</v>
      </c>
      <c r="AW166" t="s">
        <v>558</v>
      </c>
      <c r="AX166">
        <v>46092</v>
      </c>
      <c r="AY166">
        <v>46141</v>
      </c>
      <c r="AZ166" t="s">
        <v>559</v>
      </c>
      <c r="BA166" t="s">
        <v>560</v>
      </c>
      <c r="BB166" t="s">
        <v>561</v>
      </c>
      <c r="BC166">
        <v>80</v>
      </c>
      <c r="BD166" t="s">
        <v>521</v>
      </c>
      <c r="BE166">
        <v>6.9805999999999999</v>
      </c>
      <c r="BF166">
        <v>3.0506000000000002</v>
      </c>
      <c r="BG166" t="s">
        <v>522</v>
      </c>
      <c r="BH166">
        <v>520</v>
      </c>
      <c r="BI166">
        <v>330</v>
      </c>
      <c r="BJ166">
        <v>190</v>
      </c>
      <c r="BK166">
        <v>30</v>
      </c>
      <c r="BL166" t="s">
        <v>521</v>
      </c>
      <c r="BM166">
        <v>235.41800000000001</v>
      </c>
      <c r="BN166">
        <v>91.518000000000001</v>
      </c>
      <c r="BO166">
        <v>1177.096</v>
      </c>
      <c r="BP166" t="s">
        <v>522</v>
      </c>
      <c r="BQ166">
        <v>1066</v>
      </c>
      <c r="BR166">
        <v>1066</v>
      </c>
      <c r="BS166">
        <v>1100</v>
      </c>
      <c r="BT166">
        <v>5</v>
      </c>
      <c r="BU166">
        <v>0</v>
      </c>
      <c r="BV166">
        <v>5</v>
      </c>
      <c r="BW166">
        <v>150</v>
      </c>
      <c r="BX166">
        <v>0</v>
      </c>
      <c r="BY166">
        <v>150</v>
      </c>
      <c r="BZ166">
        <v>12000</v>
      </c>
      <c r="CA166">
        <v>0</v>
      </c>
      <c r="CB166">
        <v>12000</v>
      </c>
      <c r="CC166">
        <v>457.596</v>
      </c>
      <c r="CD166" t="s">
        <v>1131</v>
      </c>
      <c r="CE166" t="s">
        <v>1132</v>
      </c>
      <c r="CG166" t="s">
        <v>421</v>
      </c>
      <c r="CN166" t="str">
        <v>M23</v>
      </c>
      <c r="CO166" t="str">
        <v>1307-1060077EN</v>
      </c>
      <c r="CP166" t="str">
        <v>CSLU6151413</v>
      </c>
      <c r="CQ166" s="23">
        <v>776.16319999999996</v>
      </c>
      <c r="CR166" s="25">
        <f t="shared" si="8"/>
        <v>5.7732941649568353E-2</v>
      </c>
      <c r="CS166" s="21">
        <f t="shared" si="9"/>
        <v>144.33235412392088</v>
      </c>
    </row>
    <row r="167" spans="2:97" x14ac:dyDescent="0.35">
      <c r="B167" t="s">
        <v>296</v>
      </c>
      <c r="C167" t="s">
        <v>1100</v>
      </c>
      <c r="D167" t="s">
        <v>395</v>
      </c>
      <c r="E167" t="s">
        <v>395</v>
      </c>
      <c r="F167" t="s">
        <v>396</v>
      </c>
      <c r="G167" t="s">
        <v>397</v>
      </c>
      <c r="H167" t="s">
        <v>398</v>
      </c>
      <c r="I167" t="s">
        <v>399</v>
      </c>
      <c r="J167" t="s">
        <v>749</v>
      </c>
      <c r="K167" t="s">
        <v>629</v>
      </c>
      <c r="L167" t="s">
        <v>787</v>
      </c>
      <c r="M167" t="s">
        <v>403</v>
      </c>
      <c r="N167">
        <v>1</v>
      </c>
      <c r="O167">
        <v>2</v>
      </c>
      <c r="P167" t="s">
        <v>1101</v>
      </c>
      <c r="Q167" t="s">
        <v>943</v>
      </c>
      <c r="R167" t="s">
        <v>882</v>
      </c>
      <c r="S167" t="s">
        <v>883</v>
      </c>
      <c r="T167" t="s">
        <v>408</v>
      </c>
      <c r="U167">
        <v>50950078936</v>
      </c>
      <c r="W167">
        <v>18000</v>
      </c>
      <c r="X167" t="s">
        <v>409</v>
      </c>
      <c r="Y167" t="s">
        <v>410</v>
      </c>
      <c r="Z167" t="s">
        <v>410</v>
      </c>
      <c r="AA167" t="s">
        <v>411</v>
      </c>
      <c r="AB167" t="s">
        <v>554</v>
      </c>
      <c r="AC167" t="s">
        <v>411</v>
      </c>
      <c r="AD167">
        <v>46088</v>
      </c>
      <c r="AE167">
        <v>46146</v>
      </c>
      <c r="AF167">
        <v>46090</v>
      </c>
      <c r="AG167" t="s">
        <v>754</v>
      </c>
      <c r="AH167">
        <v>6130104</v>
      </c>
      <c r="AI167">
        <v>46087</v>
      </c>
      <c r="AJ167">
        <v>46088</v>
      </c>
      <c r="AK167">
        <v>18000</v>
      </c>
      <c r="AL167" t="s">
        <v>396</v>
      </c>
      <c r="AM167" t="s">
        <v>1180</v>
      </c>
      <c r="AN167">
        <v>46088</v>
      </c>
      <c r="AO167">
        <v>46088.584745370368</v>
      </c>
      <c r="AP167" t="s">
        <v>51</v>
      </c>
      <c r="AQ167">
        <v>0.21010999999999999</v>
      </c>
      <c r="AR167">
        <v>3781.98</v>
      </c>
      <c r="AS167" t="s">
        <v>51</v>
      </c>
      <c r="AT167">
        <v>3781.98</v>
      </c>
      <c r="AU167" t="s">
        <v>415</v>
      </c>
      <c r="AV167" t="s">
        <v>557</v>
      </c>
      <c r="AW167" t="s">
        <v>558</v>
      </c>
      <c r="AX167">
        <v>46092</v>
      </c>
      <c r="AY167">
        <v>46141</v>
      </c>
      <c r="AZ167" t="s">
        <v>559</v>
      </c>
      <c r="BA167" t="s">
        <v>560</v>
      </c>
      <c r="BB167" t="s">
        <v>561</v>
      </c>
      <c r="BC167">
        <v>100</v>
      </c>
      <c r="BD167" t="s">
        <v>521</v>
      </c>
      <c r="BE167">
        <v>3.851</v>
      </c>
      <c r="BF167">
        <v>2.601</v>
      </c>
      <c r="BG167" t="s">
        <v>522</v>
      </c>
      <c r="BH167">
        <v>595</v>
      </c>
      <c r="BI167">
        <v>395</v>
      </c>
      <c r="BJ167">
        <v>155</v>
      </c>
      <c r="BK167">
        <v>30</v>
      </c>
      <c r="BL167" t="s">
        <v>521</v>
      </c>
      <c r="BM167">
        <v>142.53</v>
      </c>
      <c r="BN167">
        <v>78.03</v>
      </c>
      <c r="BO167">
        <v>855.18</v>
      </c>
      <c r="BP167" t="s">
        <v>522</v>
      </c>
      <c r="BQ167">
        <v>1200</v>
      </c>
      <c r="BR167">
        <v>1000</v>
      </c>
      <c r="BS167">
        <v>1088</v>
      </c>
      <c r="BT167">
        <v>6</v>
      </c>
      <c r="BU167">
        <v>0</v>
      </c>
      <c r="BV167">
        <v>6</v>
      </c>
      <c r="BW167">
        <v>180</v>
      </c>
      <c r="BX167">
        <v>0</v>
      </c>
      <c r="BY167">
        <v>180</v>
      </c>
      <c r="BZ167">
        <v>18000</v>
      </c>
      <c r="CA167">
        <v>0</v>
      </c>
      <c r="CB167">
        <v>18000</v>
      </c>
      <c r="CC167">
        <v>468.18</v>
      </c>
      <c r="CD167" t="s">
        <v>842</v>
      </c>
      <c r="CE167" t="s">
        <v>1103</v>
      </c>
      <c r="CG167" t="s">
        <v>421</v>
      </c>
      <c r="CN167" t="str">
        <v>M23</v>
      </c>
      <c r="CO167" t="str">
        <v>1307-1060077EN</v>
      </c>
      <c r="CP167" t="str">
        <v>CSLU6151413</v>
      </c>
      <c r="CQ167" s="23">
        <v>776.16319999999996</v>
      </c>
      <c r="CR167" s="25">
        <f t="shared" si="8"/>
        <v>5.7732941649568353E-2</v>
      </c>
      <c r="CS167" s="21">
        <f t="shared" si="9"/>
        <v>144.33235412392088</v>
      </c>
    </row>
    <row r="168" spans="2:97" x14ac:dyDescent="0.35">
      <c r="B168" t="s">
        <v>296</v>
      </c>
      <c r="C168" t="s">
        <v>1106</v>
      </c>
      <c r="D168" t="s">
        <v>395</v>
      </c>
      <c r="E168" t="s">
        <v>395</v>
      </c>
      <c r="F168" t="s">
        <v>396</v>
      </c>
      <c r="G168" t="s">
        <v>397</v>
      </c>
      <c r="H168" t="s">
        <v>398</v>
      </c>
      <c r="I168" t="s">
        <v>399</v>
      </c>
      <c r="J168" t="s">
        <v>749</v>
      </c>
      <c r="K168" t="s">
        <v>629</v>
      </c>
      <c r="L168" t="s">
        <v>787</v>
      </c>
      <c r="M168" t="s">
        <v>403</v>
      </c>
      <c r="N168">
        <v>1</v>
      </c>
      <c r="O168">
        <v>2</v>
      </c>
      <c r="P168" t="s">
        <v>875</v>
      </c>
      <c r="Q168" t="s">
        <v>430</v>
      </c>
      <c r="R168" t="s">
        <v>876</v>
      </c>
      <c r="S168" t="s">
        <v>877</v>
      </c>
      <c r="T168" t="s">
        <v>408</v>
      </c>
      <c r="U168">
        <v>50950080007</v>
      </c>
      <c r="W168">
        <v>19200</v>
      </c>
      <c r="X168" t="s">
        <v>409</v>
      </c>
      <c r="Y168" t="s">
        <v>410</v>
      </c>
      <c r="Z168" t="s">
        <v>410</v>
      </c>
      <c r="AA168" t="s">
        <v>411</v>
      </c>
      <c r="AB168" t="s">
        <v>554</v>
      </c>
      <c r="AC168" t="s">
        <v>411</v>
      </c>
      <c r="AD168">
        <v>46090</v>
      </c>
      <c r="AE168">
        <v>46181</v>
      </c>
      <c r="AF168">
        <v>46090</v>
      </c>
      <c r="AG168" t="s">
        <v>754</v>
      </c>
      <c r="AH168">
        <v>6130105</v>
      </c>
      <c r="AI168">
        <v>46087</v>
      </c>
      <c r="AJ168">
        <v>46088</v>
      </c>
      <c r="AK168">
        <v>19200</v>
      </c>
      <c r="AL168" t="s">
        <v>396</v>
      </c>
      <c r="AM168" t="s">
        <v>1181</v>
      </c>
      <c r="AN168">
        <v>46088</v>
      </c>
      <c r="AO168">
        <v>46088.584745370368</v>
      </c>
      <c r="AP168" t="s">
        <v>51</v>
      </c>
      <c r="AQ168">
        <v>0.11867</v>
      </c>
      <c r="AR168">
        <v>2278.44</v>
      </c>
      <c r="AS168" t="s">
        <v>51</v>
      </c>
      <c r="AT168">
        <v>2278.44</v>
      </c>
      <c r="AU168" t="s">
        <v>415</v>
      </c>
      <c r="AV168" t="s">
        <v>557</v>
      </c>
      <c r="AW168" t="s">
        <v>558</v>
      </c>
      <c r="AX168">
        <v>46092</v>
      </c>
      <c r="AY168">
        <v>46141</v>
      </c>
      <c r="AZ168" t="s">
        <v>559</v>
      </c>
      <c r="BA168" t="s">
        <v>560</v>
      </c>
      <c r="BB168" t="s">
        <v>561</v>
      </c>
      <c r="BC168">
        <v>160</v>
      </c>
      <c r="BD168" t="s">
        <v>521</v>
      </c>
      <c r="BE168">
        <v>6.3452000000000002</v>
      </c>
      <c r="BF168">
        <v>4.7952000000000004</v>
      </c>
      <c r="BG168" t="s">
        <v>522</v>
      </c>
      <c r="BH168">
        <v>595</v>
      </c>
      <c r="BI168">
        <v>495</v>
      </c>
      <c r="BJ168">
        <v>190</v>
      </c>
      <c r="BK168">
        <v>20</v>
      </c>
      <c r="BL168" t="s">
        <v>521</v>
      </c>
      <c r="BM168">
        <v>153.904</v>
      </c>
      <c r="BN168">
        <v>95.903999999999996</v>
      </c>
      <c r="BO168">
        <v>923.42399999999998</v>
      </c>
      <c r="BP168" t="s">
        <v>522</v>
      </c>
      <c r="BQ168">
        <v>1200</v>
      </c>
      <c r="BR168">
        <v>1000</v>
      </c>
      <c r="BS168">
        <v>1110</v>
      </c>
      <c r="BT168">
        <v>6</v>
      </c>
      <c r="BU168">
        <v>0</v>
      </c>
      <c r="BV168">
        <v>6</v>
      </c>
      <c r="BW168">
        <v>120</v>
      </c>
      <c r="BX168">
        <v>0</v>
      </c>
      <c r="BY168">
        <v>120</v>
      </c>
      <c r="BZ168">
        <v>19200</v>
      </c>
      <c r="CA168">
        <v>0</v>
      </c>
      <c r="CB168">
        <v>19200</v>
      </c>
      <c r="CC168">
        <v>575.42399999999998</v>
      </c>
      <c r="CD168" t="s">
        <v>592</v>
      </c>
      <c r="CE168" t="s">
        <v>879</v>
      </c>
      <c r="CG168" t="s">
        <v>421</v>
      </c>
      <c r="CN168" t="str">
        <v>M23</v>
      </c>
      <c r="CO168" t="str">
        <v>1401-1060029-92EN</v>
      </c>
      <c r="CP168" t="str">
        <v>CSLU6151413</v>
      </c>
      <c r="CQ168" s="23">
        <v>215.08</v>
      </c>
      <c r="CR168" s="25">
        <f t="shared" si="8"/>
        <v>1.5998183230007765E-2</v>
      </c>
      <c r="CS168" s="21">
        <f t="shared" si="9"/>
        <v>39.995458075019414</v>
      </c>
    </row>
    <row r="169" spans="2:97" x14ac:dyDescent="0.35">
      <c r="B169" t="s">
        <v>297</v>
      </c>
      <c r="C169" t="s">
        <v>1182</v>
      </c>
      <c r="D169" t="s">
        <v>395</v>
      </c>
      <c r="E169" t="s">
        <v>395</v>
      </c>
      <c r="F169" t="s">
        <v>396</v>
      </c>
      <c r="G169" t="s">
        <v>397</v>
      </c>
      <c r="H169" t="s">
        <v>398</v>
      </c>
      <c r="I169" t="s">
        <v>399</v>
      </c>
      <c r="J169" t="s">
        <v>400</v>
      </c>
      <c r="K169" t="s">
        <v>401</v>
      </c>
      <c r="L169" t="s">
        <v>402</v>
      </c>
      <c r="M169" t="s">
        <v>403</v>
      </c>
      <c r="N169">
        <v>2</v>
      </c>
      <c r="O169">
        <v>1</v>
      </c>
      <c r="P169" t="s">
        <v>1183</v>
      </c>
      <c r="Q169" t="s">
        <v>637</v>
      </c>
      <c r="R169" t="s">
        <v>1184</v>
      </c>
      <c r="S169" t="s">
        <v>1185</v>
      </c>
      <c r="T169" t="s">
        <v>408</v>
      </c>
      <c r="U169">
        <v>50950080804</v>
      </c>
      <c r="W169">
        <v>201600</v>
      </c>
      <c r="X169" t="s">
        <v>409</v>
      </c>
      <c r="Y169" t="s">
        <v>410</v>
      </c>
      <c r="Z169" t="s">
        <v>410</v>
      </c>
      <c r="AA169" t="s">
        <v>411</v>
      </c>
      <c r="AB169" t="s">
        <v>412</v>
      </c>
      <c r="AC169" t="s">
        <v>411</v>
      </c>
      <c r="AD169">
        <v>46090</v>
      </c>
      <c r="AE169">
        <v>46146</v>
      </c>
      <c r="AF169">
        <v>46097</v>
      </c>
      <c r="AG169" t="s">
        <v>413</v>
      </c>
      <c r="AH169">
        <v>6133907</v>
      </c>
      <c r="AI169">
        <v>46090</v>
      </c>
      <c r="AJ169">
        <v>46090</v>
      </c>
      <c r="AK169">
        <v>201600</v>
      </c>
      <c r="AL169" t="s">
        <v>396</v>
      </c>
      <c r="AM169" t="s">
        <v>1186</v>
      </c>
      <c r="AN169">
        <v>46090</v>
      </c>
      <c r="AO169">
        <v>46090.610717592594</v>
      </c>
      <c r="AP169" t="s">
        <v>51</v>
      </c>
      <c r="AQ169">
        <v>6.0920000000000002E-2</v>
      </c>
      <c r="AR169">
        <v>12281.47</v>
      </c>
      <c r="AS169" t="s">
        <v>51</v>
      </c>
      <c r="AT169">
        <v>12281.47</v>
      </c>
      <c r="AU169" t="s">
        <v>415</v>
      </c>
      <c r="AV169" t="s">
        <v>772</v>
      </c>
      <c r="AW169" t="s">
        <v>1187</v>
      </c>
      <c r="AX169">
        <v>46100</v>
      </c>
      <c r="AY169">
        <v>46149</v>
      </c>
      <c r="AZ169" t="s">
        <v>1188</v>
      </c>
      <c r="BA169" t="s">
        <v>419</v>
      </c>
      <c r="BB169" t="s">
        <v>1189</v>
      </c>
      <c r="BE169">
        <v>0</v>
      </c>
      <c r="BF169">
        <v>0</v>
      </c>
      <c r="BM169">
        <v>0</v>
      </c>
      <c r="BN169">
        <v>0</v>
      </c>
      <c r="BO169">
        <v>20.159996717005907</v>
      </c>
      <c r="CG169" t="s">
        <v>421</v>
      </c>
      <c r="CN169" t="str">
        <v>M01</v>
      </c>
      <c r="CO169" t="str">
        <v>1200-1030990EN0002</v>
      </c>
      <c r="CP169" t="str">
        <v>CSNU6595689</v>
      </c>
      <c r="CQ169" s="23">
        <v>288.08640000000003</v>
      </c>
      <c r="CR169" s="25">
        <f t="shared" si="8"/>
        <v>2.3752315799342522E-2</v>
      </c>
      <c r="CS169" s="21">
        <f t="shared" si="9"/>
        <v>59.380789498356307</v>
      </c>
    </row>
    <row r="170" spans="2:97" x14ac:dyDescent="0.35">
      <c r="B170" t="s">
        <v>297</v>
      </c>
      <c r="C170" t="s">
        <v>422</v>
      </c>
      <c r="D170" t="s">
        <v>395</v>
      </c>
      <c r="E170" t="s">
        <v>395</v>
      </c>
      <c r="F170" t="s">
        <v>396</v>
      </c>
      <c r="G170" t="s">
        <v>397</v>
      </c>
      <c r="H170" t="s">
        <v>398</v>
      </c>
      <c r="I170" t="s">
        <v>399</v>
      </c>
      <c r="J170" t="s">
        <v>400</v>
      </c>
      <c r="K170" t="s">
        <v>401</v>
      </c>
      <c r="L170" t="s">
        <v>402</v>
      </c>
      <c r="M170" t="s">
        <v>403</v>
      </c>
      <c r="N170">
        <v>6</v>
      </c>
      <c r="O170">
        <v>1</v>
      </c>
      <c r="P170" t="s">
        <v>423</v>
      </c>
      <c r="Q170" t="s">
        <v>424</v>
      </c>
      <c r="R170" t="s">
        <v>425</v>
      </c>
      <c r="S170" t="s">
        <v>426</v>
      </c>
      <c r="T170" t="s">
        <v>408</v>
      </c>
      <c r="U170">
        <v>50950080808</v>
      </c>
      <c r="W170">
        <v>50000</v>
      </c>
      <c r="X170" t="s">
        <v>409</v>
      </c>
      <c r="Y170" t="s">
        <v>410</v>
      </c>
      <c r="Z170" t="s">
        <v>410</v>
      </c>
      <c r="AA170" t="s">
        <v>411</v>
      </c>
      <c r="AB170" t="s">
        <v>412</v>
      </c>
      <c r="AC170" t="s">
        <v>411</v>
      </c>
      <c r="AD170">
        <v>46090</v>
      </c>
      <c r="AE170">
        <v>46146</v>
      </c>
      <c r="AF170">
        <v>46097</v>
      </c>
      <c r="AG170" t="s">
        <v>413</v>
      </c>
      <c r="AH170">
        <v>6133903</v>
      </c>
      <c r="AI170">
        <v>46090</v>
      </c>
      <c r="AJ170">
        <v>46090</v>
      </c>
      <c r="AK170">
        <v>50000</v>
      </c>
      <c r="AL170" t="s">
        <v>396</v>
      </c>
      <c r="AM170" t="s">
        <v>1190</v>
      </c>
      <c r="AN170">
        <v>46090</v>
      </c>
      <c r="AO170">
        <v>46090.610717592594</v>
      </c>
      <c r="AP170" t="s">
        <v>51</v>
      </c>
      <c r="AQ170">
        <v>2.018E-2</v>
      </c>
      <c r="AR170">
        <v>1009</v>
      </c>
      <c r="AS170" t="s">
        <v>51</v>
      </c>
      <c r="AT170">
        <v>1009</v>
      </c>
      <c r="AU170" t="s">
        <v>415</v>
      </c>
      <c r="AV170" t="s">
        <v>772</v>
      </c>
      <c r="AW170" t="s">
        <v>1187</v>
      </c>
      <c r="AX170">
        <v>46100</v>
      </c>
      <c r="AY170">
        <v>46149</v>
      </c>
      <c r="AZ170" t="s">
        <v>1188</v>
      </c>
      <c r="BA170" t="s">
        <v>419</v>
      </c>
      <c r="BB170" t="s">
        <v>1189</v>
      </c>
      <c r="BE170">
        <v>0</v>
      </c>
      <c r="BF170">
        <v>0</v>
      </c>
      <c r="BM170">
        <v>0</v>
      </c>
      <c r="BN170">
        <v>0</v>
      </c>
      <c r="BO170">
        <v>20</v>
      </c>
      <c r="CG170" t="s">
        <v>421</v>
      </c>
      <c r="CN170" t="str">
        <v>M19</v>
      </c>
      <c r="CO170" t="str">
        <v>1275-5YY0564EN</v>
      </c>
      <c r="CP170" t="str">
        <v>CSNU6595689</v>
      </c>
      <c r="CQ170" s="23">
        <v>472.62880000000001</v>
      </c>
      <c r="CR170" s="25">
        <f t="shared" si="8"/>
        <v>3.8967575399131288E-2</v>
      </c>
      <c r="CS170" s="21">
        <f t="shared" si="9"/>
        <v>97.418938497828222</v>
      </c>
    </row>
    <row r="171" spans="2:97" x14ac:dyDescent="0.35">
      <c r="B171" t="s">
        <v>297</v>
      </c>
      <c r="C171" t="s">
        <v>434</v>
      </c>
      <c r="D171" t="s">
        <v>395</v>
      </c>
      <c r="E171" t="s">
        <v>395</v>
      </c>
      <c r="F171" t="s">
        <v>396</v>
      </c>
      <c r="G171" t="s">
        <v>397</v>
      </c>
      <c r="H171" t="s">
        <v>398</v>
      </c>
      <c r="I171" t="s">
        <v>399</v>
      </c>
      <c r="J171" t="s">
        <v>400</v>
      </c>
      <c r="K171" t="s">
        <v>401</v>
      </c>
      <c r="L171" t="s">
        <v>402</v>
      </c>
      <c r="M171" t="s">
        <v>403</v>
      </c>
      <c r="N171">
        <v>3</v>
      </c>
      <c r="O171">
        <v>1</v>
      </c>
      <c r="P171" t="s">
        <v>435</v>
      </c>
      <c r="Q171" t="s">
        <v>424</v>
      </c>
      <c r="R171" t="s">
        <v>431</v>
      </c>
      <c r="S171" t="s">
        <v>432</v>
      </c>
      <c r="T171" t="s">
        <v>408</v>
      </c>
      <c r="U171">
        <v>50950080817</v>
      </c>
      <c r="W171">
        <v>40000</v>
      </c>
      <c r="X171" t="s">
        <v>409</v>
      </c>
      <c r="Y171" t="s">
        <v>410</v>
      </c>
      <c r="Z171" t="s">
        <v>410</v>
      </c>
      <c r="AA171" t="s">
        <v>411</v>
      </c>
      <c r="AB171" t="s">
        <v>412</v>
      </c>
      <c r="AC171" t="s">
        <v>411</v>
      </c>
      <c r="AD171">
        <v>46090</v>
      </c>
      <c r="AE171">
        <v>46146</v>
      </c>
      <c r="AF171">
        <v>46097</v>
      </c>
      <c r="AG171" t="s">
        <v>413</v>
      </c>
      <c r="AH171">
        <v>6133901</v>
      </c>
      <c r="AI171">
        <v>46090</v>
      </c>
      <c r="AJ171">
        <v>46090</v>
      </c>
      <c r="AK171">
        <v>40000</v>
      </c>
      <c r="AL171" t="s">
        <v>396</v>
      </c>
      <c r="AM171" t="s">
        <v>1191</v>
      </c>
      <c r="AN171">
        <v>46090</v>
      </c>
      <c r="AO171">
        <v>46090.610717592594</v>
      </c>
      <c r="AP171" t="s">
        <v>51</v>
      </c>
      <c r="AQ171">
        <v>5.2150000000000002E-2</v>
      </c>
      <c r="AR171">
        <v>2086</v>
      </c>
      <c r="AS171" t="s">
        <v>51</v>
      </c>
      <c r="AT171">
        <v>2086</v>
      </c>
      <c r="AU171" t="s">
        <v>415</v>
      </c>
      <c r="AV171" t="s">
        <v>772</v>
      </c>
      <c r="AW171" t="s">
        <v>1187</v>
      </c>
      <c r="AX171">
        <v>46100</v>
      </c>
      <c r="AY171">
        <v>46149</v>
      </c>
      <c r="AZ171" t="s">
        <v>1188</v>
      </c>
      <c r="BA171" t="s">
        <v>419</v>
      </c>
      <c r="BB171" t="s">
        <v>1189</v>
      </c>
      <c r="BE171">
        <v>0</v>
      </c>
      <c r="BF171">
        <v>0</v>
      </c>
      <c r="BM171">
        <v>0</v>
      </c>
      <c r="BN171">
        <v>0</v>
      </c>
      <c r="BO171">
        <v>10</v>
      </c>
      <c r="CG171" t="s">
        <v>421</v>
      </c>
      <c r="CN171" t="str">
        <v>M23</v>
      </c>
      <c r="CO171" t="str">
        <v>1301-1120169EN</v>
      </c>
      <c r="CP171" t="str">
        <v>CSNU6595689</v>
      </c>
      <c r="CQ171" s="23">
        <v>161.55359999999999</v>
      </c>
      <c r="CR171" s="25">
        <f t="shared" si="8"/>
        <v>1.3319865587964797E-2</v>
      </c>
      <c r="CS171" s="21">
        <f t="shared" si="9"/>
        <v>33.29966396991199</v>
      </c>
    </row>
    <row r="172" spans="2:97" x14ac:dyDescent="0.35">
      <c r="B172" t="s">
        <v>297</v>
      </c>
      <c r="C172" t="s">
        <v>437</v>
      </c>
      <c r="D172" t="s">
        <v>395</v>
      </c>
      <c r="E172" t="s">
        <v>395</v>
      </c>
      <c r="F172" t="s">
        <v>396</v>
      </c>
      <c r="G172" t="s">
        <v>397</v>
      </c>
      <c r="H172" t="s">
        <v>398</v>
      </c>
      <c r="I172" t="s">
        <v>399</v>
      </c>
      <c r="J172" t="s">
        <v>400</v>
      </c>
      <c r="K172" t="s">
        <v>401</v>
      </c>
      <c r="L172" t="s">
        <v>402</v>
      </c>
      <c r="M172" t="s">
        <v>403</v>
      </c>
      <c r="N172">
        <v>2</v>
      </c>
      <c r="O172">
        <v>1</v>
      </c>
      <c r="P172" t="s">
        <v>438</v>
      </c>
      <c r="Q172" t="s">
        <v>424</v>
      </c>
      <c r="R172" t="s">
        <v>439</v>
      </c>
      <c r="S172" t="s">
        <v>440</v>
      </c>
      <c r="T172" t="s">
        <v>408</v>
      </c>
      <c r="U172">
        <v>50950080814</v>
      </c>
      <c r="W172">
        <v>92800</v>
      </c>
      <c r="X172" t="s">
        <v>409</v>
      </c>
      <c r="Y172" t="s">
        <v>410</v>
      </c>
      <c r="Z172" t="s">
        <v>410</v>
      </c>
      <c r="AA172" t="s">
        <v>411</v>
      </c>
      <c r="AB172" t="s">
        <v>412</v>
      </c>
      <c r="AC172" t="s">
        <v>411</v>
      </c>
      <c r="AD172">
        <v>46090</v>
      </c>
      <c r="AE172">
        <v>46146</v>
      </c>
      <c r="AF172">
        <v>46097</v>
      </c>
      <c r="AG172" t="s">
        <v>413</v>
      </c>
      <c r="AH172">
        <v>6133906</v>
      </c>
      <c r="AI172">
        <v>46090</v>
      </c>
      <c r="AJ172">
        <v>46090</v>
      </c>
      <c r="AK172">
        <v>92800</v>
      </c>
      <c r="AL172" t="s">
        <v>396</v>
      </c>
      <c r="AM172" t="s">
        <v>1192</v>
      </c>
      <c r="AN172">
        <v>46090</v>
      </c>
      <c r="AO172">
        <v>46090.610717592594</v>
      </c>
      <c r="AP172" t="s">
        <v>51</v>
      </c>
      <c r="AQ172">
        <v>2.512E-2</v>
      </c>
      <c r="AR172">
        <v>2331.14</v>
      </c>
      <c r="AS172" t="s">
        <v>51</v>
      </c>
      <c r="AT172">
        <v>2331.14</v>
      </c>
      <c r="AU172" t="s">
        <v>415</v>
      </c>
      <c r="AV172" t="s">
        <v>772</v>
      </c>
      <c r="AW172" t="s">
        <v>1187</v>
      </c>
      <c r="AX172">
        <v>46100</v>
      </c>
      <c r="AY172">
        <v>46149</v>
      </c>
      <c r="AZ172" t="s">
        <v>1188</v>
      </c>
      <c r="BA172" t="s">
        <v>419</v>
      </c>
      <c r="BB172" t="s">
        <v>1189</v>
      </c>
      <c r="BE172">
        <v>0</v>
      </c>
      <c r="BF172">
        <v>0</v>
      </c>
      <c r="BM172">
        <v>0</v>
      </c>
      <c r="BN172">
        <v>0</v>
      </c>
      <c r="BO172">
        <v>1500</v>
      </c>
      <c r="CG172" t="s">
        <v>421</v>
      </c>
      <c r="CN172" t="str">
        <v>M45</v>
      </c>
      <c r="CO172" t="str">
        <v>1301-12C0022EN</v>
      </c>
      <c r="CP172" t="str">
        <v>CSNU6595689</v>
      </c>
      <c r="CQ172" s="23">
        <v>923.42399999999998</v>
      </c>
      <c r="CR172" s="25">
        <f t="shared" si="8"/>
        <v>7.6135001390874632E-2</v>
      </c>
      <c r="CS172" s="21">
        <f t="shared" si="9"/>
        <v>190.33750347718657</v>
      </c>
    </row>
    <row r="173" spans="2:97" x14ac:dyDescent="0.35">
      <c r="B173" t="s">
        <v>297</v>
      </c>
      <c r="C173" t="s">
        <v>1193</v>
      </c>
      <c r="D173" t="s">
        <v>395</v>
      </c>
      <c r="E173" t="s">
        <v>395</v>
      </c>
      <c r="F173" t="s">
        <v>396</v>
      </c>
      <c r="G173" t="s">
        <v>397</v>
      </c>
      <c r="H173" t="s">
        <v>398</v>
      </c>
      <c r="I173" t="s">
        <v>399</v>
      </c>
      <c r="J173" t="s">
        <v>400</v>
      </c>
      <c r="K173" t="s">
        <v>401</v>
      </c>
      <c r="L173" t="s">
        <v>402</v>
      </c>
      <c r="M173" t="s">
        <v>403</v>
      </c>
      <c r="N173">
        <v>1</v>
      </c>
      <c r="O173">
        <v>1</v>
      </c>
      <c r="P173" t="s">
        <v>1194</v>
      </c>
      <c r="Q173" t="s">
        <v>405</v>
      </c>
      <c r="R173" t="s">
        <v>1195</v>
      </c>
      <c r="S173" t="s">
        <v>1196</v>
      </c>
      <c r="T173" t="s">
        <v>408</v>
      </c>
      <c r="U173">
        <v>50950080876</v>
      </c>
      <c r="W173">
        <v>100000</v>
      </c>
      <c r="X173" t="s">
        <v>409</v>
      </c>
      <c r="Y173" t="s">
        <v>410</v>
      </c>
      <c r="Z173" t="s">
        <v>410</v>
      </c>
      <c r="AA173" t="s">
        <v>411</v>
      </c>
      <c r="AB173" t="s">
        <v>412</v>
      </c>
      <c r="AC173" t="s">
        <v>411</v>
      </c>
      <c r="AD173">
        <v>46090</v>
      </c>
      <c r="AE173">
        <v>46146</v>
      </c>
      <c r="AF173">
        <v>46097</v>
      </c>
      <c r="AG173" t="s">
        <v>413</v>
      </c>
      <c r="AH173">
        <v>6133905</v>
      </c>
      <c r="AI173">
        <v>46090</v>
      </c>
      <c r="AJ173">
        <v>46090</v>
      </c>
      <c r="AK173">
        <v>100000</v>
      </c>
      <c r="AL173" t="s">
        <v>396</v>
      </c>
      <c r="AM173" t="s">
        <v>1197</v>
      </c>
      <c r="AN173">
        <v>46090</v>
      </c>
      <c r="AO173">
        <v>46090.610717592594</v>
      </c>
      <c r="AP173" t="s">
        <v>51</v>
      </c>
      <c r="AQ173">
        <v>9.5300000000000003E-3</v>
      </c>
      <c r="AR173">
        <v>953</v>
      </c>
      <c r="AS173" t="s">
        <v>51</v>
      </c>
      <c r="AT173">
        <v>953</v>
      </c>
      <c r="AU173" t="s">
        <v>415</v>
      </c>
      <c r="AV173" t="s">
        <v>772</v>
      </c>
      <c r="AW173" t="s">
        <v>1187</v>
      </c>
      <c r="AX173">
        <v>46100</v>
      </c>
      <c r="AY173">
        <v>46149</v>
      </c>
      <c r="AZ173" t="s">
        <v>1188</v>
      </c>
      <c r="BA173" t="s">
        <v>419</v>
      </c>
      <c r="BB173" t="s">
        <v>1189</v>
      </c>
      <c r="BE173">
        <v>0</v>
      </c>
      <c r="BF173">
        <v>0</v>
      </c>
      <c r="BM173">
        <v>0</v>
      </c>
      <c r="BN173">
        <v>0</v>
      </c>
      <c r="BO173">
        <v>0.1</v>
      </c>
      <c r="CG173" t="s">
        <v>421</v>
      </c>
      <c r="CN173" t="str">
        <v>M45</v>
      </c>
      <c r="CO173" t="str">
        <v>1346-12C0011EN</v>
      </c>
      <c r="CP173" t="str">
        <v>CSNU6595689</v>
      </c>
      <c r="CQ173" s="23">
        <v>157.5094</v>
      </c>
      <c r="CR173" s="25">
        <f t="shared" si="8"/>
        <v>1.2986427023854512E-2</v>
      </c>
      <c r="CS173" s="21">
        <f t="shared" si="9"/>
        <v>32.466067559636279</v>
      </c>
    </row>
    <row r="174" spans="2:97" x14ac:dyDescent="0.35">
      <c r="B174" t="s">
        <v>297</v>
      </c>
      <c r="C174" t="s">
        <v>1198</v>
      </c>
      <c r="D174" t="s">
        <v>395</v>
      </c>
      <c r="E174" t="s">
        <v>395</v>
      </c>
      <c r="F174" t="s">
        <v>396</v>
      </c>
      <c r="G174" t="s">
        <v>397</v>
      </c>
      <c r="H174" t="s">
        <v>398</v>
      </c>
      <c r="I174" t="s">
        <v>399</v>
      </c>
      <c r="J174" t="s">
        <v>400</v>
      </c>
      <c r="K174" t="s">
        <v>401</v>
      </c>
      <c r="L174" t="s">
        <v>402</v>
      </c>
      <c r="M174" t="s">
        <v>403</v>
      </c>
      <c r="N174">
        <v>1</v>
      </c>
      <c r="O174">
        <v>1</v>
      </c>
      <c r="P174" t="s">
        <v>1199</v>
      </c>
      <c r="Q174" t="s">
        <v>405</v>
      </c>
      <c r="R174" t="s">
        <v>1195</v>
      </c>
      <c r="S174" t="s">
        <v>1196</v>
      </c>
      <c r="T174" t="s">
        <v>408</v>
      </c>
      <c r="U174">
        <v>50950080936</v>
      </c>
      <c r="W174">
        <v>100000</v>
      </c>
      <c r="X174" t="s">
        <v>409</v>
      </c>
      <c r="Y174" t="s">
        <v>410</v>
      </c>
      <c r="Z174" t="s">
        <v>410</v>
      </c>
      <c r="AA174" t="s">
        <v>411</v>
      </c>
      <c r="AB174" t="s">
        <v>412</v>
      </c>
      <c r="AC174" t="s">
        <v>411</v>
      </c>
      <c r="AD174">
        <v>46090</v>
      </c>
      <c r="AE174">
        <v>46146</v>
      </c>
      <c r="AF174">
        <v>46097</v>
      </c>
      <c r="AG174" t="s">
        <v>413</v>
      </c>
      <c r="AH174">
        <v>6133904</v>
      </c>
      <c r="AI174">
        <v>46090</v>
      </c>
      <c r="AJ174">
        <v>46090</v>
      </c>
      <c r="AK174">
        <v>100000</v>
      </c>
      <c r="AL174" t="s">
        <v>396</v>
      </c>
      <c r="AM174" t="s">
        <v>1200</v>
      </c>
      <c r="AN174">
        <v>46090</v>
      </c>
      <c r="AO174">
        <v>46090.610717592594</v>
      </c>
      <c r="AP174" t="s">
        <v>51</v>
      </c>
      <c r="AQ174">
        <v>9.5300000000000003E-3</v>
      </c>
      <c r="AR174">
        <v>953</v>
      </c>
      <c r="AS174" t="s">
        <v>51</v>
      </c>
      <c r="AT174">
        <v>953</v>
      </c>
      <c r="AU174" t="s">
        <v>415</v>
      </c>
      <c r="AV174" t="s">
        <v>772</v>
      </c>
      <c r="AW174" t="s">
        <v>1187</v>
      </c>
      <c r="AX174">
        <v>46100</v>
      </c>
      <c r="AY174">
        <v>46149</v>
      </c>
      <c r="AZ174" t="s">
        <v>1188</v>
      </c>
      <c r="BA174" t="s">
        <v>419</v>
      </c>
      <c r="BB174" t="s">
        <v>1189</v>
      </c>
      <c r="BE174">
        <v>0</v>
      </c>
      <c r="BF174">
        <v>0</v>
      </c>
      <c r="BM174">
        <v>0</v>
      </c>
      <c r="BN174">
        <v>0</v>
      </c>
      <c r="BO174">
        <v>0.1</v>
      </c>
      <c r="CG174" t="s">
        <v>421</v>
      </c>
      <c r="CN174" t="str">
        <v>M45</v>
      </c>
      <c r="CO174" t="str">
        <v>1100-12C0005EN</v>
      </c>
      <c r="CP174" t="str">
        <v>CSNU6595689</v>
      </c>
      <c r="CQ174" s="23">
        <v>2330.2808799999998</v>
      </c>
      <c r="CR174" s="25">
        <f t="shared" si="8"/>
        <v>0.19212835928016661</v>
      </c>
      <c r="CS174" s="21">
        <f t="shared" si="9"/>
        <v>480.32089820041654</v>
      </c>
    </row>
    <row r="175" spans="2:97" x14ac:dyDescent="0.35">
      <c r="B175" t="s">
        <v>297</v>
      </c>
      <c r="C175" t="s">
        <v>1201</v>
      </c>
      <c r="D175" t="s">
        <v>395</v>
      </c>
      <c r="E175" t="s">
        <v>395</v>
      </c>
      <c r="F175" t="s">
        <v>396</v>
      </c>
      <c r="G175" t="s">
        <v>397</v>
      </c>
      <c r="H175" t="s">
        <v>398</v>
      </c>
      <c r="I175" t="s">
        <v>399</v>
      </c>
      <c r="J175" t="s">
        <v>400</v>
      </c>
      <c r="K175" t="s">
        <v>401</v>
      </c>
      <c r="L175" t="s">
        <v>402</v>
      </c>
      <c r="M175" t="s">
        <v>403</v>
      </c>
      <c r="N175">
        <v>1</v>
      </c>
      <c r="O175">
        <v>1</v>
      </c>
      <c r="P175" t="s">
        <v>1202</v>
      </c>
      <c r="Q175" t="s">
        <v>424</v>
      </c>
      <c r="R175" t="s">
        <v>1203</v>
      </c>
      <c r="S175" t="s">
        <v>1204</v>
      </c>
      <c r="T175" t="s">
        <v>408</v>
      </c>
      <c r="U175">
        <v>50950080977</v>
      </c>
      <c r="W175">
        <v>10000</v>
      </c>
      <c r="X175" t="s">
        <v>409</v>
      </c>
      <c r="Y175" t="s">
        <v>410</v>
      </c>
      <c r="Z175" t="s">
        <v>410</v>
      </c>
      <c r="AA175" t="s">
        <v>411</v>
      </c>
      <c r="AB175" t="s">
        <v>412</v>
      </c>
      <c r="AC175" t="s">
        <v>411</v>
      </c>
      <c r="AD175">
        <v>46090</v>
      </c>
      <c r="AE175">
        <v>46146</v>
      </c>
      <c r="AF175">
        <v>46097</v>
      </c>
      <c r="AG175" t="s">
        <v>413</v>
      </c>
      <c r="AH175">
        <v>6133908</v>
      </c>
      <c r="AI175">
        <v>46090</v>
      </c>
      <c r="AJ175">
        <v>46090</v>
      </c>
      <c r="AK175">
        <v>10000</v>
      </c>
      <c r="AL175" t="s">
        <v>396</v>
      </c>
      <c r="AM175" t="s">
        <v>1205</v>
      </c>
      <c r="AN175">
        <v>46090</v>
      </c>
      <c r="AO175">
        <v>46090.610717592594</v>
      </c>
      <c r="AP175" t="s">
        <v>51</v>
      </c>
      <c r="AQ175">
        <v>6.2969999999999998E-2</v>
      </c>
      <c r="AR175">
        <v>629.70000000000005</v>
      </c>
      <c r="AS175" t="s">
        <v>51</v>
      </c>
      <c r="AT175">
        <v>629.70000000000005</v>
      </c>
      <c r="AU175" t="s">
        <v>415</v>
      </c>
      <c r="AV175" t="s">
        <v>772</v>
      </c>
      <c r="AW175" t="s">
        <v>1187</v>
      </c>
      <c r="AX175">
        <v>46100</v>
      </c>
      <c r="AY175">
        <v>46149</v>
      </c>
      <c r="AZ175" t="s">
        <v>1188</v>
      </c>
      <c r="BA175" t="s">
        <v>419</v>
      </c>
      <c r="BB175" t="s">
        <v>1189</v>
      </c>
      <c r="BE175">
        <v>0</v>
      </c>
      <c r="BF175">
        <v>0</v>
      </c>
      <c r="BM175">
        <v>0</v>
      </c>
      <c r="BN175">
        <v>0</v>
      </c>
      <c r="BO175">
        <v>10</v>
      </c>
      <c r="CG175" t="s">
        <v>421</v>
      </c>
      <c r="CN175" t="str">
        <v>M45</v>
      </c>
      <c r="CO175" t="str">
        <v>1346-12C0011EN</v>
      </c>
      <c r="CP175" t="str">
        <v>CSNU6595689</v>
      </c>
      <c r="CQ175" s="23">
        <v>157.5094</v>
      </c>
      <c r="CR175" s="25">
        <f t="shared" si="8"/>
        <v>1.2986427023854512E-2</v>
      </c>
      <c r="CS175" s="21">
        <f t="shared" si="9"/>
        <v>32.466067559636279</v>
      </c>
    </row>
    <row r="176" spans="2:97" x14ac:dyDescent="0.35">
      <c r="B176" t="s">
        <v>297</v>
      </c>
      <c r="C176" t="s">
        <v>1206</v>
      </c>
      <c r="D176" t="s">
        <v>395</v>
      </c>
      <c r="E176" t="s">
        <v>395</v>
      </c>
      <c r="F176" t="s">
        <v>396</v>
      </c>
      <c r="G176" t="s">
        <v>397</v>
      </c>
      <c r="H176" t="s">
        <v>398</v>
      </c>
      <c r="I176" t="s">
        <v>399</v>
      </c>
      <c r="J176" t="s">
        <v>400</v>
      </c>
      <c r="K176" t="s">
        <v>401</v>
      </c>
      <c r="L176" t="s">
        <v>402</v>
      </c>
      <c r="M176" t="s">
        <v>403</v>
      </c>
      <c r="N176">
        <v>1</v>
      </c>
      <c r="O176">
        <v>1</v>
      </c>
      <c r="P176" t="s">
        <v>429</v>
      </c>
      <c r="Q176" t="s">
        <v>430</v>
      </c>
      <c r="R176" t="s">
        <v>431</v>
      </c>
      <c r="S176" t="s">
        <v>432</v>
      </c>
      <c r="T176" t="s">
        <v>408</v>
      </c>
      <c r="U176">
        <v>50950081524</v>
      </c>
      <c r="W176">
        <v>50000</v>
      </c>
      <c r="X176" t="s">
        <v>409</v>
      </c>
      <c r="Y176" t="s">
        <v>410</v>
      </c>
      <c r="Z176" t="s">
        <v>410</v>
      </c>
      <c r="AA176" t="s">
        <v>411</v>
      </c>
      <c r="AB176" t="s">
        <v>412</v>
      </c>
      <c r="AC176" t="s">
        <v>411</v>
      </c>
      <c r="AD176">
        <v>46090</v>
      </c>
      <c r="AE176">
        <v>46132</v>
      </c>
      <c r="AF176">
        <v>46097</v>
      </c>
      <c r="AG176" t="s">
        <v>413</v>
      </c>
      <c r="AH176">
        <v>6133902</v>
      </c>
      <c r="AI176">
        <v>46090</v>
      </c>
      <c r="AJ176">
        <v>46090</v>
      </c>
      <c r="AK176">
        <v>50000</v>
      </c>
      <c r="AL176" t="s">
        <v>396</v>
      </c>
      <c r="AM176" t="s">
        <v>1207</v>
      </c>
      <c r="AN176">
        <v>46090</v>
      </c>
      <c r="AO176">
        <v>46090.610717592594</v>
      </c>
      <c r="AP176" t="s">
        <v>51</v>
      </c>
      <c r="AQ176">
        <v>9.4119999999999995E-2</v>
      </c>
      <c r="AR176">
        <v>4706</v>
      </c>
      <c r="AS176" t="s">
        <v>51</v>
      </c>
      <c r="AT176">
        <v>4706</v>
      </c>
      <c r="AU176" t="s">
        <v>415</v>
      </c>
      <c r="AV176" t="s">
        <v>772</v>
      </c>
      <c r="AW176" t="s">
        <v>1187</v>
      </c>
      <c r="AX176">
        <v>46100</v>
      </c>
      <c r="AY176">
        <v>46149</v>
      </c>
      <c r="AZ176" t="s">
        <v>1188</v>
      </c>
      <c r="BA176" t="s">
        <v>419</v>
      </c>
      <c r="BB176" t="s">
        <v>1189</v>
      </c>
      <c r="BE176">
        <v>0</v>
      </c>
      <c r="BF176">
        <v>0</v>
      </c>
      <c r="BM176">
        <v>0</v>
      </c>
      <c r="BN176">
        <v>0</v>
      </c>
      <c r="BO176">
        <v>10</v>
      </c>
      <c r="CG176" t="s">
        <v>421</v>
      </c>
      <c r="CN176" t="str">
        <v>M19</v>
      </c>
      <c r="CO176" t="str">
        <v>1330-5YY0182EN</v>
      </c>
      <c r="CP176" t="str">
        <v>CSNU6595689</v>
      </c>
      <c r="CQ176" s="23">
        <v>1229.4492</v>
      </c>
      <c r="CR176" s="25">
        <f t="shared" si="8"/>
        <v>0.10136634585197019</v>
      </c>
      <c r="CS176" s="21">
        <f t="shared" si="9"/>
        <v>253.41586462992547</v>
      </c>
    </row>
    <row r="177" spans="2:97" x14ac:dyDescent="0.35">
      <c r="B177" t="s">
        <v>299</v>
      </c>
      <c r="C177" t="s">
        <v>1208</v>
      </c>
      <c r="D177" t="s">
        <v>395</v>
      </c>
      <c r="E177" t="s">
        <v>395</v>
      </c>
      <c r="F177" t="s">
        <v>396</v>
      </c>
      <c r="G177" t="s">
        <v>397</v>
      </c>
      <c r="H177" t="s">
        <v>454</v>
      </c>
      <c r="I177" t="s">
        <v>399</v>
      </c>
      <c r="J177" t="s">
        <v>400</v>
      </c>
      <c r="K177" t="s">
        <v>455</v>
      </c>
      <c r="L177" t="s">
        <v>456</v>
      </c>
      <c r="M177" t="s">
        <v>403</v>
      </c>
      <c r="N177">
        <v>1</v>
      </c>
      <c r="O177">
        <v>1</v>
      </c>
      <c r="P177" t="s">
        <v>1209</v>
      </c>
      <c r="Q177" t="s">
        <v>430</v>
      </c>
      <c r="R177" t="s">
        <v>1210</v>
      </c>
      <c r="S177" t="s">
        <v>1211</v>
      </c>
      <c r="T177" t="s">
        <v>408</v>
      </c>
      <c r="U177">
        <v>50950081216</v>
      </c>
      <c r="W177">
        <v>50000</v>
      </c>
      <c r="X177" t="s">
        <v>409</v>
      </c>
      <c r="Y177" t="s">
        <v>410</v>
      </c>
      <c r="Z177" t="s">
        <v>410</v>
      </c>
      <c r="AA177" t="s">
        <v>411</v>
      </c>
      <c r="AB177" t="s">
        <v>412</v>
      </c>
      <c r="AC177" t="s">
        <v>411</v>
      </c>
      <c r="AD177">
        <v>46087</v>
      </c>
      <c r="AE177">
        <v>46153</v>
      </c>
      <c r="AF177">
        <v>46097</v>
      </c>
      <c r="AG177" t="s">
        <v>460</v>
      </c>
      <c r="AH177">
        <v>6133899</v>
      </c>
      <c r="AI177">
        <v>46090</v>
      </c>
      <c r="AJ177">
        <v>46090</v>
      </c>
      <c r="AK177">
        <v>50000</v>
      </c>
      <c r="AL177" t="s">
        <v>396</v>
      </c>
      <c r="AM177" t="s">
        <v>1212</v>
      </c>
      <c r="AN177">
        <v>46090</v>
      </c>
      <c r="AO177">
        <v>46090.599363425928</v>
      </c>
      <c r="AP177" t="s">
        <v>51</v>
      </c>
      <c r="AQ177">
        <v>4.4999999999999998E-2</v>
      </c>
      <c r="AR177">
        <v>2250</v>
      </c>
      <c r="AS177" t="s">
        <v>51</v>
      </c>
      <c r="AT177">
        <v>2250</v>
      </c>
      <c r="AU177" t="s">
        <v>415</v>
      </c>
      <c r="AV177" t="s">
        <v>772</v>
      </c>
      <c r="AW177" t="s">
        <v>1187</v>
      </c>
      <c r="AX177">
        <v>46100</v>
      </c>
      <c r="AY177">
        <v>46149</v>
      </c>
      <c r="AZ177" t="s">
        <v>1188</v>
      </c>
      <c r="BA177" t="s">
        <v>419</v>
      </c>
      <c r="BB177" t="s">
        <v>1189</v>
      </c>
      <c r="BE177">
        <v>0</v>
      </c>
      <c r="BF177">
        <v>0</v>
      </c>
      <c r="BM177">
        <v>0</v>
      </c>
      <c r="BN177">
        <v>0</v>
      </c>
      <c r="BO177">
        <v>20</v>
      </c>
      <c r="CG177" t="s">
        <v>421</v>
      </c>
      <c r="CN177" t="str">
        <v>M01</v>
      </c>
      <c r="CO177" t="str">
        <v>1301-1030478EN</v>
      </c>
      <c r="CP177" t="str">
        <v>CSNU6595689</v>
      </c>
      <c r="CQ177" s="23">
        <v>719.84</v>
      </c>
      <c r="CR177" s="25">
        <f t="shared" si="8"/>
        <v>5.9349788830707455E-2</v>
      </c>
      <c r="CS177" s="21">
        <f t="shared" si="9"/>
        <v>148.37447207676863</v>
      </c>
    </row>
    <row r="178" spans="2:97" x14ac:dyDescent="0.35">
      <c r="B178" t="s">
        <v>295</v>
      </c>
      <c r="C178" t="s">
        <v>1213</v>
      </c>
      <c r="D178" t="s">
        <v>395</v>
      </c>
      <c r="E178" t="s">
        <v>395</v>
      </c>
      <c r="F178" t="s">
        <v>396</v>
      </c>
      <c r="G178" t="s">
        <v>397</v>
      </c>
      <c r="H178" t="s">
        <v>398</v>
      </c>
      <c r="I178" t="s">
        <v>399</v>
      </c>
      <c r="J178" t="s">
        <v>400</v>
      </c>
      <c r="K178" t="s">
        <v>1214</v>
      </c>
      <c r="L178" t="s">
        <v>1215</v>
      </c>
      <c r="M178" t="s">
        <v>403</v>
      </c>
      <c r="N178">
        <v>1</v>
      </c>
      <c r="O178">
        <v>1</v>
      </c>
      <c r="P178" t="s">
        <v>1216</v>
      </c>
      <c r="Q178" t="s">
        <v>789</v>
      </c>
      <c r="R178" t="s">
        <v>1217</v>
      </c>
      <c r="S178" t="s">
        <v>1218</v>
      </c>
      <c r="T178" t="s">
        <v>408</v>
      </c>
      <c r="U178">
        <v>50950081625</v>
      </c>
      <c r="W178">
        <v>108000</v>
      </c>
      <c r="X178" t="s">
        <v>409</v>
      </c>
      <c r="Y178" t="s">
        <v>410</v>
      </c>
      <c r="Z178" t="s">
        <v>410</v>
      </c>
      <c r="AA178" t="s">
        <v>411</v>
      </c>
      <c r="AB178" t="s">
        <v>412</v>
      </c>
      <c r="AC178" t="s">
        <v>411</v>
      </c>
      <c r="AD178">
        <v>46090</v>
      </c>
      <c r="AE178">
        <v>46132</v>
      </c>
      <c r="AF178">
        <v>46097</v>
      </c>
      <c r="AG178" t="s">
        <v>413</v>
      </c>
      <c r="AH178">
        <v>6133909</v>
      </c>
      <c r="AI178">
        <v>46090</v>
      </c>
      <c r="AJ178">
        <v>46090</v>
      </c>
      <c r="AK178">
        <v>108000</v>
      </c>
      <c r="AL178" t="s">
        <v>396</v>
      </c>
      <c r="AM178" t="s">
        <v>1219</v>
      </c>
      <c r="AN178">
        <v>46090</v>
      </c>
      <c r="AO178">
        <v>46090.610717592594</v>
      </c>
      <c r="AP178" t="s">
        <v>51</v>
      </c>
      <c r="AQ178">
        <v>7.9969999999999999E-2</v>
      </c>
      <c r="AR178">
        <v>8636.76</v>
      </c>
      <c r="AS178" t="s">
        <v>51</v>
      </c>
      <c r="AT178">
        <v>8636.76</v>
      </c>
      <c r="AU178" t="s">
        <v>415</v>
      </c>
      <c r="AV178" t="s">
        <v>772</v>
      </c>
      <c r="AW178" t="s">
        <v>1187</v>
      </c>
      <c r="AX178">
        <v>46100</v>
      </c>
      <c r="AY178">
        <v>46149</v>
      </c>
      <c r="AZ178" t="s">
        <v>1188</v>
      </c>
      <c r="BA178" t="s">
        <v>419</v>
      </c>
      <c r="BB178" t="s">
        <v>1189</v>
      </c>
      <c r="BE178">
        <v>0</v>
      </c>
      <c r="BF178">
        <v>0</v>
      </c>
      <c r="BM178">
        <v>0</v>
      </c>
      <c r="BN178">
        <v>0</v>
      </c>
      <c r="BO178">
        <v>0.1</v>
      </c>
      <c r="CG178" t="s">
        <v>421</v>
      </c>
      <c r="CN178" t="str">
        <v>M45</v>
      </c>
      <c r="CO178" t="str">
        <v>1459-12B0012EN</v>
      </c>
      <c r="CP178" t="str">
        <v>CSNU6595689</v>
      </c>
      <c r="CQ178" s="23">
        <v>229.82400000000001</v>
      </c>
      <c r="CR178" s="25">
        <f t="shared" si="8"/>
        <v>1.8948663408852675E-2</v>
      </c>
      <c r="CS178" s="21">
        <f t="shared" si="9"/>
        <v>47.371658522131689</v>
      </c>
    </row>
    <row r="179" spans="2:97" x14ac:dyDescent="0.35">
      <c r="B179" t="s">
        <v>3497</v>
      </c>
      <c r="C179" t="s">
        <v>1220</v>
      </c>
      <c r="D179" t="s">
        <v>395</v>
      </c>
      <c r="E179" t="s">
        <v>395</v>
      </c>
      <c r="F179" t="s">
        <v>396</v>
      </c>
      <c r="G179" t="s">
        <v>397</v>
      </c>
      <c r="H179" t="s">
        <v>470</v>
      </c>
      <c r="I179" t="s">
        <v>399</v>
      </c>
      <c r="J179" t="s">
        <v>400</v>
      </c>
      <c r="K179" t="s">
        <v>471</v>
      </c>
      <c r="L179" t="s">
        <v>472</v>
      </c>
      <c r="M179" t="s">
        <v>403</v>
      </c>
      <c r="N179">
        <v>2</v>
      </c>
      <c r="O179">
        <v>1</v>
      </c>
      <c r="P179" t="s">
        <v>1221</v>
      </c>
      <c r="Q179" t="s">
        <v>424</v>
      </c>
      <c r="R179" t="s">
        <v>474</v>
      </c>
      <c r="S179" t="s">
        <v>1222</v>
      </c>
      <c r="T179" t="s">
        <v>408</v>
      </c>
      <c r="U179">
        <v>50950080777</v>
      </c>
      <c r="W179">
        <v>3000</v>
      </c>
      <c r="X179" t="s">
        <v>409</v>
      </c>
      <c r="Y179" t="s">
        <v>410</v>
      </c>
      <c r="Z179" t="s">
        <v>410</v>
      </c>
      <c r="AA179" t="s">
        <v>411</v>
      </c>
      <c r="AB179" t="s">
        <v>412</v>
      </c>
      <c r="AC179" t="s">
        <v>411</v>
      </c>
      <c r="AD179">
        <v>46091</v>
      </c>
      <c r="AE179">
        <v>46160</v>
      </c>
      <c r="AF179">
        <v>46097</v>
      </c>
      <c r="AG179" t="s">
        <v>476</v>
      </c>
      <c r="AH179">
        <v>6133312</v>
      </c>
      <c r="AI179">
        <v>46090</v>
      </c>
      <c r="AJ179">
        <v>46090</v>
      </c>
      <c r="AK179">
        <v>3000</v>
      </c>
      <c r="AL179" t="s">
        <v>396</v>
      </c>
      <c r="AM179" t="s">
        <v>1223</v>
      </c>
      <c r="AN179">
        <v>46090</v>
      </c>
      <c r="AO179">
        <v>46090.387476851851</v>
      </c>
      <c r="AP179" t="s">
        <v>51</v>
      </c>
      <c r="AQ179">
        <v>2.1007400000000001</v>
      </c>
      <c r="AR179">
        <v>6302.22</v>
      </c>
      <c r="AS179" t="s">
        <v>51</v>
      </c>
      <c r="AT179">
        <v>6302.22</v>
      </c>
      <c r="AU179" t="s">
        <v>415</v>
      </c>
      <c r="AV179" t="s">
        <v>772</v>
      </c>
      <c r="AW179" t="s">
        <v>1187</v>
      </c>
      <c r="AX179">
        <v>46100</v>
      </c>
      <c r="AY179">
        <v>46149</v>
      </c>
      <c r="AZ179" t="s">
        <v>1188</v>
      </c>
      <c r="BA179" t="s">
        <v>419</v>
      </c>
      <c r="BB179" t="s">
        <v>1189</v>
      </c>
      <c r="BE179">
        <v>0</v>
      </c>
      <c r="BF179">
        <v>0</v>
      </c>
      <c r="BM179">
        <v>0</v>
      </c>
      <c r="BN179">
        <v>0</v>
      </c>
      <c r="BO179" s="23">
        <v>1500</v>
      </c>
      <c r="CG179" t="s">
        <v>421</v>
      </c>
      <c r="CN179" t="str">
        <v>M45</v>
      </c>
      <c r="CO179" t="str">
        <v>1484-12C0012EN</v>
      </c>
      <c r="CP179" t="str">
        <v>CSNU6595689</v>
      </c>
      <c r="CQ179" s="23">
        <v>407.4</v>
      </c>
      <c r="CR179" s="25">
        <f t="shared" si="8"/>
        <v>3.3589553191862381E-2</v>
      </c>
      <c r="CS179" s="21">
        <f t="shared" si="9"/>
        <v>83.973882979655954</v>
      </c>
    </row>
    <row r="180" spans="2:97" x14ac:dyDescent="0.35">
      <c r="B180" t="s">
        <v>3497</v>
      </c>
      <c r="C180" t="s">
        <v>1224</v>
      </c>
      <c r="D180" t="s">
        <v>395</v>
      </c>
      <c r="E180" t="s">
        <v>395</v>
      </c>
      <c r="F180" t="s">
        <v>396</v>
      </c>
      <c r="G180" t="s">
        <v>397</v>
      </c>
      <c r="H180" t="s">
        <v>470</v>
      </c>
      <c r="I180" t="s">
        <v>399</v>
      </c>
      <c r="J180" t="s">
        <v>400</v>
      </c>
      <c r="K180" t="s">
        <v>471</v>
      </c>
      <c r="L180" t="s">
        <v>472</v>
      </c>
      <c r="M180" t="s">
        <v>403</v>
      </c>
      <c r="N180">
        <v>1</v>
      </c>
      <c r="O180">
        <v>1</v>
      </c>
      <c r="P180" t="s">
        <v>479</v>
      </c>
      <c r="Q180" t="s">
        <v>424</v>
      </c>
      <c r="R180" t="s">
        <v>480</v>
      </c>
      <c r="S180" t="s">
        <v>481</v>
      </c>
      <c r="T180" t="s">
        <v>408</v>
      </c>
      <c r="U180">
        <v>50950081111</v>
      </c>
      <c r="W180">
        <v>4000</v>
      </c>
      <c r="X180" t="s">
        <v>409</v>
      </c>
      <c r="Y180" t="s">
        <v>410</v>
      </c>
      <c r="Z180" t="s">
        <v>410</v>
      </c>
      <c r="AA180" t="s">
        <v>411</v>
      </c>
      <c r="AB180" t="s">
        <v>412</v>
      </c>
      <c r="AC180" t="s">
        <v>411</v>
      </c>
      <c r="AD180">
        <v>46090</v>
      </c>
      <c r="AE180">
        <v>46146</v>
      </c>
      <c r="AF180">
        <v>46097</v>
      </c>
      <c r="AG180" t="s">
        <v>476</v>
      </c>
      <c r="AH180">
        <v>6133314</v>
      </c>
      <c r="AI180">
        <v>46090</v>
      </c>
      <c r="AJ180">
        <v>46090</v>
      </c>
      <c r="AK180">
        <v>4000</v>
      </c>
      <c r="AL180" t="s">
        <v>396</v>
      </c>
      <c r="AM180" t="s">
        <v>1225</v>
      </c>
      <c r="AN180">
        <v>46090</v>
      </c>
      <c r="AO180">
        <v>46090.387476851851</v>
      </c>
      <c r="AP180" t="s">
        <v>51</v>
      </c>
      <c r="AQ180">
        <v>3.04074</v>
      </c>
      <c r="AR180">
        <v>12162.96</v>
      </c>
      <c r="AS180" t="s">
        <v>51</v>
      </c>
      <c r="AT180">
        <v>12162.96</v>
      </c>
      <c r="AU180" t="s">
        <v>415</v>
      </c>
      <c r="AV180" t="s">
        <v>772</v>
      </c>
      <c r="AW180" t="s">
        <v>1187</v>
      </c>
      <c r="AX180">
        <v>46100</v>
      </c>
      <c r="AY180">
        <v>46149</v>
      </c>
      <c r="AZ180" t="s">
        <v>1188</v>
      </c>
      <c r="BA180" t="s">
        <v>419</v>
      </c>
      <c r="BB180" t="s">
        <v>1189</v>
      </c>
      <c r="BE180">
        <v>0</v>
      </c>
      <c r="BF180">
        <v>0</v>
      </c>
      <c r="BM180">
        <v>0</v>
      </c>
      <c r="BN180">
        <v>0</v>
      </c>
      <c r="BO180" s="23">
        <v>1500</v>
      </c>
      <c r="CG180" t="s">
        <v>421</v>
      </c>
      <c r="CN180" t="str">
        <v>M45</v>
      </c>
      <c r="CO180" t="str">
        <v>1459-12B0011EN</v>
      </c>
      <c r="CP180" t="str">
        <v>CSNU6595689</v>
      </c>
      <c r="CQ180" s="23">
        <v>811.07136000000003</v>
      </c>
      <c r="CR180" s="25">
        <f t="shared" si="8"/>
        <v>6.6871685294835947E-2</v>
      </c>
      <c r="CS180" s="21">
        <f t="shared" si="9"/>
        <v>167.17921323708987</v>
      </c>
    </row>
    <row r="181" spans="2:97" x14ac:dyDescent="0.35">
      <c r="B181" t="s">
        <v>3497</v>
      </c>
      <c r="C181" t="s">
        <v>1226</v>
      </c>
      <c r="D181" t="s">
        <v>395</v>
      </c>
      <c r="E181" t="s">
        <v>395</v>
      </c>
      <c r="F181" t="s">
        <v>396</v>
      </c>
      <c r="G181" t="s">
        <v>397</v>
      </c>
      <c r="H181" t="s">
        <v>470</v>
      </c>
      <c r="I181" t="s">
        <v>399</v>
      </c>
      <c r="J181" t="s">
        <v>400</v>
      </c>
      <c r="K181" t="s">
        <v>471</v>
      </c>
      <c r="L181" t="s">
        <v>472</v>
      </c>
      <c r="M181" t="s">
        <v>403</v>
      </c>
      <c r="N181">
        <v>1</v>
      </c>
      <c r="O181">
        <v>1</v>
      </c>
      <c r="P181" t="s">
        <v>1221</v>
      </c>
      <c r="Q181" t="s">
        <v>424</v>
      </c>
      <c r="R181" t="s">
        <v>474</v>
      </c>
      <c r="S181" t="s">
        <v>1222</v>
      </c>
      <c r="T181" t="s">
        <v>408</v>
      </c>
      <c r="U181">
        <v>50950081499</v>
      </c>
      <c r="W181">
        <v>3000</v>
      </c>
      <c r="X181" t="s">
        <v>409</v>
      </c>
      <c r="Y181" t="s">
        <v>410</v>
      </c>
      <c r="Z181" t="s">
        <v>410</v>
      </c>
      <c r="AA181" t="s">
        <v>411</v>
      </c>
      <c r="AB181" t="s">
        <v>412</v>
      </c>
      <c r="AC181" t="s">
        <v>411</v>
      </c>
      <c r="AD181">
        <v>46091</v>
      </c>
      <c r="AE181">
        <v>46153</v>
      </c>
      <c r="AF181">
        <v>46097</v>
      </c>
      <c r="AG181" t="s">
        <v>476</v>
      </c>
      <c r="AH181">
        <v>6133313</v>
      </c>
      <c r="AI181">
        <v>46090</v>
      </c>
      <c r="AJ181">
        <v>46090</v>
      </c>
      <c r="AK181">
        <v>3000</v>
      </c>
      <c r="AL181" t="s">
        <v>396</v>
      </c>
      <c r="AM181" t="s">
        <v>1227</v>
      </c>
      <c r="AN181">
        <v>46090</v>
      </c>
      <c r="AO181">
        <v>46090.387476851851</v>
      </c>
      <c r="AP181" t="s">
        <v>51</v>
      </c>
      <c r="AQ181">
        <v>2.1007400000000001</v>
      </c>
      <c r="AR181">
        <v>6302.22</v>
      </c>
      <c r="AS181" t="s">
        <v>51</v>
      </c>
      <c r="AT181">
        <v>6302.22</v>
      </c>
      <c r="AU181" t="s">
        <v>415</v>
      </c>
      <c r="AV181" t="s">
        <v>772</v>
      </c>
      <c r="AW181" t="s">
        <v>1187</v>
      </c>
      <c r="AX181">
        <v>46100</v>
      </c>
      <c r="AY181">
        <v>46149</v>
      </c>
      <c r="AZ181" t="s">
        <v>1188</v>
      </c>
      <c r="BA181" t="s">
        <v>419</v>
      </c>
      <c r="BB181" t="s">
        <v>1189</v>
      </c>
      <c r="BE181">
        <v>0</v>
      </c>
      <c r="BF181">
        <v>0</v>
      </c>
      <c r="BM181">
        <v>0</v>
      </c>
      <c r="BN181">
        <v>0</v>
      </c>
      <c r="BO181" s="23">
        <v>1500</v>
      </c>
      <c r="CG181" t="s">
        <v>421</v>
      </c>
      <c r="CN181" t="str">
        <v>M19</v>
      </c>
      <c r="CO181" t="str">
        <v>1330-5YY0167EN</v>
      </c>
      <c r="CP181" t="str">
        <v>CSNU6595689</v>
      </c>
      <c r="CQ181" s="23">
        <v>1226.5932</v>
      </c>
      <c r="CR181" s="25">
        <f t="shared" si="8"/>
        <v>0.10113087269557362</v>
      </c>
      <c r="CS181" s="21">
        <f t="shared" si="9"/>
        <v>252.82718173893406</v>
      </c>
    </row>
    <row r="182" spans="2:97" x14ac:dyDescent="0.35">
      <c r="B182" t="s">
        <v>296</v>
      </c>
      <c r="C182" t="s">
        <v>1228</v>
      </c>
      <c r="D182" t="s">
        <v>395</v>
      </c>
      <c r="E182" t="s">
        <v>395</v>
      </c>
      <c r="F182" t="s">
        <v>396</v>
      </c>
      <c r="G182" t="s">
        <v>397</v>
      </c>
      <c r="H182" t="s">
        <v>398</v>
      </c>
      <c r="I182" t="s">
        <v>399</v>
      </c>
      <c r="J182" t="s">
        <v>400</v>
      </c>
      <c r="K182" t="s">
        <v>484</v>
      </c>
      <c r="L182" t="s">
        <v>485</v>
      </c>
      <c r="M182" t="s">
        <v>403</v>
      </c>
      <c r="N182">
        <v>1</v>
      </c>
      <c r="O182">
        <v>1</v>
      </c>
      <c r="P182" t="s">
        <v>492</v>
      </c>
      <c r="Q182" t="s">
        <v>430</v>
      </c>
      <c r="R182" t="s">
        <v>493</v>
      </c>
      <c r="S182" t="s">
        <v>494</v>
      </c>
      <c r="T182" t="s">
        <v>408</v>
      </c>
      <c r="U182">
        <v>50950080874</v>
      </c>
      <c r="W182">
        <v>60000</v>
      </c>
      <c r="X182" t="s">
        <v>409</v>
      </c>
      <c r="Y182" t="s">
        <v>410</v>
      </c>
      <c r="Z182" t="s">
        <v>410</v>
      </c>
      <c r="AA182" t="s">
        <v>411</v>
      </c>
      <c r="AB182" t="s">
        <v>412</v>
      </c>
      <c r="AC182" t="s">
        <v>411</v>
      </c>
      <c r="AD182">
        <v>46090</v>
      </c>
      <c r="AE182">
        <v>46146</v>
      </c>
      <c r="AF182">
        <v>46097</v>
      </c>
      <c r="AG182" t="s">
        <v>489</v>
      </c>
      <c r="AH182">
        <v>6133914</v>
      </c>
      <c r="AI182">
        <v>46090</v>
      </c>
      <c r="AJ182">
        <v>46090</v>
      </c>
      <c r="AK182">
        <v>60000</v>
      </c>
      <c r="AL182" t="s">
        <v>396</v>
      </c>
      <c r="AM182" t="s">
        <v>1229</v>
      </c>
      <c r="AN182">
        <v>46090</v>
      </c>
      <c r="AO182">
        <v>46090.610717592594</v>
      </c>
      <c r="AP182" t="s">
        <v>51</v>
      </c>
      <c r="AQ182">
        <v>4.4589999999999998E-2</v>
      </c>
      <c r="AR182">
        <v>2675.4</v>
      </c>
      <c r="AS182" t="s">
        <v>51</v>
      </c>
      <c r="AT182">
        <v>2675.4</v>
      </c>
      <c r="AU182" t="s">
        <v>415</v>
      </c>
      <c r="AV182" t="s">
        <v>772</v>
      </c>
      <c r="AW182" t="s">
        <v>1187</v>
      </c>
      <c r="AX182">
        <v>46100</v>
      </c>
      <c r="AY182">
        <v>46149</v>
      </c>
      <c r="AZ182" t="s">
        <v>1188</v>
      </c>
      <c r="BA182" t="s">
        <v>419</v>
      </c>
      <c r="BB182" t="s">
        <v>1189</v>
      </c>
      <c r="BE182">
        <v>0</v>
      </c>
      <c r="BF182">
        <v>0</v>
      </c>
      <c r="BM182">
        <v>0</v>
      </c>
      <c r="BN182">
        <v>0</v>
      </c>
      <c r="BO182">
        <v>50</v>
      </c>
      <c r="CG182" t="s">
        <v>421</v>
      </c>
      <c r="CN182" t="str">
        <v>M45</v>
      </c>
      <c r="CO182" t="str">
        <v>AYSP61AS982EN</v>
      </c>
      <c r="CP182" t="str">
        <v>CSNU6595689</v>
      </c>
      <c r="CQ182" s="23">
        <v>3013.6008000000002</v>
      </c>
      <c r="CR182" s="25">
        <f t="shared" si="8"/>
        <v>0.24846711922100892</v>
      </c>
      <c r="CS182" s="21">
        <f t="shared" si="9"/>
        <v>621.16779805252224</v>
      </c>
    </row>
    <row r="183" spans="2:97" x14ac:dyDescent="0.35">
      <c r="B183" t="s">
        <v>296</v>
      </c>
      <c r="C183" t="s">
        <v>1230</v>
      </c>
      <c r="D183" t="s">
        <v>718</v>
      </c>
      <c r="E183" t="s">
        <v>395</v>
      </c>
      <c r="F183" t="s">
        <v>396</v>
      </c>
      <c r="G183" t="s">
        <v>397</v>
      </c>
      <c r="H183" t="s">
        <v>398</v>
      </c>
      <c r="I183" t="s">
        <v>399</v>
      </c>
      <c r="J183" t="s">
        <v>400</v>
      </c>
      <c r="K183" t="s">
        <v>484</v>
      </c>
      <c r="L183" t="s">
        <v>485</v>
      </c>
      <c r="M183" t="s">
        <v>403</v>
      </c>
      <c r="N183">
        <v>1</v>
      </c>
      <c r="O183">
        <v>1</v>
      </c>
      <c r="P183" t="s">
        <v>1231</v>
      </c>
      <c r="Q183" t="s">
        <v>430</v>
      </c>
      <c r="R183" t="s">
        <v>493</v>
      </c>
      <c r="S183" t="s">
        <v>1232</v>
      </c>
      <c r="T183" t="s">
        <v>408</v>
      </c>
      <c r="U183">
        <v>50950080875</v>
      </c>
      <c r="V183" t="s">
        <v>1233</v>
      </c>
      <c r="W183">
        <v>38880</v>
      </c>
      <c r="X183" t="s">
        <v>409</v>
      </c>
      <c r="Y183" t="s">
        <v>410</v>
      </c>
      <c r="Z183" t="s">
        <v>410</v>
      </c>
      <c r="AA183" t="s">
        <v>411</v>
      </c>
      <c r="AB183" t="s">
        <v>412</v>
      </c>
      <c r="AC183" t="s">
        <v>411</v>
      </c>
      <c r="AD183">
        <v>46090</v>
      </c>
      <c r="AE183">
        <v>46146</v>
      </c>
      <c r="AF183">
        <v>46097</v>
      </c>
      <c r="AG183" t="s">
        <v>489</v>
      </c>
      <c r="AH183">
        <v>6133915</v>
      </c>
      <c r="AI183">
        <v>46090</v>
      </c>
      <c r="AJ183">
        <v>46090</v>
      </c>
      <c r="AK183">
        <v>38880</v>
      </c>
      <c r="AL183" t="s">
        <v>396</v>
      </c>
      <c r="AM183" t="s">
        <v>1234</v>
      </c>
      <c r="AN183">
        <v>46090</v>
      </c>
      <c r="AO183">
        <v>46090.610717592594</v>
      </c>
      <c r="AP183" t="s">
        <v>51</v>
      </c>
      <c r="AQ183">
        <v>0.25466</v>
      </c>
      <c r="AR183">
        <v>9901.18</v>
      </c>
      <c r="AS183" t="s">
        <v>51</v>
      </c>
      <c r="AT183">
        <v>9901.18</v>
      </c>
      <c r="AU183" t="s">
        <v>415</v>
      </c>
      <c r="AV183" t="s">
        <v>772</v>
      </c>
      <c r="AW183" t="s">
        <v>1187</v>
      </c>
      <c r="AX183">
        <v>46100</v>
      </c>
      <c r="AY183">
        <v>46149</v>
      </c>
      <c r="AZ183" t="s">
        <v>1188</v>
      </c>
      <c r="BA183" t="s">
        <v>419</v>
      </c>
      <c r="BB183" t="s">
        <v>1189</v>
      </c>
      <c r="BE183">
        <v>0</v>
      </c>
      <c r="BF183">
        <v>0</v>
      </c>
      <c r="BM183">
        <v>0</v>
      </c>
      <c r="BN183">
        <v>0</v>
      </c>
      <c r="BO183">
        <v>50</v>
      </c>
      <c r="CG183" t="s">
        <v>421</v>
      </c>
      <c r="CN183" t="str">
        <v>M01</v>
      </c>
      <c r="CO183" t="str">
        <v>1999-1010399E1</v>
      </c>
      <c r="CP183" t="str">
        <v>CSNU7139997</v>
      </c>
      <c r="CQ183" s="23">
        <v>417.88</v>
      </c>
      <c r="CR183" s="25">
        <f t="shared" si="8"/>
        <v>2.4655408359141043E-2</v>
      </c>
      <c r="CS183" s="21">
        <f t="shared" si="9"/>
        <v>61.638520897852608</v>
      </c>
    </row>
    <row r="184" spans="2:97" x14ac:dyDescent="0.35">
      <c r="B184" t="s">
        <v>296</v>
      </c>
      <c r="C184" t="s">
        <v>1235</v>
      </c>
      <c r="D184" t="s">
        <v>395</v>
      </c>
      <c r="E184" t="s">
        <v>395</v>
      </c>
      <c r="F184" t="s">
        <v>396</v>
      </c>
      <c r="G184" t="s">
        <v>397</v>
      </c>
      <c r="H184" t="s">
        <v>398</v>
      </c>
      <c r="I184" t="s">
        <v>399</v>
      </c>
      <c r="J184" t="s">
        <v>400</v>
      </c>
      <c r="K184" t="s">
        <v>484</v>
      </c>
      <c r="L184" t="s">
        <v>485</v>
      </c>
      <c r="M184" t="s">
        <v>403</v>
      </c>
      <c r="N184">
        <v>1</v>
      </c>
      <c r="O184">
        <v>1</v>
      </c>
      <c r="P184" t="s">
        <v>1236</v>
      </c>
      <c r="Q184" t="s">
        <v>424</v>
      </c>
      <c r="R184" t="s">
        <v>1237</v>
      </c>
      <c r="S184" t="s">
        <v>1238</v>
      </c>
      <c r="T184" t="s">
        <v>408</v>
      </c>
      <c r="U184">
        <v>50950080932</v>
      </c>
      <c r="W184">
        <v>1986.04</v>
      </c>
      <c r="X184" t="s">
        <v>409</v>
      </c>
      <c r="Y184" t="s">
        <v>410</v>
      </c>
      <c r="Z184" t="s">
        <v>410</v>
      </c>
      <c r="AA184" t="s">
        <v>411</v>
      </c>
      <c r="AB184" t="s">
        <v>412</v>
      </c>
      <c r="AC184" t="s">
        <v>411</v>
      </c>
      <c r="AD184">
        <v>46090</v>
      </c>
      <c r="AE184">
        <v>46139</v>
      </c>
      <c r="AF184">
        <v>46097</v>
      </c>
      <c r="AG184" t="s">
        <v>489</v>
      </c>
      <c r="AH184">
        <v>6133913</v>
      </c>
      <c r="AI184">
        <v>46090</v>
      </c>
      <c r="AJ184">
        <v>46090</v>
      </c>
      <c r="AK184">
        <v>1986.04</v>
      </c>
      <c r="AL184" t="s">
        <v>396</v>
      </c>
      <c r="AM184" t="s">
        <v>1239</v>
      </c>
      <c r="AN184">
        <v>46090</v>
      </c>
      <c r="AO184">
        <v>46090.610717592594</v>
      </c>
      <c r="AP184" t="s">
        <v>51</v>
      </c>
      <c r="AQ184">
        <v>7.3144900000000002</v>
      </c>
      <c r="AR184">
        <v>14526.87</v>
      </c>
      <c r="AS184" t="s">
        <v>51</v>
      </c>
      <c r="AT184">
        <v>14526.87</v>
      </c>
      <c r="AU184" t="s">
        <v>415</v>
      </c>
      <c r="AV184" t="s">
        <v>772</v>
      </c>
      <c r="AW184" t="s">
        <v>1187</v>
      </c>
      <c r="AX184">
        <v>46100</v>
      </c>
      <c r="AY184">
        <v>46149</v>
      </c>
      <c r="AZ184" t="s">
        <v>1188</v>
      </c>
      <c r="BA184" t="s">
        <v>419</v>
      </c>
      <c r="BB184" t="s">
        <v>1189</v>
      </c>
      <c r="BO184" s="23">
        <f t="shared" ref="BO184:BO185" si="10">AR184/AQ184</f>
        <v>1986.0400383348669</v>
      </c>
      <c r="CG184" t="s">
        <v>421</v>
      </c>
      <c r="CN184" t="str">
        <v>M01</v>
      </c>
      <c r="CO184" t="str">
        <v>1999-1010399E1</v>
      </c>
      <c r="CP184" t="str">
        <v>CSNU7139997</v>
      </c>
      <c r="CQ184" s="23">
        <v>417.88</v>
      </c>
      <c r="CR184" s="25">
        <f t="shared" si="8"/>
        <v>2.4655408359141043E-2</v>
      </c>
      <c r="CS184" s="21">
        <f t="shared" si="9"/>
        <v>61.638520897852608</v>
      </c>
    </row>
    <row r="185" spans="2:97" x14ac:dyDescent="0.35">
      <c r="B185" t="s">
        <v>296</v>
      </c>
      <c r="C185" t="s">
        <v>1240</v>
      </c>
      <c r="D185" t="s">
        <v>395</v>
      </c>
      <c r="E185" t="s">
        <v>395</v>
      </c>
      <c r="F185" t="s">
        <v>396</v>
      </c>
      <c r="G185" t="s">
        <v>397</v>
      </c>
      <c r="H185" t="s">
        <v>398</v>
      </c>
      <c r="I185" t="s">
        <v>399</v>
      </c>
      <c r="J185" t="s">
        <v>400</v>
      </c>
      <c r="K185" t="s">
        <v>484</v>
      </c>
      <c r="L185" t="s">
        <v>485</v>
      </c>
      <c r="M185" t="s">
        <v>403</v>
      </c>
      <c r="N185">
        <v>1</v>
      </c>
      <c r="O185">
        <v>1</v>
      </c>
      <c r="P185" t="s">
        <v>1241</v>
      </c>
      <c r="Q185" t="s">
        <v>424</v>
      </c>
      <c r="R185" t="s">
        <v>1242</v>
      </c>
      <c r="S185" t="s">
        <v>1243</v>
      </c>
      <c r="T185" t="s">
        <v>408</v>
      </c>
      <c r="U185">
        <v>50950080961</v>
      </c>
      <c r="W185">
        <v>20</v>
      </c>
      <c r="X185" t="s">
        <v>409</v>
      </c>
      <c r="Y185" t="s">
        <v>410</v>
      </c>
      <c r="Z185" t="s">
        <v>410</v>
      </c>
      <c r="AA185" t="s">
        <v>411</v>
      </c>
      <c r="AB185" t="s">
        <v>412</v>
      </c>
      <c r="AC185" t="s">
        <v>411</v>
      </c>
      <c r="AD185">
        <v>46092</v>
      </c>
      <c r="AE185">
        <v>46146</v>
      </c>
      <c r="AF185">
        <v>46097</v>
      </c>
      <c r="AG185" t="s">
        <v>489</v>
      </c>
      <c r="AH185">
        <v>6133916</v>
      </c>
      <c r="AI185">
        <v>46090</v>
      </c>
      <c r="AJ185">
        <v>46090</v>
      </c>
      <c r="AK185">
        <v>20</v>
      </c>
      <c r="AL185" t="s">
        <v>396</v>
      </c>
      <c r="AM185" t="s">
        <v>1244</v>
      </c>
      <c r="AN185">
        <v>46090</v>
      </c>
      <c r="AO185">
        <v>46090.610717592594</v>
      </c>
      <c r="AP185" t="s">
        <v>51</v>
      </c>
      <c r="AQ185">
        <v>107.39230999999999</v>
      </c>
      <c r="AR185">
        <v>2147.85</v>
      </c>
      <c r="AS185" t="s">
        <v>51</v>
      </c>
      <c r="AT185">
        <v>2147.85</v>
      </c>
      <c r="AU185" t="s">
        <v>415</v>
      </c>
      <c r="AV185" t="s">
        <v>772</v>
      </c>
      <c r="AW185" t="s">
        <v>1187</v>
      </c>
      <c r="AX185">
        <v>46100</v>
      </c>
      <c r="AY185">
        <v>46149</v>
      </c>
      <c r="AZ185" t="s">
        <v>1188</v>
      </c>
      <c r="BA185" t="s">
        <v>419</v>
      </c>
      <c r="BB185" t="s">
        <v>1189</v>
      </c>
      <c r="BO185" s="23">
        <f t="shared" si="10"/>
        <v>20.000035384284033</v>
      </c>
      <c r="CG185" t="s">
        <v>421</v>
      </c>
      <c r="CN185" t="str">
        <v>M01</v>
      </c>
      <c r="CO185" t="str">
        <v>1200-1030990EN0002</v>
      </c>
      <c r="CP185" t="str">
        <v>CSNU7139997</v>
      </c>
      <c r="CQ185" s="23">
        <v>576.17280000000005</v>
      </c>
      <c r="CR185" s="25">
        <f t="shared" si="8"/>
        <v>3.3994868549415386E-2</v>
      </c>
      <c r="CS185" s="21">
        <f t="shared" si="9"/>
        <v>84.987171373538459</v>
      </c>
    </row>
    <row r="186" spans="2:97" x14ac:dyDescent="0.35">
      <c r="B186" t="s">
        <v>296</v>
      </c>
      <c r="C186" t="s">
        <v>1245</v>
      </c>
      <c r="D186" t="s">
        <v>395</v>
      </c>
      <c r="E186" t="s">
        <v>395</v>
      </c>
      <c r="F186" t="s">
        <v>396</v>
      </c>
      <c r="G186" t="s">
        <v>397</v>
      </c>
      <c r="H186" t="s">
        <v>398</v>
      </c>
      <c r="I186" t="s">
        <v>399</v>
      </c>
      <c r="J186" t="s">
        <v>400</v>
      </c>
      <c r="K186" t="s">
        <v>484</v>
      </c>
      <c r="L186" t="s">
        <v>485</v>
      </c>
      <c r="M186" t="s">
        <v>403</v>
      </c>
      <c r="N186">
        <v>1</v>
      </c>
      <c r="O186">
        <v>1</v>
      </c>
      <c r="P186" t="s">
        <v>1246</v>
      </c>
      <c r="Q186" t="s">
        <v>424</v>
      </c>
      <c r="R186" t="s">
        <v>1247</v>
      </c>
      <c r="S186" t="s">
        <v>1196</v>
      </c>
      <c r="T186" t="s">
        <v>408</v>
      </c>
      <c r="U186">
        <v>50950080962</v>
      </c>
      <c r="W186">
        <v>180000</v>
      </c>
      <c r="X186" t="s">
        <v>409</v>
      </c>
      <c r="Y186" t="s">
        <v>410</v>
      </c>
      <c r="Z186" t="s">
        <v>410</v>
      </c>
      <c r="AA186" t="s">
        <v>411</v>
      </c>
      <c r="AB186" t="s">
        <v>412</v>
      </c>
      <c r="AC186" t="s">
        <v>411</v>
      </c>
      <c r="AD186">
        <v>46090</v>
      </c>
      <c r="AE186">
        <v>46139</v>
      </c>
      <c r="AF186">
        <v>46097</v>
      </c>
      <c r="AG186" t="s">
        <v>489</v>
      </c>
      <c r="AH186">
        <v>6133911</v>
      </c>
      <c r="AI186">
        <v>46090</v>
      </c>
      <c r="AJ186">
        <v>46090</v>
      </c>
      <c r="AK186">
        <v>180000</v>
      </c>
      <c r="AL186" t="s">
        <v>396</v>
      </c>
      <c r="AM186" t="s">
        <v>1248</v>
      </c>
      <c r="AN186">
        <v>46090</v>
      </c>
      <c r="AO186">
        <v>46090.610717592594</v>
      </c>
      <c r="AP186" t="s">
        <v>51</v>
      </c>
      <c r="AQ186">
        <v>2.7150000000000001E-2</v>
      </c>
      <c r="AR186">
        <v>4887</v>
      </c>
      <c r="AS186" t="s">
        <v>51</v>
      </c>
      <c r="AT186">
        <v>4887</v>
      </c>
      <c r="AU186" t="s">
        <v>415</v>
      </c>
      <c r="AV186" t="s">
        <v>772</v>
      </c>
      <c r="AW186" t="s">
        <v>1187</v>
      </c>
      <c r="AX186">
        <v>46100</v>
      </c>
      <c r="AY186">
        <v>46149</v>
      </c>
      <c r="AZ186" t="s">
        <v>1188</v>
      </c>
      <c r="BA186" t="s">
        <v>419</v>
      </c>
      <c r="BB186" t="s">
        <v>1189</v>
      </c>
      <c r="BE186">
        <v>0</v>
      </c>
      <c r="BF186">
        <v>0</v>
      </c>
      <c r="BM186">
        <v>0</v>
      </c>
      <c r="BN186">
        <v>0</v>
      </c>
      <c r="BO186">
        <v>0.1</v>
      </c>
      <c r="CG186" t="s">
        <v>421</v>
      </c>
      <c r="CN186" t="str">
        <v>M19</v>
      </c>
      <c r="CO186" t="str">
        <v>1275-5YY0783EN</v>
      </c>
      <c r="CP186" t="str">
        <v>CSNU7139997</v>
      </c>
      <c r="CQ186" s="23">
        <v>594.9384</v>
      </c>
      <c r="CR186" s="25">
        <f t="shared" si="8"/>
        <v>3.5102060879999036E-2</v>
      </c>
      <c r="CS186" s="21">
        <f t="shared" si="9"/>
        <v>87.755152199997596</v>
      </c>
    </row>
    <row r="187" spans="2:97" x14ac:dyDescent="0.35">
      <c r="B187" t="s">
        <v>296</v>
      </c>
      <c r="C187" t="s">
        <v>1249</v>
      </c>
      <c r="D187" t="s">
        <v>395</v>
      </c>
      <c r="E187" t="s">
        <v>395</v>
      </c>
      <c r="F187" t="s">
        <v>396</v>
      </c>
      <c r="G187" t="s">
        <v>397</v>
      </c>
      <c r="H187" t="s">
        <v>398</v>
      </c>
      <c r="I187" t="s">
        <v>399</v>
      </c>
      <c r="J187" t="s">
        <v>400</v>
      </c>
      <c r="K187" t="s">
        <v>484</v>
      </c>
      <c r="L187" t="s">
        <v>485</v>
      </c>
      <c r="M187" t="s">
        <v>403</v>
      </c>
      <c r="N187">
        <v>1</v>
      </c>
      <c r="O187">
        <v>1</v>
      </c>
      <c r="P187" t="s">
        <v>1250</v>
      </c>
      <c r="Q187" t="s">
        <v>424</v>
      </c>
      <c r="R187" t="s">
        <v>511</v>
      </c>
      <c r="S187" t="s">
        <v>1238</v>
      </c>
      <c r="T187" t="s">
        <v>408</v>
      </c>
      <c r="U187">
        <v>50950081427</v>
      </c>
      <c r="W187">
        <v>3652.33</v>
      </c>
      <c r="X187" t="s">
        <v>409</v>
      </c>
      <c r="Y187" t="s">
        <v>410</v>
      </c>
      <c r="Z187" t="s">
        <v>410</v>
      </c>
      <c r="AA187" t="s">
        <v>411</v>
      </c>
      <c r="AB187" t="s">
        <v>412</v>
      </c>
      <c r="AC187" t="s">
        <v>411</v>
      </c>
      <c r="AD187">
        <v>46090</v>
      </c>
      <c r="AE187">
        <v>46146</v>
      </c>
      <c r="AF187">
        <v>46097</v>
      </c>
      <c r="AG187" t="s">
        <v>489</v>
      </c>
      <c r="AH187">
        <v>6133912</v>
      </c>
      <c r="AI187">
        <v>46090</v>
      </c>
      <c r="AJ187">
        <v>46090</v>
      </c>
      <c r="AK187">
        <v>3652.33</v>
      </c>
      <c r="AL187" t="s">
        <v>396</v>
      </c>
      <c r="AM187" t="s">
        <v>1251</v>
      </c>
      <c r="AN187">
        <v>46090</v>
      </c>
      <c r="AO187">
        <v>46090.610717592594</v>
      </c>
      <c r="AP187" t="s">
        <v>51</v>
      </c>
      <c r="AQ187">
        <v>6.5055100000000001</v>
      </c>
      <c r="AR187">
        <v>23760.27</v>
      </c>
      <c r="AS187" t="s">
        <v>51</v>
      </c>
      <c r="AT187">
        <v>23760.27</v>
      </c>
      <c r="AU187" t="s">
        <v>415</v>
      </c>
      <c r="AV187" t="s">
        <v>772</v>
      </c>
      <c r="AW187" t="s">
        <v>1187</v>
      </c>
      <c r="AX187">
        <v>46100</v>
      </c>
      <c r="AY187">
        <v>46149</v>
      </c>
      <c r="AZ187" t="s">
        <v>1188</v>
      </c>
      <c r="BA187" t="s">
        <v>419</v>
      </c>
      <c r="BB187" t="s">
        <v>1189</v>
      </c>
      <c r="BO187" s="23">
        <f>AR187/AQ187</f>
        <v>3652.3301017137778</v>
      </c>
      <c r="CG187" t="s">
        <v>421</v>
      </c>
      <c r="CN187" t="str">
        <v>M19</v>
      </c>
      <c r="CO187" t="str">
        <v>1275-5YY0687EN</v>
      </c>
      <c r="CP187" t="str">
        <v>CSNU7139997</v>
      </c>
      <c r="CQ187" s="23">
        <v>648.64319999999998</v>
      </c>
      <c r="CR187" s="25">
        <f t="shared" si="8"/>
        <v>3.8270706842586377E-2</v>
      </c>
      <c r="CS187" s="21">
        <f t="shared" si="9"/>
        <v>95.676767106465945</v>
      </c>
    </row>
    <row r="188" spans="2:97" x14ac:dyDescent="0.35">
      <c r="B188" t="s">
        <v>297</v>
      </c>
      <c r="C188" t="s">
        <v>1252</v>
      </c>
      <c r="D188" t="s">
        <v>395</v>
      </c>
      <c r="E188" t="s">
        <v>395</v>
      </c>
      <c r="F188" t="s">
        <v>396</v>
      </c>
      <c r="G188" t="s">
        <v>397</v>
      </c>
      <c r="H188" t="s">
        <v>398</v>
      </c>
      <c r="I188" t="s">
        <v>399</v>
      </c>
      <c r="J188" t="s">
        <v>400</v>
      </c>
      <c r="K188" t="s">
        <v>401</v>
      </c>
      <c r="L188" t="s">
        <v>1253</v>
      </c>
      <c r="M188" t="s">
        <v>403</v>
      </c>
      <c r="N188">
        <v>2</v>
      </c>
      <c r="O188">
        <v>1</v>
      </c>
      <c r="P188" t="s">
        <v>438</v>
      </c>
      <c r="Q188" t="s">
        <v>424</v>
      </c>
      <c r="R188" t="s">
        <v>439</v>
      </c>
      <c r="S188" t="s">
        <v>440</v>
      </c>
      <c r="T188" t="s">
        <v>408</v>
      </c>
      <c r="U188">
        <v>50950081596</v>
      </c>
      <c r="W188">
        <v>92800</v>
      </c>
      <c r="X188" t="s">
        <v>409</v>
      </c>
      <c r="Y188" t="s">
        <v>410</v>
      </c>
      <c r="Z188" t="s">
        <v>410</v>
      </c>
      <c r="AA188" t="s">
        <v>411</v>
      </c>
      <c r="AB188" t="s">
        <v>412</v>
      </c>
      <c r="AC188" t="s">
        <v>411</v>
      </c>
      <c r="AD188">
        <v>46090</v>
      </c>
      <c r="AE188">
        <v>46132</v>
      </c>
      <c r="AF188">
        <v>46097</v>
      </c>
      <c r="AG188" t="s">
        <v>413</v>
      </c>
      <c r="AH188">
        <v>6133900</v>
      </c>
      <c r="AI188">
        <v>46090</v>
      </c>
      <c r="AJ188">
        <v>46090</v>
      </c>
      <c r="AK188">
        <v>92800</v>
      </c>
      <c r="AL188" t="s">
        <v>396</v>
      </c>
      <c r="AM188" t="s">
        <v>1254</v>
      </c>
      <c r="AN188">
        <v>46090</v>
      </c>
      <c r="AO188">
        <v>46090.610717592594</v>
      </c>
      <c r="AP188" t="s">
        <v>51</v>
      </c>
      <c r="AQ188">
        <v>2.512E-2</v>
      </c>
      <c r="AR188">
        <v>2331.14</v>
      </c>
      <c r="AS188" t="s">
        <v>51</v>
      </c>
      <c r="AT188">
        <v>2331.14</v>
      </c>
      <c r="AU188" t="s">
        <v>415</v>
      </c>
      <c r="AV188" t="s">
        <v>772</v>
      </c>
      <c r="AW188" t="s">
        <v>1187</v>
      </c>
      <c r="AX188">
        <v>46100</v>
      </c>
      <c r="AY188">
        <v>46149</v>
      </c>
      <c r="AZ188" t="s">
        <v>1188</v>
      </c>
      <c r="BA188" t="s">
        <v>419</v>
      </c>
      <c r="BB188" t="s">
        <v>1189</v>
      </c>
      <c r="BE188">
        <v>0</v>
      </c>
      <c r="BF188">
        <v>0</v>
      </c>
      <c r="BM188">
        <v>0</v>
      </c>
      <c r="BN188">
        <v>0</v>
      </c>
      <c r="BO188">
        <v>4000</v>
      </c>
      <c r="CG188" t="s">
        <v>421</v>
      </c>
      <c r="CN188" t="str">
        <v>M23</v>
      </c>
      <c r="CO188" t="str">
        <v>1301-1120169EN</v>
      </c>
      <c r="CP188" t="str">
        <v>CSNU7139997</v>
      </c>
      <c r="CQ188" s="23">
        <v>323.10719999999998</v>
      </c>
      <c r="CR188" s="25">
        <f t="shared" si="8"/>
        <v>1.9063702402073938E-2</v>
      </c>
      <c r="CS188" s="21">
        <f t="shared" si="9"/>
        <v>47.659256005184844</v>
      </c>
    </row>
    <row r="189" spans="2:97" x14ac:dyDescent="0.35">
      <c r="B189" t="s">
        <v>296</v>
      </c>
      <c r="C189" t="s">
        <v>1255</v>
      </c>
      <c r="D189" t="s">
        <v>395</v>
      </c>
      <c r="E189" t="s">
        <v>395</v>
      </c>
      <c r="F189" t="s">
        <v>396</v>
      </c>
      <c r="G189" t="s">
        <v>397</v>
      </c>
      <c r="H189" t="s">
        <v>398</v>
      </c>
      <c r="I189" t="s">
        <v>399</v>
      </c>
      <c r="J189" t="s">
        <v>400</v>
      </c>
      <c r="K189" t="s">
        <v>515</v>
      </c>
      <c r="L189" t="s">
        <v>472</v>
      </c>
      <c r="M189" t="s">
        <v>403</v>
      </c>
      <c r="N189">
        <v>1</v>
      </c>
      <c r="O189">
        <v>1</v>
      </c>
      <c r="P189" t="s">
        <v>516</v>
      </c>
      <c r="Q189" t="s">
        <v>430</v>
      </c>
      <c r="R189" t="s">
        <v>517</v>
      </c>
      <c r="S189" t="s">
        <v>518</v>
      </c>
      <c r="T189" t="s">
        <v>408</v>
      </c>
      <c r="U189">
        <v>50950078735</v>
      </c>
      <c r="W189">
        <v>76800</v>
      </c>
      <c r="X189" t="s">
        <v>409</v>
      </c>
      <c r="Y189" t="s">
        <v>410</v>
      </c>
      <c r="Z189" t="s">
        <v>410</v>
      </c>
      <c r="AA189" t="s">
        <v>411</v>
      </c>
      <c r="AB189" t="s">
        <v>412</v>
      </c>
      <c r="AC189" t="s">
        <v>411</v>
      </c>
      <c r="AD189">
        <v>46090</v>
      </c>
      <c r="AE189">
        <v>46146</v>
      </c>
      <c r="AF189">
        <v>46097</v>
      </c>
      <c r="AG189" t="s">
        <v>519</v>
      </c>
      <c r="AH189">
        <v>6133513</v>
      </c>
      <c r="AI189">
        <v>46090</v>
      </c>
      <c r="AJ189">
        <v>46091</v>
      </c>
      <c r="AK189">
        <v>76800</v>
      </c>
      <c r="AL189" t="s">
        <v>396</v>
      </c>
      <c r="AM189" t="s">
        <v>1256</v>
      </c>
      <c r="AN189">
        <v>46091</v>
      </c>
      <c r="AO189">
        <v>46091.363333333335</v>
      </c>
      <c r="AP189" t="s">
        <v>51</v>
      </c>
      <c r="AQ189">
        <v>8.8459999999999997E-2</v>
      </c>
      <c r="AR189">
        <v>6793.73</v>
      </c>
      <c r="AS189" t="s">
        <v>51</v>
      </c>
      <c r="AT189">
        <v>6793.73</v>
      </c>
      <c r="AU189" t="s">
        <v>415</v>
      </c>
      <c r="AV189" t="s">
        <v>772</v>
      </c>
      <c r="AW189" t="s">
        <v>1187</v>
      </c>
      <c r="AX189">
        <v>46100</v>
      </c>
      <c r="AY189">
        <v>46149</v>
      </c>
      <c r="AZ189" t="s">
        <v>1188</v>
      </c>
      <c r="BA189" t="s">
        <v>419</v>
      </c>
      <c r="BB189" t="s">
        <v>1189</v>
      </c>
      <c r="BC189">
        <v>3200</v>
      </c>
      <c r="BD189" t="s">
        <v>521</v>
      </c>
      <c r="BE189">
        <v>5.4577999999999998</v>
      </c>
      <c r="BF189">
        <v>4.7328000000000001</v>
      </c>
      <c r="BG189" t="s">
        <v>522</v>
      </c>
      <c r="BH189">
        <v>395</v>
      </c>
      <c r="BI189">
        <v>295</v>
      </c>
      <c r="BJ189">
        <v>120</v>
      </c>
      <c r="BK189">
        <v>8</v>
      </c>
      <c r="BL189" t="s">
        <v>521</v>
      </c>
      <c r="BM189">
        <v>51.662399999999998</v>
      </c>
      <c r="BN189">
        <v>37.862400000000001</v>
      </c>
      <c r="BO189">
        <v>154.9872</v>
      </c>
      <c r="BP189" t="s">
        <v>522</v>
      </c>
      <c r="BQ189">
        <v>800</v>
      </c>
      <c r="BR189">
        <v>300</v>
      </c>
      <c r="BS189">
        <v>608</v>
      </c>
      <c r="BT189">
        <v>3</v>
      </c>
      <c r="BU189">
        <v>0</v>
      </c>
      <c r="BV189">
        <v>3</v>
      </c>
      <c r="BW189">
        <v>24</v>
      </c>
      <c r="BX189">
        <v>0</v>
      </c>
      <c r="BY189">
        <v>24</v>
      </c>
      <c r="BZ189">
        <v>76800</v>
      </c>
      <c r="CA189">
        <v>0</v>
      </c>
      <c r="CB189">
        <v>76800</v>
      </c>
      <c r="CC189">
        <v>113.5872</v>
      </c>
      <c r="CD189" t="s">
        <v>523</v>
      </c>
      <c r="CE189" t="s">
        <v>524</v>
      </c>
      <c r="CG189" t="s">
        <v>421</v>
      </c>
      <c r="CN189" t="str">
        <v>M45</v>
      </c>
      <c r="CO189" t="str">
        <v>1301-12C0022EN</v>
      </c>
      <c r="CP189" t="str">
        <v>CSNU7139997</v>
      </c>
      <c r="CQ189" s="23">
        <v>307.80799999999999</v>
      </c>
      <c r="CR189" s="25">
        <f t="shared" si="8"/>
        <v>1.8161031722529163E-2</v>
      </c>
      <c r="CS189" s="21">
        <f t="shared" si="9"/>
        <v>45.402579306322906</v>
      </c>
    </row>
    <row r="190" spans="2:97" x14ac:dyDescent="0.35">
      <c r="B190" t="s">
        <v>296</v>
      </c>
      <c r="C190" t="s">
        <v>1257</v>
      </c>
      <c r="D190" t="s">
        <v>395</v>
      </c>
      <c r="E190" t="s">
        <v>395</v>
      </c>
      <c r="F190" t="s">
        <v>396</v>
      </c>
      <c r="G190" t="s">
        <v>397</v>
      </c>
      <c r="H190" t="s">
        <v>398</v>
      </c>
      <c r="I190" t="s">
        <v>399</v>
      </c>
      <c r="J190" t="s">
        <v>400</v>
      </c>
      <c r="K190" t="s">
        <v>484</v>
      </c>
      <c r="L190" t="s">
        <v>497</v>
      </c>
      <c r="M190" t="s">
        <v>403</v>
      </c>
      <c r="N190">
        <v>1</v>
      </c>
      <c r="O190">
        <v>1</v>
      </c>
      <c r="P190" t="s">
        <v>1258</v>
      </c>
      <c r="Q190" t="s">
        <v>424</v>
      </c>
      <c r="R190" t="s">
        <v>1259</v>
      </c>
      <c r="S190" t="s">
        <v>1260</v>
      </c>
      <c r="T190" t="s">
        <v>408</v>
      </c>
      <c r="U190">
        <v>50950064395</v>
      </c>
      <c r="W190">
        <v>44500</v>
      </c>
      <c r="X190" t="s">
        <v>409</v>
      </c>
      <c r="Y190" t="s">
        <v>410</v>
      </c>
      <c r="Z190" t="s">
        <v>410</v>
      </c>
      <c r="AA190" t="s">
        <v>411</v>
      </c>
      <c r="AB190" t="s">
        <v>412</v>
      </c>
      <c r="AC190" t="s">
        <v>411</v>
      </c>
      <c r="AD190">
        <v>46090</v>
      </c>
      <c r="AE190">
        <v>45803</v>
      </c>
      <c r="AF190">
        <v>46097</v>
      </c>
      <c r="AG190" t="s">
        <v>489</v>
      </c>
      <c r="AH190">
        <v>6135246</v>
      </c>
      <c r="AI190">
        <v>46091</v>
      </c>
      <c r="AJ190">
        <v>46091</v>
      </c>
      <c r="AK190">
        <v>44500</v>
      </c>
      <c r="AL190" t="s">
        <v>396</v>
      </c>
      <c r="AM190" t="s">
        <v>1261</v>
      </c>
      <c r="AN190">
        <v>46091</v>
      </c>
      <c r="AO190">
        <v>46091.397789351853</v>
      </c>
      <c r="AP190" t="s">
        <v>51</v>
      </c>
      <c r="AQ190">
        <v>1.52501</v>
      </c>
      <c r="AR190">
        <v>67862.95</v>
      </c>
      <c r="AS190" t="s">
        <v>51</v>
      </c>
      <c r="AT190">
        <v>67862.95</v>
      </c>
      <c r="AU190" t="s">
        <v>415</v>
      </c>
      <c r="AV190" t="s">
        <v>772</v>
      </c>
      <c r="AW190" t="s">
        <v>1187</v>
      </c>
      <c r="AX190">
        <v>46100</v>
      </c>
      <c r="AY190">
        <v>46149</v>
      </c>
      <c r="AZ190" t="s">
        <v>1188</v>
      </c>
      <c r="BA190" t="s">
        <v>419</v>
      </c>
      <c r="BB190" t="s">
        <v>1189</v>
      </c>
      <c r="BE190">
        <v>0</v>
      </c>
      <c r="BF190">
        <v>0</v>
      </c>
      <c r="BM190">
        <v>0</v>
      </c>
      <c r="BN190">
        <v>0</v>
      </c>
      <c r="BO190">
        <v>50</v>
      </c>
      <c r="CG190" t="s">
        <v>421</v>
      </c>
      <c r="CN190" t="str">
        <v>M19</v>
      </c>
      <c r="CO190" t="str">
        <v>1271-5YY0099EN</v>
      </c>
      <c r="CP190" t="str">
        <v>CSNU7139997</v>
      </c>
      <c r="CQ190" s="23">
        <v>1177.096</v>
      </c>
      <c r="CR190" s="25">
        <f t="shared" si="8"/>
        <v>6.9450039623603632E-2</v>
      </c>
      <c r="CS190" s="21">
        <f t="shared" si="9"/>
        <v>173.62509905900907</v>
      </c>
    </row>
    <row r="191" spans="2:97" x14ac:dyDescent="0.35">
      <c r="B191" t="s">
        <v>296</v>
      </c>
      <c r="C191" t="s">
        <v>1262</v>
      </c>
      <c r="D191" t="s">
        <v>395</v>
      </c>
      <c r="E191" t="s">
        <v>395</v>
      </c>
      <c r="F191" t="s">
        <v>396</v>
      </c>
      <c r="G191" t="s">
        <v>397</v>
      </c>
      <c r="H191" t="s">
        <v>398</v>
      </c>
      <c r="I191" t="s">
        <v>399</v>
      </c>
      <c r="J191" t="s">
        <v>400</v>
      </c>
      <c r="K191" t="s">
        <v>484</v>
      </c>
      <c r="L191" t="s">
        <v>497</v>
      </c>
      <c r="M191" t="s">
        <v>403</v>
      </c>
      <c r="N191">
        <v>2</v>
      </c>
      <c r="O191">
        <v>1</v>
      </c>
      <c r="P191" t="s">
        <v>1263</v>
      </c>
      <c r="Q191" t="s">
        <v>424</v>
      </c>
      <c r="R191" t="s">
        <v>1264</v>
      </c>
      <c r="S191" t="s">
        <v>1265</v>
      </c>
      <c r="T191" t="s">
        <v>408</v>
      </c>
      <c r="U191">
        <v>50950081521</v>
      </c>
      <c r="W191">
        <v>200000</v>
      </c>
      <c r="X191" t="s">
        <v>409</v>
      </c>
      <c r="Y191" t="s">
        <v>410</v>
      </c>
      <c r="Z191" t="s">
        <v>410</v>
      </c>
      <c r="AA191" t="s">
        <v>411</v>
      </c>
      <c r="AB191" t="s">
        <v>412</v>
      </c>
      <c r="AC191" t="s">
        <v>411</v>
      </c>
      <c r="AD191">
        <v>46087</v>
      </c>
      <c r="AE191">
        <v>46146</v>
      </c>
      <c r="AF191">
        <v>46097</v>
      </c>
      <c r="AG191" t="s">
        <v>489</v>
      </c>
      <c r="AH191">
        <v>6135245</v>
      </c>
      <c r="AI191">
        <v>46091</v>
      </c>
      <c r="AJ191">
        <v>46091</v>
      </c>
      <c r="AK191">
        <v>200000</v>
      </c>
      <c r="AL191" t="s">
        <v>396</v>
      </c>
      <c r="AM191" t="s">
        <v>1266</v>
      </c>
      <c r="AN191">
        <v>46091</v>
      </c>
      <c r="AO191">
        <v>46091.397789351853</v>
      </c>
      <c r="AP191" t="s">
        <v>51</v>
      </c>
      <c r="AQ191">
        <v>9.4699999999999993E-3</v>
      </c>
      <c r="AR191">
        <v>1894</v>
      </c>
      <c r="AS191" t="s">
        <v>51</v>
      </c>
      <c r="AT191">
        <v>1894</v>
      </c>
      <c r="AU191" t="s">
        <v>415</v>
      </c>
      <c r="AV191" t="s">
        <v>772</v>
      </c>
      <c r="AW191" t="s">
        <v>1187</v>
      </c>
      <c r="AX191">
        <v>46100</v>
      </c>
      <c r="AY191">
        <v>46149</v>
      </c>
      <c r="AZ191" t="s">
        <v>1188</v>
      </c>
      <c r="BA191" t="s">
        <v>419</v>
      </c>
      <c r="BB191" t="s">
        <v>1189</v>
      </c>
      <c r="BE191">
        <v>0</v>
      </c>
      <c r="BF191">
        <v>0</v>
      </c>
      <c r="BM191">
        <v>0</v>
      </c>
      <c r="BN191">
        <v>0</v>
      </c>
      <c r="BO191">
        <v>0.1</v>
      </c>
      <c r="CG191" t="s">
        <v>421</v>
      </c>
      <c r="CN191" t="str">
        <v>M19</v>
      </c>
      <c r="CO191" t="str">
        <v>1307-5YY0151EN</v>
      </c>
      <c r="CP191" t="str">
        <v>CSNU7139997</v>
      </c>
      <c r="CQ191" s="23">
        <v>976.46342400000003</v>
      </c>
      <c r="CR191" s="25">
        <f t="shared" si="8"/>
        <v>5.7612483168577311E-2</v>
      </c>
      <c r="CS191" s="21">
        <f t="shared" si="9"/>
        <v>144.03120792144327</v>
      </c>
    </row>
    <row r="192" spans="2:97" x14ac:dyDescent="0.35">
      <c r="B192" t="s">
        <v>295</v>
      </c>
      <c r="C192" t="s">
        <v>1267</v>
      </c>
      <c r="D192" t="s">
        <v>575</v>
      </c>
      <c r="E192" t="s">
        <v>395</v>
      </c>
      <c r="F192" t="s">
        <v>396</v>
      </c>
      <c r="G192" t="s">
        <v>397</v>
      </c>
      <c r="H192" t="s">
        <v>398</v>
      </c>
      <c r="I192" t="s">
        <v>399</v>
      </c>
      <c r="J192" t="s">
        <v>400</v>
      </c>
      <c r="K192" t="s">
        <v>566</v>
      </c>
      <c r="L192" t="s">
        <v>1268</v>
      </c>
      <c r="M192" t="s">
        <v>403</v>
      </c>
      <c r="N192">
        <v>1</v>
      </c>
      <c r="O192">
        <v>1</v>
      </c>
      <c r="P192" t="s">
        <v>576</v>
      </c>
      <c r="Q192" t="s">
        <v>424</v>
      </c>
      <c r="R192" t="s">
        <v>577</v>
      </c>
      <c r="S192" t="s">
        <v>578</v>
      </c>
      <c r="T192" t="s">
        <v>408</v>
      </c>
      <c r="U192">
        <v>50950081538</v>
      </c>
      <c r="W192">
        <v>12800</v>
      </c>
      <c r="X192" t="s">
        <v>409</v>
      </c>
      <c r="Y192" t="s">
        <v>410</v>
      </c>
      <c r="Z192" t="s">
        <v>410</v>
      </c>
      <c r="AA192" t="s">
        <v>411</v>
      </c>
      <c r="AB192" t="s">
        <v>412</v>
      </c>
      <c r="AC192" t="s">
        <v>411</v>
      </c>
      <c r="AD192">
        <v>46094</v>
      </c>
      <c r="AE192">
        <v>46118</v>
      </c>
      <c r="AF192">
        <v>46104</v>
      </c>
      <c r="AG192" t="s">
        <v>570</v>
      </c>
      <c r="AH192">
        <v>6137445</v>
      </c>
      <c r="AI192">
        <v>46092</v>
      </c>
      <c r="AJ192">
        <v>46092</v>
      </c>
      <c r="AK192">
        <v>12800</v>
      </c>
      <c r="AL192" t="s">
        <v>396</v>
      </c>
      <c r="AM192" t="s">
        <v>1269</v>
      </c>
      <c r="AN192">
        <v>46092</v>
      </c>
      <c r="AO192">
        <v>46092.75408564815</v>
      </c>
      <c r="AP192" t="s">
        <v>51</v>
      </c>
      <c r="AQ192">
        <v>0.56742999999999999</v>
      </c>
      <c r="AR192">
        <v>7263.1</v>
      </c>
      <c r="AS192" t="s">
        <v>51</v>
      </c>
      <c r="AT192">
        <v>7263.1</v>
      </c>
      <c r="AU192" t="s">
        <v>415</v>
      </c>
      <c r="AV192" t="s">
        <v>772</v>
      </c>
      <c r="AW192" t="s">
        <v>1187</v>
      </c>
      <c r="AX192">
        <v>46100</v>
      </c>
      <c r="AY192">
        <v>46149</v>
      </c>
      <c r="AZ192" t="s">
        <v>1188</v>
      </c>
      <c r="BA192" t="s">
        <v>419</v>
      </c>
      <c r="BB192" t="s">
        <v>1189</v>
      </c>
      <c r="BC192">
        <v>200</v>
      </c>
      <c r="BD192" t="s">
        <v>521</v>
      </c>
      <c r="BE192">
        <v>3.9521000000000002</v>
      </c>
      <c r="BF192">
        <v>2.7250999999999999</v>
      </c>
      <c r="BG192" t="s">
        <v>522</v>
      </c>
      <c r="BH192">
        <v>395</v>
      </c>
      <c r="BI192">
        <v>295</v>
      </c>
      <c r="BJ192">
        <v>200</v>
      </c>
      <c r="BK192">
        <v>32</v>
      </c>
      <c r="BL192" t="s">
        <v>521</v>
      </c>
      <c r="BM192">
        <v>151.46719999999999</v>
      </c>
      <c r="BN192">
        <v>87.203199999999995</v>
      </c>
      <c r="BO192">
        <v>302.93439999999998</v>
      </c>
      <c r="BP192" t="s">
        <v>522</v>
      </c>
      <c r="BQ192">
        <v>1200</v>
      </c>
      <c r="BR192">
        <v>800</v>
      </c>
      <c r="BS192">
        <v>960</v>
      </c>
      <c r="BT192">
        <v>2</v>
      </c>
      <c r="BU192">
        <v>0</v>
      </c>
      <c r="BV192">
        <v>2</v>
      </c>
      <c r="BW192">
        <v>64</v>
      </c>
      <c r="BX192">
        <v>0</v>
      </c>
      <c r="BY192">
        <v>64</v>
      </c>
      <c r="BZ192">
        <v>12800</v>
      </c>
      <c r="CA192">
        <v>0</v>
      </c>
      <c r="CB192">
        <v>12800</v>
      </c>
      <c r="CC192">
        <v>174.40639999999999</v>
      </c>
      <c r="CD192" t="s">
        <v>580</v>
      </c>
      <c r="CE192" t="s">
        <v>581</v>
      </c>
      <c r="CG192" t="s">
        <v>421</v>
      </c>
      <c r="CN192" t="str">
        <v>M19</v>
      </c>
      <c r="CO192" t="str">
        <v>1330-5YY0182EN</v>
      </c>
      <c r="CP192" t="str">
        <v>CSNU7139997</v>
      </c>
      <c r="CQ192" s="23">
        <v>526.90679999999998</v>
      </c>
      <c r="CR192" s="25">
        <f t="shared" si="8"/>
        <v>3.1088116974270743E-2</v>
      </c>
      <c r="CS192" s="21">
        <f t="shared" si="9"/>
        <v>77.720292435676853</v>
      </c>
    </row>
    <row r="193" spans="2:97" x14ac:dyDescent="0.35">
      <c r="B193" t="s">
        <v>299</v>
      </c>
      <c r="C193" t="s">
        <v>1270</v>
      </c>
      <c r="D193" t="s">
        <v>395</v>
      </c>
      <c r="E193" t="s">
        <v>395</v>
      </c>
      <c r="F193" t="s">
        <v>396</v>
      </c>
      <c r="G193" t="s">
        <v>397</v>
      </c>
      <c r="H193" t="s">
        <v>532</v>
      </c>
      <c r="I193" t="s">
        <v>399</v>
      </c>
      <c r="J193" t="s">
        <v>400</v>
      </c>
      <c r="K193" t="s">
        <v>515</v>
      </c>
      <c r="L193" t="s">
        <v>585</v>
      </c>
      <c r="M193" t="s">
        <v>403</v>
      </c>
      <c r="N193">
        <v>1</v>
      </c>
      <c r="O193">
        <v>1</v>
      </c>
      <c r="P193" t="s">
        <v>586</v>
      </c>
      <c r="Q193" t="s">
        <v>587</v>
      </c>
      <c r="R193" t="s">
        <v>588</v>
      </c>
      <c r="S193" t="s">
        <v>589</v>
      </c>
      <c r="T193" t="s">
        <v>408</v>
      </c>
      <c r="U193">
        <v>50950079266</v>
      </c>
      <c r="W193">
        <v>9450</v>
      </c>
      <c r="X193" t="s">
        <v>409</v>
      </c>
      <c r="Y193" t="s">
        <v>410</v>
      </c>
      <c r="Z193" t="s">
        <v>410</v>
      </c>
      <c r="AA193" t="s">
        <v>411</v>
      </c>
      <c r="AB193" t="s">
        <v>554</v>
      </c>
      <c r="AC193" t="s">
        <v>411</v>
      </c>
      <c r="AD193">
        <v>46090</v>
      </c>
      <c r="AE193">
        <v>46146</v>
      </c>
      <c r="AF193">
        <v>46097</v>
      </c>
      <c r="AG193" t="s">
        <v>590</v>
      </c>
      <c r="AH193">
        <v>6141479</v>
      </c>
      <c r="AI193">
        <v>46094</v>
      </c>
      <c r="AJ193">
        <v>46095</v>
      </c>
      <c r="AK193">
        <v>9450</v>
      </c>
      <c r="AL193" t="s">
        <v>396</v>
      </c>
      <c r="AM193" t="s">
        <v>1271</v>
      </c>
      <c r="AN193">
        <v>46095</v>
      </c>
      <c r="AO193">
        <v>46095.601597222223</v>
      </c>
      <c r="AP193" t="s">
        <v>51</v>
      </c>
      <c r="AQ193">
        <v>1.9509799999999999</v>
      </c>
      <c r="AR193">
        <v>18436.740000000002</v>
      </c>
      <c r="AS193" t="s">
        <v>51</v>
      </c>
      <c r="AT193">
        <v>18436.740000000002</v>
      </c>
      <c r="AU193" t="s">
        <v>415</v>
      </c>
      <c r="AV193" t="s">
        <v>557</v>
      </c>
      <c r="AW193" t="s">
        <v>1272</v>
      </c>
      <c r="AX193">
        <v>46099</v>
      </c>
      <c r="AY193">
        <v>46148</v>
      </c>
      <c r="AZ193" t="s">
        <v>1273</v>
      </c>
      <c r="BA193" t="s">
        <v>1274</v>
      </c>
      <c r="BB193" t="s">
        <v>1275</v>
      </c>
      <c r="BC193">
        <v>27</v>
      </c>
      <c r="BD193" t="s">
        <v>521</v>
      </c>
      <c r="BE193">
        <v>2.6560000000000001</v>
      </c>
      <c r="BF193">
        <v>1.623</v>
      </c>
      <c r="BG193" t="s">
        <v>522</v>
      </c>
      <c r="BH193">
        <v>395</v>
      </c>
      <c r="BI193">
        <v>295</v>
      </c>
      <c r="BJ193">
        <v>190</v>
      </c>
      <c r="BK193">
        <v>50</v>
      </c>
      <c r="BL193" t="s">
        <v>521</v>
      </c>
      <c r="BM193">
        <v>159.80000000000001</v>
      </c>
      <c r="BN193">
        <v>81.150000000000006</v>
      </c>
      <c r="BO193">
        <v>1118.5989500000001</v>
      </c>
      <c r="BP193" t="s">
        <v>522</v>
      </c>
      <c r="BQ193">
        <v>1200</v>
      </c>
      <c r="BR193">
        <v>1000</v>
      </c>
      <c r="BS193">
        <v>1110</v>
      </c>
      <c r="BT193">
        <v>7</v>
      </c>
      <c r="BU193">
        <v>0</v>
      </c>
      <c r="BV193">
        <v>7</v>
      </c>
      <c r="BW193">
        <v>350</v>
      </c>
      <c r="BX193">
        <v>0</v>
      </c>
      <c r="BY193">
        <v>350</v>
      </c>
      <c r="BZ193">
        <v>9450</v>
      </c>
      <c r="CA193">
        <v>0</v>
      </c>
      <c r="CB193">
        <v>9450</v>
      </c>
      <c r="CC193">
        <v>568.04894999999999</v>
      </c>
      <c r="CD193" t="s">
        <v>592</v>
      </c>
      <c r="CE193" t="s">
        <v>593</v>
      </c>
      <c r="CG193" t="s">
        <v>421</v>
      </c>
      <c r="CN193" t="str">
        <v>M01</v>
      </c>
      <c r="CO193" t="str">
        <v>1277-1030069EN</v>
      </c>
      <c r="CP193" t="str">
        <v>CSNU7139997</v>
      </c>
      <c r="CQ193" s="23">
        <v>152.58000000000001</v>
      </c>
      <c r="CR193" s="25">
        <f t="shared" si="8"/>
        <v>9.0023983139603247E-3</v>
      </c>
      <c r="CS193" s="21">
        <f t="shared" si="9"/>
        <v>22.505995784900811</v>
      </c>
    </row>
    <row r="194" spans="2:97" x14ac:dyDescent="0.35">
      <c r="B194" t="s">
        <v>299</v>
      </c>
      <c r="C194" t="s">
        <v>584</v>
      </c>
      <c r="D194" t="s">
        <v>395</v>
      </c>
      <c r="E194" t="s">
        <v>395</v>
      </c>
      <c r="F194" t="s">
        <v>396</v>
      </c>
      <c r="G194" t="s">
        <v>397</v>
      </c>
      <c r="H194" t="s">
        <v>532</v>
      </c>
      <c r="I194" t="s">
        <v>399</v>
      </c>
      <c r="J194" t="s">
        <v>400</v>
      </c>
      <c r="K194" t="s">
        <v>515</v>
      </c>
      <c r="L194" t="s">
        <v>585</v>
      </c>
      <c r="M194" t="s">
        <v>403</v>
      </c>
      <c r="N194">
        <v>1</v>
      </c>
      <c r="O194">
        <v>4</v>
      </c>
      <c r="P194" t="s">
        <v>586</v>
      </c>
      <c r="Q194" t="s">
        <v>587</v>
      </c>
      <c r="R194" t="s">
        <v>588</v>
      </c>
      <c r="S194" t="s">
        <v>589</v>
      </c>
      <c r="T194" t="s">
        <v>408</v>
      </c>
      <c r="U194">
        <v>50950079191</v>
      </c>
      <c r="W194">
        <v>4050</v>
      </c>
      <c r="X194" t="s">
        <v>409</v>
      </c>
      <c r="Y194" t="s">
        <v>410</v>
      </c>
      <c r="Z194" t="s">
        <v>410</v>
      </c>
      <c r="AA194" t="s">
        <v>411</v>
      </c>
      <c r="AB194" t="s">
        <v>554</v>
      </c>
      <c r="AC194" t="s">
        <v>411</v>
      </c>
      <c r="AD194">
        <v>46076</v>
      </c>
      <c r="AE194">
        <v>46132</v>
      </c>
      <c r="AF194">
        <v>46097</v>
      </c>
      <c r="AG194" t="s">
        <v>590</v>
      </c>
      <c r="AH194">
        <v>6141480</v>
      </c>
      <c r="AI194">
        <v>46094</v>
      </c>
      <c r="AJ194">
        <v>46095</v>
      </c>
      <c r="AK194">
        <v>4050</v>
      </c>
      <c r="AL194" t="s">
        <v>396</v>
      </c>
      <c r="AM194" t="s">
        <v>1276</v>
      </c>
      <c r="AN194">
        <v>46095</v>
      </c>
      <c r="AO194">
        <v>46095.601597222223</v>
      </c>
      <c r="AP194" t="s">
        <v>51</v>
      </c>
      <c r="AQ194">
        <v>1.9509799999999999</v>
      </c>
      <c r="AR194">
        <v>7901.46</v>
      </c>
      <c r="AS194" t="s">
        <v>51</v>
      </c>
      <c r="AT194">
        <v>7901.46</v>
      </c>
      <c r="AU194" t="s">
        <v>415</v>
      </c>
      <c r="AV194" t="s">
        <v>557</v>
      </c>
      <c r="AW194" t="s">
        <v>1272</v>
      </c>
      <c r="AX194">
        <v>46099</v>
      </c>
      <c r="AY194">
        <v>46148</v>
      </c>
      <c r="AZ194" t="s">
        <v>1273</v>
      </c>
      <c r="BA194" t="s">
        <v>1274</v>
      </c>
      <c r="BB194" t="s">
        <v>1275</v>
      </c>
      <c r="BC194">
        <v>27</v>
      </c>
      <c r="BD194" t="s">
        <v>521</v>
      </c>
      <c r="BE194">
        <v>2.6560000000000001</v>
      </c>
      <c r="BF194">
        <v>1.623</v>
      </c>
      <c r="BG194" t="s">
        <v>522</v>
      </c>
      <c r="BH194">
        <v>395</v>
      </c>
      <c r="BI194">
        <v>295</v>
      </c>
      <c r="BJ194">
        <v>190</v>
      </c>
      <c r="BK194">
        <v>50</v>
      </c>
      <c r="BL194" t="s">
        <v>521</v>
      </c>
      <c r="BM194">
        <v>159.80000000000001</v>
      </c>
      <c r="BN194">
        <v>81.150000000000006</v>
      </c>
      <c r="BO194">
        <v>479.39954999999998</v>
      </c>
      <c r="BP194" t="s">
        <v>522</v>
      </c>
      <c r="BQ194">
        <v>1200</v>
      </c>
      <c r="BR194">
        <v>1000</v>
      </c>
      <c r="BS194">
        <v>1110</v>
      </c>
      <c r="BT194">
        <v>3</v>
      </c>
      <c r="BU194">
        <v>0</v>
      </c>
      <c r="BV194">
        <v>3</v>
      </c>
      <c r="BW194">
        <v>150</v>
      </c>
      <c r="BX194">
        <v>0</v>
      </c>
      <c r="BY194">
        <v>150</v>
      </c>
      <c r="BZ194">
        <v>4050</v>
      </c>
      <c r="CA194">
        <v>0</v>
      </c>
      <c r="CB194">
        <v>4050</v>
      </c>
      <c r="CC194">
        <v>243.44954999999999</v>
      </c>
      <c r="CD194" t="s">
        <v>592</v>
      </c>
      <c r="CE194" t="s">
        <v>593</v>
      </c>
      <c r="CG194" t="s">
        <v>421</v>
      </c>
      <c r="CN194" t="str">
        <v>M19</v>
      </c>
      <c r="CO194" t="str">
        <v>1330-5YY0168EN</v>
      </c>
      <c r="CP194" t="str">
        <v>CSNU7139997</v>
      </c>
      <c r="CQ194" s="23">
        <v>256.99200000000002</v>
      </c>
      <c r="CR194" s="25">
        <f t="shared" si="8"/>
        <v>1.5162828335963377E-2</v>
      </c>
      <c r="CS194" s="21">
        <f t="shared" si="9"/>
        <v>37.907070839908442</v>
      </c>
    </row>
    <row r="195" spans="2:97" x14ac:dyDescent="0.35">
      <c r="B195" t="s">
        <v>298</v>
      </c>
      <c r="C195" t="s">
        <v>1277</v>
      </c>
      <c r="D195" t="s">
        <v>395</v>
      </c>
      <c r="E195" t="s">
        <v>395</v>
      </c>
      <c r="F195" t="s">
        <v>396</v>
      </c>
      <c r="G195" t="s">
        <v>397</v>
      </c>
      <c r="H195" t="s">
        <v>398</v>
      </c>
      <c r="I195" t="s">
        <v>399</v>
      </c>
      <c r="J195" t="s">
        <v>400</v>
      </c>
      <c r="K195" t="s">
        <v>607</v>
      </c>
      <c r="L195" t="s">
        <v>585</v>
      </c>
      <c r="M195" t="s">
        <v>403</v>
      </c>
      <c r="N195">
        <v>1</v>
      </c>
      <c r="O195">
        <v>1</v>
      </c>
      <c r="P195" t="s">
        <v>649</v>
      </c>
      <c r="Q195" t="s">
        <v>430</v>
      </c>
      <c r="R195" t="s">
        <v>650</v>
      </c>
      <c r="S195" t="s">
        <v>651</v>
      </c>
      <c r="T195" t="s">
        <v>408</v>
      </c>
      <c r="U195">
        <v>50950080125</v>
      </c>
      <c r="W195">
        <v>21600</v>
      </c>
      <c r="X195" t="s">
        <v>409</v>
      </c>
      <c r="Y195" t="s">
        <v>410</v>
      </c>
      <c r="Z195" t="s">
        <v>410</v>
      </c>
      <c r="AA195" t="s">
        <v>411</v>
      </c>
      <c r="AB195" t="s">
        <v>554</v>
      </c>
      <c r="AC195" t="s">
        <v>411</v>
      </c>
      <c r="AD195">
        <v>46062</v>
      </c>
      <c r="AE195">
        <v>46118</v>
      </c>
      <c r="AF195">
        <v>46097</v>
      </c>
      <c r="AG195" t="s">
        <v>590</v>
      </c>
      <c r="AH195">
        <v>6141481</v>
      </c>
      <c r="AI195">
        <v>46094</v>
      </c>
      <c r="AJ195">
        <v>46095</v>
      </c>
      <c r="AK195">
        <v>21600</v>
      </c>
      <c r="AL195" t="s">
        <v>396</v>
      </c>
      <c r="AM195" t="s">
        <v>1278</v>
      </c>
      <c r="AN195">
        <v>46095</v>
      </c>
      <c r="AO195">
        <v>46095.601597222223</v>
      </c>
      <c r="AP195" t="s">
        <v>51</v>
      </c>
      <c r="AQ195">
        <v>0.19273000000000001</v>
      </c>
      <c r="AR195">
        <v>4162.96</v>
      </c>
      <c r="AS195" t="s">
        <v>51</v>
      </c>
      <c r="AT195">
        <v>4162.96</v>
      </c>
      <c r="AU195" t="s">
        <v>415</v>
      </c>
      <c r="AV195" t="s">
        <v>557</v>
      </c>
      <c r="AW195" t="s">
        <v>1272</v>
      </c>
      <c r="AX195">
        <v>46099</v>
      </c>
      <c r="AY195">
        <v>46148</v>
      </c>
      <c r="AZ195" t="s">
        <v>1273</v>
      </c>
      <c r="BA195" t="s">
        <v>1274</v>
      </c>
      <c r="BB195" t="s">
        <v>1275</v>
      </c>
      <c r="BC195">
        <v>900</v>
      </c>
      <c r="BD195" t="s">
        <v>521</v>
      </c>
      <c r="BE195">
        <v>16.950500000000002</v>
      </c>
      <c r="BF195">
        <v>16.560500000000001</v>
      </c>
      <c r="BG195" t="s">
        <v>522</v>
      </c>
      <c r="BH195">
        <v>368</v>
      </c>
      <c r="BI195">
        <v>257</v>
      </c>
      <c r="BJ195">
        <v>136</v>
      </c>
      <c r="BK195">
        <v>6</v>
      </c>
      <c r="BL195" t="s">
        <v>521</v>
      </c>
      <c r="BM195">
        <v>109.703</v>
      </c>
      <c r="BN195">
        <v>99.363</v>
      </c>
      <c r="BO195">
        <v>438.81079999999997</v>
      </c>
      <c r="BP195" t="s">
        <v>522</v>
      </c>
      <c r="BQ195">
        <v>800</v>
      </c>
      <c r="BR195">
        <v>300</v>
      </c>
      <c r="BS195">
        <v>608</v>
      </c>
      <c r="BT195">
        <v>4</v>
      </c>
      <c r="BU195">
        <v>0</v>
      </c>
      <c r="BV195">
        <v>4</v>
      </c>
      <c r="BW195">
        <v>24</v>
      </c>
      <c r="BX195">
        <v>0</v>
      </c>
      <c r="BY195">
        <v>24</v>
      </c>
      <c r="BZ195">
        <v>21600</v>
      </c>
      <c r="CA195">
        <v>0</v>
      </c>
      <c r="CB195">
        <v>21600</v>
      </c>
      <c r="CC195">
        <v>397.45080000000002</v>
      </c>
      <c r="CD195" t="s">
        <v>523</v>
      </c>
      <c r="CE195" t="s">
        <v>653</v>
      </c>
      <c r="CG195" t="s">
        <v>421</v>
      </c>
      <c r="CN195" t="str">
        <v>M19</v>
      </c>
      <c r="CO195" t="str">
        <v>1330-5YY0167EN</v>
      </c>
      <c r="CP195" t="str">
        <v>CSNU7139997</v>
      </c>
      <c r="CQ195" s="23">
        <v>350.45519999999999</v>
      </c>
      <c r="CR195" s="25">
        <f t="shared" si="8"/>
        <v>2.0677266362554913E-2</v>
      </c>
      <c r="CS195" s="21">
        <f t="shared" si="9"/>
        <v>51.693165906387286</v>
      </c>
    </row>
    <row r="196" spans="2:97" x14ac:dyDescent="0.35">
      <c r="B196" t="s">
        <v>299</v>
      </c>
      <c r="C196" t="s">
        <v>1279</v>
      </c>
      <c r="D196" t="s">
        <v>395</v>
      </c>
      <c r="E196" t="s">
        <v>395</v>
      </c>
      <c r="F196" t="s">
        <v>396</v>
      </c>
      <c r="G196" t="s">
        <v>397</v>
      </c>
      <c r="H196" t="s">
        <v>532</v>
      </c>
      <c r="I196" t="s">
        <v>399</v>
      </c>
      <c r="J196" t="s">
        <v>400</v>
      </c>
      <c r="K196" t="s">
        <v>607</v>
      </c>
      <c r="L196" t="s">
        <v>585</v>
      </c>
      <c r="M196" t="s">
        <v>403</v>
      </c>
      <c r="N196">
        <v>1</v>
      </c>
      <c r="O196">
        <v>1</v>
      </c>
      <c r="P196" t="s">
        <v>622</v>
      </c>
      <c r="Q196" t="s">
        <v>424</v>
      </c>
      <c r="R196" t="s">
        <v>623</v>
      </c>
      <c r="S196" t="s">
        <v>624</v>
      </c>
      <c r="T196" t="s">
        <v>408</v>
      </c>
      <c r="U196">
        <v>50950080315</v>
      </c>
      <c r="W196">
        <v>24000</v>
      </c>
      <c r="X196" t="s">
        <v>409</v>
      </c>
      <c r="Y196" t="s">
        <v>410</v>
      </c>
      <c r="Z196" t="s">
        <v>410</v>
      </c>
      <c r="AA196" t="s">
        <v>411</v>
      </c>
      <c r="AB196" t="s">
        <v>554</v>
      </c>
      <c r="AC196" t="s">
        <v>411</v>
      </c>
      <c r="AD196">
        <v>46090</v>
      </c>
      <c r="AE196">
        <v>46146</v>
      </c>
      <c r="AF196">
        <v>46097</v>
      </c>
      <c r="AG196" t="s">
        <v>590</v>
      </c>
      <c r="AH196">
        <v>6141482</v>
      </c>
      <c r="AI196">
        <v>46094</v>
      </c>
      <c r="AJ196">
        <v>46095</v>
      </c>
      <c r="AK196">
        <v>24000</v>
      </c>
      <c r="AL196" t="s">
        <v>396</v>
      </c>
      <c r="AM196" t="s">
        <v>1280</v>
      </c>
      <c r="AN196">
        <v>46095</v>
      </c>
      <c r="AO196">
        <v>46095.601597222223</v>
      </c>
      <c r="AP196" t="s">
        <v>51</v>
      </c>
      <c r="AQ196">
        <v>0.1051</v>
      </c>
      <c r="AR196">
        <v>2522.4</v>
      </c>
      <c r="AS196" t="s">
        <v>51</v>
      </c>
      <c r="AT196">
        <v>2522.4</v>
      </c>
      <c r="AU196" t="s">
        <v>415</v>
      </c>
      <c r="AV196" t="s">
        <v>557</v>
      </c>
      <c r="AW196" t="s">
        <v>1272</v>
      </c>
      <c r="AX196">
        <v>46099</v>
      </c>
      <c r="AY196">
        <v>46148</v>
      </c>
      <c r="AZ196" t="s">
        <v>1273</v>
      </c>
      <c r="BA196" t="s">
        <v>1274</v>
      </c>
      <c r="BB196" t="s">
        <v>1275</v>
      </c>
      <c r="BC196">
        <v>2400</v>
      </c>
      <c r="BD196" t="s">
        <v>521</v>
      </c>
      <c r="BE196">
        <v>8.7984000000000009</v>
      </c>
      <c r="BF196">
        <v>7.4774000000000003</v>
      </c>
      <c r="BG196" t="s">
        <v>522</v>
      </c>
      <c r="BH196">
        <v>395</v>
      </c>
      <c r="BI196">
        <v>295</v>
      </c>
      <c r="BJ196">
        <v>210</v>
      </c>
      <c r="BK196">
        <v>6</v>
      </c>
      <c r="BL196" t="s">
        <v>521</v>
      </c>
      <c r="BM196">
        <v>60.790399999999998</v>
      </c>
      <c r="BN196">
        <v>44.864400000000003</v>
      </c>
      <c r="BO196">
        <v>103.98439999999999</v>
      </c>
      <c r="BP196" t="s">
        <v>522</v>
      </c>
      <c r="BQ196">
        <v>800</v>
      </c>
      <c r="BR196">
        <v>300</v>
      </c>
      <c r="BS196">
        <v>790</v>
      </c>
      <c r="BT196">
        <v>1</v>
      </c>
      <c r="BU196">
        <v>1</v>
      </c>
      <c r="BV196">
        <v>2</v>
      </c>
      <c r="BW196">
        <v>10</v>
      </c>
      <c r="BX196">
        <v>0</v>
      </c>
      <c r="BY196">
        <v>10</v>
      </c>
      <c r="BZ196">
        <v>14400</v>
      </c>
      <c r="CA196">
        <v>9600</v>
      </c>
      <c r="CB196">
        <v>24000</v>
      </c>
      <c r="CC196">
        <v>74.7744</v>
      </c>
      <c r="CD196" t="s">
        <v>626</v>
      </c>
      <c r="CE196" t="s">
        <v>627</v>
      </c>
      <c r="CG196" t="s">
        <v>421</v>
      </c>
      <c r="CN196" t="str">
        <v>M19</v>
      </c>
      <c r="CO196" t="str">
        <v>1330-5YY0176EN</v>
      </c>
      <c r="CP196" t="str">
        <v>CSNU7139997</v>
      </c>
      <c r="CQ196" s="23">
        <v>273.75360000000001</v>
      </c>
      <c r="CR196" s="25">
        <f t="shared" si="8"/>
        <v>1.6151782324554786E-2</v>
      </c>
      <c r="CS196" s="21">
        <f t="shared" si="9"/>
        <v>40.379455811386961</v>
      </c>
    </row>
    <row r="197" spans="2:97" x14ac:dyDescent="0.35">
      <c r="B197" t="s">
        <v>298</v>
      </c>
      <c r="C197" t="s">
        <v>1281</v>
      </c>
      <c r="D197" t="s">
        <v>395</v>
      </c>
      <c r="E197" t="s">
        <v>395</v>
      </c>
      <c r="F197" t="s">
        <v>396</v>
      </c>
      <c r="G197" t="s">
        <v>397</v>
      </c>
      <c r="H197" t="s">
        <v>398</v>
      </c>
      <c r="I197" t="s">
        <v>399</v>
      </c>
      <c r="J197" t="s">
        <v>400</v>
      </c>
      <c r="K197" t="s">
        <v>607</v>
      </c>
      <c r="L197" t="s">
        <v>585</v>
      </c>
      <c r="M197" t="s">
        <v>403</v>
      </c>
      <c r="N197">
        <v>1</v>
      </c>
      <c r="O197">
        <v>1</v>
      </c>
      <c r="P197" t="s">
        <v>644</v>
      </c>
      <c r="Q197" t="s">
        <v>645</v>
      </c>
      <c r="R197" t="s">
        <v>638</v>
      </c>
      <c r="S197" t="s">
        <v>646</v>
      </c>
      <c r="T197" t="s">
        <v>408</v>
      </c>
      <c r="U197">
        <v>50950080713</v>
      </c>
      <c r="W197">
        <v>10584</v>
      </c>
      <c r="X197" t="s">
        <v>409</v>
      </c>
      <c r="Y197" t="s">
        <v>410</v>
      </c>
      <c r="Z197" t="s">
        <v>410</v>
      </c>
      <c r="AA197" t="s">
        <v>411</v>
      </c>
      <c r="AB197" t="s">
        <v>554</v>
      </c>
      <c r="AC197" t="s">
        <v>411</v>
      </c>
      <c r="AD197">
        <v>46090</v>
      </c>
      <c r="AE197">
        <v>46146</v>
      </c>
      <c r="AF197">
        <v>46097</v>
      </c>
      <c r="AG197" t="s">
        <v>590</v>
      </c>
      <c r="AH197">
        <v>6141483</v>
      </c>
      <c r="AI197">
        <v>46094</v>
      </c>
      <c r="AJ197">
        <v>46095</v>
      </c>
      <c r="AK197">
        <v>10584</v>
      </c>
      <c r="AL197" t="s">
        <v>396</v>
      </c>
      <c r="AM197" t="s">
        <v>1282</v>
      </c>
      <c r="AN197">
        <v>46095</v>
      </c>
      <c r="AO197">
        <v>46095.601597222223</v>
      </c>
      <c r="AP197" t="s">
        <v>51</v>
      </c>
      <c r="AQ197">
        <v>0.69982999999999995</v>
      </c>
      <c r="AR197">
        <v>7407</v>
      </c>
      <c r="AS197" t="s">
        <v>51</v>
      </c>
      <c r="AT197">
        <v>7407</v>
      </c>
      <c r="AU197" t="s">
        <v>415</v>
      </c>
      <c r="AV197" t="s">
        <v>557</v>
      </c>
      <c r="AW197" t="s">
        <v>1272</v>
      </c>
      <c r="AX197">
        <v>46099</v>
      </c>
      <c r="AY197">
        <v>46148</v>
      </c>
      <c r="AZ197" t="s">
        <v>1273</v>
      </c>
      <c r="BA197" t="s">
        <v>1274</v>
      </c>
      <c r="BB197" t="s">
        <v>1275</v>
      </c>
      <c r="BC197">
        <v>1764</v>
      </c>
      <c r="BD197" t="s">
        <v>521</v>
      </c>
      <c r="BE197">
        <v>177.20490000000001</v>
      </c>
      <c r="BF197">
        <v>157.20490000000001</v>
      </c>
      <c r="BG197" t="s">
        <v>522</v>
      </c>
      <c r="BH197">
        <v>1050</v>
      </c>
      <c r="BI197">
        <v>480</v>
      </c>
      <c r="BJ197">
        <v>460</v>
      </c>
      <c r="BK197">
        <v>1</v>
      </c>
      <c r="BL197" t="s">
        <v>521</v>
      </c>
      <c r="BM197">
        <v>177.20500000000001</v>
      </c>
      <c r="BN197">
        <v>157.20490000000001</v>
      </c>
      <c r="BO197">
        <v>1063.2297455999999</v>
      </c>
      <c r="BP197" t="s">
        <v>522</v>
      </c>
      <c r="BQ197">
        <v>1050</v>
      </c>
      <c r="BR197">
        <v>480</v>
      </c>
      <c r="BS197">
        <v>480</v>
      </c>
      <c r="BT197">
        <v>6</v>
      </c>
      <c r="BU197">
        <v>0</v>
      </c>
      <c r="BV197">
        <v>6</v>
      </c>
      <c r="BW197">
        <v>6</v>
      </c>
      <c r="BX197">
        <v>0</v>
      </c>
      <c r="BY197">
        <v>6</v>
      </c>
      <c r="BZ197">
        <v>10584</v>
      </c>
      <c r="CA197">
        <v>0</v>
      </c>
      <c r="CB197">
        <v>10584</v>
      </c>
      <c r="CC197">
        <v>943.22914560000004</v>
      </c>
      <c r="CD197" t="s">
        <v>641</v>
      </c>
      <c r="CE197" t="s">
        <v>642</v>
      </c>
      <c r="CG197" t="s">
        <v>421</v>
      </c>
      <c r="CN197" t="str">
        <v>M19</v>
      </c>
      <c r="CO197" t="str">
        <v>1330-5YY0183EN</v>
      </c>
      <c r="CP197" t="str">
        <v>CSNU7139997</v>
      </c>
      <c r="CQ197" s="23">
        <v>257.69760000000002</v>
      </c>
      <c r="CR197" s="25">
        <f t="shared" si="8"/>
        <v>1.5204459560569029E-2</v>
      </c>
      <c r="CS197" s="21">
        <f t="shared" si="9"/>
        <v>38.011148901422573</v>
      </c>
    </row>
    <row r="198" spans="2:97" x14ac:dyDescent="0.35">
      <c r="B198" t="s">
        <v>297</v>
      </c>
      <c r="C198" t="s">
        <v>1283</v>
      </c>
      <c r="D198" t="s">
        <v>395</v>
      </c>
      <c r="E198" t="s">
        <v>395</v>
      </c>
      <c r="F198" t="s">
        <v>396</v>
      </c>
      <c r="G198" t="s">
        <v>397</v>
      </c>
      <c r="H198" t="s">
        <v>398</v>
      </c>
      <c r="I198" t="s">
        <v>399</v>
      </c>
      <c r="J198" t="s">
        <v>400</v>
      </c>
      <c r="K198" t="s">
        <v>515</v>
      </c>
      <c r="L198" t="s">
        <v>585</v>
      </c>
      <c r="M198" t="s">
        <v>403</v>
      </c>
      <c r="N198">
        <v>1</v>
      </c>
      <c r="O198">
        <v>1</v>
      </c>
      <c r="P198" t="s">
        <v>1284</v>
      </c>
      <c r="Q198" t="s">
        <v>637</v>
      </c>
      <c r="R198" t="s">
        <v>1285</v>
      </c>
      <c r="S198" t="s">
        <v>1286</v>
      </c>
      <c r="T198" t="s">
        <v>408</v>
      </c>
      <c r="U198">
        <v>50950080788</v>
      </c>
      <c r="W198">
        <v>320000</v>
      </c>
      <c r="X198" t="s">
        <v>409</v>
      </c>
      <c r="Y198" t="s">
        <v>410</v>
      </c>
      <c r="Z198" t="s">
        <v>410</v>
      </c>
      <c r="AA198" t="s">
        <v>411</v>
      </c>
      <c r="AB198" t="s">
        <v>554</v>
      </c>
      <c r="AC198" t="s">
        <v>411</v>
      </c>
      <c r="AD198">
        <v>46090</v>
      </c>
      <c r="AE198">
        <v>46146</v>
      </c>
      <c r="AF198">
        <v>46097</v>
      </c>
      <c r="AG198" t="s">
        <v>590</v>
      </c>
      <c r="AH198">
        <v>6141484</v>
      </c>
      <c r="AI198">
        <v>46094</v>
      </c>
      <c r="AJ198">
        <v>46095</v>
      </c>
      <c r="AK198">
        <v>320000</v>
      </c>
      <c r="AL198" t="s">
        <v>396</v>
      </c>
      <c r="AM198" t="s">
        <v>1287</v>
      </c>
      <c r="AN198">
        <v>46095</v>
      </c>
      <c r="AO198">
        <v>46095.601597222223</v>
      </c>
      <c r="AP198" t="s">
        <v>51</v>
      </c>
      <c r="AQ198">
        <v>5.5999999999999995E-4</v>
      </c>
      <c r="AR198">
        <v>179.2</v>
      </c>
      <c r="AS198" t="s">
        <v>51</v>
      </c>
      <c r="AT198">
        <v>179.2</v>
      </c>
      <c r="AU198" t="s">
        <v>415</v>
      </c>
      <c r="AV198" t="s">
        <v>557</v>
      </c>
      <c r="AW198" t="s">
        <v>1272</v>
      </c>
      <c r="AX198">
        <v>46099</v>
      </c>
      <c r="AY198">
        <v>46148</v>
      </c>
      <c r="AZ198" t="s">
        <v>1273</v>
      </c>
      <c r="BA198" t="s">
        <v>1274</v>
      </c>
      <c r="BB198" t="s">
        <v>1275</v>
      </c>
      <c r="BC198">
        <v>80000</v>
      </c>
      <c r="BD198" t="s">
        <v>521</v>
      </c>
      <c r="BE198">
        <v>1.2889999999999999</v>
      </c>
      <c r="BF198">
        <v>0.56000000000000005</v>
      </c>
      <c r="BG198" t="s">
        <v>522</v>
      </c>
      <c r="BH198">
        <v>395</v>
      </c>
      <c r="BI198">
        <v>295</v>
      </c>
      <c r="BJ198">
        <v>120</v>
      </c>
      <c r="BK198">
        <v>8</v>
      </c>
      <c r="BL198" t="s">
        <v>521</v>
      </c>
      <c r="BM198">
        <v>13.156000000000001</v>
      </c>
      <c r="BN198">
        <v>2.2400000000000002</v>
      </c>
      <c r="BO198">
        <v>13.156000000000001</v>
      </c>
      <c r="BP198" t="s">
        <v>522</v>
      </c>
      <c r="BQ198">
        <v>800</v>
      </c>
      <c r="BR198">
        <v>300</v>
      </c>
      <c r="BS198">
        <v>698</v>
      </c>
      <c r="BT198">
        <v>0</v>
      </c>
      <c r="BU198">
        <v>1</v>
      </c>
      <c r="BV198">
        <v>1</v>
      </c>
      <c r="BW198">
        <v>4</v>
      </c>
      <c r="BX198">
        <v>0</v>
      </c>
      <c r="BY198">
        <v>4</v>
      </c>
      <c r="BZ198">
        <v>0</v>
      </c>
      <c r="CA198">
        <v>320000</v>
      </c>
      <c r="CB198">
        <v>320000</v>
      </c>
      <c r="CC198">
        <v>2.2400000000000002</v>
      </c>
      <c r="CD198" t="s">
        <v>659</v>
      </c>
      <c r="CE198" t="s">
        <v>660</v>
      </c>
      <c r="CG198" t="s">
        <v>421</v>
      </c>
      <c r="CN198" t="str">
        <v>M01</v>
      </c>
      <c r="CO198" t="str">
        <v>1277-1030115EN</v>
      </c>
      <c r="CP198" t="str">
        <v>CSNU7139997</v>
      </c>
      <c r="CQ198" s="23">
        <v>78.004999999999995</v>
      </c>
      <c r="CR198" s="25">
        <f t="shared" ref="CR198:CR261" si="11">IFERROR(CQ198/(SUMIFS(CQ:CQ,CP:CP,CP198)),100%)</f>
        <v>4.6023861612300111E-3</v>
      </c>
      <c r="CS198" s="21">
        <f t="shared" si="9"/>
        <v>11.505965403075027</v>
      </c>
    </row>
    <row r="199" spans="2:97" x14ac:dyDescent="0.35">
      <c r="B199" t="s">
        <v>297</v>
      </c>
      <c r="C199" t="s">
        <v>1288</v>
      </c>
      <c r="D199" t="s">
        <v>395</v>
      </c>
      <c r="E199" t="s">
        <v>395</v>
      </c>
      <c r="F199" t="s">
        <v>396</v>
      </c>
      <c r="G199" t="s">
        <v>397</v>
      </c>
      <c r="H199" t="s">
        <v>398</v>
      </c>
      <c r="I199" t="s">
        <v>399</v>
      </c>
      <c r="J199" t="s">
        <v>400</v>
      </c>
      <c r="K199" t="s">
        <v>515</v>
      </c>
      <c r="L199" t="s">
        <v>585</v>
      </c>
      <c r="M199" t="s">
        <v>403</v>
      </c>
      <c r="N199">
        <v>1</v>
      </c>
      <c r="O199">
        <v>1</v>
      </c>
      <c r="P199" t="s">
        <v>1289</v>
      </c>
      <c r="Q199" t="s">
        <v>430</v>
      </c>
      <c r="R199" t="s">
        <v>1290</v>
      </c>
      <c r="S199" t="s">
        <v>1291</v>
      </c>
      <c r="T199" t="s">
        <v>408</v>
      </c>
      <c r="U199">
        <v>50950080794</v>
      </c>
      <c r="W199">
        <v>256000</v>
      </c>
      <c r="X199" t="s">
        <v>409</v>
      </c>
      <c r="Y199" t="s">
        <v>410</v>
      </c>
      <c r="Z199" t="s">
        <v>410</v>
      </c>
      <c r="AA199" t="s">
        <v>411</v>
      </c>
      <c r="AB199" t="s">
        <v>554</v>
      </c>
      <c r="AC199" t="s">
        <v>411</v>
      </c>
      <c r="AD199">
        <v>46090</v>
      </c>
      <c r="AE199">
        <v>46146</v>
      </c>
      <c r="AF199">
        <v>46097</v>
      </c>
      <c r="AG199" t="s">
        <v>590</v>
      </c>
      <c r="AH199">
        <v>6141485</v>
      </c>
      <c r="AI199">
        <v>46094</v>
      </c>
      <c r="AJ199">
        <v>46095</v>
      </c>
      <c r="AK199">
        <v>256000</v>
      </c>
      <c r="AL199" t="s">
        <v>396</v>
      </c>
      <c r="AM199" t="s">
        <v>1292</v>
      </c>
      <c r="AN199">
        <v>46095</v>
      </c>
      <c r="AO199">
        <v>46095.601597222223</v>
      </c>
      <c r="AP199" t="s">
        <v>51</v>
      </c>
      <c r="AQ199">
        <v>7.5000000000000002E-4</v>
      </c>
      <c r="AR199">
        <v>192</v>
      </c>
      <c r="AS199" t="s">
        <v>51</v>
      </c>
      <c r="AT199">
        <v>192</v>
      </c>
      <c r="AU199" t="s">
        <v>415</v>
      </c>
      <c r="AV199" t="s">
        <v>557</v>
      </c>
      <c r="AW199" t="s">
        <v>1272</v>
      </c>
      <c r="AX199">
        <v>46099</v>
      </c>
      <c r="AY199">
        <v>46148</v>
      </c>
      <c r="AZ199" t="s">
        <v>1273</v>
      </c>
      <c r="BA199" t="s">
        <v>1274</v>
      </c>
      <c r="BB199" t="s">
        <v>1275</v>
      </c>
      <c r="BC199">
        <v>64000</v>
      </c>
      <c r="BD199" t="s">
        <v>521</v>
      </c>
      <c r="BE199">
        <v>1.9450000000000001</v>
      </c>
      <c r="BF199">
        <v>1.216</v>
      </c>
      <c r="BG199" t="s">
        <v>522</v>
      </c>
      <c r="BH199">
        <v>395</v>
      </c>
      <c r="BI199">
        <v>295</v>
      </c>
      <c r="BJ199">
        <v>120</v>
      </c>
      <c r="BK199">
        <v>8</v>
      </c>
      <c r="BL199" t="s">
        <v>521</v>
      </c>
      <c r="BM199">
        <v>15.78</v>
      </c>
      <c r="BN199">
        <v>4.8639999999999999</v>
      </c>
      <c r="BO199">
        <v>15.78</v>
      </c>
      <c r="BP199" t="s">
        <v>522</v>
      </c>
      <c r="BQ199">
        <v>800</v>
      </c>
      <c r="BR199">
        <v>300</v>
      </c>
      <c r="BS199">
        <v>698</v>
      </c>
      <c r="BT199">
        <v>0</v>
      </c>
      <c r="BU199">
        <v>1</v>
      </c>
      <c r="BV199">
        <v>1</v>
      </c>
      <c r="BW199">
        <v>4</v>
      </c>
      <c r="BX199">
        <v>0</v>
      </c>
      <c r="BY199">
        <v>4</v>
      </c>
      <c r="BZ199">
        <v>0</v>
      </c>
      <c r="CA199">
        <v>256000</v>
      </c>
      <c r="CB199">
        <v>256000</v>
      </c>
      <c r="CC199">
        <v>4.8639999999999999</v>
      </c>
      <c r="CD199" t="s">
        <v>659</v>
      </c>
      <c r="CE199" t="s">
        <v>660</v>
      </c>
      <c r="CG199" t="s">
        <v>421</v>
      </c>
      <c r="CN199" t="str">
        <v>M01</v>
      </c>
      <c r="CO199" t="str">
        <v>1301-1030463EN</v>
      </c>
      <c r="CP199" t="str">
        <v>CSNU7139997</v>
      </c>
      <c r="CQ199" s="23">
        <v>196.83199999999999</v>
      </c>
      <c r="CR199" s="25">
        <f t="shared" si="11"/>
        <v>1.1613318029449721E-2</v>
      </c>
      <c r="CS199" s="21">
        <f t="shared" ref="CS199:CS262" si="12">CR199*$CS$2</f>
        <v>29.033295073624302</v>
      </c>
    </row>
    <row r="200" spans="2:97" x14ac:dyDescent="0.35">
      <c r="B200" t="s">
        <v>297</v>
      </c>
      <c r="C200" t="s">
        <v>666</v>
      </c>
      <c r="D200" t="s">
        <v>395</v>
      </c>
      <c r="E200" t="s">
        <v>395</v>
      </c>
      <c r="F200" t="s">
        <v>396</v>
      </c>
      <c r="G200" t="s">
        <v>397</v>
      </c>
      <c r="H200" t="s">
        <v>398</v>
      </c>
      <c r="I200" t="s">
        <v>399</v>
      </c>
      <c r="J200" t="s">
        <v>400</v>
      </c>
      <c r="K200" t="s">
        <v>595</v>
      </c>
      <c r="L200" t="s">
        <v>585</v>
      </c>
      <c r="M200" t="s">
        <v>403</v>
      </c>
      <c r="N200">
        <v>2</v>
      </c>
      <c r="O200">
        <v>1</v>
      </c>
      <c r="P200" t="s">
        <v>667</v>
      </c>
      <c r="Q200" t="s">
        <v>430</v>
      </c>
      <c r="R200" t="s">
        <v>668</v>
      </c>
      <c r="S200" t="s">
        <v>669</v>
      </c>
      <c r="T200" t="s">
        <v>408</v>
      </c>
      <c r="U200">
        <v>50950080795</v>
      </c>
      <c r="W200">
        <v>90000</v>
      </c>
      <c r="X200" t="s">
        <v>409</v>
      </c>
      <c r="Y200" t="s">
        <v>410</v>
      </c>
      <c r="Z200" t="s">
        <v>410</v>
      </c>
      <c r="AA200" t="s">
        <v>411</v>
      </c>
      <c r="AB200" t="s">
        <v>554</v>
      </c>
      <c r="AC200" t="s">
        <v>411</v>
      </c>
      <c r="AD200">
        <v>46090</v>
      </c>
      <c r="AE200">
        <v>46153</v>
      </c>
      <c r="AF200">
        <v>46097</v>
      </c>
      <c r="AG200" t="s">
        <v>590</v>
      </c>
      <c r="AH200">
        <v>6141486</v>
      </c>
      <c r="AI200">
        <v>46094</v>
      </c>
      <c r="AJ200">
        <v>46095</v>
      </c>
      <c r="AK200">
        <v>90000</v>
      </c>
      <c r="AL200" t="s">
        <v>396</v>
      </c>
      <c r="AM200" t="s">
        <v>1293</v>
      </c>
      <c r="AN200">
        <v>46095</v>
      </c>
      <c r="AO200">
        <v>46095.601597222223</v>
      </c>
      <c r="AP200" t="s">
        <v>51</v>
      </c>
      <c r="AQ200">
        <v>2.1649999999999999E-2</v>
      </c>
      <c r="AR200">
        <v>1948.5</v>
      </c>
      <c r="AS200" t="s">
        <v>51</v>
      </c>
      <c r="AT200">
        <v>1948.5</v>
      </c>
      <c r="AU200" t="s">
        <v>415</v>
      </c>
      <c r="AV200" t="s">
        <v>557</v>
      </c>
      <c r="AW200" t="s">
        <v>1272</v>
      </c>
      <c r="AX200">
        <v>46099</v>
      </c>
      <c r="AY200">
        <v>46148</v>
      </c>
      <c r="AZ200" t="s">
        <v>1273</v>
      </c>
      <c r="BA200" t="s">
        <v>1274</v>
      </c>
      <c r="BB200" t="s">
        <v>1275</v>
      </c>
      <c r="BC200">
        <v>6000</v>
      </c>
      <c r="BD200" t="s">
        <v>521</v>
      </c>
      <c r="BE200">
        <v>11.177</v>
      </c>
      <c r="BF200">
        <v>10.71</v>
      </c>
      <c r="BG200" t="s">
        <v>522</v>
      </c>
      <c r="BH200">
        <v>300</v>
      </c>
      <c r="BI200">
        <v>200</v>
      </c>
      <c r="BJ200">
        <v>140</v>
      </c>
      <c r="BK200">
        <v>16</v>
      </c>
      <c r="BL200" t="s">
        <v>521</v>
      </c>
      <c r="BM200">
        <v>175.655</v>
      </c>
      <c r="BN200">
        <v>160.65</v>
      </c>
      <c r="BO200">
        <v>175.655</v>
      </c>
      <c r="BP200" t="s">
        <v>522</v>
      </c>
      <c r="BQ200">
        <v>800</v>
      </c>
      <c r="BR200">
        <v>300</v>
      </c>
      <c r="BS200">
        <v>718</v>
      </c>
      <c r="BT200">
        <v>0</v>
      </c>
      <c r="BU200">
        <v>1</v>
      </c>
      <c r="BV200">
        <v>1</v>
      </c>
      <c r="BW200">
        <v>15</v>
      </c>
      <c r="BX200">
        <v>0</v>
      </c>
      <c r="BY200">
        <v>15</v>
      </c>
      <c r="BZ200">
        <v>0</v>
      </c>
      <c r="CA200">
        <v>90000</v>
      </c>
      <c r="CB200">
        <v>90000</v>
      </c>
      <c r="CC200">
        <v>160.65</v>
      </c>
      <c r="CD200" t="s">
        <v>671</v>
      </c>
      <c r="CE200" t="s">
        <v>672</v>
      </c>
      <c r="CG200" t="s">
        <v>421</v>
      </c>
      <c r="CN200" t="str">
        <v>M01</v>
      </c>
      <c r="CO200" t="str">
        <v>1426-1030044EN</v>
      </c>
      <c r="CP200" t="str">
        <v>CSNU7139997</v>
      </c>
      <c r="CQ200" s="23">
        <v>100.19</v>
      </c>
      <c r="CR200" s="25">
        <f t="shared" si="11"/>
        <v>5.9113270879255792E-3</v>
      </c>
      <c r="CS200" s="21">
        <f t="shared" si="12"/>
        <v>14.778317719813948</v>
      </c>
    </row>
    <row r="201" spans="2:97" x14ac:dyDescent="0.35">
      <c r="B201" t="s">
        <v>296</v>
      </c>
      <c r="C201" t="s">
        <v>673</v>
      </c>
      <c r="D201" t="s">
        <v>395</v>
      </c>
      <c r="E201" t="s">
        <v>395</v>
      </c>
      <c r="F201" t="s">
        <v>396</v>
      </c>
      <c r="G201" t="s">
        <v>397</v>
      </c>
      <c r="H201" t="s">
        <v>398</v>
      </c>
      <c r="I201" t="s">
        <v>399</v>
      </c>
      <c r="J201" t="s">
        <v>400</v>
      </c>
      <c r="K201" t="s">
        <v>595</v>
      </c>
      <c r="L201" t="s">
        <v>585</v>
      </c>
      <c r="M201" t="s">
        <v>403</v>
      </c>
      <c r="N201">
        <v>1</v>
      </c>
      <c r="O201">
        <v>2</v>
      </c>
      <c r="P201" t="s">
        <v>674</v>
      </c>
      <c r="Q201" t="s">
        <v>424</v>
      </c>
      <c r="R201" t="s">
        <v>675</v>
      </c>
      <c r="S201" t="s">
        <v>676</v>
      </c>
      <c r="T201" t="s">
        <v>408</v>
      </c>
      <c r="U201">
        <v>50950080824</v>
      </c>
      <c r="W201">
        <v>6000</v>
      </c>
      <c r="X201" t="s">
        <v>409</v>
      </c>
      <c r="Y201" t="s">
        <v>410</v>
      </c>
      <c r="Z201" t="s">
        <v>410</v>
      </c>
      <c r="AA201" t="s">
        <v>411</v>
      </c>
      <c r="AB201" t="s">
        <v>554</v>
      </c>
      <c r="AC201" t="s">
        <v>411</v>
      </c>
      <c r="AD201">
        <v>46090</v>
      </c>
      <c r="AE201">
        <v>46139</v>
      </c>
      <c r="AF201">
        <v>46097</v>
      </c>
      <c r="AG201" t="s">
        <v>590</v>
      </c>
      <c r="AH201">
        <v>6141487</v>
      </c>
      <c r="AI201">
        <v>46094</v>
      </c>
      <c r="AJ201">
        <v>46095</v>
      </c>
      <c r="AK201">
        <v>6000</v>
      </c>
      <c r="AL201" t="s">
        <v>396</v>
      </c>
      <c r="AM201" t="s">
        <v>1294</v>
      </c>
      <c r="AN201">
        <v>46095</v>
      </c>
      <c r="AO201">
        <v>46095.601597222223</v>
      </c>
      <c r="AP201" t="s">
        <v>51</v>
      </c>
      <c r="AQ201">
        <v>9.4880000000000006E-2</v>
      </c>
      <c r="AR201">
        <v>569.28</v>
      </c>
      <c r="AS201" t="s">
        <v>51</v>
      </c>
      <c r="AT201">
        <v>569.28</v>
      </c>
      <c r="AU201" t="s">
        <v>415</v>
      </c>
      <c r="AV201" t="s">
        <v>557</v>
      </c>
      <c r="AW201" t="s">
        <v>1272</v>
      </c>
      <c r="AX201">
        <v>46099</v>
      </c>
      <c r="AY201">
        <v>46148</v>
      </c>
      <c r="AZ201" t="s">
        <v>1273</v>
      </c>
      <c r="BA201" t="s">
        <v>1274</v>
      </c>
      <c r="BB201" t="s">
        <v>1275</v>
      </c>
      <c r="BC201">
        <v>1000</v>
      </c>
      <c r="BD201" t="s">
        <v>521</v>
      </c>
      <c r="BE201">
        <v>12.6098</v>
      </c>
      <c r="BF201">
        <v>12.142799999999999</v>
      </c>
      <c r="BG201" t="s">
        <v>522</v>
      </c>
      <c r="BH201">
        <v>300</v>
      </c>
      <c r="BI201">
        <v>200</v>
      </c>
      <c r="BJ201">
        <v>140</v>
      </c>
      <c r="BK201">
        <v>16</v>
      </c>
      <c r="BL201" t="s">
        <v>521</v>
      </c>
      <c r="BM201">
        <v>83.658799999999999</v>
      </c>
      <c r="BN201">
        <v>72.856800000000007</v>
      </c>
      <c r="BO201">
        <v>83.658799999999999</v>
      </c>
      <c r="BP201" t="s">
        <v>522</v>
      </c>
      <c r="BQ201">
        <v>800</v>
      </c>
      <c r="BR201">
        <v>300</v>
      </c>
      <c r="BS201">
        <v>718</v>
      </c>
      <c r="BT201">
        <v>0</v>
      </c>
      <c r="BU201">
        <v>1</v>
      </c>
      <c r="BV201">
        <v>1</v>
      </c>
      <c r="BW201">
        <v>6</v>
      </c>
      <c r="BX201">
        <v>0</v>
      </c>
      <c r="BY201">
        <v>6</v>
      </c>
      <c r="BZ201">
        <v>0</v>
      </c>
      <c r="CA201">
        <v>6000</v>
      </c>
      <c r="CB201">
        <v>6000</v>
      </c>
      <c r="CC201">
        <v>72.856800000000007</v>
      </c>
      <c r="CD201" t="s">
        <v>671</v>
      </c>
      <c r="CE201" t="s">
        <v>678</v>
      </c>
      <c r="CG201" t="s">
        <v>421</v>
      </c>
      <c r="CN201" t="str">
        <v>M01</v>
      </c>
      <c r="CO201" t="str">
        <v>1426-1030044EN</v>
      </c>
      <c r="CP201" t="str">
        <v>CSNU7139997</v>
      </c>
      <c r="CQ201" s="23">
        <v>100.19</v>
      </c>
      <c r="CR201" s="25">
        <f t="shared" si="11"/>
        <v>5.9113270879255792E-3</v>
      </c>
      <c r="CS201" s="21">
        <f t="shared" si="12"/>
        <v>14.778317719813948</v>
      </c>
    </row>
    <row r="202" spans="2:97" x14ac:dyDescent="0.35">
      <c r="B202" t="s">
        <v>297</v>
      </c>
      <c r="C202" t="s">
        <v>1295</v>
      </c>
      <c r="D202" t="s">
        <v>395</v>
      </c>
      <c r="E202" t="s">
        <v>395</v>
      </c>
      <c r="F202" t="s">
        <v>396</v>
      </c>
      <c r="G202" t="s">
        <v>397</v>
      </c>
      <c r="H202" t="s">
        <v>398</v>
      </c>
      <c r="I202" t="s">
        <v>399</v>
      </c>
      <c r="J202" t="s">
        <v>400</v>
      </c>
      <c r="K202" t="s">
        <v>515</v>
      </c>
      <c r="L202" t="s">
        <v>585</v>
      </c>
      <c r="M202" t="s">
        <v>403</v>
      </c>
      <c r="N202">
        <v>1</v>
      </c>
      <c r="O202">
        <v>1</v>
      </c>
      <c r="P202" t="s">
        <v>1296</v>
      </c>
      <c r="Q202" t="s">
        <v>430</v>
      </c>
      <c r="R202" t="s">
        <v>1297</v>
      </c>
      <c r="S202" t="s">
        <v>1298</v>
      </c>
      <c r="T202" t="s">
        <v>408</v>
      </c>
      <c r="U202">
        <v>50950080924</v>
      </c>
      <c r="W202">
        <v>80000</v>
      </c>
      <c r="X202" t="s">
        <v>409</v>
      </c>
      <c r="Y202" t="s">
        <v>410</v>
      </c>
      <c r="Z202" t="s">
        <v>410</v>
      </c>
      <c r="AA202" t="s">
        <v>411</v>
      </c>
      <c r="AB202" t="s">
        <v>554</v>
      </c>
      <c r="AC202" t="s">
        <v>411</v>
      </c>
      <c r="AD202">
        <v>46090</v>
      </c>
      <c r="AE202">
        <v>46146</v>
      </c>
      <c r="AF202">
        <v>46097</v>
      </c>
      <c r="AG202" t="s">
        <v>590</v>
      </c>
      <c r="AH202">
        <v>6141488</v>
      </c>
      <c r="AI202">
        <v>46094</v>
      </c>
      <c r="AJ202">
        <v>46095</v>
      </c>
      <c r="AK202">
        <v>80000</v>
      </c>
      <c r="AL202" t="s">
        <v>396</v>
      </c>
      <c r="AM202" t="s">
        <v>1299</v>
      </c>
      <c r="AN202">
        <v>46095</v>
      </c>
      <c r="AO202">
        <v>46095.601597222223</v>
      </c>
      <c r="AP202" t="s">
        <v>51</v>
      </c>
      <c r="AQ202">
        <v>1.48E-3</v>
      </c>
      <c r="AR202">
        <v>118.4</v>
      </c>
      <c r="AS202" t="s">
        <v>51</v>
      </c>
      <c r="AT202">
        <v>118.4</v>
      </c>
      <c r="AU202" t="s">
        <v>415</v>
      </c>
      <c r="AV202" t="s">
        <v>557</v>
      </c>
      <c r="AW202" t="s">
        <v>1272</v>
      </c>
      <c r="AX202">
        <v>46099</v>
      </c>
      <c r="AY202">
        <v>46148</v>
      </c>
      <c r="AZ202" t="s">
        <v>1273</v>
      </c>
      <c r="BA202" t="s">
        <v>1274</v>
      </c>
      <c r="BB202" t="s">
        <v>1275</v>
      </c>
      <c r="BC202">
        <v>80000</v>
      </c>
      <c r="BD202" t="s">
        <v>521</v>
      </c>
      <c r="BE202">
        <v>6.1178499999999998</v>
      </c>
      <c r="BF202">
        <v>5.1840000000000002</v>
      </c>
      <c r="BG202" t="s">
        <v>522</v>
      </c>
      <c r="BH202">
        <v>398</v>
      </c>
      <c r="BI202">
        <v>298</v>
      </c>
      <c r="BJ202">
        <v>155</v>
      </c>
      <c r="BK202">
        <v>6</v>
      </c>
      <c r="BL202" t="s">
        <v>521</v>
      </c>
      <c r="BM202">
        <v>14.117850000000001</v>
      </c>
      <c r="BN202">
        <v>5.1840000000000002</v>
      </c>
      <c r="BO202">
        <v>14.117850000000001</v>
      </c>
      <c r="BP202" t="s">
        <v>522</v>
      </c>
      <c r="BQ202">
        <v>800</v>
      </c>
      <c r="BR202">
        <v>300</v>
      </c>
      <c r="BS202">
        <v>608</v>
      </c>
      <c r="BT202">
        <v>0</v>
      </c>
      <c r="BU202">
        <v>1</v>
      </c>
      <c r="BV202">
        <v>1</v>
      </c>
      <c r="BW202">
        <v>1</v>
      </c>
      <c r="BX202">
        <v>0</v>
      </c>
      <c r="BY202">
        <v>1</v>
      </c>
      <c r="BZ202">
        <v>0</v>
      </c>
      <c r="CA202">
        <v>80000</v>
      </c>
      <c r="CB202">
        <v>80000</v>
      </c>
      <c r="CC202">
        <v>5.1840000000000002</v>
      </c>
      <c r="CD202" t="s">
        <v>523</v>
      </c>
      <c r="CE202" t="s">
        <v>981</v>
      </c>
      <c r="CG202" t="s">
        <v>421</v>
      </c>
      <c r="CN202" t="str">
        <v>M23</v>
      </c>
      <c r="CO202" t="str">
        <v>1307-1060077EN</v>
      </c>
      <c r="CP202" t="str">
        <v>CSNU7139997</v>
      </c>
      <c r="CQ202" s="23">
        <v>776.16319999999996</v>
      </c>
      <c r="CR202" s="25">
        <f t="shared" si="11"/>
        <v>4.5794535869957069E-2</v>
      </c>
      <c r="CS202" s="21">
        <f t="shared" si="12"/>
        <v>114.48633967489268</v>
      </c>
    </row>
    <row r="203" spans="2:97" x14ac:dyDescent="0.35">
      <c r="B203" t="s">
        <v>299</v>
      </c>
      <c r="C203" t="s">
        <v>1300</v>
      </c>
      <c r="D203" t="s">
        <v>395</v>
      </c>
      <c r="E203" t="s">
        <v>395</v>
      </c>
      <c r="F203" t="s">
        <v>396</v>
      </c>
      <c r="G203" t="s">
        <v>397</v>
      </c>
      <c r="H203" t="s">
        <v>532</v>
      </c>
      <c r="I203" t="s">
        <v>399</v>
      </c>
      <c r="J203" t="s">
        <v>400</v>
      </c>
      <c r="K203" t="s">
        <v>515</v>
      </c>
      <c r="L203" t="s">
        <v>585</v>
      </c>
      <c r="M203" t="s">
        <v>403</v>
      </c>
      <c r="N203">
        <v>1</v>
      </c>
      <c r="O203">
        <v>1</v>
      </c>
      <c r="P203" t="s">
        <v>1301</v>
      </c>
      <c r="Q203" t="s">
        <v>587</v>
      </c>
      <c r="R203" t="s">
        <v>616</v>
      </c>
      <c r="S203" t="s">
        <v>617</v>
      </c>
      <c r="T203" t="s">
        <v>408</v>
      </c>
      <c r="U203">
        <v>50950080981</v>
      </c>
      <c r="W203">
        <v>15120</v>
      </c>
      <c r="X203" t="s">
        <v>409</v>
      </c>
      <c r="Y203" t="s">
        <v>410</v>
      </c>
      <c r="Z203" t="s">
        <v>410</v>
      </c>
      <c r="AA203" t="s">
        <v>411</v>
      </c>
      <c r="AB203" t="s">
        <v>554</v>
      </c>
      <c r="AC203" t="s">
        <v>411</v>
      </c>
      <c r="AD203">
        <v>46090</v>
      </c>
      <c r="AE203">
        <v>46146</v>
      </c>
      <c r="AF203">
        <v>46097</v>
      </c>
      <c r="AG203" t="s">
        <v>590</v>
      </c>
      <c r="AH203">
        <v>6141489</v>
      </c>
      <c r="AI203">
        <v>46094</v>
      </c>
      <c r="AJ203">
        <v>46095</v>
      </c>
      <c r="AK203">
        <v>15120</v>
      </c>
      <c r="AL203" t="s">
        <v>396</v>
      </c>
      <c r="AM203" t="s">
        <v>1302</v>
      </c>
      <c r="AN203">
        <v>46095</v>
      </c>
      <c r="AO203">
        <v>46095.601597222223</v>
      </c>
      <c r="AP203" t="s">
        <v>51</v>
      </c>
      <c r="AQ203">
        <v>0.1457</v>
      </c>
      <c r="AR203">
        <v>2202.96</v>
      </c>
      <c r="AS203" t="s">
        <v>51</v>
      </c>
      <c r="AT203">
        <v>2202.96</v>
      </c>
      <c r="AU203" t="s">
        <v>415</v>
      </c>
      <c r="AV203" t="s">
        <v>557</v>
      </c>
      <c r="AW203" t="s">
        <v>1272</v>
      </c>
      <c r="AX203">
        <v>46099</v>
      </c>
      <c r="AY203">
        <v>46148</v>
      </c>
      <c r="AZ203" t="s">
        <v>1273</v>
      </c>
      <c r="BA203" t="s">
        <v>1274</v>
      </c>
      <c r="BB203" t="s">
        <v>1275</v>
      </c>
      <c r="BC203">
        <v>420</v>
      </c>
      <c r="BD203" t="s">
        <v>521</v>
      </c>
      <c r="BE203">
        <v>2.1387999999999998</v>
      </c>
      <c r="BF203">
        <v>1.4188000000000001</v>
      </c>
      <c r="BG203" t="s">
        <v>522</v>
      </c>
      <c r="BH203">
        <v>395</v>
      </c>
      <c r="BI203">
        <v>295</v>
      </c>
      <c r="BJ203">
        <v>220</v>
      </c>
      <c r="BK203">
        <v>6</v>
      </c>
      <c r="BL203" t="s">
        <v>521</v>
      </c>
      <c r="BM203">
        <v>20.832799999999999</v>
      </c>
      <c r="BN203">
        <v>8.5128000000000004</v>
      </c>
      <c r="BO203">
        <v>124.99536000000001</v>
      </c>
      <c r="BP203" t="s">
        <v>522</v>
      </c>
      <c r="BQ203">
        <v>800</v>
      </c>
      <c r="BR203">
        <v>300</v>
      </c>
      <c r="BS203">
        <v>830</v>
      </c>
      <c r="BT203">
        <v>6</v>
      </c>
      <c r="BU203">
        <v>0</v>
      </c>
      <c r="BV203">
        <v>6</v>
      </c>
      <c r="BW203">
        <v>36</v>
      </c>
      <c r="BX203">
        <v>0</v>
      </c>
      <c r="BY203">
        <v>36</v>
      </c>
      <c r="BZ203">
        <v>15120</v>
      </c>
      <c r="CA203">
        <v>0</v>
      </c>
      <c r="CB203">
        <v>15120</v>
      </c>
      <c r="CC203">
        <v>51.075360000000003</v>
      </c>
      <c r="CD203" t="s">
        <v>619</v>
      </c>
      <c r="CE203" t="s">
        <v>620</v>
      </c>
      <c r="CG203" t="s">
        <v>421</v>
      </c>
      <c r="CN203" t="str">
        <v>M01</v>
      </c>
      <c r="CO203" t="str">
        <v>1458-1030109EN</v>
      </c>
      <c r="CP203" t="str">
        <v>CSNU7139997</v>
      </c>
      <c r="CQ203" s="23">
        <v>315.61680000000001</v>
      </c>
      <c r="CR203" s="25">
        <f t="shared" si="11"/>
        <v>1.8621760048352032E-2</v>
      </c>
      <c r="CS203" s="21">
        <f t="shared" si="12"/>
        <v>46.554400120880082</v>
      </c>
    </row>
    <row r="204" spans="2:97" x14ac:dyDescent="0.35">
      <c r="B204" t="s">
        <v>299</v>
      </c>
      <c r="C204" t="s">
        <v>1303</v>
      </c>
      <c r="D204" t="s">
        <v>395</v>
      </c>
      <c r="E204" t="s">
        <v>395</v>
      </c>
      <c r="F204" t="s">
        <v>396</v>
      </c>
      <c r="G204" t="s">
        <v>397</v>
      </c>
      <c r="H204" t="s">
        <v>532</v>
      </c>
      <c r="I204" t="s">
        <v>399</v>
      </c>
      <c r="J204" t="s">
        <v>400</v>
      </c>
      <c r="K204" t="s">
        <v>515</v>
      </c>
      <c r="L204" t="s">
        <v>585</v>
      </c>
      <c r="M204" t="s">
        <v>403</v>
      </c>
      <c r="N204">
        <v>1</v>
      </c>
      <c r="O204">
        <v>1</v>
      </c>
      <c r="P204" t="s">
        <v>1304</v>
      </c>
      <c r="Q204" t="s">
        <v>430</v>
      </c>
      <c r="R204" t="s">
        <v>616</v>
      </c>
      <c r="S204" t="s">
        <v>1305</v>
      </c>
      <c r="T204" t="s">
        <v>408</v>
      </c>
      <c r="U204">
        <v>50950081104</v>
      </c>
      <c r="W204">
        <v>19200</v>
      </c>
      <c r="X204" t="s">
        <v>409</v>
      </c>
      <c r="Y204" t="s">
        <v>410</v>
      </c>
      <c r="Z204" t="s">
        <v>410</v>
      </c>
      <c r="AA204" t="s">
        <v>411</v>
      </c>
      <c r="AB204" t="s">
        <v>554</v>
      </c>
      <c r="AC204" t="s">
        <v>411</v>
      </c>
      <c r="AD204">
        <v>46090</v>
      </c>
      <c r="AE204">
        <v>46146</v>
      </c>
      <c r="AF204">
        <v>46097</v>
      </c>
      <c r="AG204" t="s">
        <v>590</v>
      </c>
      <c r="AH204">
        <v>6141490</v>
      </c>
      <c r="AI204">
        <v>46094</v>
      </c>
      <c r="AJ204">
        <v>46095</v>
      </c>
      <c r="AK204">
        <v>19200</v>
      </c>
      <c r="AL204" t="s">
        <v>396</v>
      </c>
      <c r="AM204" t="s">
        <v>1306</v>
      </c>
      <c r="AN204">
        <v>46095</v>
      </c>
      <c r="AO204">
        <v>46095.601597222223</v>
      </c>
      <c r="AP204" t="s">
        <v>51</v>
      </c>
      <c r="AQ204">
        <v>0.25662000000000001</v>
      </c>
      <c r="AR204">
        <v>4927.1000000000004</v>
      </c>
      <c r="AS204" t="s">
        <v>51</v>
      </c>
      <c r="AT204">
        <v>4927.1000000000004</v>
      </c>
      <c r="AU204" t="s">
        <v>415</v>
      </c>
      <c r="AV204" t="s">
        <v>557</v>
      </c>
      <c r="AW204" t="s">
        <v>1272</v>
      </c>
      <c r="AX204">
        <v>46099</v>
      </c>
      <c r="AY204">
        <v>46148</v>
      </c>
      <c r="AZ204" t="s">
        <v>1273</v>
      </c>
      <c r="BA204" t="s">
        <v>1274</v>
      </c>
      <c r="BB204" t="s">
        <v>1275</v>
      </c>
      <c r="BC204">
        <v>600</v>
      </c>
      <c r="BD204" t="s">
        <v>521</v>
      </c>
      <c r="BE204">
        <v>4.1517999999999997</v>
      </c>
      <c r="BF204">
        <v>2.5518000000000001</v>
      </c>
      <c r="BG204" t="s">
        <v>522</v>
      </c>
      <c r="BH204">
        <v>395</v>
      </c>
      <c r="BI204">
        <v>295</v>
      </c>
      <c r="BJ204">
        <v>150</v>
      </c>
      <c r="BK204">
        <v>48</v>
      </c>
      <c r="BL204" t="s">
        <v>521</v>
      </c>
      <c r="BM204">
        <v>156.85759999999999</v>
      </c>
      <c r="BN204">
        <v>81.657600000000002</v>
      </c>
      <c r="BO204">
        <v>156.85759999999999</v>
      </c>
      <c r="BP204" t="s">
        <v>522</v>
      </c>
      <c r="BQ204">
        <v>1200</v>
      </c>
      <c r="BR204">
        <v>800</v>
      </c>
      <c r="BS204">
        <v>1060</v>
      </c>
      <c r="BT204">
        <v>0</v>
      </c>
      <c r="BU204">
        <v>1</v>
      </c>
      <c r="BV204">
        <v>1</v>
      </c>
      <c r="BW204">
        <v>32</v>
      </c>
      <c r="BX204">
        <v>0</v>
      </c>
      <c r="BY204">
        <v>32</v>
      </c>
      <c r="BZ204">
        <v>0</v>
      </c>
      <c r="CA204">
        <v>19200</v>
      </c>
      <c r="CB204">
        <v>19200</v>
      </c>
      <c r="CC204">
        <v>81.657600000000002</v>
      </c>
      <c r="CD204" t="s">
        <v>694</v>
      </c>
      <c r="CE204" t="s">
        <v>695</v>
      </c>
      <c r="CG204" t="s">
        <v>421</v>
      </c>
      <c r="CN204" t="str">
        <v>M01</v>
      </c>
      <c r="CO204" t="str">
        <v>1458-1030109EN</v>
      </c>
      <c r="CP204" t="str">
        <v>CSNU7139997</v>
      </c>
      <c r="CQ204" s="23">
        <v>157.80840000000001</v>
      </c>
      <c r="CR204" s="25">
        <f t="shared" si="11"/>
        <v>9.3108800241760159E-3</v>
      </c>
      <c r="CS204" s="21">
        <f t="shared" si="12"/>
        <v>23.277200060440041</v>
      </c>
    </row>
    <row r="205" spans="2:97" x14ac:dyDescent="0.35">
      <c r="B205" t="s">
        <v>3497</v>
      </c>
      <c r="C205" t="s">
        <v>1307</v>
      </c>
      <c r="D205" t="s">
        <v>395</v>
      </c>
      <c r="E205" t="s">
        <v>395</v>
      </c>
      <c r="F205" t="s">
        <v>396</v>
      </c>
      <c r="G205" t="s">
        <v>397</v>
      </c>
      <c r="H205" t="s">
        <v>398</v>
      </c>
      <c r="I205" t="s">
        <v>399</v>
      </c>
      <c r="J205" t="s">
        <v>400</v>
      </c>
      <c r="K205" t="s">
        <v>515</v>
      </c>
      <c r="L205" t="s">
        <v>585</v>
      </c>
      <c r="M205" t="s">
        <v>403</v>
      </c>
      <c r="N205">
        <v>1</v>
      </c>
      <c r="O205">
        <v>1</v>
      </c>
      <c r="P205" t="s">
        <v>707</v>
      </c>
      <c r="Q205" t="s">
        <v>424</v>
      </c>
      <c r="R205" t="s">
        <v>691</v>
      </c>
      <c r="S205" t="s">
        <v>708</v>
      </c>
      <c r="T205" t="s">
        <v>408</v>
      </c>
      <c r="U205">
        <v>50950081106</v>
      </c>
      <c r="W205">
        <v>24000</v>
      </c>
      <c r="X205" t="s">
        <v>409</v>
      </c>
      <c r="Y205" t="s">
        <v>410</v>
      </c>
      <c r="Z205" t="s">
        <v>410</v>
      </c>
      <c r="AA205" t="s">
        <v>411</v>
      </c>
      <c r="AB205" t="s">
        <v>554</v>
      </c>
      <c r="AC205" t="s">
        <v>411</v>
      </c>
      <c r="AD205">
        <v>46090</v>
      </c>
      <c r="AE205">
        <v>46146</v>
      </c>
      <c r="AF205">
        <v>46097</v>
      </c>
      <c r="AG205" t="s">
        <v>590</v>
      </c>
      <c r="AH205">
        <v>6141491</v>
      </c>
      <c r="AI205">
        <v>46094</v>
      </c>
      <c r="AJ205">
        <v>46095</v>
      </c>
      <c r="AK205">
        <v>24000</v>
      </c>
      <c r="AL205" t="s">
        <v>396</v>
      </c>
      <c r="AM205" t="s">
        <v>1308</v>
      </c>
      <c r="AN205">
        <v>46095</v>
      </c>
      <c r="AO205">
        <v>46095.601597222223</v>
      </c>
      <c r="AP205" t="s">
        <v>51</v>
      </c>
      <c r="AQ205">
        <v>6.4299999999999996E-2</v>
      </c>
      <c r="AR205">
        <v>1543.2</v>
      </c>
      <c r="AS205" t="s">
        <v>51</v>
      </c>
      <c r="AT205">
        <v>1543.2</v>
      </c>
      <c r="AU205" t="s">
        <v>415</v>
      </c>
      <c r="AV205" t="s">
        <v>557</v>
      </c>
      <c r="AW205" t="s">
        <v>1272</v>
      </c>
      <c r="AX205">
        <v>46099</v>
      </c>
      <c r="AY205">
        <v>46148</v>
      </c>
      <c r="AZ205" t="s">
        <v>1273</v>
      </c>
      <c r="BA205" t="s">
        <v>1274</v>
      </c>
      <c r="BB205" t="s">
        <v>1275</v>
      </c>
      <c r="BC205">
        <v>750</v>
      </c>
      <c r="BD205" t="s">
        <v>521</v>
      </c>
      <c r="BE205">
        <v>3.3420000000000001</v>
      </c>
      <c r="BF205">
        <v>1.929</v>
      </c>
      <c r="BG205" t="s">
        <v>522</v>
      </c>
      <c r="BH205">
        <v>395</v>
      </c>
      <c r="BI205">
        <v>295</v>
      </c>
      <c r="BJ205">
        <v>150</v>
      </c>
      <c r="BK205">
        <v>48</v>
      </c>
      <c r="BL205" t="s">
        <v>521</v>
      </c>
      <c r="BM205">
        <v>130.94399999999999</v>
      </c>
      <c r="BN205">
        <v>61.728000000000002</v>
      </c>
      <c r="BO205">
        <v>130.94399999999999</v>
      </c>
      <c r="BP205" t="s">
        <v>522</v>
      </c>
      <c r="BQ205">
        <v>1200</v>
      </c>
      <c r="BR205">
        <v>800</v>
      </c>
      <c r="BS205">
        <v>1060</v>
      </c>
      <c r="BT205">
        <v>0</v>
      </c>
      <c r="BU205">
        <v>1</v>
      </c>
      <c r="BV205">
        <v>1</v>
      </c>
      <c r="BW205">
        <v>32</v>
      </c>
      <c r="BX205">
        <v>0</v>
      </c>
      <c r="BY205">
        <v>32</v>
      </c>
      <c r="BZ205">
        <v>0</v>
      </c>
      <c r="CA205">
        <v>24000</v>
      </c>
      <c r="CB205">
        <v>24000</v>
      </c>
      <c r="CC205">
        <v>61.728000000000002</v>
      </c>
      <c r="CD205" t="s">
        <v>694</v>
      </c>
      <c r="CE205" t="s">
        <v>710</v>
      </c>
      <c r="CG205" t="s">
        <v>421</v>
      </c>
      <c r="CN205" t="str">
        <v>M45</v>
      </c>
      <c r="CO205" t="str">
        <v>1339-12C0007EN</v>
      </c>
      <c r="CP205" t="str">
        <v>CSNU7139997</v>
      </c>
      <c r="CQ205" s="23">
        <v>3823.4694</v>
      </c>
      <c r="CR205" s="25">
        <f t="shared" si="11"/>
        <v>0.2255891629311764</v>
      </c>
      <c r="CS205" s="21">
        <f t="shared" si="12"/>
        <v>563.97290732794102</v>
      </c>
    </row>
    <row r="206" spans="2:97" x14ac:dyDescent="0.35">
      <c r="B206" t="s">
        <v>299</v>
      </c>
      <c r="C206" t="s">
        <v>1309</v>
      </c>
      <c r="D206" t="s">
        <v>395</v>
      </c>
      <c r="E206" t="s">
        <v>395</v>
      </c>
      <c r="F206" t="s">
        <v>396</v>
      </c>
      <c r="G206" t="s">
        <v>397</v>
      </c>
      <c r="H206" t="s">
        <v>532</v>
      </c>
      <c r="I206" t="s">
        <v>399</v>
      </c>
      <c r="J206" t="s">
        <v>400</v>
      </c>
      <c r="K206" t="s">
        <v>515</v>
      </c>
      <c r="L206" t="s">
        <v>585</v>
      </c>
      <c r="M206" t="s">
        <v>403</v>
      </c>
      <c r="N206">
        <v>1</v>
      </c>
      <c r="O206">
        <v>1</v>
      </c>
      <c r="P206" t="s">
        <v>1310</v>
      </c>
      <c r="Q206" t="s">
        <v>430</v>
      </c>
      <c r="R206" t="s">
        <v>616</v>
      </c>
      <c r="S206" t="s">
        <v>1311</v>
      </c>
      <c r="T206" t="s">
        <v>408</v>
      </c>
      <c r="U206">
        <v>50950081118</v>
      </c>
      <c r="W206">
        <v>19200</v>
      </c>
      <c r="X206" t="s">
        <v>409</v>
      </c>
      <c r="Y206" t="s">
        <v>410</v>
      </c>
      <c r="Z206" t="s">
        <v>410</v>
      </c>
      <c r="AA206" t="s">
        <v>411</v>
      </c>
      <c r="AB206" t="s">
        <v>554</v>
      </c>
      <c r="AC206" t="s">
        <v>411</v>
      </c>
      <c r="AD206">
        <v>46090</v>
      </c>
      <c r="AE206">
        <v>46146</v>
      </c>
      <c r="AF206">
        <v>46097</v>
      </c>
      <c r="AG206" t="s">
        <v>590</v>
      </c>
      <c r="AH206">
        <v>6141492</v>
      </c>
      <c r="AI206">
        <v>46094</v>
      </c>
      <c r="AJ206">
        <v>46095</v>
      </c>
      <c r="AK206">
        <v>19200</v>
      </c>
      <c r="AL206" t="s">
        <v>396</v>
      </c>
      <c r="AM206" t="s">
        <v>1312</v>
      </c>
      <c r="AN206">
        <v>46095</v>
      </c>
      <c r="AO206">
        <v>46095.601597222223</v>
      </c>
      <c r="AP206" t="s">
        <v>51</v>
      </c>
      <c r="AQ206">
        <v>0.19447</v>
      </c>
      <c r="AR206">
        <v>3733.82</v>
      </c>
      <c r="AS206" t="s">
        <v>51</v>
      </c>
      <c r="AT206">
        <v>3733.82</v>
      </c>
      <c r="AU206" t="s">
        <v>415</v>
      </c>
      <c r="AV206" t="s">
        <v>557</v>
      </c>
      <c r="AW206" t="s">
        <v>1272</v>
      </c>
      <c r="AX206">
        <v>46099</v>
      </c>
      <c r="AY206">
        <v>46148</v>
      </c>
      <c r="AZ206" t="s">
        <v>1273</v>
      </c>
      <c r="BA206" t="s">
        <v>1274</v>
      </c>
      <c r="BB206" t="s">
        <v>1275</v>
      </c>
      <c r="BC206">
        <v>800</v>
      </c>
      <c r="BD206" t="s">
        <v>521</v>
      </c>
      <c r="BE206">
        <v>4.5316000000000001</v>
      </c>
      <c r="BF206">
        <v>2.8616000000000001</v>
      </c>
      <c r="BG206" t="s">
        <v>522</v>
      </c>
      <c r="BH206">
        <v>395</v>
      </c>
      <c r="BI206">
        <v>295</v>
      </c>
      <c r="BJ206">
        <v>150</v>
      </c>
      <c r="BK206">
        <v>48</v>
      </c>
      <c r="BL206" t="s">
        <v>521</v>
      </c>
      <c r="BM206">
        <v>132.75839999999999</v>
      </c>
      <c r="BN206">
        <v>68.678399999999996</v>
      </c>
      <c r="BO206">
        <v>132.75839999999999</v>
      </c>
      <c r="BP206" t="s">
        <v>522</v>
      </c>
      <c r="BQ206">
        <v>1200</v>
      </c>
      <c r="BR206">
        <v>800</v>
      </c>
      <c r="BS206">
        <v>1060</v>
      </c>
      <c r="BT206">
        <v>0</v>
      </c>
      <c r="BU206">
        <v>1</v>
      </c>
      <c r="BV206">
        <v>1</v>
      </c>
      <c r="BW206">
        <v>24</v>
      </c>
      <c r="BX206">
        <v>0</v>
      </c>
      <c r="BY206">
        <v>24</v>
      </c>
      <c r="BZ206">
        <v>0</v>
      </c>
      <c r="CA206">
        <v>19200</v>
      </c>
      <c r="CB206">
        <v>19200</v>
      </c>
      <c r="CC206">
        <v>68.678399999999996</v>
      </c>
      <c r="CD206" t="s">
        <v>694</v>
      </c>
      <c r="CE206" t="s">
        <v>701</v>
      </c>
      <c r="CG206" t="s">
        <v>421</v>
      </c>
      <c r="CN206" t="str">
        <v>M45</v>
      </c>
      <c r="CO206" t="str">
        <v>1339-12C0008EN</v>
      </c>
      <c r="CP206" t="str">
        <v>CSNU7139997</v>
      </c>
      <c r="CQ206" s="23">
        <v>3830.7269999999999</v>
      </c>
      <c r="CR206" s="25">
        <f t="shared" si="11"/>
        <v>0.22601736981283452</v>
      </c>
      <c r="CS206" s="21">
        <f t="shared" si="12"/>
        <v>565.04342453208631</v>
      </c>
    </row>
    <row r="207" spans="2:97" x14ac:dyDescent="0.35">
      <c r="B207" t="s">
        <v>299</v>
      </c>
      <c r="C207" t="s">
        <v>1313</v>
      </c>
      <c r="D207" t="s">
        <v>395</v>
      </c>
      <c r="E207" t="s">
        <v>395</v>
      </c>
      <c r="F207" t="s">
        <v>396</v>
      </c>
      <c r="G207" t="s">
        <v>397</v>
      </c>
      <c r="H207" t="s">
        <v>532</v>
      </c>
      <c r="I207" t="s">
        <v>399</v>
      </c>
      <c r="J207" t="s">
        <v>400</v>
      </c>
      <c r="K207" t="s">
        <v>607</v>
      </c>
      <c r="L207" t="s">
        <v>585</v>
      </c>
      <c r="M207" t="s">
        <v>403</v>
      </c>
      <c r="N207">
        <v>1</v>
      </c>
      <c r="O207">
        <v>1</v>
      </c>
      <c r="P207" t="s">
        <v>1314</v>
      </c>
      <c r="Q207" t="s">
        <v>430</v>
      </c>
      <c r="R207" t="s">
        <v>1315</v>
      </c>
      <c r="S207" t="s">
        <v>1316</v>
      </c>
      <c r="T207" t="s">
        <v>408</v>
      </c>
      <c r="U207">
        <v>50950081134</v>
      </c>
      <c r="W207">
        <v>13500</v>
      </c>
      <c r="X207" t="s">
        <v>409</v>
      </c>
      <c r="Y207" t="s">
        <v>410</v>
      </c>
      <c r="Z207" t="s">
        <v>410</v>
      </c>
      <c r="AA207" t="s">
        <v>411</v>
      </c>
      <c r="AB207" t="s">
        <v>554</v>
      </c>
      <c r="AC207" t="s">
        <v>411</v>
      </c>
      <c r="AD207">
        <v>46090</v>
      </c>
      <c r="AE207">
        <v>46146</v>
      </c>
      <c r="AF207">
        <v>46097</v>
      </c>
      <c r="AG207" t="s">
        <v>590</v>
      </c>
      <c r="AH207">
        <v>6141493</v>
      </c>
      <c r="AI207">
        <v>46094</v>
      </c>
      <c r="AJ207">
        <v>46095</v>
      </c>
      <c r="AK207">
        <v>13500</v>
      </c>
      <c r="AL207" t="s">
        <v>396</v>
      </c>
      <c r="AM207" t="s">
        <v>1317</v>
      </c>
      <c r="AN207">
        <v>46095</v>
      </c>
      <c r="AO207">
        <v>46095.601597222223</v>
      </c>
      <c r="AP207" t="s">
        <v>51</v>
      </c>
      <c r="AQ207">
        <v>0.10399</v>
      </c>
      <c r="AR207">
        <v>1403.88</v>
      </c>
      <c r="AS207" t="s">
        <v>51</v>
      </c>
      <c r="AT207">
        <v>1403.88</v>
      </c>
      <c r="AU207" t="s">
        <v>415</v>
      </c>
      <c r="AV207" t="s">
        <v>557</v>
      </c>
      <c r="AW207" t="s">
        <v>1272</v>
      </c>
      <c r="AX207">
        <v>46099</v>
      </c>
      <c r="AY207">
        <v>46148</v>
      </c>
      <c r="AZ207" t="s">
        <v>1273</v>
      </c>
      <c r="BA207" t="s">
        <v>1274</v>
      </c>
      <c r="BB207" t="s">
        <v>1275</v>
      </c>
      <c r="BC207">
        <v>1500</v>
      </c>
      <c r="BD207" t="s">
        <v>521</v>
      </c>
      <c r="BE207">
        <v>9.6994000000000007</v>
      </c>
      <c r="BF207">
        <v>9.1484000000000005</v>
      </c>
      <c r="BG207" t="s">
        <v>522</v>
      </c>
      <c r="BH207">
        <v>368</v>
      </c>
      <c r="BI207">
        <v>257</v>
      </c>
      <c r="BJ207">
        <v>136</v>
      </c>
      <c r="BK207">
        <v>27</v>
      </c>
      <c r="BL207" t="s">
        <v>521</v>
      </c>
      <c r="BM207">
        <v>116.29415</v>
      </c>
      <c r="BN207">
        <v>82.335149999999999</v>
      </c>
      <c r="BO207">
        <v>116.29415</v>
      </c>
      <c r="BP207" t="s">
        <v>522</v>
      </c>
      <c r="BQ207">
        <v>1140</v>
      </c>
      <c r="BR207">
        <v>800</v>
      </c>
      <c r="BS207">
        <v>565</v>
      </c>
      <c r="BT207">
        <v>0</v>
      </c>
      <c r="BU207">
        <v>1</v>
      </c>
      <c r="BV207">
        <v>1</v>
      </c>
      <c r="BW207">
        <v>9</v>
      </c>
      <c r="BX207">
        <v>0</v>
      </c>
      <c r="BY207">
        <v>9</v>
      </c>
      <c r="BZ207">
        <v>0</v>
      </c>
      <c r="CA207">
        <v>13500</v>
      </c>
      <c r="CB207">
        <v>13500</v>
      </c>
      <c r="CC207">
        <v>82.335149999999999</v>
      </c>
      <c r="CD207" t="s">
        <v>1318</v>
      </c>
      <c r="CE207" t="s">
        <v>1319</v>
      </c>
      <c r="CG207" t="s">
        <v>421</v>
      </c>
      <c r="CN207" t="str">
        <v>M01</v>
      </c>
      <c r="CO207" t="str">
        <v>1458-1030121EN</v>
      </c>
      <c r="CP207" t="str">
        <v>CSNU7139997</v>
      </c>
      <c r="CQ207" s="23">
        <v>311.44080000000002</v>
      </c>
      <c r="CR207" s="25">
        <f t="shared" si="11"/>
        <v>1.8375371168032867E-2</v>
      </c>
      <c r="CS207" s="21">
        <f t="shared" si="12"/>
        <v>45.938427920082169</v>
      </c>
    </row>
    <row r="208" spans="2:97" x14ac:dyDescent="0.35">
      <c r="B208" t="s">
        <v>3497</v>
      </c>
      <c r="C208" t="s">
        <v>1320</v>
      </c>
      <c r="D208" t="s">
        <v>395</v>
      </c>
      <c r="E208" t="s">
        <v>395</v>
      </c>
      <c r="F208" t="s">
        <v>396</v>
      </c>
      <c r="G208" t="s">
        <v>397</v>
      </c>
      <c r="H208" t="s">
        <v>398</v>
      </c>
      <c r="I208" t="s">
        <v>399</v>
      </c>
      <c r="J208" t="s">
        <v>400</v>
      </c>
      <c r="K208" t="s">
        <v>515</v>
      </c>
      <c r="L208" t="s">
        <v>585</v>
      </c>
      <c r="M208" t="s">
        <v>403</v>
      </c>
      <c r="N208">
        <v>1</v>
      </c>
      <c r="O208">
        <v>1</v>
      </c>
      <c r="P208" t="s">
        <v>1321</v>
      </c>
      <c r="Q208" t="s">
        <v>424</v>
      </c>
      <c r="R208" t="s">
        <v>691</v>
      </c>
      <c r="S208" t="s">
        <v>1322</v>
      </c>
      <c r="T208" t="s">
        <v>408</v>
      </c>
      <c r="U208">
        <v>50950081135</v>
      </c>
      <c r="W208">
        <v>9000</v>
      </c>
      <c r="X208" t="s">
        <v>409</v>
      </c>
      <c r="Y208" t="s">
        <v>410</v>
      </c>
      <c r="Z208" t="s">
        <v>410</v>
      </c>
      <c r="AA208" t="s">
        <v>411</v>
      </c>
      <c r="AB208" t="s">
        <v>554</v>
      </c>
      <c r="AC208" t="s">
        <v>411</v>
      </c>
      <c r="AD208">
        <v>46090</v>
      </c>
      <c r="AE208">
        <v>46146</v>
      </c>
      <c r="AF208">
        <v>46097</v>
      </c>
      <c r="AG208" t="s">
        <v>590</v>
      </c>
      <c r="AH208">
        <v>6141494</v>
      </c>
      <c r="AI208">
        <v>46094</v>
      </c>
      <c r="AJ208">
        <v>46095</v>
      </c>
      <c r="AK208">
        <v>9000</v>
      </c>
      <c r="AL208" t="s">
        <v>396</v>
      </c>
      <c r="AM208" t="s">
        <v>1323</v>
      </c>
      <c r="AN208">
        <v>46095</v>
      </c>
      <c r="AO208">
        <v>46095.601597222223</v>
      </c>
      <c r="AP208" t="s">
        <v>51</v>
      </c>
      <c r="AQ208">
        <v>5.6279999999999997E-2</v>
      </c>
      <c r="AR208">
        <v>506.52</v>
      </c>
      <c r="AS208" t="s">
        <v>51</v>
      </c>
      <c r="AT208">
        <v>506.52</v>
      </c>
      <c r="AU208" t="s">
        <v>415</v>
      </c>
      <c r="AV208" t="s">
        <v>557</v>
      </c>
      <c r="AW208" t="s">
        <v>1272</v>
      </c>
      <c r="AX208">
        <v>46099</v>
      </c>
      <c r="AY208">
        <v>46148</v>
      </c>
      <c r="AZ208" t="s">
        <v>1273</v>
      </c>
      <c r="BA208" t="s">
        <v>1274</v>
      </c>
      <c r="BB208" t="s">
        <v>1275</v>
      </c>
      <c r="BC208">
        <v>900</v>
      </c>
      <c r="BD208" t="s">
        <v>521</v>
      </c>
      <c r="BE208">
        <v>3.0463</v>
      </c>
      <c r="BF208">
        <v>1.4462999999999999</v>
      </c>
      <c r="BG208" t="s">
        <v>522</v>
      </c>
      <c r="BH208">
        <v>395</v>
      </c>
      <c r="BI208">
        <v>295</v>
      </c>
      <c r="BJ208">
        <v>150</v>
      </c>
      <c r="BK208">
        <v>48</v>
      </c>
      <c r="BL208" t="s">
        <v>521</v>
      </c>
      <c r="BM208">
        <v>54.463000000000001</v>
      </c>
      <c r="BN208">
        <v>14.462999999999999</v>
      </c>
      <c r="BO208">
        <v>54.463000000000001</v>
      </c>
      <c r="BP208" t="s">
        <v>522</v>
      </c>
      <c r="BQ208">
        <v>1200</v>
      </c>
      <c r="BR208">
        <v>800</v>
      </c>
      <c r="BS208">
        <v>1060</v>
      </c>
      <c r="BT208">
        <v>0</v>
      </c>
      <c r="BU208">
        <v>1</v>
      </c>
      <c r="BV208">
        <v>1</v>
      </c>
      <c r="BW208">
        <v>10</v>
      </c>
      <c r="BX208">
        <v>0</v>
      </c>
      <c r="BY208">
        <v>10</v>
      </c>
      <c r="BZ208">
        <v>0</v>
      </c>
      <c r="CA208">
        <v>9000</v>
      </c>
      <c r="CB208">
        <v>9000</v>
      </c>
      <c r="CC208">
        <v>14.462999999999999</v>
      </c>
      <c r="CD208" t="s">
        <v>694</v>
      </c>
      <c r="CE208" t="s">
        <v>695</v>
      </c>
      <c r="CG208" t="s">
        <v>421</v>
      </c>
      <c r="CN208" t="str">
        <v>M19</v>
      </c>
      <c r="CO208" t="str">
        <v>1220-5YY0030EN</v>
      </c>
      <c r="CP208" t="str">
        <v>CSNU7460163</v>
      </c>
      <c r="CQ208" s="23">
        <v>479.39954999999998</v>
      </c>
      <c r="CR208" s="25">
        <f t="shared" si="11"/>
        <v>2.868271233809977E-2</v>
      </c>
      <c r="CS208" s="21">
        <f t="shared" si="12"/>
        <v>71.706780845249426</v>
      </c>
    </row>
    <row r="209" spans="2:97" x14ac:dyDescent="0.35">
      <c r="B209" t="s">
        <v>3497</v>
      </c>
      <c r="C209" t="s">
        <v>1324</v>
      </c>
      <c r="D209" t="s">
        <v>395</v>
      </c>
      <c r="E209" t="s">
        <v>395</v>
      </c>
      <c r="F209" t="s">
        <v>396</v>
      </c>
      <c r="G209" t="s">
        <v>397</v>
      </c>
      <c r="H209" t="s">
        <v>398</v>
      </c>
      <c r="I209" t="s">
        <v>399</v>
      </c>
      <c r="J209" t="s">
        <v>400</v>
      </c>
      <c r="K209" t="s">
        <v>515</v>
      </c>
      <c r="L209" t="s">
        <v>585</v>
      </c>
      <c r="M209" t="s">
        <v>403</v>
      </c>
      <c r="N209">
        <v>1</v>
      </c>
      <c r="O209">
        <v>1</v>
      </c>
      <c r="P209" t="s">
        <v>712</v>
      </c>
      <c r="Q209" t="s">
        <v>424</v>
      </c>
      <c r="R209" t="s">
        <v>691</v>
      </c>
      <c r="S209" t="s">
        <v>713</v>
      </c>
      <c r="T209" t="s">
        <v>408</v>
      </c>
      <c r="U209">
        <v>50950081141</v>
      </c>
      <c r="W209">
        <v>7200</v>
      </c>
      <c r="X209" t="s">
        <v>409</v>
      </c>
      <c r="Y209" t="s">
        <v>410</v>
      </c>
      <c r="Z209" t="s">
        <v>410</v>
      </c>
      <c r="AA209" t="s">
        <v>411</v>
      </c>
      <c r="AB209" t="s">
        <v>554</v>
      </c>
      <c r="AC209" t="s">
        <v>411</v>
      </c>
      <c r="AD209">
        <v>46090</v>
      </c>
      <c r="AE209">
        <v>46146</v>
      </c>
      <c r="AF209">
        <v>46097</v>
      </c>
      <c r="AG209" t="s">
        <v>590</v>
      </c>
      <c r="AH209">
        <v>6141495</v>
      </c>
      <c r="AI209">
        <v>46094</v>
      </c>
      <c r="AJ209">
        <v>46095</v>
      </c>
      <c r="AK209">
        <v>7200</v>
      </c>
      <c r="AL209" t="s">
        <v>396</v>
      </c>
      <c r="AM209" t="s">
        <v>1325</v>
      </c>
      <c r="AN209">
        <v>46095</v>
      </c>
      <c r="AO209">
        <v>46095.601597222223</v>
      </c>
      <c r="AP209" t="s">
        <v>51</v>
      </c>
      <c r="AQ209">
        <v>4.6089999999999999E-2</v>
      </c>
      <c r="AR209">
        <v>331.85</v>
      </c>
      <c r="AS209" t="s">
        <v>51</v>
      </c>
      <c r="AT209">
        <v>331.85</v>
      </c>
      <c r="AU209" t="s">
        <v>415</v>
      </c>
      <c r="AV209" t="s">
        <v>557</v>
      </c>
      <c r="AW209" t="s">
        <v>1272</v>
      </c>
      <c r="AX209">
        <v>46099</v>
      </c>
      <c r="AY209">
        <v>46148</v>
      </c>
      <c r="AZ209" t="s">
        <v>1273</v>
      </c>
      <c r="BA209" t="s">
        <v>1274</v>
      </c>
      <c r="BB209" t="s">
        <v>1275</v>
      </c>
      <c r="BC209">
        <v>900</v>
      </c>
      <c r="BD209" t="s">
        <v>521</v>
      </c>
      <c r="BE209">
        <v>2.7673000000000001</v>
      </c>
      <c r="BF209">
        <v>1.1673</v>
      </c>
      <c r="BG209" t="s">
        <v>522</v>
      </c>
      <c r="BH209">
        <v>395</v>
      </c>
      <c r="BI209">
        <v>295</v>
      </c>
      <c r="BJ209">
        <v>150</v>
      </c>
      <c r="BK209">
        <v>48</v>
      </c>
      <c r="BL209" t="s">
        <v>521</v>
      </c>
      <c r="BM209">
        <v>46.138399999999997</v>
      </c>
      <c r="BN209">
        <v>9.3384</v>
      </c>
      <c r="BO209">
        <v>46.138399999999997</v>
      </c>
      <c r="BP209" t="s">
        <v>522</v>
      </c>
      <c r="BQ209">
        <v>1200</v>
      </c>
      <c r="BR209">
        <v>800</v>
      </c>
      <c r="BS209">
        <v>1060</v>
      </c>
      <c r="BT209">
        <v>0</v>
      </c>
      <c r="BU209">
        <v>1</v>
      </c>
      <c r="BV209">
        <v>1</v>
      </c>
      <c r="BW209">
        <v>8</v>
      </c>
      <c r="BX209">
        <v>0</v>
      </c>
      <c r="BY209">
        <v>8</v>
      </c>
      <c r="BZ209">
        <v>0</v>
      </c>
      <c r="CA209">
        <v>7200</v>
      </c>
      <c r="CB209">
        <v>7200</v>
      </c>
      <c r="CC209">
        <v>9.3384</v>
      </c>
      <c r="CD209" t="s">
        <v>694</v>
      </c>
      <c r="CE209" t="s">
        <v>695</v>
      </c>
      <c r="CG209" t="s">
        <v>421</v>
      </c>
      <c r="CN209" t="str">
        <v>M01</v>
      </c>
      <c r="CO209" t="str">
        <v>1200-1030990EN0002</v>
      </c>
      <c r="CP209" t="str">
        <v>CSNU7460163</v>
      </c>
      <c r="CQ209" s="23">
        <v>288.08640000000003</v>
      </c>
      <c r="CR209" s="25">
        <f t="shared" si="11"/>
        <v>1.7236351890023149E-2</v>
      </c>
      <c r="CS209" s="21">
        <f t="shared" si="12"/>
        <v>43.090879725057874</v>
      </c>
    </row>
    <row r="210" spans="2:97" x14ac:dyDescent="0.35">
      <c r="B210" t="s">
        <v>299</v>
      </c>
      <c r="C210" t="s">
        <v>1326</v>
      </c>
      <c r="D210" t="s">
        <v>395</v>
      </c>
      <c r="E210" t="s">
        <v>395</v>
      </c>
      <c r="F210" t="s">
        <v>396</v>
      </c>
      <c r="G210" t="s">
        <v>397</v>
      </c>
      <c r="H210" t="s">
        <v>532</v>
      </c>
      <c r="I210" t="s">
        <v>399</v>
      </c>
      <c r="J210" t="s">
        <v>400</v>
      </c>
      <c r="K210" t="s">
        <v>515</v>
      </c>
      <c r="L210" t="s">
        <v>585</v>
      </c>
      <c r="M210" t="s">
        <v>403</v>
      </c>
      <c r="N210">
        <v>1</v>
      </c>
      <c r="O210">
        <v>1</v>
      </c>
      <c r="P210" t="s">
        <v>1327</v>
      </c>
      <c r="Q210" t="s">
        <v>430</v>
      </c>
      <c r="R210" t="s">
        <v>616</v>
      </c>
      <c r="S210" t="s">
        <v>1328</v>
      </c>
      <c r="T210" t="s">
        <v>408</v>
      </c>
      <c r="U210">
        <v>50950081151</v>
      </c>
      <c r="W210">
        <v>25200</v>
      </c>
      <c r="X210" t="s">
        <v>409</v>
      </c>
      <c r="Y210" t="s">
        <v>410</v>
      </c>
      <c r="Z210" t="s">
        <v>410</v>
      </c>
      <c r="AA210" t="s">
        <v>411</v>
      </c>
      <c r="AB210" t="s">
        <v>554</v>
      </c>
      <c r="AC210" t="s">
        <v>411</v>
      </c>
      <c r="AD210">
        <v>46090</v>
      </c>
      <c r="AE210">
        <v>46146</v>
      </c>
      <c r="AF210">
        <v>46097</v>
      </c>
      <c r="AG210" t="s">
        <v>590</v>
      </c>
      <c r="AH210">
        <v>6141496</v>
      </c>
      <c r="AI210">
        <v>46094</v>
      </c>
      <c r="AJ210">
        <v>46095</v>
      </c>
      <c r="AK210">
        <v>25200</v>
      </c>
      <c r="AL210" t="s">
        <v>396</v>
      </c>
      <c r="AM210" t="s">
        <v>1329</v>
      </c>
      <c r="AN210">
        <v>46095</v>
      </c>
      <c r="AO210">
        <v>46095.601597222223</v>
      </c>
      <c r="AP210" t="s">
        <v>51</v>
      </c>
      <c r="AQ210">
        <v>0.25901000000000002</v>
      </c>
      <c r="AR210">
        <v>6527.05</v>
      </c>
      <c r="AS210" t="s">
        <v>51</v>
      </c>
      <c r="AT210">
        <v>6527.05</v>
      </c>
      <c r="AU210" t="s">
        <v>415</v>
      </c>
      <c r="AV210" t="s">
        <v>557</v>
      </c>
      <c r="AW210" t="s">
        <v>1272</v>
      </c>
      <c r="AX210">
        <v>46099</v>
      </c>
      <c r="AY210">
        <v>46148</v>
      </c>
      <c r="AZ210" t="s">
        <v>1273</v>
      </c>
      <c r="BA210" t="s">
        <v>1274</v>
      </c>
      <c r="BB210" t="s">
        <v>1275</v>
      </c>
      <c r="BC210">
        <v>600</v>
      </c>
      <c r="BD210" t="s">
        <v>521</v>
      </c>
      <c r="BE210">
        <v>4.3798000000000004</v>
      </c>
      <c r="BF210">
        <v>2.7797999999999998</v>
      </c>
      <c r="BG210" t="s">
        <v>522</v>
      </c>
      <c r="BH210">
        <v>395</v>
      </c>
      <c r="BI210">
        <v>295</v>
      </c>
      <c r="BJ210">
        <v>150</v>
      </c>
      <c r="BK210">
        <v>48</v>
      </c>
      <c r="BL210" t="s">
        <v>521</v>
      </c>
      <c r="BM210">
        <v>207.95160000000001</v>
      </c>
      <c r="BN210">
        <v>116.7516</v>
      </c>
      <c r="BO210">
        <v>207.95160000000001</v>
      </c>
      <c r="BP210" t="s">
        <v>522</v>
      </c>
      <c r="BQ210">
        <v>1200</v>
      </c>
      <c r="BR210">
        <v>800</v>
      </c>
      <c r="BS210">
        <v>1060</v>
      </c>
      <c r="BT210">
        <v>0</v>
      </c>
      <c r="BU210">
        <v>1</v>
      </c>
      <c r="BV210">
        <v>1</v>
      </c>
      <c r="BW210">
        <v>42</v>
      </c>
      <c r="BX210">
        <v>0</v>
      </c>
      <c r="BY210">
        <v>42</v>
      </c>
      <c r="BZ210">
        <v>0</v>
      </c>
      <c r="CA210">
        <v>25200</v>
      </c>
      <c r="CB210">
        <v>25200</v>
      </c>
      <c r="CC210">
        <v>116.7516</v>
      </c>
      <c r="CD210" t="s">
        <v>694</v>
      </c>
      <c r="CE210" t="s">
        <v>695</v>
      </c>
      <c r="CG210" t="s">
        <v>421</v>
      </c>
      <c r="CN210" t="str">
        <v>M19</v>
      </c>
      <c r="CO210" t="str">
        <v>1275-5YY0783EN</v>
      </c>
      <c r="CP210" t="str">
        <v>CSNU7460163</v>
      </c>
      <c r="CQ210" s="23">
        <v>297.4692</v>
      </c>
      <c r="CR210" s="25">
        <f t="shared" si="11"/>
        <v>1.7797729457703221E-2</v>
      </c>
      <c r="CS210" s="21">
        <f t="shared" si="12"/>
        <v>44.494323644258053</v>
      </c>
    </row>
    <row r="211" spans="2:97" x14ac:dyDescent="0.35">
      <c r="B211" t="s">
        <v>3497</v>
      </c>
      <c r="C211" t="s">
        <v>1330</v>
      </c>
      <c r="D211" t="s">
        <v>395</v>
      </c>
      <c r="E211" t="s">
        <v>395</v>
      </c>
      <c r="F211" t="s">
        <v>396</v>
      </c>
      <c r="G211" t="s">
        <v>397</v>
      </c>
      <c r="H211" t="s">
        <v>398</v>
      </c>
      <c r="I211" t="s">
        <v>399</v>
      </c>
      <c r="J211" t="s">
        <v>400</v>
      </c>
      <c r="K211" t="s">
        <v>515</v>
      </c>
      <c r="L211" t="s">
        <v>585</v>
      </c>
      <c r="M211" t="s">
        <v>403</v>
      </c>
      <c r="N211">
        <v>1</v>
      </c>
      <c r="O211">
        <v>1</v>
      </c>
      <c r="P211" t="s">
        <v>703</v>
      </c>
      <c r="Q211" t="s">
        <v>424</v>
      </c>
      <c r="R211" t="s">
        <v>691</v>
      </c>
      <c r="S211" t="s">
        <v>704</v>
      </c>
      <c r="T211" t="s">
        <v>408</v>
      </c>
      <c r="U211">
        <v>50950081163</v>
      </c>
      <c r="W211">
        <v>14400</v>
      </c>
      <c r="X211" t="s">
        <v>409</v>
      </c>
      <c r="Y211" t="s">
        <v>410</v>
      </c>
      <c r="Z211" t="s">
        <v>410</v>
      </c>
      <c r="AA211" t="s">
        <v>411</v>
      </c>
      <c r="AB211" t="s">
        <v>554</v>
      </c>
      <c r="AC211" t="s">
        <v>411</v>
      </c>
      <c r="AD211">
        <v>46090</v>
      </c>
      <c r="AE211">
        <v>46146</v>
      </c>
      <c r="AF211">
        <v>46097</v>
      </c>
      <c r="AG211" t="s">
        <v>590</v>
      </c>
      <c r="AH211">
        <v>6141497</v>
      </c>
      <c r="AI211">
        <v>46094</v>
      </c>
      <c r="AJ211">
        <v>46095</v>
      </c>
      <c r="AK211">
        <v>14400</v>
      </c>
      <c r="AL211" t="s">
        <v>396</v>
      </c>
      <c r="AM211" t="s">
        <v>1331</v>
      </c>
      <c r="AN211">
        <v>46095</v>
      </c>
      <c r="AO211">
        <v>46095.601597222223</v>
      </c>
      <c r="AP211" t="s">
        <v>51</v>
      </c>
      <c r="AQ211">
        <v>5.4330000000000003E-2</v>
      </c>
      <c r="AR211">
        <v>782.36</v>
      </c>
      <c r="AS211" t="s">
        <v>51</v>
      </c>
      <c r="AT211">
        <v>782.36</v>
      </c>
      <c r="AU211" t="s">
        <v>415</v>
      </c>
      <c r="AV211" t="s">
        <v>557</v>
      </c>
      <c r="AW211" t="s">
        <v>1272</v>
      </c>
      <c r="AX211">
        <v>46099</v>
      </c>
      <c r="AY211">
        <v>46148</v>
      </c>
      <c r="AZ211" t="s">
        <v>1273</v>
      </c>
      <c r="BA211" t="s">
        <v>1274</v>
      </c>
      <c r="BB211" t="s">
        <v>1275</v>
      </c>
      <c r="BC211">
        <v>900</v>
      </c>
      <c r="BD211" t="s">
        <v>521</v>
      </c>
      <c r="BE211">
        <v>2.9651000000000001</v>
      </c>
      <c r="BF211">
        <v>1.2950999999999999</v>
      </c>
      <c r="BG211" t="s">
        <v>522</v>
      </c>
      <c r="BH211">
        <v>395</v>
      </c>
      <c r="BI211">
        <v>295</v>
      </c>
      <c r="BJ211">
        <v>150</v>
      </c>
      <c r="BK211">
        <v>8</v>
      </c>
      <c r="BL211" t="s">
        <v>521</v>
      </c>
      <c r="BM211">
        <v>31.720800000000001</v>
      </c>
      <c r="BN211">
        <v>10.360799999999999</v>
      </c>
      <c r="BO211">
        <v>63.441600000000001</v>
      </c>
      <c r="BP211" t="s">
        <v>522</v>
      </c>
      <c r="BQ211">
        <v>800</v>
      </c>
      <c r="BR211">
        <v>300</v>
      </c>
      <c r="BS211">
        <v>760</v>
      </c>
      <c r="BT211">
        <v>2</v>
      </c>
      <c r="BU211">
        <v>0</v>
      </c>
      <c r="BV211">
        <v>2</v>
      </c>
      <c r="BW211">
        <v>16</v>
      </c>
      <c r="BX211">
        <v>0</v>
      </c>
      <c r="BY211">
        <v>16</v>
      </c>
      <c r="BZ211">
        <v>14400</v>
      </c>
      <c r="CA211">
        <v>0</v>
      </c>
      <c r="CB211">
        <v>14400</v>
      </c>
      <c r="CC211">
        <v>20.721599999999999</v>
      </c>
      <c r="CD211" t="s">
        <v>700</v>
      </c>
      <c r="CE211" t="s">
        <v>701</v>
      </c>
      <c r="CG211" t="s">
        <v>421</v>
      </c>
      <c r="CN211" t="str">
        <v>M46</v>
      </c>
      <c r="CO211" t="str">
        <v>1415-EQN0006EN</v>
      </c>
      <c r="CP211" t="str">
        <v>CSNU7460163</v>
      </c>
      <c r="CQ211" s="23">
        <v>325.00304999999997</v>
      </c>
      <c r="CR211" s="25">
        <f t="shared" si="11"/>
        <v>1.944509333009398E-2</v>
      </c>
      <c r="CS211" s="21">
        <f t="shared" si="12"/>
        <v>48.612733325234949</v>
      </c>
    </row>
    <row r="212" spans="2:97" x14ac:dyDescent="0.35">
      <c r="B212" t="s">
        <v>3497</v>
      </c>
      <c r="C212" t="s">
        <v>1332</v>
      </c>
      <c r="D212" t="s">
        <v>395</v>
      </c>
      <c r="E212" t="s">
        <v>395</v>
      </c>
      <c r="F212" t="s">
        <v>396</v>
      </c>
      <c r="G212" t="s">
        <v>397</v>
      </c>
      <c r="H212" t="s">
        <v>398</v>
      </c>
      <c r="I212" t="s">
        <v>399</v>
      </c>
      <c r="J212" t="s">
        <v>400</v>
      </c>
      <c r="K212" t="s">
        <v>515</v>
      </c>
      <c r="L212" t="s">
        <v>585</v>
      </c>
      <c r="M212" t="s">
        <v>403</v>
      </c>
      <c r="N212">
        <v>1</v>
      </c>
      <c r="O212">
        <v>1</v>
      </c>
      <c r="P212" t="s">
        <v>1333</v>
      </c>
      <c r="Q212" t="s">
        <v>424</v>
      </c>
      <c r="R212" t="s">
        <v>691</v>
      </c>
      <c r="S212" t="s">
        <v>1334</v>
      </c>
      <c r="T212" t="s">
        <v>408</v>
      </c>
      <c r="U212">
        <v>50950081175</v>
      </c>
      <c r="W212">
        <v>6000</v>
      </c>
      <c r="X212" t="s">
        <v>409</v>
      </c>
      <c r="Y212" t="s">
        <v>410</v>
      </c>
      <c r="Z212" t="s">
        <v>410</v>
      </c>
      <c r="AA212" t="s">
        <v>411</v>
      </c>
      <c r="AB212" t="s">
        <v>554</v>
      </c>
      <c r="AC212" t="s">
        <v>411</v>
      </c>
      <c r="AD212">
        <v>46090</v>
      </c>
      <c r="AE212">
        <v>46146</v>
      </c>
      <c r="AF212">
        <v>46097</v>
      </c>
      <c r="AG212" t="s">
        <v>590</v>
      </c>
      <c r="AH212">
        <v>6141498</v>
      </c>
      <c r="AI212">
        <v>46094</v>
      </c>
      <c r="AJ212">
        <v>46095</v>
      </c>
      <c r="AK212">
        <v>6000</v>
      </c>
      <c r="AL212" t="s">
        <v>396</v>
      </c>
      <c r="AM212" t="s">
        <v>1335</v>
      </c>
      <c r="AN212">
        <v>46095</v>
      </c>
      <c r="AO212">
        <v>46095.601597222223</v>
      </c>
      <c r="AP212" t="s">
        <v>51</v>
      </c>
      <c r="AQ212">
        <v>6.9720000000000004E-2</v>
      </c>
      <c r="AR212">
        <v>418.32</v>
      </c>
      <c r="AS212" t="s">
        <v>51</v>
      </c>
      <c r="AT212">
        <v>418.32</v>
      </c>
      <c r="AU212" t="s">
        <v>415</v>
      </c>
      <c r="AV212" t="s">
        <v>557</v>
      </c>
      <c r="AW212" t="s">
        <v>1272</v>
      </c>
      <c r="AX212">
        <v>46099</v>
      </c>
      <c r="AY212">
        <v>46148</v>
      </c>
      <c r="AZ212" t="s">
        <v>1273</v>
      </c>
      <c r="BA212" t="s">
        <v>1274</v>
      </c>
      <c r="BB212" t="s">
        <v>1275</v>
      </c>
      <c r="BC212">
        <v>750</v>
      </c>
      <c r="BD212" t="s">
        <v>521</v>
      </c>
      <c r="BE212">
        <v>3.2120000000000002</v>
      </c>
      <c r="BF212">
        <v>1.782</v>
      </c>
      <c r="BG212" t="s">
        <v>522</v>
      </c>
      <c r="BH212">
        <v>395</v>
      </c>
      <c r="BI212">
        <v>295</v>
      </c>
      <c r="BJ212">
        <v>150</v>
      </c>
      <c r="BK212">
        <v>8</v>
      </c>
      <c r="BL212" t="s">
        <v>521</v>
      </c>
      <c r="BM212">
        <v>33.695999999999998</v>
      </c>
      <c r="BN212">
        <v>14.256</v>
      </c>
      <c r="BO212">
        <v>33.695999999999998</v>
      </c>
      <c r="BP212" t="s">
        <v>522</v>
      </c>
      <c r="BQ212">
        <v>800</v>
      </c>
      <c r="BR212">
        <v>300</v>
      </c>
      <c r="BS212">
        <v>760</v>
      </c>
      <c r="BT212">
        <v>1</v>
      </c>
      <c r="BU212">
        <v>0</v>
      </c>
      <c r="BV212">
        <v>1</v>
      </c>
      <c r="BW212">
        <v>8</v>
      </c>
      <c r="BX212">
        <v>0</v>
      </c>
      <c r="BY212">
        <v>8</v>
      </c>
      <c r="BZ212">
        <v>6000</v>
      </c>
      <c r="CA212">
        <v>0</v>
      </c>
      <c r="CB212">
        <v>6000</v>
      </c>
      <c r="CC212">
        <v>14.256</v>
      </c>
      <c r="CD212" t="s">
        <v>700</v>
      </c>
      <c r="CE212" t="s">
        <v>1336</v>
      </c>
      <c r="CG212" t="s">
        <v>421</v>
      </c>
      <c r="CN212" t="str">
        <v>M45</v>
      </c>
      <c r="CO212" t="str">
        <v>1301-12C0022EN</v>
      </c>
      <c r="CP212" t="str">
        <v>CSNU7460163</v>
      </c>
      <c r="CQ212" s="23">
        <v>1231.232</v>
      </c>
      <c r="CR212" s="25">
        <f t="shared" si="11"/>
        <v>7.3665219914084729E-2</v>
      </c>
      <c r="CS212" s="21">
        <f t="shared" si="12"/>
        <v>184.16304978521183</v>
      </c>
    </row>
    <row r="213" spans="2:97" x14ac:dyDescent="0.35">
      <c r="B213" t="s">
        <v>295</v>
      </c>
      <c r="C213" t="s">
        <v>1337</v>
      </c>
      <c r="D213" t="s">
        <v>395</v>
      </c>
      <c r="E213" t="s">
        <v>395</v>
      </c>
      <c r="F213" t="s">
        <v>396</v>
      </c>
      <c r="G213" t="s">
        <v>397</v>
      </c>
      <c r="H213" t="s">
        <v>398</v>
      </c>
      <c r="I213" t="s">
        <v>399</v>
      </c>
      <c r="J213" t="s">
        <v>400</v>
      </c>
      <c r="K213" t="s">
        <v>515</v>
      </c>
      <c r="L213" t="s">
        <v>585</v>
      </c>
      <c r="M213" t="s">
        <v>403</v>
      </c>
      <c r="N213">
        <v>1</v>
      </c>
      <c r="O213">
        <v>1</v>
      </c>
      <c r="P213" t="s">
        <v>1338</v>
      </c>
      <c r="Q213" t="s">
        <v>424</v>
      </c>
      <c r="R213" t="s">
        <v>1339</v>
      </c>
      <c r="S213" t="s">
        <v>1340</v>
      </c>
      <c r="T213" t="s">
        <v>408</v>
      </c>
      <c r="U213">
        <v>50950081535</v>
      </c>
      <c r="W213">
        <v>40000</v>
      </c>
      <c r="X213" t="s">
        <v>409</v>
      </c>
      <c r="Y213" t="s">
        <v>410</v>
      </c>
      <c r="Z213" t="s">
        <v>410</v>
      </c>
      <c r="AA213" t="s">
        <v>411</v>
      </c>
      <c r="AB213" t="s">
        <v>554</v>
      </c>
      <c r="AC213" t="s">
        <v>411</v>
      </c>
      <c r="AD213">
        <v>46090</v>
      </c>
      <c r="AE213">
        <v>46153</v>
      </c>
      <c r="AF213">
        <v>46097</v>
      </c>
      <c r="AG213" t="s">
        <v>590</v>
      </c>
      <c r="AH213">
        <v>6141499</v>
      </c>
      <c r="AI213">
        <v>46094</v>
      </c>
      <c r="AJ213">
        <v>46095</v>
      </c>
      <c r="AK213">
        <v>40000</v>
      </c>
      <c r="AL213" t="s">
        <v>396</v>
      </c>
      <c r="AM213" t="s">
        <v>1341</v>
      </c>
      <c r="AN213">
        <v>46095</v>
      </c>
      <c r="AO213">
        <v>46095.601597222223</v>
      </c>
      <c r="AP213" t="s">
        <v>51</v>
      </c>
      <c r="AQ213">
        <v>2.1900000000000001E-3</v>
      </c>
      <c r="AR213">
        <v>87.6</v>
      </c>
      <c r="AS213" t="s">
        <v>51</v>
      </c>
      <c r="AT213">
        <v>87.6</v>
      </c>
      <c r="AU213" t="s">
        <v>415</v>
      </c>
      <c r="AV213" t="s">
        <v>557</v>
      </c>
      <c r="AW213" t="s">
        <v>1272</v>
      </c>
      <c r="AX213">
        <v>46099</v>
      </c>
      <c r="AY213">
        <v>46148</v>
      </c>
      <c r="AZ213" t="s">
        <v>1273</v>
      </c>
      <c r="BA213" t="s">
        <v>1274</v>
      </c>
      <c r="BB213" t="s">
        <v>1275</v>
      </c>
      <c r="BC213">
        <v>20000</v>
      </c>
      <c r="BD213" t="s">
        <v>521</v>
      </c>
      <c r="BE213">
        <v>2.15985</v>
      </c>
      <c r="BF213">
        <v>1.226</v>
      </c>
      <c r="BG213" t="s">
        <v>522</v>
      </c>
      <c r="BH213">
        <v>398</v>
      </c>
      <c r="BI213">
        <v>298</v>
      </c>
      <c r="BJ213">
        <v>155</v>
      </c>
      <c r="BK213">
        <v>6</v>
      </c>
      <c r="BL213" t="s">
        <v>521</v>
      </c>
      <c r="BM213">
        <v>12.319699999999999</v>
      </c>
      <c r="BN213">
        <v>2.452</v>
      </c>
      <c r="BO213">
        <v>12.319699999999999</v>
      </c>
      <c r="BP213" t="s">
        <v>522</v>
      </c>
      <c r="BQ213">
        <v>800</v>
      </c>
      <c r="BR213">
        <v>300</v>
      </c>
      <c r="BS213">
        <v>608</v>
      </c>
      <c r="BT213">
        <v>0</v>
      </c>
      <c r="BU213">
        <v>1</v>
      </c>
      <c r="BV213">
        <v>1</v>
      </c>
      <c r="BW213">
        <v>2</v>
      </c>
      <c r="BX213">
        <v>0</v>
      </c>
      <c r="BY213">
        <v>2</v>
      </c>
      <c r="BZ213">
        <v>0</v>
      </c>
      <c r="CA213">
        <v>40000</v>
      </c>
      <c r="CB213">
        <v>40000</v>
      </c>
      <c r="CC213">
        <v>2.452</v>
      </c>
      <c r="CD213" t="s">
        <v>523</v>
      </c>
      <c r="CE213" t="s">
        <v>1056</v>
      </c>
      <c r="CG213" t="s">
        <v>421</v>
      </c>
      <c r="CN213" t="str">
        <v>M19</v>
      </c>
      <c r="CO213" t="str">
        <v>1307-5YY0182EN</v>
      </c>
      <c r="CP213" t="str">
        <v>CSNU7460163</v>
      </c>
      <c r="CQ213" s="23">
        <v>2937.816448</v>
      </c>
      <c r="CR213" s="25">
        <f t="shared" si="11"/>
        <v>0.17577101205064136</v>
      </c>
      <c r="CS213" s="21">
        <f t="shared" si="12"/>
        <v>439.42753012660341</v>
      </c>
    </row>
    <row r="214" spans="2:97" x14ac:dyDescent="0.35">
      <c r="B214" t="s">
        <v>298</v>
      </c>
      <c r="C214" t="s">
        <v>1342</v>
      </c>
      <c r="D214" t="s">
        <v>395</v>
      </c>
      <c r="E214" t="s">
        <v>395</v>
      </c>
      <c r="F214" t="s">
        <v>396</v>
      </c>
      <c r="G214" t="s">
        <v>397</v>
      </c>
      <c r="H214" t="s">
        <v>398</v>
      </c>
      <c r="I214" t="s">
        <v>399</v>
      </c>
      <c r="J214" t="s">
        <v>400</v>
      </c>
      <c r="K214" t="s">
        <v>515</v>
      </c>
      <c r="L214" t="s">
        <v>585</v>
      </c>
      <c r="M214" t="s">
        <v>403</v>
      </c>
      <c r="N214">
        <v>1</v>
      </c>
      <c r="O214">
        <v>1</v>
      </c>
      <c r="P214" t="s">
        <v>1343</v>
      </c>
      <c r="Q214" t="s">
        <v>405</v>
      </c>
      <c r="R214" t="s">
        <v>1344</v>
      </c>
      <c r="S214" t="s">
        <v>1265</v>
      </c>
      <c r="T214" t="s">
        <v>408</v>
      </c>
      <c r="U214">
        <v>50950081577</v>
      </c>
      <c r="W214">
        <v>10000</v>
      </c>
      <c r="X214" t="s">
        <v>409</v>
      </c>
      <c r="Y214" t="s">
        <v>410</v>
      </c>
      <c r="Z214" t="s">
        <v>410</v>
      </c>
      <c r="AA214" t="s">
        <v>411</v>
      </c>
      <c r="AB214" t="s">
        <v>554</v>
      </c>
      <c r="AC214" t="s">
        <v>411</v>
      </c>
      <c r="AD214">
        <v>46090</v>
      </c>
      <c r="AE214">
        <v>46146</v>
      </c>
      <c r="AF214">
        <v>46097</v>
      </c>
      <c r="AG214" t="s">
        <v>590</v>
      </c>
      <c r="AH214">
        <v>6141500</v>
      </c>
      <c r="AI214">
        <v>46094</v>
      </c>
      <c r="AJ214">
        <v>46095</v>
      </c>
      <c r="AK214">
        <v>10000</v>
      </c>
      <c r="AL214" t="s">
        <v>396</v>
      </c>
      <c r="AM214" t="s">
        <v>1345</v>
      </c>
      <c r="AN214">
        <v>46095</v>
      </c>
      <c r="AO214">
        <v>46095.601597222223</v>
      </c>
      <c r="AP214" t="s">
        <v>51</v>
      </c>
      <c r="AQ214">
        <v>1.1100000000000001E-3</v>
      </c>
      <c r="AR214">
        <v>11.1</v>
      </c>
      <c r="AS214" t="s">
        <v>51</v>
      </c>
      <c r="AT214">
        <v>11.1</v>
      </c>
      <c r="AU214" t="s">
        <v>415</v>
      </c>
      <c r="AV214" t="s">
        <v>557</v>
      </c>
      <c r="AW214" t="s">
        <v>1272</v>
      </c>
      <c r="AX214">
        <v>46099</v>
      </c>
      <c r="AY214">
        <v>46148</v>
      </c>
      <c r="AZ214" t="s">
        <v>1273</v>
      </c>
      <c r="BA214" t="s">
        <v>1274</v>
      </c>
      <c r="BB214" t="s">
        <v>1275</v>
      </c>
      <c r="BC214">
        <v>80000</v>
      </c>
      <c r="BD214" t="s">
        <v>521</v>
      </c>
      <c r="BE214">
        <v>1.85</v>
      </c>
      <c r="BF214">
        <v>1.1499999999999999</v>
      </c>
      <c r="BG214" t="s">
        <v>522</v>
      </c>
      <c r="BH214">
        <v>398</v>
      </c>
      <c r="BI214">
        <v>375</v>
      </c>
      <c r="BJ214">
        <v>234</v>
      </c>
      <c r="BK214">
        <v>8</v>
      </c>
      <c r="BL214" t="s">
        <v>521</v>
      </c>
      <c r="BM214">
        <v>9.85</v>
      </c>
      <c r="BN214">
        <v>1.1499999999999999</v>
      </c>
      <c r="BO214">
        <v>9.85</v>
      </c>
      <c r="BP214" t="s">
        <v>522</v>
      </c>
      <c r="BQ214">
        <v>800</v>
      </c>
      <c r="BR214">
        <v>300</v>
      </c>
      <c r="BS214">
        <v>625</v>
      </c>
      <c r="BT214">
        <v>0</v>
      </c>
      <c r="BU214">
        <v>1</v>
      </c>
      <c r="BV214">
        <v>1</v>
      </c>
      <c r="BW214">
        <v>0</v>
      </c>
      <c r="BX214">
        <v>1</v>
      </c>
      <c r="BY214">
        <v>1</v>
      </c>
      <c r="BZ214">
        <v>0</v>
      </c>
      <c r="CA214">
        <v>10000</v>
      </c>
      <c r="CB214">
        <v>10000</v>
      </c>
      <c r="CC214">
        <v>1.1499999999999999</v>
      </c>
      <c r="CD214" t="s">
        <v>1346</v>
      </c>
      <c r="CE214" t="s">
        <v>1347</v>
      </c>
      <c r="CG214" t="s">
        <v>421</v>
      </c>
      <c r="CN214" t="str">
        <v>M19</v>
      </c>
      <c r="CO214" t="str">
        <v>1330-5YY0182EN</v>
      </c>
      <c r="CP214" t="str">
        <v>CSNU7460163</v>
      </c>
      <c r="CQ214" s="23">
        <v>1580.7203999999999</v>
      </c>
      <c r="CR214" s="25">
        <f t="shared" si="11"/>
        <v>9.4575283852823822E-2</v>
      </c>
      <c r="CS214" s="21">
        <f t="shared" si="12"/>
        <v>236.43820963205957</v>
      </c>
    </row>
    <row r="215" spans="2:97" x14ac:dyDescent="0.35">
      <c r="B215" t="s">
        <v>298</v>
      </c>
      <c r="C215" t="s">
        <v>1348</v>
      </c>
      <c r="D215" t="s">
        <v>395</v>
      </c>
      <c r="E215" t="s">
        <v>395</v>
      </c>
      <c r="F215" t="s">
        <v>396</v>
      </c>
      <c r="G215" t="s">
        <v>397</v>
      </c>
      <c r="H215" t="s">
        <v>398</v>
      </c>
      <c r="I215" t="s">
        <v>399</v>
      </c>
      <c r="J215" t="s">
        <v>400</v>
      </c>
      <c r="K215" t="s">
        <v>607</v>
      </c>
      <c r="L215" t="s">
        <v>585</v>
      </c>
      <c r="M215" t="s">
        <v>403</v>
      </c>
      <c r="N215">
        <v>1</v>
      </c>
      <c r="O215">
        <v>1</v>
      </c>
      <c r="P215" t="s">
        <v>1349</v>
      </c>
      <c r="Q215" t="s">
        <v>424</v>
      </c>
      <c r="R215" t="s">
        <v>1350</v>
      </c>
      <c r="S215" t="s">
        <v>1351</v>
      </c>
      <c r="T215" t="s">
        <v>408</v>
      </c>
      <c r="U215">
        <v>50950081578</v>
      </c>
      <c r="W215">
        <v>6000</v>
      </c>
      <c r="X215" t="s">
        <v>409</v>
      </c>
      <c r="Y215" t="s">
        <v>410</v>
      </c>
      <c r="Z215" t="s">
        <v>410</v>
      </c>
      <c r="AA215" t="s">
        <v>411</v>
      </c>
      <c r="AB215" t="s">
        <v>554</v>
      </c>
      <c r="AC215" t="s">
        <v>411</v>
      </c>
      <c r="AD215">
        <v>46090</v>
      </c>
      <c r="AE215">
        <v>46146</v>
      </c>
      <c r="AF215">
        <v>46097</v>
      </c>
      <c r="AG215" t="s">
        <v>590</v>
      </c>
      <c r="AH215">
        <v>6141501</v>
      </c>
      <c r="AI215">
        <v>46094</v>
      </c>
      <c r="AJ215">
        <v>46095</v>
      </c>
      <c r="AK215">
        <v>6000</v>
      </c>
      <c r="AL215" t="s">
        <v>396</v>
      </c>
      <c r="AM215" t="s">
        <v>1352</v>
      </c>
      <c r="AN215">
        <v>46095</v>
      </c>
      <c r="AO215">
        <v>46095.601597222223</v>
      </c>
      <c r="AP215" t="s">
        <v>51</v>
      </c>
      <c r="AQ215">
        <v>1.8249999999999999E-2</v>
      </c>
      <c r="AR215">
        <v>109.5</v>
      </c>
      <c r="AS215" t="s">
        <v>51</v>
      </c>
      <c r="AT215">
        <v>109.5</v>
      </c>
      <c r="AU215" t="s">
        <v>415</v>
      </c>
      <c r="AV215" t="s">
        <v>557</v>
      </c>
      <c r="AW215" t="s">
        <v>1272</v>
      </c>
      <c r="AX215">
        <v>46099</v>
      </c>
      <c r="AY215">
        <v>46148</v>
      </c>
      <c r="AZ215" t="s">
        <v>1273</v>
      </c>
      <c r="BA215" t="s">
        <v>1274</v>
      </c>
      <c r="BB215" t="s">
        <v>1275</v>
      </c>
      <c r="BC215">
        <v>12000</v>
      </c>
      <c r="BD215" t="s">
        <v>521</v>
      </c>
      <c r="BE215">
        <v>3.9338000000000002</v>
      </c>
      <c r="BF215">
        <v>3.3828</v>
      </c>
      <c r="BG215" t="s">
        <v>522</v>
      </c>
      <c r="BH215">
        <v>368</v>
      </c>
      <c r="BI215">
        <v>257</v>
      </c>
      <c r="BJ215">
        <v>136</v>
      </c>
      <c r="BK215">
        <v>27</v>
      </c>
      <c r="BL215" t="s">
        <v>521</v>
      </c>
      <c r="BM215">
        <v>32.933799999999998</v>
      </c>
      <c r="BN215">
        <v>3.3828</v>
      </c>
      <c r="BO215">
        <v>32.933799999999998</v>
      </c>
      <c r="BP215" t="s">
        <v>522</v>
      </c>
      <c r="BQ215">
        <v>1140</v>
      </c>
      <c r="BR215">
        <v>800</v>
      </c>
      <c r="BS215">
        <v>565</v>
      </c>
      <c r="BT215">
        <v>0</v>
      </c>
      <c r="BU215">
        <v>1</v>
      </c>
      <c r="BV215">
        <v>1</v>
      </c>
      <c r="BW215">
        <v>0</v>
      </c>
      <c r="BX215">
        <v>1</v>
      </c>
      <c r="BY215">
        <v>1</v>
      </c>
      <c r="BZ215">
        <v>0</v>
      </c>
      <c r="CA215">
        <v>6000</v>
      </c>
      <c r="CB215">
        <v>6000</v>
      </c>
      <c r="CC215">
        <v>3.3828</v>
      </c>
      <c r="CD215" t="s">
        <v>1318</v>
      </c>
      <c r="CE215" t="s">
        <v>1319</v>
      </c>
      <c r="CG215" t="s">
        <v>421</v>
      </c>
      <c r="CN215" t="str">
        <v>M01</v>
      </c>
      <c r="CO215" t="str">
        <v>1277-1030069EN</v>
      </c>
      <c r="CP215" t="str">
        <v>CSNU7460163</v>
      </c>
      <c r="CQ215" s="23">
        <v>152.58000000000001</v>
      </c>
      <c r="CR215" s="25">
        <f t="shared" si="11"/>
        <v>9.128936913994315E-3</v>
      </c>
      <c r="CS215" s="21">
        <f t="shared" si="12"/>
        <v>22.822342284985787</v>
      </c>
    </row>
    <row r="216" spans="2:97" x14ac:dyDescent="0.35">
      <c r="B216" t="s">
        <v>295</v>
      </c>
      <c r="C216" t="s">
        <v>1353</v>
      </c>
      <c r="D216" t="s">
        <v>395</v>
      </c>
      <c r="E216" t="s">
        <v>395</v>
      </c>
      <c r="F216" t="s">
        <v>396</v>
      </c>
      <c r="G216" t="s">
        <v>397</v>
      </c>
      <c r="H216" t="s">
        <v>398</v>
      </c>
      <c r="I216" t="s">
        <v>399</v>
      </c>
      <c r="J216" t="s">
        <v>400</v>
      </c>
      <c r="K216" t="s">
        <v>515</v>
      </c>
      <c r="L216" t="s">
        <v>585</v>
      </c>
      <c r="M216" t="s">
        <v>403</v>
      </c>
      <c r="N216">
        <v>1</v>
      </c>
      <c r="O216">
        <v>1</v>
      </c>
      <c r="P216" t="s">
        <v>1354</v>
      </c>
      <c r="Q216" t="s">
        <v>430</v>
      </c>
      <c r="R216" t="s">
        <v>1355</v>
      </c>
      <c r="S216" t="s">
        <v>1265</v>
      </c>
      <c r="T216" t="s">
        <v>408</v>
      </c>
      <c r="U216">
        <v>50950081628</v>
      </c>
      <c r="W216">
        <v>50000</v>
      </c>
      <c r="X216" t="s">
        <v>409</v>
      </c>
      <c r="Y216" t="s">
        <v>410</v>
      </c>
      <c r="Z216" t="s">
        <v>410</v>
      </c>
      <c r="AA216" t="s">
        <v>411</v>
      </c>
      <c r="AB216" t="s">
        <v>554</v>
      </c>
      <c r="AC216" t="s">
        <v>411</v>
      </c>
      <c r="AD216">
        <v>46090</v>
      </c>
      <c r="AE216">
        <v>46146</v>
      </c>
      <c r="AF216">
        <v>46097</v>
      </c>
      <c r="AG216" t="s">
        <v>590</v>
      </c>
      <c r="AH216">
        <v>6141502</v>
      </c>
      <c r="AI216">
        <v>46094</v>
      </c>
      <c r="AJ216">
        <v>46095</v>
      </c>
      <c r="AK216">
        <v>50000</v>
      </c>
      <c r="AL216" t="s">
        <v>396</v>
      </c>
      <c r="AM216" t="s">
        <v>1356</v>
      </c>
      <c r="AN216">
        <v>46095</v>
      </c>
      <c r="AO216">
        <v>46095.601597222223</v>
      </c>
      <c r="AP216" t="s">
        <v>51</v>
      </c>
      <c r="AQ216">
        <v>9.3900000000000008E-3</v>
      </c>
      <c r="AR216">
        <v>469.5</v>
      </c>
      <c r="AS216" t="s">
        <v>51</v>
      </c>
      <c r="AT216">
        <v>469.5</v>
      </c>
      <c r="AU216" t="s">
        <v>415</v>
      </c>
      <c r="AV216" t="s">
        <v>557</v>
      </c>
      <c r="AW216" t="s">
        <v>1272</v>
      </c>
      <c r="AX216">
        <v>46099</v>
      </c>
      <c r="AY216">
        <v>46148</v>
      </c>
      <c r="AZ216" t="s">
        <v>1273</v>
      </c>
      <c r="BA216" t="s">
        <v>1274</v>
      </c>
      <c r="BB216" t="s">
        <v>1275</v>
      </c>
      <c r="BC216">
        <v>20000</v>
      </c>
      <c r="BD216" t="s">
        <v>521</v>
      </c>
      <c r="BE216">
        <v>2.6890000000000001</v>
      </c>
      <c r="BF216">
        <v>1.96</v>
      </c>
      <c r="BG216" t="s">
        <v>522</v>
      </c>
      <c r="BH216">
        <v>395</v>
      </c>
      <c r="BI216">
        <v>295</v>
      </c>
      <c r="BJ216">
        <v>120</v>
      </c>
      <c r="BK216">
        <v>6</v>
      </c>
      <c r="BL216" t="s">
        <v>521</v>
      </c>
      <c r="BM216">
        <v>15.087</v>
      </c>
      <c r="BN216">
        <v>4.9000000000000004</v>
      </c>
      <c r="BO216">
        <v>15.087</v>
      </c>
      <c r="BP216" t="s">
        <v>522</v>
      </c>
      <c r="BQ216">
        <v>800</v>
      </c>
      <c r="BR216">
        <v>300</v>
      </c>
      <c r="BS216">
        <v>518</v>
      </c>
      <c r="BT216">
        <v>0</v>
      </c>
      <c r="BU216">
        <v>1</v>
      </c>
      <c r="BV216">
        <v>1</v>
      </c>
      <c r="BW216">
        <v>2</v>
      </c>
      <c r="BX216">
        <v>1</v>
      </c>
      <c r="BY216">
        <v>3</v>
      </c>
      <c r="BZ216">
        <v>0</v>
      </c>
      <c r="CA216">
        <v>50000</v>
      </c>
      <c r="CB216">
        <v>50000</v>
      </c>
      <c r="CC216">
        <v>4.9000000000000004</v>
      </c>
      <c r="CD216" t="s">
        <v>1357</v>
      </c>
      <c r="CE216" t="s">
        <v>1358</v>
      </c>
      <c r="CG216" t="s">
        <v>421</v>
      </c>
      <c r="CN216" t="str">
        <v>M19</v>
      </c>
      <c r="CO216" t="str">
        <v>1307-5YY0174EN</v>
      </c>
      <c r="CP216" t="str">
        <v>CSNU7460163</v>
      </c>
      <c r="CQ216" s="23">
        <v>806.69600000000003</v>
      </c>
      <c r="CR216" s="25">
        <f t="shared" si="11"/>
        <v>4.8265020925229767E-2</v>
      </c>
      <c r="CS216" s="21">
        <f t="shared" si="12"/>
        <v>120.66255231307441</v>
      </c>
    </row>
    <row r="217" spans="2:97" x14ac:dyDescent="0.35">
      <c r="B217" t="s">
        <v>297</v>
      </c>
      <c r="C217" t="s">
        <v>1080</v>
      </c>
      <c r="D217" t="s">
        <v>549</v>
      </c>
      <c r="E217" t="s">
        <v>395</v>
      </c>
      <c r="F217" t="s">
        <v>396</v>
      </c>
      <c r="G217" t="s">
        <v>397</v>
      </c>
      <c r="H217" t="s">
        <v>398</v>
      </c>
      <c r="I217" t="s">
        <v>399</v>
      </c>
      <c r="J217" t="s">
        <v>749</v>
      </c>
      <c r="K217" t="s">
        <v>1081</v>
      </c>
      <c r="L217" t="s">
        <v>766</v>
      </c>
      <c r="M217" t="s">
        <v>403</v>
      </c>
      <c r="N217">
        <v>1</v>
      </c>
      <c r="O217">
        <v>2</v>
      </c>
      <c r="P217" t="s">
        <v>1082</v>
      </c>
      <c r="Q217" t="s">
        <v>424</v>
      </c>
      <c r="R217" t="s">
        <v>1083</v>
      </c>
      <c r="S217" t="s">
        <v>1084</v>
      </c>
      <c r="T217" t="s">
        <v>408</v>
      </c>
      <c r="U217">
        <v>50950080560</v>
      </c>
      <c r="W217">
        <v>5200</v>
      </c>
      <c r="X217" t="s">
        <v>409</v>
      </c>
      <c r="Y217" t="s">
        <v>410</v>
      </c>
      <c r="Z217" t="s">
        <v>410</v>
      </c>
      <c r="AA217" t="s">
        <v>411</v>
      </c>
      <c r="AB217" t="s">
        <v>769</v>
      </c>
      <c r="AC217" t="s">
        <v>411</v>
      </c>
      <c r="AD217">
        <v>46088</v>
      </c>
      <c r="AE217">
        <v>46146</v>
      </c>
      <c r="AF217">
        <v>46095</v>
      </c>
      <c r="AG217" t="s">
        <v>770</v>
      </c>
      <c r="AH217">
        <v>6132786</v>
      </c>
      <c r="AI217">
        <v>46089</v>
      </c>
      <c r="AJ217">
        <v>46090</v>
      </c>
      <c r="AK217">
        <v>5200</v>
      </c>
      <c r="AL217" t="s">
        <v>396</v>
      </c>
      <c r="AM217" t="s">
        <v>1359</v>
      </c>
      <c r="AN217">
        <v>46090</v>
      </c>
      <c r="AO217">
        <v>46090.599363425928</v>
      </c>
      <c r="AP217" t="s">
        <v>51</v>
      </c>
      <c r="AQ217">
        <v>0.69545000000000001</v>
      </c>
      <c r="AR217">
        <v>3616.34</v>
      </c>
      <c r="AS217" t="s">
        <v>51</v>
      </c>
      <c r="AT217">
        <v>3616.34</v>
      </c>
      <c r="AU217" t="s">
        <v>415</v>
      </c>
      <c r="AV217" t="s">
        <v>416</v>
      </c>
      <c r="AW217" t="s">
        <v>1360</v>
      </c>
      <c r="AX217">
        <v>46095</v>
      </c>
      <c r="AY217">
        <v>46144</v>
      </c>
      <c r="AZ217" t="s">
        <v>1361</v>
      </c>
      <c r="BA217" t="s">
        <v>560</v>
      </c>
      <c r="BB217" t="s">
        <v>1362</v>
      </c>
      <c r="BC217">
        <v>130</v>
      </c>
      <c r="BD217" t="s">
        <v>521</v>
      </c>
      <c r="BE217">
        <v>12.42</v>
      </c>
      <c r="BF217">
        <v>10.984999999999999</v>
      </c>
      <c r="BG217" t="s">
        <v>522</v>
      </c>
      <c r="BH217">
        <v>395</v>
      </c>
      <c r="BI217">
        <v>295</v>
      </c>
      <c r="BJ217">
        <v>180</v>
      </c>
      <c r="BK217">
        <v>40</v>
      </c>
      <c r="BL217" t="s">
        <v>521</v>
      </c>
      <c r="BM217">
        <v>520.79999999999995</v>
      </c>
      <c r="BN217">
        <v>439.4</v>
      </c>
      <c r="BO217">
        <v>520.79999999999995</v>
      </c>
      <c r="BP217" t="s">
        <v>522</v>
      </c>
      <c r="BQ217">
        <v>1200</v>
      </c>
      <c r="BR217">
        <v>800</v>
      </c>
      <c r="BS217">
        <v>1060</v>
      </c>
      <c r="BT217">
        <v>1</v>
      </c>
      <c r="BU217">
        <v>0</v>
      </c>
      <c r="BV217">
        <v>1</v>
      </c>
      <c r="BW217">
        <v>40</v>
      </c>
      <c r="BX217">
        <v>0</v>
      </c>
      <c r="BY217">
        <v>40</v>
      </c>
      <c r="BZ217">
        <v>5200</v>
      </c>
      <c r="CA217">
        <v>0</v>
      </c>
      <c r="CB217">
        <v>5200</v>
      </c>
      <c r="CC217">
        <v>439.4</v>
      </c>
      <c r="CD217" t="s">
        <v>694</v>
      </c>
      <c r="CE217" t="s">
        <v>1088</v>
      </c>
      <c r="CG217" t="s">
        <v>421</v>
      </c>
      <c r="CN217" t="str">
        <v>M19</v>
      </c>
      <c r="CO217" t="str">
        <v>1330-5YY0256EN</v>
      </c>
      <c r="CP217" t="str">
        <v>CSNU7460163</v>
      </c>
      <c r="CQ217" s="23">
        <v>217.00200000000001</v>
      </c>
      <c r="CR217" s="25">
        <f t="shared" si="11"/>
        <v>1.2983337057350861E-2</v>
      </c>
      <c r="CS217" s="21">
        <f t="shared" si="12"/>
        <v>32.458342643377151</v>
      </c>
    </row>
    <row r="218" spans="2:97" x14ac:dyDescent="0.35">
      <c r="B218" t="s">
        <v>297</v>
      </c>
      <c r="C218" t="s">
        <v>1363</v>
      </c>
      <c r="D218" t="s">
        <v>549</v>
      </c>
      <c r="E218" t="s">
        <v>395</v>
      </c>
      <c r="F218" t="s">
        <v>396</v>
      </c>
      <c r="G218" t="s">
        <v>397</v>
      </c>
      <c r="H218" t="s">
        <v>398</v>
      </c>
      <c r="I218" t="s">
        <v>399</v>
      </c>
      <c r="J218" t="s">
        <v>749</v>
      </c>
      <c r="K218" t="s">
        <v>401</v>
      </c>
      <c r="L218" t="s">
        <v>766</v>
      </c>
      <c r="M218" t="s">
        <v>403</v>
      </c>
      <c r="N218">
        <v>1</v>
      </c>
      <c r="O218">
        <v>1</v>
      </c>
      <c r="P218" t="s">
        <v>767</v>
      </c>
      <c r="Q218" t="s">
        <v>424</v>
      </c>
      <c r="R218" t="s">
        <v>552</v>
      </c>
      <c r="S218" t="s">
        <v>768</v>
      </c>
      <c r="T218" t="s">
        <v>408</v>
      </c>
      <c r="U218">
        <v>50950080815</v>
      </c>
      <c r="W218">
        <v>46080</v>
      </c>
      <c r="X218" t="s">
        <v>409</v>
      </c>
      <c r="Y218" t="s">
        <v>410</v>
      </c>
      <c r="Z218" t="s">
        <v>410</v>
      </c>
      <c r="AA218" t="s">
        <v>411</v>
      </c>
      <c r="AB218" t="s">
        <v>769</v>
      </c>
      <c r="AC218" t="s">
        <v>411</v>
      </c>
      <c r="AD218">
        <v>46088</v>
      </c>
      <c r="AE218">
        <v>46146</v>
      </c>
      <c r="AF218">
        <v>46095</v>
      </c>
      <c r="AG218" t="s">
        <v>770</v>
      </c>
      <c r="AH218">
        <v>6132787</v>
      </c>
      <c r="AI218">
        <v>46089</v>
      </c>
      <c r="AJ218">
        <v>46090</v>
      </c>
      <c r="AK218">
        <v>46080</v>
      </c>
      <c r="AL218" t="s">
        <v>396</v>
      </c>
      <c r="AM218" t="s">
        <v>1364</v>
      </c>
      <c r="AN218">
        <v>46090</v>
      </c>
      <c r="AO218">
        <v>46090.599363425928</v>
      </c>
      <c r="AP218" t="s">
        <v>51</v>
      </c>
      <c r="AQ218">
        <v>0.18359</v>
      </c>
      <c r="AR218">
        <v>8459.84</v>
      </c>
      <c r="AS218" t="s">
        <v>51</v>
      </c>
      <c r="AT218">
        <v>8459.84</v>
      </c>
      <c r="AU218" t="s">
        <v>415</v>
      </c>
      <c r="AV218" t="s">
        <v>416</v>
      </c>
      <c r="AW218" t="s">
        <v>1360</v>
      </c>
      <c r="AX218">
        <v>46095</v>
      </c>
      <c r="AY218">
        <v>46144</v>
      </c>
      <c r="AZ218" t="s">
        <v>1361</v>
      </c>
      <c r="BA218" t="s">
        <v>560</v>
      </c>
      <c r="BB218" t="s">
        <v>1362</v>
      </c>
      <c r="BC218">
        <v>240</v>
      </c>
      <c r="BD218" t="s">
        <v>521</v>
      </c>
      <c r="BE218">
        <v>2.5634000000000001</v>
      </c>
      <c r="BF218">
        <v>1.2864</v>
      </c>
      <c r="BG218" t="s">
        <v>522</v>
      </c>
      <c r="BH218">
        <v>340</v>
      </c>
      <c r="BI218">
        <v>250</v>
      </c>
      <c r="BJ218">
        <v>230</v>
      </c>
      <c r="BK218">
        <v>48</v>
      </c>
      <c r="BL218" t="s">
        <v>521</v>
      </c>
      <c r="BM218">
        <v>144.04320000000001</v>
      </c>
      <c r="BN218">
        <v>61.747199999999999</v>
      </c>
      <c r="BO218">
        <v>576.17280000000005</v>
      </c>
      <c r="BP218" t="s">
        <v>522</v>
      </c>
      <c r="BQ218">
        <v>1066</v>
      </c>
      <c r="BR218">
        <v>1066</v>
      </c>
      <c r="BS218">
        <v>1080</v>
      </c>
      <c r="BT218">
        <v>4</v>
      </c>
      <c r="BU218">
        <v>0</v>
      </c>
      <c r="BV218">
        <v>4</v>
      </c>
      <c r="BW218">
        <v>192</v>
      </c>
      <c r="BX218">
        <v>0</v>
      </c>
      <c r="BY218">
        <v>192</v>
      </c>
      <c r="BZ218">
        <v>46080</v>
      </c>
      <c r="CA218">
        <v>0</v>
      </c>
      <c r="CB218">
        <v>46080</v>
      </c>
      <c r="CC218">
        <v>246.9888</v>
      </c>
      <c r="CD218" t="s">
        <v>562</v>
      </c>
      <c r="CE218" t="s">
        <v>563</v>
      </c>
      <c r="CG218" t="s">
        <v>421</v>
      </c>
      <c r="CN218" t="str">
        <v>M19</v>
      </c>
      <c r="CO218" t="str">
        <v>1301-5YY0311EN0093</v>
      </c>
      <c r="CP218" t="str">
        <v>CSNU7460163</v>
      </c>
      <c r="CQ218" s="23">
        <v>501.26976000000002</v>
      </c>
      <c r="CR218" s="25">
        <f t="shared" si="11"/>
        <v>2.9991217826275205E-2</v>
      </c>
      <c r="CS218" s="21">
        <f t="shared" si="12"/>
        <v>74.978044565688009</v>
      </c>
    </row>
    <row r="219" spans="2:97" x14ac:dyDescent="0.35">
      <c r="B219" t="s">
        <v>299</v>
      </c>
      <c r="C219" t="s">
        <v>1093</v>
      </c>
      <c r="D219" t="s">
        <v>395</v>
      </c>
      <c r="E219" t="s">
        <v>395</v>
      </c>
      <c r="F219" t="s">
        <v>396</v>
      </c>
      <c r="G219" t="s">
        <v>397</v>
      </c>
      <c r="H219" t="s">
        <v>398</v>
      </c>
      <c r="I219" t="s">
        <v>399</v>
      </c>
      <c r="J219" t="s">
        <v>749</v>
      </c>
      <c r="K219" t="s">
        <v>777</v>
      </c>
      <c r="L219" t="s">
        <v>778</v>
      </c>
      <c r="M219" t="s">
        <v>403</v>
      </c>
      <c r="N219">
        <v>1</v>
      </c>
      <c r="O219">
        <v>2</v>
      </c>
      <c r="P219" t="s">
        <v>933</v>
      </c>
      <c r="Q219" t="s">
        <v>934</v>
      </c>
      <c r="R219" t="s">
        <v>536</v>
      </c>
      <c r="S219" t="s">
        <v>935</v>
      </c>
      <c r="T219" t="s">
        <v>408</v>
      </c>
      <c r="U219">
        <v>50950075921</v>
      </c>
      <c r="W219">
        <v>2160</v>
      </c>
      <c r="X219" t="s">
        <v>409</v>
      </c>
      <c r="Y219" t="s">
        <v>410</v>
      </c>
      <c r="Z219" t="s">
        <v>410</v>
      </c>
      <c r="AA219" t="s">
        <v>411</v>
      </c>
      <c r="AB219" t="s">
        <v>769</v>
      </c>
      <c r="AC219" t="s">
        <v>411</v>
      </c>
      <c r="AD219">
        <v>46090</v>
      </c>
      <c r="AE219">
        <v>46118</v>
      </c>
      <c r="AF219">
        <v>46095</v>
      </c>
      <c r="AG219" t="s">
        <v>936</v>
      </c>
      <c r="AH219">
        <v>6132788</v>
      </c>
      <c r="AI219">
        <v>46089</v>
      </c>
      <c r="AJ219">
        <v>46090</v>
      </c>
      <c r="AK219">
        <v>2160</v>
      </c>
      <c r="AL219" t="s">
        <v>396</v>
      </c>
      <c r="AM219" t="s">
        <v>1365</v>
      </c>
      <c r="AN219">
        <v>46090</v>
      </c>
      <c r="AO219">
        <v>46090.599363425928</v>
      </c>
      <c r="AP219" t="s">
        <v>51</v>
      </c>
      <c r="AQ219">
        <v>4.1398799999999998</v>
      </c>
      <c r="AR219">
        <v>8942.15</v>
      </c>
      <c r="AS219" t="s">
        <v>51</v>
      </c>
      <c r="AT219">
        <v>8942.15</v>
      </c>
      <c r="AU219" t="s">
        <v>415</v>
      </c>
      <c r="AV219" t="s">
        <v>416</v>
      </c>
      <c r="AW219" t="s">
        <v>1360</v>
      </c>
      <c r="AX219">
        <v>46095</v>
      </c>
      <c r="AY219">
        <v>46144</v>
      </c>
      <c r="AZ219" t="s">
        <v>1361</v>
      </c>
      <c r="BA219" t="s">
        <v>560</v>
      </c>
      <c r="BB219" t="s">
        <v>1362</v>
      </c>
      <c r="BC219">
        <v>36</v>
      </c>
      <c r="BD219" t="s">
        <v>521</v>
      </c>
      <c r="BE219">
        <v>8.7870000000000008</v>
      </c>
      <c r="BF219">
        <v>6.5519999999999996</v>
      </c>
      <c r="BG219" t="s">
        <v>522</v>
      </c>
      <c r="BH219">
        <v>595</v>
      </c>
      <c r="BI219">
        <v>395</v>
      </c>
      <c r="BJ219">
        <v>290</v>
      </c>
      <c r="BK219">
        <v>15</v>
      </c>
      <c r="BL219" t="s">
        <v>521</v>
      </c>
      <c r="BM219">
        <v>158.80500000000001</v>
      </c>
      <c r="BN219">
        <v>98.28</v>
      </c>
      <c r="BO219">
        <v>635.22</v>
      </c>
      <c r="BP219" t="s">
        <v>522</v>
      </c>
      <c r="BQ219">
        <v>1200</v>
      </c>
      <c r="BR219">
        <v>1000</v>
      </c>
      <c r="BS219">
        <v>1025</v>
      </c>
      <c r="BT219">
        <v>4</v>
      </c>
      <c r="BU219">
        <v>0</v>
      </c>
      <c r="BV219">
        <v>4</v>
      </c>
      <c r="BW219">
        <v>60</v>
      </c>
      <c r="BX219">
        <v>0</v>
      </c>
      <c r="BY219">
        <v>60</v>
      </c>
      <c r="BZ219">
        <v>2160</v>
      </c>
      <c r="CA219">
        <v>0</v>
      </c>
      <c r="CB219">
        <v>2160</v>
      </c>
      <c r="CC219">
        <v>393.12</v>
      </c>
      <c r="CD219" t="s">
        <v>938</v>
      </c>
      <c r="CE219" t="s">
        <v>939</v>
      </c>
      <c r="CG219" t="s">
        <v>421</v>
      </c>
      <c r="CN219" t="str">
        <v>M45</v>
      </c>
      <c r="CO219" t="str">
        <v>1484-12C0012EN</v>
      </c>
      <c r="CP219" t="str">
        <v>CSNU7460163</v>
      </c>
      <c r="CQ219" s="23">
        <v>407.4</v>
      </c>
      <c r="CR219" s="25">
        <f t="shared" si="11"/>
        <v>2.4374943628006841E-2</v>
      </c>
      <c r="CS219" s="21">
        <f t="shared" si="12"/>
        <v>60.937359070017102</v>
      </c>
    </row>
    <row r="220" spans="2:97" x14ac:dyDescent="0.35">
      <c r="B220" t="s">
        <v>299</v>
      </c>
      <c r="C220" t="s">
        <v>1366</v>
      </c>
      <c r="D220" t="s">
        <v>395</v>
      </c>
      <c r="E220" t="s">
        <v>395</v>
      </c>
      <c r="F220" t="s">
        <v>396</v>
      </c>
      <c r="G220" t="s">
        <v>397</v>
      </c>
      <c r="H220" t="s">
        <v>398</v>
      </c>
      <c r="I220" t="s">
        <v>399</v>
      </c>
      <c r="J220" t="s">
        <v>749</v>
      </c>
      <c r="K220" t="s">
        <v>777</v>
      </c>
      <c r="L220" t="s">
        <v>778</v>
      </c>
      <c r="M220" t="s">
        <v>403</v>
      </c>
      <c r="N220">
        <v>1</v>
      </c>
      <c r="O220">
        <v>1</v>
      </c>
      <c r="P220" t="s">
        <v>1367</v>
      </c>
      <c r="Q220" t="s">
        <v>645</v>
      </c>
      <c r="R220" t="s">
        <v>536</v>
      </c>
      <c r="S220" t="s">
        <v>1368</v>
      </c>
      <c r="T220" t="s">
        <v>408</v>
      </c>
      <c r="U220">
        <v>50950077697</v>
      </c>
      <c r="W220">
        <v>2688</v>
      </c>
      <c r="X220" t="s">
        <v>409</v>
      </c>
      <c r="Y220" t="s">
        <v>410</v>
      </c>
      <c r="Z220" t="s">
        <v>410</v>
      </c>
      <c r="AA220" t="s">
        <v>411</v>
      </c>
      <c r="AB220" t="s">
        <v>769</v>
      </c>
      <c r="AC220" t="s">
        <v>411</v>
      </c>
      <c r="AD220">
        <v>46088</v>
      </c>
      <c r="AE220">
        <v>46146</v>
      </c>
      <c r="AF220">
        <v>46095</v>
      </c>
      <c r="AG220" t="s">
        <v>781</v>
      </c>
      <c r="AH220">
        <v>6132789</v>
      </c>
      <c r="AI220">
        <v>46089</v>
      </c>
      <c r="AJ220">
        <v>46090</v>
      </c>
      <c r="AK220">
        <v>2688</v>
      </c>
      <c r="AL220" t="s">
        <v>396</v>
      </c>
      <c r="AM220" t="s">
        <v>1369</v>
      </c>
      <c r="AN220">
        <v>46090</v>
      </c>
      <c r="AO220">
        <v>46090.599363425928</v>
      </c>
      <c r="AP220" t="s">
        <v>51</v>
      </c>
      <c r="AQ220">
        <v>2.85012</v>
      </c>
      <c r="AR220">
        <v>7661.12</v>
      </c>
      <c r="AS220" t="s">
        <v>51</v>
      </c>
      <c r="AT220">
        <v>7661.12</v>
      </c>
      <c r="AU220" t="s">
        <v>415</v>
      </c>
      <c r="AV220" t="s">
        <v>416</v>
      </c>
      <c r="AW220" t="s">
        <v>1360</v>
      </c>
      <c r="AX220">
        <v>46095</v>
      </c>
      <c r="AY220">
        <v>46144</v>
      </c>
      <c r="AZ220" t="s">
        <v>1361</v>
      </c>
      <c r="BA220" t="s">
        <v>560</v>
      </c>
      <c r="BB220" t="s">
        <v>1362</v>
      </c>
      <c r="BC220">
        <v>14</v>
      </c>
      <c r="BD220" t="s">
        <v>521</v>
      </c>
      <c r="BE220">
        <v>3.2919999999999998</v>
      </c>
      <c r="BF220">
        <v>1.792</v>
      </c>
      <c r="BG220" t="s">
        <v>522</v>
      </c>
      <c r="BH220">
        <v>595</v>
      </c>
      <c r="BI220">
        <v>395</v>
      </c>
      <c r="BJ220">
        <v>145</v>
      </c>
      <c r="BK220">
        <v>24</v>
      </c>
      <c r="BL220" t="s">
        <v>521</v>
      </c>
      <c r="BM220">
        <v>104.008</v>
      </c>
      <c r="BN220">
        <v>43.008000000000003</v>
      </c>
      <c r="BO220">
        <v>832.06399999999996</v>
      </c>
      <c r="BP220" t="s">
        <v>522</v>
      </c>
      <c r="BQ220">
        <v>1200</v>
      </c>
      <c r="BR220">
        <v>800</v>
      </c>
      <c r="BS220">
        <v>1030</v>
      </c>
      <c r="BT220">
        <v>8</v>
      </c>
      <c r="BU220">
        <v>0</v>
      </c>
      <c r="BV220">
        <v>8</v>
      </c>
      <c r="BW220">
        <v>192</v>
      </c>
      <c r="BX220">
        <v>0</v>
      </c>
      <c r="BY220">
        <v>192</v>
      </c>
      <c r="BZ220">
        <v>2688</v>
      </c>
      <c r="CA220">
        <v>0</v>
      </c>
      <c r="CB220">
        <v>2688</v>
      </c>
      <c r="CC220">
        <v>344.06400000000002</v>
      </c>
      <c r="CD220" t="s">
        <v>783</v>
      </c>
      <c r="CE220" t="s">
        <v>1370</v>
      </c>
      <c r="CG220" t="s">
        <v>421</v>
      </c>
      <c r="CN220" t="str">
        <v>M01</v>
      </c>
      <c r="CO220" t="str">
        <v>1301-1030476EN</v>
      </c>
      <c r="CP220" t="str">
        <v>CSNU7460163</v>
      </c>
      <c r="CQ220" s="23">
        <v>1474.88</v>
      </c>
      <c r="CR220" s="25">
        <f t="shared" si="11"/>
        <v>8.8242800338916863E-2</v>
      </c>
      <c r="CS220" s="21">
        <f t="shared" si="12"/>
        <v>220.60700084729217</v>
      </c>
    </row>
    <row r="221" spans="2:97" x14ac:dyDescent="0.35">
      <c r="B221" t="s">
        <v>299</v>
      </c>
      <c r="C221" t="s">
        <v>1371</v>
      </c>
      <c r="D221" t="s">
        <v>395</v>
      </c>
      <c r="E221" t="s">
        <v>395</v>
      </c>
      <c r="F221" t="s">
        <v>396</v>
      </c>
      <c r="G221" t="s">
        <v>397</v>
      </c>
      <c r="H221" t="s">
        <v>398</v>
      </c>
      <c r="I221" t="s">
        <v>399</v>
      </c>
      <c r="J221" t="s">
        <v>749</v>
      </c>
      <c r="K221" t="s">
        <v>777</v>
      </c>
      <c r="L221" t="s">
        <v>778</v>
      </c>
      <c r="M221" t="s">
        <v>403</v>
      </c>
      <c r="N221">
        <v>1</v>
      </c>
      <c r="O221">
        <v>1</v>
      </c>
      <c r="P221" t="s">
        <v>1372</v>
      </c>
      <c r="Q221" t="s">
        <v>637</v>
      </c>
      <c r="R221" t="s">
        <v>536</v>
      </c>
      <c r="S221" t="s">
        <v>1373</v>
      </c>
      <c r="T221" t="s">
        <v>408</v>
      </c>
      <c r="U221">
        <v>50950078376</v>
      </c>
      <c r="W221">
        <v>2520</v>
      </c>
      <c r="X221" t="s">
        <v>409</v>
      </c>
      <c r="Y221" t="s">
        <v>410</v>
      </c>
      <c r="Z221" t="s">
        <v>410</v>
      </c>
      <c r="AA221" t="s">
        <v>411</v>
      </c>
      <c r="AB221" t="s">
        <v>769</v>
      </c>
      <c r="AC221" t="s">
        <v>411</v>
      </c>
      <c r="AD221">
        <v>46088</v>
      </c>
      <c r="AE221">
        <v>46146</v>
      </c>
      <c r="AF221">
        <v>46095</v>
      </c>
      <c r="AG221" t="s">
        <v>781</v>
      </c>
      <c r="AH221">
        <v>6132790</v>
      </c>
      <c r="AI221">
        <v>46089</v>
      </c>
      <c r="AJ221">
        <v>46090</v>
      </c>
      <c r="AK221">
        <v>2520</v>
      </c>
      <c r="AL221" t="s">
        <v>396</v>
      </c>
      <c r="AM221" t="s">
        <v>1374</v>
      </c>
      <c r="AN221">
        <v>46090</v>
      </c>
      <c r="AO221">
        <v>46090.599363425928</v>
      </c>
      <c r="AP221" t="s">
        <v>51</v>
      </c>
      <c r="AQ221">
        <v>2.7070500000000002</v>
      </c>
      <c r="AR221">
        <v>6821.75</v>
      </c>
      <c r="AS221" t="s">
        <v>51</v>
      </c>
      <c r="AT221">
        <v>6821.75</v>
      </c>
      <c r="AU221" t="s">
        <v>415</v>
      </c>
      <c r="AV221" t="s">
        <v>416</v>
      </c>
      <c r="AW221" t="s">
        <v>1360</v>
      </c>
      <c r="AX221">
        <v>46095</v>
      </c>
      <c r="AY221">
        <v>46144</v>
      </c>
      <c r="AZ221" t="s">
        <v>1361</v>
      </c>
      <c r="BA221" t="s">
        <v>560</v>
      </c>
      <c r="BB221" t="s">
        <v>1362</v>
      </c>
      <c r="BC221">
        <v>28</v>
      </c>
      <c r="BD221" t="s">
        <v>521</v>
      </c>
      <c r="BE221">
        <v>5.1753999999999998</v>
      </c>
      <c r="BF221">
        <v>3.3123999999999998</v>
      </c>
      <c r="BG221" t="s">
        <v>522</v>
      </c>
      <c r="BH221">
        <v>795</v>
      </c>
      <c r="BI221">
        <v>395</v>
      </c>
      <c r="BJ221">
        <v>145</v>
      </c>
      <c r="BK221">
        <v>18</v>
      </c>
      <c r="BL221" t="s">
        <v>521</v>
      </c>
      <c r="BM221">
        <v>118.1572</v>
      </c>
      <c r="BN221">
        <v>59.623199999999997</v>
      </c>
      <c r="BO221">
        <v>590.78599999999994</v>
      </c>
      <c r="BP221" t="s">
        <v>522</v>
      </c>
      <c r="BQ221">
        <v>1200</v>
      </c>
      <c r="BR221">
        <v>800</v>
      </c>
      <c r="BS221">
        <v>1030</v>
      </c>
      <c r="BT221">
        <v>5</v>
      </c>
      <c r="BU221">
        <v>0</v>
      </c>
      <c r="BV221">
        <v>5</v>
      </c>
      <c r="BW221">
        <v>90</v>
      </c>
      <c r="BX221">
        <v>0</v>
      </c>
      <c r="BY221">
        <v>90</v>
      </c>
      <c r="BZ221">
        <v>2520</v>
      </c>
      <c r="CA221">
        <v>0</v>
      </c>
      <c r="CB221">
        <v>2520</v>
      </c>
      <c r="CC221">
        <v>298.11599999999999</v>
      </c>
      <c r="CD221" t="s">
        <v>783</v>
      </c>
      <c r="CE221" t="s">
        <v>784</v>
      </c>
      <c r="CG221" t="s">
        <v>421</v>
      </c>
      <c r="CN221" t="str">
        <v>M01</v>
      </c>
      <c r="CO221" t="str">
        <v>1301-1030476EN</v>
      </c>
      <c r="CP221" t="str">
        <v>CSNU7460163</v>
      </c>
      <c r="CQ221" s="23">
        <v>737.44</v>
      </c>
      <c r="CR221" s="25">
        <f t="shared" si="11"/>
        <v>4.4121400169458432E-2</v>
      </c>
      <c r="CS221" s="21">
        <f t="shared" si="12"/>
        <v>110.30350042364608</v>
      </c>
    </row>
    <row r="222" spans="2:97" x14ac:dyDescent="0.35">
      <c r="B222" t="s">
        <v>295</v>
      </c>
      <c r="C222" t="s">
        <v>868</v>
      </c>
      <c r="D222" t="s">
        <v>395</v>
      </c>
      <c r="E222" t="s">
        <v>395</v>
      </c>
      <c r="F222" t="s">
        <v>396</v>
      </c>
      <c r="G222" t="s">
        <v>397</v>
      </c>
      <c r="H222" t="s">
        <v>398</v>
      </c>
      <c r="I222" t="s">
        <v>399</v>
      </c>
      <c r="J222" t="s">
        <v>749</v>
      </c>
      <c r="K222" t="s">
        <v>629</v>
      </c>
      <c r="L222" t="s">
        <v>787</v>
      </c>
      <c r="M222" t="s">
        <v>403</v>
      </c>
      <c r="N222">
        <v>1</v>
      </c>
      <c r="O222">
        <v>3</v>
      </c>
      <c r="P222" t="s">
        <v>869</v>
      </c>
      <c r="Q222" t="s">
        <v>637</v>
      </c>
      <c r="R222" t="s">
        <v>870</v>
      </c>
      <c r="S222" t="s">
        <v>871</v>
      </c>
      <c r="T222" t="s">
        <v>408</v>
      </c>
      <c r="U222">
        <v>50950076250</v>
      </c>
      <c r="W222">
        <v>4800</v>
      </c>
      <c r="X222" t="s">
        <v>409</v>
      </c>
      <c r="Y222" t="s">
        <v>410</v>
      </c>
      <c r="Z222" t="s">
        <v>410</v>
      </c>
      <c r="AA222" t="s">
        <v>411</v>
      </c>
      <c r="AB222" t="s">
        <v>769</v>
      </c>
      <c r="AC222" t="s">
        <v>411</v>
      </c>
      <c r="AD222">
        <v>46090</v>
      </c>
      <c r="AE222">
        <v>46118</v>
      </c>
      <c r="AF222">
        <v>46095</v>
      </c>
      <c r="AG222" t="s">
        <v>754</v>
      </c>
      <c r="AH222">
        <v>6131962</v>
      </c>
      <c r="AI222">
        <v>46088</v>
      </c>
      <c r="AJ222">
        <v>46090</v>
      </c>
      <c r="AK222">
        <v>4800</v>
      </c>
      <c r="AL222" t="s">
        <v>396</v>
      </c>
      <c r="AM222" t="s">
        <v>1375</v>
      </c>
      <c r="AN222">
        <v>46090</v>
      </c>
      <c r="AO222">
        <v>46090.399039351854</v>
      </c>
      <c r="AP222" t="s">
        <v>51</v>
      </c>
      <c r="AQ222">
        <v>1.03729</v>
      </c>
      <c r="AR222">
        <v>4979</v>
      </c>
      <c r="AS222" t="s">
        <v>51</v>
      </c>
      <c r="AT222">
        <v>4979</v>
      </c>
      <c r="AU222" t="s">
        <v>415</v>
      </c>
      <c r="AV222" t="s">
        <v>416</v>
      </c>
      <c r="AW222" t="s">
        <v>1360</v>
      </c>
      <c r="AX222">
        <v>46095</v>
      </c>
      <c r="AY222">
        <v>46144</v>
      </c>
      <c r="AZ222" t="s">
        <v>1376</v>
      </c>
      <c r="BA222" t="s">
        <v>560</v>
      </c>
      <c r="BB222" t="s">
        <v>1377</v>
      </c>
      <c r="BC222">
        <v>40</v>
      </c>
      <c r="BD222" t="s">
        <v>521</v>
      </c>
      <c r="BE222">
        <v>4.4851000000000001</v>
      </c>
      <c r="BF222">
        <v>3.3351000000000002</v>
      </c>
      <c r="BG222" t="s">
        <v>522</v>
      </c>
      <c r="BH222">
        <v>495</v>
      </c>
      <c r="BI222">
        <v>395</v>
      </c>
      <c r="BJ222">
        <v>1800</v>
      </c>
      <c r="BK222">
        <v>30</v>
      </c>
      <c r="BL222" t="s">
        <v>521</v>
      </c>
      <c r="BM222">
        <v>161.553</v>
      </c>
      <c r="BN222">
        <v>100.053</v>
      </c>
      <c r="BO222">
        <v>646.21439999999996</v>
      </c>
      <c r="BP222" t="s">
        <v>522</v>
      </c>
      <c r="BQ222">
        <v>1200</v>
      </c>
      <c r="BR222">
        <v>1000</v>
      </c>
      <c r="BS222">
        <v>1058</v>
      </c>
      <c r="BT222">
        <v>4</v>
      </c>
      <c r="BU222">
        <v>0</v>
      </c>
      <c r="BV222">
        <v>4</v>
      </c>
      <c r="BW222">
        <v>120</v>
      </c>
      <c r="BX222">
        <v>0</v>
      </c>
      <c r="BY222">
        <v>120</v>
      </c>
      <c r="BZ222">
        <v>4800</v>
      </c>
      <c r="CA222">
        <v>0</v>
      </c>
      <c r="CB222">
        <v>4800</v>
      </c>
      <c r="CC222">
        <v>400.21440000000001</v>
      </c>
      <c r="CD222" t="s">
        <v>799</v>
      </c>
      <c r="CE222" t="s">
        <v>873</v>
      </c>
      <c r="CG222" t="s">
        <v>421</v>
      </c>
      <c r="CN222" t="str">
        <v>M23</v>
      </c>
      <c r="CO222" t="str">
        <v>1401-1060029-92EN</v>
      </c>
      <c r="CP222" t="str">
        <v>CSNU7460163</v>
      </c>
      <c r="CQ222" s="23">
        <v>215.08</v>
      </c>
      <c r="CR222" s="25">
        <f t="shared" si="11"/>
        <v>1.2868342846125948E-2</v>
      </c>
      <c r="CS222" s="21">
        <f t="shared" si="12"/>
        <v>32.170857115314874</v>
      </c>
    </row>
    <row r="223" spans="2:97" x14ac:dyDescent="0.35">
      <c r="B223" t="s">
        <v>296</v>
      </c>
      <c r="C223" t="s">
        <v>1378</v>
      </c>
      <c r="D223" t="s">
        <v>395</v>
      </c>
      <c r="E223" t="s">
        <v>395</v>
      </c>
      <c r="F223" t="s">
        <v>396</v>
      </c>
      <c r="G223" t="s">
        <v>397</v>
      </c>
      <c r="H223" t="s">
        <v>398</v>
      </c>
      <c r="I223" t="s">
        <v>399</v>
      </c>
      <c r="J223" t="s">
        <v>749</v>
      </c>
      <c r="K223" t="s">
        <v>629</v>
      </c>
      <c r="L223" t="s">
        <v>787</v>
      </c>
      <c r="M223" t="s">
        <v>403</v>
      </c>
      <c r="N223">
        <v>1</v>
      </c>
      <c r="O223">
        <v>1</v>
      </c>
      <c r="P223" t="s">
        <v>881</v>
      </c>
      <c r="Q223" t="s">
        <v>645</v>
      </c>
      <c r="R223" t="s">
        <v>882</v>
      </c>
      <c r="S223" t="s">
        <v>883</v>
      </c>
      <c r="T223" t="s">
        <v>408</v>
      </c>
      <c r="U223">
        <v>50950078919</v>
      </c>
      <c r="W223">
        <v>26400</v>
      </c>
      <c r="X223" t="s">
        <v>409</v>
      </c>
      <c r="Y223" t="s">
        <v>410</v>
      </c>
      <c r="Z223" t="s">
        <v>410</v>
      </c>
      <c r="AA223" t="s">
        <v>411</v>
      </c>
      <c r="AB223" t="s">
        <v>769</v>
      </c>
      <c r="AC223" t="s">
        <v>411</v>
      </c>
      <c r="AD223">
        <v>46090</v>
      </c>
      <c r="AE223">
        <v>46174</v>
      </c>
      <c r="AF223">
        <v>46095</v>
      </c>
      <c r="AG223" t="s">
        <v>754</v>
      </c>
      <c r="AH223">
        <v>6131963</v>
      </c>
      <c r="AI223">
        <v>46088</v>
      </c>
      <c r="AJ223">
        <v>46090</v>
      </c>
      <c r="AK223">
        <v>26400</v>
      </c>
      <c r="AL223" t="s">
        <v>396</v>
      </c>
      <c r="AM223" t="s">
        <v>1379</v>
      </c>
      <c r="AN223">
        <v>46090</v>
      </c>
      <c r="AO223">
        <v>46090.399039351854</v>
      </c>
      <c r="AP223" t="s">
        <v>51</v>
      </c>
      <c r="AQ223">
        <v>0.19572000000000001</v>
      </c>
      <c r="AR223">
        <v>5167</v>
      </c>
      <c r="AS223" t="s">
        <v>51</v>
      </c>
      <c r="AT223">
        <v>5167</v>
      </c>
      <c r="AU223" t="s">
        <v>415</v>
      </c>
      <c r="AV223" t="s">
        <v>416</v>
      </c>
      <c r="AW223" t="s">
        <v>1360</v>
      </c>
      <c r="AX223">
        <v>46095</v>
      </c>
      <c r="AY223">
        <v>46144</v>
      </c>
      <c r="AZ223" t="s">
        <v>1376</v>
      </c>
      <c r="BA223" t="s">
        <v>560</v>
      </c>
      <c r="BB223" t="s">
        <v>1377</v>
      </c>
      <c r="BC223">
        <v>264</v>
      </c>
      <c r="BD223" t="s">
        <v>521</v>
      </c>
      <c r="BE223">
        <v>5.2203999999999997</v>
      </c>
      <c r="BF223">
        <v>3.8304</v>
      </c>
      <c r="BG223" t="s">
        <v>522</v>
      </c>
      <c r="BH223">
        <v>595</v>
      </c>
      <c r="BI223">
        <v>395</v>
      </c>
      <c r="BJ223">
        <v>175</v>
      </c>
      <c r="BK223">
        <v>25</v>
      </c>
      <c r="BL223" t="s">
        <v>521</v>
      </c>
      <c r="BM223">
        <v>157.51</v>
      </c>
      <c r="BN223">
        <v>95.76</v>
      </c>
      <c r="BO223">
        <v>630.0376</v>
      </c>
      <c r="BP223" t="s">
        <v>522</v>
      </c>
      <c r="BQ223">
        <v>1200</v>
      </c>
      <c r="BR223">
        <v>1000</v>
      </c>
      <c r="BS223">
        <v>1035</v>
      </c>
      <c r="BT223">
        <v>4</v>
      </c>
      <c r="BU223">
        <v>0</v>
      </c>
      <c r="BV223">
        <v>4</v>
      </c>
      <c r="BW223">
        <v>100</v>
      </c>
      <c r="BX223">
        <v>0</v>
      </c>
      <c r="BY223">
        <v>100</v>
      </c>
      <c r="BZ223">
        <v>26400</v>
      </c>
      <c r="CA223">
        <v>0</v>
      </c>
      <c r="CB223">
        <v>26400</v>
      </c>
      <c r="CC223">
        <v>383.0376</v>
      </c>
      <c r="CD223" t="s">
        <v>885</v>
      </c>
      <c r="CE223" t="s">
        <v>886</v>
      </c>
      <c r="CG223" t="s">
        <v>421</v>
      </c>
      <c r="CN223" t="str">
        <v>M01</v>
      </c>
      <c r="CO223" t="str">
        <v>1102-0039190EN</v>
      </c>
      <c r="CP223" t="str">
        <v>CSNU7460163</v>
      </c>
      <c r="CQ223" s="23">
        <v>1197.24</v>
      </c>
      <c r="CR223" s="25">
        <f t="shared" si="11"/>
        <v>7.1631461730964435E-2</v>
      </c>
      <c r="CS223" s="21">
        <f t="shared" si="12"/>
        <v>179.0786543274111</v>
      </c>
    </row>
    <row r="224" spans="2:97" x14ac:dyDescent="0.35">
      <c r="B224" t="s">
        <v>299</v>
      </c>
      <c r="C224" t="s">
        <v>1380</v>
      </c>
      <c r="D224" t="s">
        <v>965</v>
      </c>
      <c r="E224" t="s">
        <v>395</v>
      </c>
      <c r="F224" t="s">
        <v>396</v>
      </c>
      <c r="G224" t="s">
        <v>397</v>
      </c>
      <c r="H224" t="s">
        <v>398</v>
      </c>
      <c r="I224" t="s">
        <v>399</v>
      </c>
      <c r="J224" t="s">
        <v>749</v>
      </c>
      <c r="K224" t="s">
        <v>809</v>
      </c>
      <c r="L224" t="s">
        <v>787</v>
      </c>
      <c r="M224" t="s">
        <v>403</v>
      </c>
      <c r="N224">
        <v>1</v>
      </c>
      <c r="O224">
        <v>1</v>
      </c>
      <c r="P224" t="s">
        <v>810</v>
      </c>
      <c r="Q224" t="s">
        <v>405</v>
      </c>
      <c r="R224" t="s">
        <v>811</v>
      </c>
      <c r="S224" t="s">
        <v>812</v>
      </c>
      <c r="T224" t="s">
        <v>408</v>
      </c>
      <c r="U224">
        <v>50950080270</v>
      </c>
      <c r="W224">
        <v>4800</v>
      </c>
      <c r="X224" t="s">
        <v>409</v>
      </c>
      <c r="Y224" t="s">
        <v>410</v>
      </c>
      <c r="Z224" t="s">
        <v>410</v>
      </c>
      <c r="AA224" t="s">
        <v>411</v>
      </c>
      <c r="AB224" t="s">
        <v>769</v>
      </c>
      <c r="AC224" t="s">
        <v>411</v>
      </c>
      <c r="AD224">
        <v>46088</v>
      </c>
      <c r="AE224">
        <v>46125</v>
      </c>
      <c r="AF224">
        <v>46095</v>
      </c>
      <c r="AG224" t="s">
        <v>754</v>
      </c>
      <c r="AH224">
        <v>6131964</v>
      </c>
      <c r="AI224">
        <v>46088</v>
      </c>
      <c r="AJ224">
        <v>46090</v>
      </c>
      <c r="AK224">
        <v>4800</v>
      </c>
      <c r="AL224" t="s">
        <v>396</v>
      </c>
      <c r="AM224" t="s">
        <v>1381</v>
      </c>
      <c r="AN224">
        <v>46090</v>
      </c>
      <c r="AO224">
        <v>46090.399039351854</v>
      </c>
      <c r="AP224" t="s">
        <v>51</v>
      </c>
      <c r="AQ224">
        <v>1.96204</v>
      </c>
      <c r="AR224">
        <v>9417.7999999999993</v>
      </c>
      <c r="AS224" t="s">
        <v>51</v>
      </c>
      <c r="AT224">
        <v>9417.7999999999993</v>
      </c>
      <c r="AU224" t="s">
        <v>415</v>
      </c>
      <c r="AV224" t="s">
        <v>416</v>
      </c>
      <c r="AW224" t="s">
        <v>1360</v>
      </c>
      <c r="AX224">
        <v>46095</v>
      </c>
      <c r="AY224">
        <v>46144</v>
      </c>
      <c r="AZ224" t="s">
        <v>1376</v>
      </c>
      <c r="BA224" t="s">
        <v>560</v>
      </c>
      <c r="BB224" t="s">
        <v>1377</v>
      </c>
      <c r="BC224">
        <v>16</v>
      </c>
      <c r="BD224" t="s">
        <v>521</v>
      </c>
      <c r="BE224">
        <v>4.9545000000000003</v>
      </c>
      <c r="BF224">
        <v>3.7555000000000001</v>
      </c>
      <c r="BG224" t="s">
        <v>522</v>
      </c>
      <c r="BH224">
        <v>495</v>
      </c>
      <c r="BI224">
        <v>395</v>
      </c>
      <c r="BJ224">
        <v>190</v>
      </c>
      <c r="BK224">
        <v>30</v>
      </c>
      <c r="BL224" t="s">
        <v>521</v>
      </c>
      <c r="BM224">
        <v>175.63499999999999</v>
      </c>
      <c r="BN224">
        <v>112.66500000000001</v>
      </c>
      <c r="BO224">
        <v>1756.356</v>
      </c>
      <c r="BP224" t="s">
        <v>522</v>
      </c>
      <c r="BQ224">
        <v>1200</v>
      </c>
      <c r="BR224">
        <v>1000</v>
      </c>
      <c r="BS224">
        <v>1120</v>
      </c>
      <c r="BT224">
        <v>10</v>
      </c>
      <c r="BU224">
        <v>0</v>
      </c>
      <c r="BV224">
        <v>10</v>
      </c>
      <c r="BW224">
        <v>300</v>
      </c>
      <c r="BX224">
        <v>0</v>
      </c>
      <c r="BY224">
        <v>300</v>
      </c>
      <c r="BZ224">
        <v>4800</v>
      </c>
      <c r="CA224">
        <v>0</v>
      </c>
      <c r="CB224">
        <v>4800</v>
      </c>
      <c r="CC224">
        <v>1126.6559999999999</v>
      </c>
      <c r="CD224" t="s">
        <v>806</v>
      </c>
      <c r="CE224" t="s">
        <v>816</v>
      </c>
      <c r="CG224" t="s">
        <v>421</v>
      </c>
      <c r="CN224" t="str">
        <v>M01</v>
      </c>
      <c r="CO224" t="str">
        <v>1102-0039190EN</v>
      </c>
      <c r="CP224" t="str">
        <v>CSNU7460163</v>
      </c>
      <c r="CQ224" s="23">
        <v>399.08</v>
      </c>
      <c r="CR224" s="25">
        <f t="shared" si="11"/>
        <v>2.3877153910321476E-2</v>
      </c>
      <c r="CS224" s="21">
        <f t="shared" si="12"/>
        <v>59.692884775803691</v>
      </c>
    </row>
    <row r="225" spans="2:97" x14ac:dyDescent="0.35">
      <c r="B225" t="s">
        <v>297</v>
      </c>
      <c r="C225" t="s">
        <v>1382</v>
      </c>
      <c r="D225" t="s">
        <v>395</v>
      </c>
      <c r="E225" t="s">
        <v>395</v>
      </c>
      <c r="F225" t="s">
        <v>396</v>
      </c>
      <c r="G225" t="s">
        <v>397</v>
      </c>
      <c r="H225" t="s">
        <v>398</v>
      </c>
      <c r="I225" t="s">
        <v>399</v>
      </c>
      <c r="J225" t="s">
        <v>749</v>
      </c>
      <c r="K225" t="s">
        <v>1142</v>
      </c>
      <c r="L225" t="s">
        <v>787</v>
      </c>
      <c r="M225" t="s">
        <v>403</v>
      </c>
      <c r="N225">
        <v>2</v>
      </c>
      <c r="O225">
        <v>1</v>
      </c>
      <c r="P225" t="s">
        <v>1383</v>
      </c>
      <c r="Q225" t="s">
        <v>430</v>
      </c>
      <c r="R225" t="s">
        <v>1384</v>
      </c>
      <c r="S225" t="s">
        <v>1385</v>
      </c>
      <c r="T225" t="s">
        <v>408</v>
      </c>
      <c r="U225">
        <v>50950080797</v>
      </c>
      <c r="W225">
        <v>2280000</v>
      </c>
      <c r="X225" t="s">
        <v>409</v>
      </c>
      <c r="Y225" t="s">
        <v>410</v>
      </c>
      <c r="Z225" t="s">
        <v>410</v>
      </c>
      <c r="AA225" t="s">
        <v>411</v>
      </c>
      <c r="AB225" t="s">
        <v>769</v>
      </c>
      <c r="AC225" t="s">
        <v>411</v>
      </c>
      <c r="AD225">
        <v>46088</v>
      </c>
      <c r="AE225">
        <v>46146</v>
      </c>
      <c r="AF225">
        <v>46095</v>
      </c>
      <c r="AG225" t="s">
        <v>754</v>
      </c>
      <c r="AH225">
        <v>6131965</v>
      </c>
      <c r="AI225">
        <v>46088</v>
      </c>
      <c r="AJ225">
        <v>46090</v>
      </c>
      <c r="AK225">
        <v>2280000</v>
      </c>
      <c r="AL225" t="s">
        <v>396</v>
      </c>
      <c r="AM225" t="s">
        <v>1386</v>
      </c>
      <c r="AN225">
        <v>46090</v>
      </c>
      <c r="AO225">
        <v>46090.399039351854</v>
      </c>
      <c r="AP225" t="s">
        <v>51</v>
      </c>
      <c r="AQ225">
        <v>1.17E-3</v>
      </c>
      <c r="AR225">
        <v>2667.6</v>
      </c>
      <c r="AS225" t="s">
        <v>51</v>
      </c>
      <c r="AT225">
        <v>2667.6</v>
      </c>
      <c r="AU225" t="s">
        <v>415</v>
      </c>
      <c r="AV225" t="s">
        <v>416</v>
      </c>
      <c r="AW225" t="s">
        <v>1360</v>
      </c>
      <c r="AX225">
        <v>46095</v>
      </c>
      <c r="AY225">
        <v>46144</v>
      </c>
      <c r="AZ225" t="s">
        <v>1376</v>
      </c>
      <c r="BA225" t="s">
        <v>560</v>
      </c>
      <c r="BB225" t="s">
        <v>1377</v>
      </c>
      <c r="BC225">
        <v>760000</v>
      </c>
      <c r="BD225" t="s">
        <v>521</v>
      </c>
      <c r="BE225">
        <v>382.68</v>
      </c>
      <c r="BF225">
        <v>317.68</v>
      </c>
      <c r="BG225" t="s">
        <v>522</v>
      </c>
      <c r="BH225">
        <v>1050</v>
      </c>
      <c r="BI225">
        <v>480</v>
      </c>
      <c r="BJ225">
        <v>460</v>
      </c>
      <c r="BK225">
        <v>1</v>
      </c>
      <c r="BL225" t="s">
        <v>521</v>
      </c>
      <c r="BM225">
        <v>399.08</v>
      </c>
      <c r="BN225">
        <v>317.68</v>
      </c>
      <c r="BO225">
        <v>1197.24</v>
      </c>
      <c r="BP225" t="s">
        <v>522</v>
      </c>
      <c r="BQ225">
        <v>1050</v>
      </c>
      <c r="BR225">
        <v>480</v>
      </c>
      <c r="BS225">
        <v>480</v>
      </c>
      <c r="BT225">
        <v>3</v>
      </c>
      <c r="BU225">
        <v>0</v>
      </c>
      <c r="BV225">
        <v>3</v>
      </c>
      <c r="BW225">
        <v>3</v>
      </c>
      <c r="BX225">
        <v>0</v>
      </c>
      <c r="BY225">
        <v>3</v>
      </c>
      <c r="BZ225">
        <v>2280000</v>
      </c>
      <c r="CA225">
        <v>0</v>
      </c>
      <c r="CB225">
        <v>2280000</v>
      </c>
      <c r="CC225">
        <v>953.04</v>
      </c>
      <c r="CD225" t="s">
        <v>1387</v>
      </c>
      <c r="CE225" t="s">
        <v>1388</v>
      </c>
      <c r="CG225" t="s">
        <v>421</v>
      </c>
      <c r="CN225" t="str">
        <v>M45</v>
      </c>
      <c r="CO225" t="str">
        <v>1305-12C0001EN</v>
      </c>
      <c r="CP225" t="str">
        <v>CSNU7460163</v>
      </c>
      <c r="CQ225" s="23">
        <v>272.85000000000002</v>
      </c>
      <c r="CR225" s="25">
        <f t="shared" si="11"/>
        <v>1.6324750537313863E-2</v>
      </c>
      <c r="CS225" s="21">
        <f t="shared" si="12"/>
        <v>40.811876343284659</v>
      </c>
    </row>
    <row r="226" spans="2:97" x14ac:dyDescent="0.35">
      <c r="B226" t="s">
        <v>299</v>
      </c>
      <c r="C226" t="s">
        <v>1068</v>
      </c>
      <c r="D226" t="s">
        <v>395</v>
      </c>
      <c r="E226" t="s">
        <v>395</v>
      </c>
      <c r="F226" t="s">
        <v>396</v>
      </c>
      <c r="G226" t="s">
        <v>397</v>
      </c>
      <c r="H226" t="s">
        <v>398</v>
      </c>
      <c r="I226" t="s">
        <v>399</v>
      </c>
      <c r="J226" t="s">
        <v>749</v>
      </c>
      <c r="K226" t="s">
        <v>809</v>
      </c>
      <c r="L226" t="s">
        <v>787</v>
      </c>
      <c r="M226" t="s">
        <v>403</v>
      </c>
      <c r="N226">
        <v>1</v>
      </c>
      <c r="O226">
        <v>2</v>
      </c>
      <c r="P226" t="s">
        <v>1069</v>
      </c>
      <c r="Q226" t="s">
        <v>424</v>
      </c>
      <c r="R226" t="s">
        <v>811</v>
      </c>
      <c r="S226" t="s">
        <v>1070</v>
      </c>
      <c r="T226" t="s">
        <v>408</v>
      </c>
      <c r="U226">
        <v>50950081200</v>
      </c>
      <c r="W226">
        <v>960</v>
      </c>
      <c r="X226" t="s">
        <v>409</v>
      </c>
      <c r="Y226" t="s">
        <v>410</v>
      </c>
      <c r="Z226" t="s">
        <v>410</v>
      </c>
      <c r="AA226" t="s">
        <v>411</v>
      </c>
      <c r="AB226" t="s">
        <v>769</v>
      </c>
      <c r="AC226" t="s">
        <v>411</v>
      </c>
      <c r="AD226">
        <v>46088</v>
      </c>
      <c r="AE226">
        <v>46139</v>
      </c>
      <c r="AF226">
        <v>46095</v>
      </c>
      <c r="AG226" t="s">
        <v>754</v>
      </c>
      <c r="AH226">
        <v>6131966</v>
      </c>
      <c r="AI226">
        <v>46088</v>
      </c>
      <c r="AJ226">
        <v>46090</v>
      </c>
      <c r="AK226">
        <v>960</v>
      </c>
      <c r="AL226" t="s">
        <v>396</v>
      </c>
      <c r="AM226" t="s">
        <v>1389</v>
      </c>
      <c r="AN226">
        <v>46090</v>
      </c>
      <c r="AO226">
        <v>46090.399039351854</v>
      </c>
      <c r="AP226" t="s">
        <v>51</v>
      </c>
      <c r="AQ226">
        <v>2.3610099999999998</v>
      </c>
      <c r="AR226">
        <v>2266.56</v>
      </c>
      <c r="AS226" t="s">
        <v>51</v>
      </c>
      <c r="AT226">
        <v>2266.56</v>
      </c>
      <c r="AU226" t="s">
        <v>415</v>
      </c>
      <c r="AV226" t="s">
        <v>416</v>
      </c>
      <c r="AW226" t="s">
        <v>1360</v>
      </c>
      <c r="AX226">
        <v>46095</v>
      </c>
      <c r="AY226">
        <v>46144</v>
      </c>
      <c r="AZ226" t="s">
        <v>1376</v>
      </c>
      <c r="BA226" t="s">
        <v>560</v>
      </c>
      <c r="BB226" t="s">
        <v>1377</v>
      </c>
      <c r="BC226">
        <v>16</v>
      </c>
      <c r="BD226" t="s">
        <v>521</v>
      </c>
      <c r="BE226">
        <v>6.3334000000000001</v>
      </c>
      <c r="BF226">
        <v>5.1344000000000003</v>
      </c>
      <c r="BG226" t="s">
        <v>522</v>
      </c>
      <c r="BH226">
        <v>495</v>
      </c>
      <c r="BI226">
        <v>395</v>
      </c>
      <c r="BJ226">
        <v>190</v>
      </c>
      <c r="BK226">
        <v>30</v>
      </c>
      <c r="BL226" t="s">
        <v>521</v>
      </c>
      <c r="BM226">
        <v>217.00200000000001</v>
      </c>
      <c r="BN226">
        <v>154.03200000000001</v>
      </c>
      <c r="BO226">
        <v>434.00400000000002</v>
      </c>
      <c r="BP226" t="s">
        <v>522</v>
      </c>
      <c r="BQ226">
        <v>1200</v>
      </c>
      <c r="BR226">
        <v>1000</v>
      </c>
      <c r="BS226">
        <v>1120</v>
      </c>
      <c r="BT226">
        <v>2</v>
      </c>
      <c r="BU226">
        <v>0</v>
      </c>
      <c r="BV226">
        <v>2</v>
      </c>
      <c r="BW226">
        <v>60</v>
      </c>
      <c r="BX226">
        <v>0</v>
      </c>
      <c r="BY226">
        <v>60</v>
      </c>
      <c r="BZ226">
        <v>960</v>
      </c>
      <c r="CA226">
        <v>0</v>
      </c>
      <c r="CB226">
        <v>960</v>
      </c>
      <c r="CC226">
        <v>308.06400000000002</v>
      </c>
      <c r="CD226" t="s">
        <v>806</v>
      </c>
      <c r="CE226" t="s">
        <v>816</v>
      </c>
      <c r="CG226" t="s">
        <v>421</v>
      </c>
      <c r="CN226" t="str">
        <v>M01</v>
      </c>
      <c r="CO226" t="str">
        <v>1102-0039190EN</v>
      </c>
      <c r="CP226" t="str">
        <v>CSNU7460163</v>
      </c>
      <c r="CQ226" s="23">
        <v>3192.64</v>
      </c>
      <c r="CR226" s="25">
        <f t="shared" si="11"/>
        <v>0.19101723128257181</v>
      </c>
      <c r="CS226" s="21">
        <f t="shared" si="12"/>
        <v>477.54307820642953</v>
      </c>
    </row>
    <row r="227" spans="2:97" x14ac:dyDescent="0.35">
      <c r="B227" t="s">
        <v>299</v>
      </c>
      <c r="C227" t="s">
        <v>1390</v>
      </c>
      <c r="D227" t="s">
        <v>395</v>
      </c>
      <c r="E227" t="s">
        <v>395</v>
      </c>
      <c r="F227" t="s">
        <v>396</v>
      </c>
      <c r="G227" t="s">
        <v>397</v>
      </c>
      <c r="H227" t="s">
        <v>398</v>
      </c>
      <c r="I227" t="s">
        <v>399</v>
      </c>
      <c r="J227" t="s">
        <v>749</v>
      </c>
      <c r="K227" t="s">
        <v>809</v>
      </c>
      <c r="L227" t="s">
        <v>787</v>
      </c>
      <c r="M227" t="s">
        <v>403</v>
      </c>
      <c r="N227">
        <v>1</v>
      </c>
      <c r="O227">
        <v>1</v>
      </c>
      <c r="P227" t="s">
        <v>892</v>
      </c>
      <c r="Q227" t="s">
        <v>424</v>
      </c>
      <c r="R227" t="s">
        <v>811</v>
      </c>
      <c r="S227" t="s">
        <v>893</v>
      </c>
      <c r="T227" t="s">
        <v>408</v>
      </c>
      <c r="U227">
        <v>50950081233</v>
      </c>
      <c r="W227">
        <v>5760</v>
      </c>
      <c r="X227" t="s">
        <v>409</v>
      </c>
      <c r="Y227" t="s">
        <v>410</v>
      </c>
      <c r="Z227" t="s">
        <v>410</v>
      </c>
      <c r="AA227" t="s">
        <v>411</v>
      </c>
      <c r="AB227" t="s">
        <v>769</v>
      </c>
      <c r="AC227" t="s">
        <v>411</v>
      </c>
      <c r="AD227">
        <v>46088</v>
      </c>
      <c r="AE227">
        <v>46146</v>
      </c>
      <c r="AF227">
        <v>46095</v>
      </c>
      <c r="AG227" t="s">
        <v>754</v>
      </c>
      <c r="AH227">
        <v>6131967</v>
      </c>
      <c r="AI227">
        <v>46088</v>
      </c>
      <c r="AJ227">
        <v>46090</v>
      </c>
      <c r="AK227">
        <v>5760</v>
      </c>
      <c r="AL227" t="s">
        <v>396</v>
      </c>
      <c r="AM227" t="s">
        <v>1391</v>
      </c>
      <c r="AN227">
        <v>46090</v>
      </c>
      <c r="AO227">
        <v>46090.399039351854</v>
      </c>
      <c r="AP227" t="s">
        <v>51</v>
      </c>
      <c r="AQ227">
        <v>1.0937699999999999</v>
      </c>
      <c r="AR227">
        <v>6300.12</v>
      </c>
      <c r="AS227" t="s">
        <v>51</v>
      </c>
      <c r="AT227">
        <v>6300.12</v>
      </c>
      <c r="AU227" t="s">
        <v>415</v>
      </c>
      <c r="AV227" t="s">
        <v>416</v>
      </c>
      <c r="AW227" t="s">
        <v>1360</v>
      </c>
      <c r="AX227">
        <v>46095</v>
      </c>
      <c r="AY227">
        <v>46144</v>
      </c>
      <c r="AZ227" t="s">
        <v>1376</v>
      </c>
      <c r="BA227" t="s">
        <v>560</v>
      </c>
      <c r="BB227" t="s">
        <v>1377</v>
      </c>
      <c r="BC227">
        <v>48</v>
      </c>
      <c r="BD227" t="s">
        <v>521</v>
      </c>
      <c r="BE227">
        <v>7.6664000000000003</v>
      </c>
      <c r="BF227">
        <v>6.2064000000000004</v>
      </c>
      <c r="BG227" t="s">
        <v>522</v>
      </c>
      <c r="BH227">
        <v>495</v>
      </c>
      <c r="BI227">
        <v>395</v>
      </c>
      <c r="BJ227">
        <v>190</v>
      </c>
      <c r="BK227">
        <v>30</v>
      </c>
      <c r="BL227" t="s">
        <v>521</v>
      </c>
      <c r="BM227">
        <v>256.99200000000002</v>
      </c>
      <c r="BN227">
        <v>186.19200000000001</v>
      </c>
      <c r="BO227">
        <v>1027.9680000000001</v>
      </c>
      <c r="BP227" t="s">
        <v>522</v>
      </c>
      <c r="BQ227">
        <v>1200</v>
      </c>
      <c r="BR227">
        <v>1000</v>
      </c>
      <c r="BS227">
        <v>1120</v>
      </c>
      <c r="BT227">
        <v>4</v>
      </c>
      <c r="BU227">
        <v>0</v>
      </c>
      <c r="BV227">
        <v>4</v>
      </c>
      <c r="BW227">
        <v>120</v>
      </c>
      <c r="BX227">
        <v>0</v>
      </c>
      <c r="BY227">
        <v>120</v>
      </c>
      <c r="BZ227">
        <v>5760</v>
      </c>
      <c r="CA227">
        <v>0</v>
      </c>
      <c r="CB227">
        <v>5760</v>
      </c>
      <c r="CC227">
        <v>744.76800000000003</v>
      </c>
      <c r="CD227" t="s">
        <v>806</v>
      </c>
      <c r="CE227" t="s">
        <v>821</v>
      </c>
      <c r="CG227" t="s">
        <v>421</v>
      </c>
      <c r="CN227" t="str">
        <v>M01</v>
      </c>
      <c r="CO227" t="str">
        <v>1999-1031497EN</v>
      </c>
      <c r="CP227" t="str">
        <v>CSNU7568097</v>
      </c>
      <c r="CQ227" s="23">
        <v>2083.1999999999998</v>
      </c>
      <c r="CR227" s="25">
        <f t="shared" si="11"/>
        <v>0.13648674317471937</v>
      </c>
      <c r="CS227" s="21">
        <f t="shared" si="12"/>
        <v>341.21685793679842</v>
      </c>
    </row>
    <row r="228" spans="2:97" x14ac:dyDescent="0.35">
      <c r="B228" t="s">
        <v>299</v>
      </c>
      <c r="C228" t="s">
        <v>1392</v>
      </c>
      <c r="D228" t="s">
        <v>395</v>
      </c>
      <c r="E228" t="s">
        <v>395</v>
      </c>
      <c r="F228" t="s">
        <v>396</v>
      </c>
      <c r="G228" t="s">
        <v>397</v>
      </c>
      <c r="H228" t="s">
        <v>398</v>
      </c>
      <c r="I228" t="s">
        <v>399</v>
      </c>
      <c r="J228" t="s">
        <v>749</v>
      </c>
      <c r="K228" t="s">
        <v>809</v>
      </c>
      <c r="L228" t="s">
        <v>787</v>
      </c>
      <c r="M228" t="s">
        <v>403</v>
      </c>
      <c r="N228">
        <v>1</v>
      </c>
      <c r="O228">
        <v>1</v>
      </c>
      <c r="P228" t="s">
        <v>828</v>
      </c>
      <c r="Q228" t="s">
        <v>587</v>
      </c>
      <c r="R228" t="s">
        <v>811</v>
      </c>
      <c r="S228" t="s">
        <v>829</v>
      </c>
      <c r="T228" t="s">
        <v>408</v>
      </c>
      <c r="U228">
        <v>50950081255</v>
      </c>
      <c r="W228">
        <v>3360</v>
      </c>
      <c r="X228" t="s">
        <v>409</v>
      </c>
      <c r="Y228" t="s">
        <v>410</v>
      </c>
      <c r="Z228" t="s">
        <v>410</v>
      </c>
      <c r="AA228" t="s">
        <v>411</v>
      </c>
      <c r="AB228" t="s">
        <v>769</v>
      </c>
      <c r="AC228" t="s">
        <v>411</v>
      </c>
      <c r="AD228">
        <v>46088</v>
      </c>
      <c r="AE228">
        <v>46146</v>
      </c>
      <c r="AF228">
        <v>46095</v>
      </c>
      <c r="AG228" t="s">
        <v>754</v>
      </c>
      <c r="AH228">
        <v>6131968</v>
      </c>
      <c r="AI228">
        <v>46088</v>
      </c>
      <c r="AJ228">
        <v>46090</v>
      </c>
      <c r="AK228">
        <v>3360</v>
      </c>
      <c r="AL228" t="s">
        <v>396</v>
      </c>
      <c r="AM228" t="s">
        <v>1393</v>
      </c>
      <c r="AN228">
        <v>46090</v>
      </c>
      <c r="AO228">
        <v>46090.399039351854</v>
      </c>
      <c r="AP228" t="s">
        <v>51</v>
      </c>
      <c r="AQ228">
        <v>1.8924799999999999</v>
      </c>
      <c r="AR228">
        <v>6358.73</v>
      </c>
      <c r="AS228" t="s">
        <v>51</v>
      </c>
      <c r="AT228">
        <v>6358.73</v>
      </c>
      <c r="AU228" t="s">
        <v>415</v>
      </c>
      <c r="AV228" t="s">
        <v>416</v>
      </c>
      <c r="AW228" t="s">
        <v>1360</v>
      </c>
      <c r="AX228">
        <v>46095</v>
      </c>
      <c r="AY228">
        <v>46144</v>
      </c>
      <c r="AZ228" t="s">
        <v>1376</v>
      </c>
      <c r="BA228" t="s">
        <v>560</v>
      </c>
      <c r="BB228" t="s">
        <v>1377</v>
      </c>
      <c r="BC228">
        <v>16</v>
      </c>
      <c r="BD228" t="s">
        <v>521</v>
      </c>
      <c r="BE228">
        <v>4.9409000000000001</v>
      </c>
      <c r="BF228">
        <v>3.7418999999999998</v>
      </c>
      <c r="BG228" t="s">
        <v>522</v>
      </c>
      <c r="BH228">
        <v>495</v>
      </c>
      <c r="BI228">
        <v>395</v>
      </c>
      <c r="BJ228">
        <v>190</v>
      </c>
      <c r="BK228">
        <v>30</v>
      </c>
      <c r="BL228" t="s">
        <v>521</v>
      </c>
      <c r="BM228">
        <v>175.227</v>
      </c>
      <c r="BN228">
        <v>112.25700000000001</v>
      </c>
      <c r="BO228">
        <v>1226.5932</v>
      </c>
      <c r="BP228" t="s">
        <v>522</v>
      </c>
      <c r="BQ228">
        <v>1200</v>
      </c>
      <c r="BR228">
        <v>1000</v>
      </c>
      <c r="BS228">
        <v>1120</v>
      </c>
      <c r="BT228">
        <v>7</v>
      </c>
      <c r="BU228">
        <v>0</v>
      </c>
      <c r="BV228">
        <v>7</v>
      </c>
      <c r="BW228">
        <v>210</v>
      </c>
      <c r="BX228">
        <v>0</v>
      </c>
      <c r="BY228">
        <v>210</v>
      </c>
      <c r="BZ228">
        <v>3360</v>
      </c>
      <c r="CA228">
        <v>0</v>
      </c>
      <c r="CB228">
        <v>3360</v>
      </c>
      <c r="CC228">
        <v>785.80319999999995</v>
      </c>
      <c r="CD228" t="s">
        <v>806</v>
      </c>
      <c r="CE228" t="s">
        <v>816</v>
      </c>
      <c r="CG228" t="s">
        <v>421</v>
      </c>
      <c r="CN228" t="str">
        <v>M23</v>
      </c>
      <c r="CO228" t="str">
        <v>1301-1120169EN</v>
      </c>
      <c r="CP228" t="str">
        <v>CSNU7568097</v>
      </c>
      <c r="CQ228" s="23">
        <v>484.66079999999999</v>
      </c>
      <c r="CR228" s="25">
        <f t="shared" si="11"/>
        <v>3.1753923836623482E-2</v>
      </c>
      <c r="CS228" s="21">
        <f t="shared" si="12"/>
        <v>79.384809591558707</v>
      </c>
    </row>
    <row r="229" spans="2:97" x14ac:dyDescent="0.35">
      <c r="B229" t="s">
        <v>299</v>
      </c>
      <c r="C229" t="s">
        <v>1394</v>
      </c>
      <c r="D229" t="s">
        <v>395</v>
      </c>
      <c r="E229" t="s">
        <v>395</v>
      </c>
      <c r="F229" t="s">
        <v>396</v>
      </c>
      <c r="G229" t="s">
        <v>397</v>
      </c>
      <c r="H229" t="s">
        <v>398</v>
      </c>
      <c r="I229" t="s">
        <v>399</v>
      </c>
      <c r="J229" t="s">
        <v>749</v>
      </c>
      <c r="K229" t="s">
        <v>845</v>
      </c>
      <c r="L229" t="s">
        <v>787</v>
      </c>
      <c r="M229" t="s">
        <v>403</v>
      </c>
      <c r="N229">
        <v>1</v>
      </c>
      <c r="O229">
        <v>1</v>
      </c>
      <c r="P229" t="s">
        <v>1395</v>
      </c>
      <c r="Q229" t="s">
        <v>645</v>
      </c>
      <c r="R229" t="s">
        <v>847</v>
      </c>
      <c r="S229" t="s">
        <v>1396</v>
      </c>
      <c r="T229" t="s">
        <v>408</v>
      </c>
      <c r="U229">
        <v>50950081262</v>
      </c>
      <c r="W229">
        <v>1404</v>
      </c>
      <c r="X229" t="s">
        <v>409</v>
      </c>
      <c r="Y229" t="s">
        <v>410</v>
      </c>
      <c r="Z229" t="s">
        <v>410</v>
      </c>
      <c r="AA229" t="s">
        <v>411</v>
      </c>
      <c r="AB229" t="s">
        <v>769</v>
      </c>
      <c r="AC229" t="s">
        <v>411</v>
      </c>
      <c r="AD229">
        <v>46088</v>
      </c>
      <c r="AE229">
        <v>46146</v>
      </c>
      <c r="AF229">
        <v>46095</v>
      </c>
      <c r="AG229" t="s">
        <v>754</v>
      </c>
      <c r="AH229">
        <v>6132791</v>
      </c>
      <c r="AI229">
        <v>46089</v>
      </c>
      <c r="AJ229">
        <v>46090</v>
      </c>
      <c r="AK229">
        <v>1404</v>
      </c>
      <c r="AL229" t="s">
        <v>396</v>
      </c>
      <c r="AM229" t="s">
        <v>1397</v>
      </c>
      <c r="AN229">
        <v>46090</v>
      </c>
      <c r="AO229">
        <v>46090.599363425928</v>
      </c>
      <c r="AP229" t="s">
        <v>51</v>
      </c>
      <c r="AQ229">
        <v>0.88275000000000003</v>
      </c>
      <c r="AR229">
        <v>1239.3800000000001</v>
      </c>
      <c r="AS229" t="s">
        <v>51</v>
      </c>
      <c r="AT229">
        <v>1239.3800000000001</v>
      </c>
      <c r="AU229" t="s">
        <v>415</v>
      </c>
      <c r="AV229" t="s">
        <v>416</v>
      </c>
      <c r="AW229" t="s">
        <v>1360</v>
      </c>
      <c r="AX229">
        <v>46095</v>
      </c>
      <c r="AY229">
        <v>46144</v>
      </c>
      <c r="AZ229" t="s">
        <v>1361</v>
      </c>
      <c r="BA229" t="s">
        <v>560</v>
      </c>
      <c r="BB229" t="s">
        <v>1362</v>
      </c>
      <c r="BC229">
        <v>39</v>
      </c>
      <c r="BD229" t="s">
        <v>521</v>
      </c>
      <c r="BE229">
        <v>13.174200000000001</v>
      </c>
      <c r="BF229">
        <v>12.2242</v>
      </c>
      <c r="BG229" t="s">
        <v>522</v>
      </c>
      <c r="BH229">
        <v>495</v>
      </c>
      <c r="BI229">
        <v>395</v>
      </c>
      <c r="BJ229">
        <v>150</v>
      </c>
      <c r="BK229">
        <v>36</v>
      </c>
      <c r="BL229" t="s">
        <v>521</v>
      </c>
      <c r="BM229">
        <v>501.26976000000002</v>
      </c>
      <c r="BN229">
        <v>440.06975999999997</v>
      </c>
      <c r="BO229">
        <v>501.26976000000002</v>
      </c>
      <c r="BP229" t="s">
        <v>522</v>
      </c>
      <c r="BQ229">
        <v>1200</v>
      </c>
      <c r="BR229">
        <v>1000</v>
      </c>
      <c r="BS229">
        <v>1053</v>
      </c>
      <c r="BT229">
        <v>1</v>
      </c>
      <c r="BU229">
        <v>0</v>
      </c>
      <c r="BV229">
        <v>1</v>
      </c>
      <c r="BW229">
        <v>36</v>
      </c>
      <c r="BX229">
        <v>0</v>
      </c>
      <c r="BY229">
        <v>36</v>
      </c>
      <c r="BZ229">
        <v>1404</v>
      </c>
      <c r="CA229">
        <v>0</v>
      </c>
      <c r="CB229">
        <v>1404</v>
      </c>
      <c r="CC229">
        <v>440.06975999999997</v>
      </c>
      <c r="CD229" t="s">
        <v>856</v>
      </c>
      <c r="CE229" t="s">
        <v>857</v>
      </c>
      <c r="CG229" t="s">
        <v>421</v>
      </c>
      <c r="CN229" t="str">
        <v>M45</v>
      </c>
      <c r="CO229" t="str">
        <v>1301-12C0022EN</v>
      </c>
      <c r="CP229" t="str">
        <v>CSNU7568097</v>
      </c>
      <c r="CQ229" s="23">
        <v>923.42399999999998</v>
      </c>
      <c r="CR229" s="25">
        <f t="shared" si="11"/>
        <v>6.0500736525236208E-2</v>
      </c>
      <c r="CS229" s="21">
        <f t="shared" si="12"/>
        <v>151.25184131309052</v>
      </c>
    </row>
    <row r="230" spans="2:97" x14ac:dyDescent="0.35">
      <c r="B230" t="s">
        <v>299</v>
      </c>
      <c r="C230" t="s">
        <v>1398</v>
      </c>
      <c r="D230" t="s">
        <v>395</v>
      </c>
      <c r="E230" t="s">
        <v>395</v>
      </c>
      <c r="F230" t="s">
        <v>396</v>
      </c>
      <c r="G230" t="s">
        <v>397</v>
      </c>
      <c r="H230" t="s">
        <v>398</v>
      </c>
      <c r="I230" t="s">
        <v>399</v>
      </c>
      <c r="J230" t="s">
        <v>749</v>
      </c>
      <c r="K230" t="s">
        <v>845</v>
      </c>
      <c r="L230" t="s">
        <v>787</v>
      </c>
      <c r="M230" t="s">
        <v>403</v>
      </c>
      <c r="N230">
        <v>1</v>
      </c>
      <c r="O230">
        <v>1</v>
      </c>
      <c r="P230" t="s">
        <v>1058</v>
      </c>
      <c r="Q230" t="s">
        <v>430</v>
      </c>
      <c r="R230" t="s">
        <v>847</v>
      </c>
      <c r="S230" t="s">
        <v>1059</v>
      </c>
      <c r="T230" t="s">
        <v>408</v>
      </c>
      <c r="U230">
        <v>50950081264</v>
      </c>
      <c r="W230">
        <v>6480</v>
      </c>
      <c r="X230" t="s">
        <v>409</v>
      </c>
      <c r="Y230" t="s">
        <v>410</v>
      </c>
      <c r="Z230" t="s">
        <v>410</v>
      </c>
      <c r="AA230" t="s">
        <v>411</v>
      </c>
      <c r="AB230" t="s">
        <v>769</v>
      </c>
      <c r="AC230" t="s">
        <v>411</v>
      </c>
      <c r="AD230">
        <v>46088</v>
      </c>
      <c r="AE230">
        <v>46146</v>
      </c>
      <c r="AF230">
        <v>46095</v>
      </c>
      <c r="AG230" t="s">
        <v>754</v>
      </c>
      <c r="AH230">
        <v>6132792</v>
      </c>
      <c r="AI230">
        <v>46089</v>
      </c>
      <c r="AJ230">
        <v>46090</v>
      </c>
      <c r="AK230">
        <v>6480</v>
      </c>
      <c r="AL230" t="s">
        <v>396</v>
      </c>
      <c r="AM230" t="s">
        <v>1399</v>
      </c>
      <c r="AN230">
        <v>46090</v>
      </c>
      <c r="AO230">
        <v>46090.599363425928</v>
      </c>
      <c r="AP230" t="s">
        <v>51</v>
      </c>
      <c r="AQ230">
        <v>1.4178500000000001</v>
      </c>
      <c r="AR230">
        <v>9187.68</v>
      </c>
      <c r="AS230" t="s">
        <v>51</v>
      </c>
      <c r="AT230">
        <v>9187.68</v>
      </c>
      <c r="AU230" t="s">
        <v>415</v>
      </c>
      <c r="AV230" t="s">
        <v>416</v>
      </c>
      <c r="AW230" t="s">
        <v>1360</v>
      </c>
      <c r="AX230">
        <v>46095</v>
      </c>
      <c r="AY230">
        <v>46144</v>
      </c>
      <c r="AZ230" t="s">
        <v>1361</v>
      </c>
      <c r="BA230" t="s">
        <v>560</v>
      </c>
      <c r="BB230" t="s">
        <v>1362</v>
      </c>
      <c r="BC230">
        <v>27</v>
      </c>
      <c r="BD230" t="s">
        <v>521</v>
      </c>
      <c r="BE230">
        <v>13.9528</v>
      </c>
      <c r="BF230">
        <v>12.7248</v>
      </c>
      <c r="BG230" t="s">
        <v>522</v>
      </c>
      <c r="BH230">
        <v>495</v>
      </c>
      <c r="BI230">
        <v>395</v>
      </c>
      <c r="BJ230">
        <v>170</v>
      </c>
      <c r="BK230">
        <v>30</v>
      </c>
      <c r="BL230" t="s">
        <v>521</v>
      </c>
      <c r="BM230">
        <v>445.584</v>
      </c>
      <c r="BN230">
        <v>381.74400000000003</v>
      </c>
      <c r="BO230">
        <v>3564.6792</v>
      </c>
      <c r="BP230" t="s">
        <v>522</v>
      </c>
      <c r="BQ230">
        <v>1200</v>
      </c>
      <c r="BR230">
        <v>1000</v>
      </c>
      <c r="BS230">
        <v>1000</v>
      </c>
      <c r="BT230">
        <v>8</v>
      </c>
      <c r="BU230">
        <v>0</v>
      </c>
      <c r="BV230">
        <v>8</v>
      </c>
      <c r="BW230">
        <v>240</v>
      </c>
      <c r="BX230">
        <v>0</v>
      </c>
      <c r="BY230">
        <v>240</v>
      </c>
      <c r="BZ230">
        <v>6480</v>
      </c>
      <c r="CA230">
        <v>0</v>
      </c>
      <c r="CB230">
        <v>6480</v>
      </c>
      <c r="CC230">
        <v>3053.9591999999998</v>
      </c>
      <c r="CD230" t="s">
        <v>850</v>
      </c>
      <c r="CE230" t="s">
        <v>851</v>
      </c>
      <c r="CG230" t="s">
        <v>421</v>
      </c>
      <c r="CN230" t="str">
        <v>M45</v>
      </c>
      <c r="CO230" t="str">
        <v>1346-12C0011EN</v>
      </c>
      <c r="CP230" t="str">
        <v>CSNU7568097</v>
      </c>
      <c r="CQ230" s="23">
        <v>945.05640000000005</v>
      </c>
      <c r="CR230" s="25">
        <f t="shared" si="11"/>
        <v>6.1918044428007336E-2</v>
      </c>
      <c r="CS230" s="21">
        <f t="shared" si="12"/>
        <v>154.79511107001835</v>
      </c>
    </row>
    <row r="231" spans="2:97" x14ac:dyDescent="0.35">
      <c r="B231" t="s">
        <v>299</v>
      </c>
      <c r="C231" t="s">
        <v>1135</v>
      </c>
      <c r="D231" t="s">
        <v>395</v>
      </c>
      <c r="E231" t="s">
        <v>395</v>
      </c>
      <c r="F231" t="s">
        <v>396</v>
      </c>
      <c r="G231" t="s">
        <v>397</v>
      </c>
      <c r="H231" t="s">
        <v>398</v>
      </c>
      <c r="I231" t="s">
        <v>399</v>
      </c>
      <c r="J231" t="s">
        <v>749</v>
      </c>
      <c r="K231" t="s">
        <v>845</v>
      </c>
      <c r="L231" t="s">
        <v>787</v>
      </c>
      <c r="M231" t="s">
        <v>403</v>
      </c>
      <c r="N231">
        <v>1</v>
      </c>
      <c r="O231">
        <v>2</v>
      </c>
      <c r="P231" t="s">
        <v>853</v>
      </c>
      <c r="Q231" t="s">
        <v>789</v>
      </c>
      <c r="R231" t="s">
        <v>847</v>
      </c>
      <c r="S231" t="s">
        <v>854</v>
      </c>
      <c r="T231" t="s">
        <v>408</v>
      </c>
      <c r="U231">
        <v>50950081271</v>
      </c>
      <c r="W231">
        <v>13068</v>
      </c>
      <c r="X231" t="s">
        <v>409</v>
      </c>
      <c r="Y231" t="s">
        <v>410</v>
      </c>
      <c r="Z231" t="s">
        <v>410</v>
      </c>
      <c r="AA231" t="s">
        <v>411</v>
      </c>
      <c r="AB231" t="s">
        <v>769</v>
      </c>
      <c r="AC231" t="s">
        <v>411</v>
      </c>
      <c r="AD231">
        <v>46088</v>
      </c>
      <c r="AE231">
        <v>46146</v>
      </c>
      <c r="AF231">
        <v>46095</v>
      </c>
      <c r="AG231" t="s">
        <v>754</v>
      </c>
      <c r="AH231">
        <v>6132793</v>
      </c>
      <c r="AI231">
        <v>46089</v>
      </c>
      <c r="AJ231">
        <v>46090</v>
      </c>
      <c r="AK231">
        <v>13068</v>
      </c>
      <c r="AL231" t="s">
        <v>396</v>
      </c>
      <c r="AM231" t="s">
        <v>1400</v>
      </c>
      <c r="AN231">
        <v>46090</v>
      </c>
      <c r="AO231">
        <v>46090.599363425928</v>
      </c>
      <c r="AP231" t="s">
        <v>51</v>
      </c>
      <c r="AQ231">
        <v>1.00054</v>
      </c>
      <c r="AR231">
        <v>13075.04</v>
      </c>
      <c r="AS231" t="s">
        <v>51</v>
      </c>
      <c r="AT231">
        <v>13075.04</v>
      </c>
      <c r="AU231" t="s">
        <v>415</v>
      </c>
      <c r="AV231" t="s">
        <v>416</v>
      </c>
      <c r="AW231" t="s">
        <v>1360</v>
      </c>
      <c r="AX231">
        <v>46095</v>
      </c>
      <c r="AY231">
        <v>46144</v>
      </c>
      <c r="AZ231" t="s">
        <v>1361</v>
      </c>
      <c r="BA231" t="s">
        <v>560</v>
      </c>
      <c r="BB231" t="s">
        <v>1362</v>
      </c>
      <c r="BC231">
        <v>33</v>
      </c>
      <c r="BD231" t="s">
        <v>521</v>
      </c>
      <c r="BE231">
        <v>12.9557</v>
      </c>
      <c r="BF231">
        <v>12.005699999999999</v>
      </c>
      <c r="BG231" t="s">
        <v>522</v>
      </c>
      <c r="BH231">
        <v>495</v>
      </c>
      <c r="BI231">
        <v>395</v>
      </c>
      <c r="BJ231">
        <v>150</v>
      </c>
      <c r="BK231">
        <v>36</v>
      </c>
      <c r="BL231" t="s">
        <v>521</v>
      </c>
      <c r="BM231">
        <v>493.40519999999998</v>
      </c>
      <c r="BN231">
        <v>432.20519999999999</v>
      </c>
      <c r="BO231">
        <v>5427.4690799999998</v>
      </c>
      <c r="BP231" t="s">
        <v>522</v>
      </c>
      <c r="BQ231">
        <v>1200</v>
      </c>
      <c r="BR231">
        <v>1000</v>
      </c>
      <c r="BS231">
        <v>1053</v>
      </c>
      <c r="BT231">
        <v>11</v>
      </c>
      <c r="BU231">
        <v>0</v>
      </c>
      <c r="BV231">
        <v>11</v>
      </c>
      <c r="BW231">
        <v>396</v>
      </c>
      <c r="BX231">
        <v>0</v>
      </c>
      <c r="BY231">
        <v>396</v>
      </c>
      <c r="BZ231">
        <v>13068</v>
      </c>
      <c r="CA231">
        <v>0</v>
      </c>
      <c r="CB231">
        <v>13068</v>
      </c>
      <c r="CC231">
        <v>4754.26908</v>
      </c>
      <c r="CD231" t="s">
        <v>856</v>
      </c>
      <c r="CE231" t="s">
        <v>857</v>
      </c>
      <c r="CG231" t="s">
        <v>421</v>
      </c>
      <c r="CN231" t="str">
        <v>M19</v>
      </c>
      <c r="CO231" t="str">
        <v>1330-5YY0182EN</v>
      </c>
      <c r="CP231" t="str">
        <v>CSNU7568097</v>
      </c>
      <c r="CQ231" s="23">
        <v>1580.7203999999999</v>
      </c>
      <c r="CR231" s="25">
        <f t="shared" si="11"/>
        <v>0.10356537023129785</v>
      </c>
      <c r="CS231" s="21">
        <f t="shared" si="12"/>
        <v>258.91342557824464</v>
      </c>
    </row>
    <row r="232" spans="2:97" x14ac:dyDescent="0.35">
      <c r="B232" t="s">
        <v>299</v>
      </c>
      <c r="C232" t="s">
        <v>1137</v>
      </c>
      <c r="D232" t="s">
        <v>395</v>
      </c>
      <c r="E232" t="s">
        <v>395</v>
      </c>
      <c r="F232" t="s">
        <v>396</v>
      </c>
      <c r="G232" t="s">
        <v>397</v>
      </c>
      <c r="H232" t="s">
        <v>398</v>
      </c>
      <c r="I232" t="s">
        <v>399</v>
      </c>
      <c r="J232" t="s">
        <v>749</v>
      </c>
      <c r="K232" t="s">
        <v>809</v>
      </c>
      <c r="L232" t="s">
        <v>787</v>
      </c>
      <c r="M232" t="s">
        <v>403</v>
      </c>
      <c r="N232">
        <v>1</v>
      </c>
      <c r="O232">
        <v>2</v>
      </c>
      <c r="P232" t="s">
        <v>1138</v>
      </c>
      <c r="Q232" t="s">
        <v>943</v>
      </c>
      <c r="R232" t="s">
        <v>811</v>
      </c>
      <c r="S232" t="s">
        <v>1139</v>
      </c>
      <c r="T232" t="s">
        <v>408</v>
      </c>
      <c r="U232">
        <v>50950081276</v>
      </c>
      <c r="W232">
        <v>960</v>
      </c>
      <c r="X232" t="s">
        <v>409</v>
      </c>
      <c r="Y232" t="s">
        <v>410</v>
      </c>
      <c r="Z232" t="s">
        <v>410</v>
      </c>
      <c r="AA232" t="s">
        <v>411</v>
      </c>
      <c r="AB232" t="s">
        <v>769</v>
      </c>
      <c r="AC232" t="s">
        <v>411</v>
      </c>
      <c r="AD232">
        <v>46088</v>
      </c>
      <c r="AE232">
        <v>46146</v>
      </c>
      <c r="AF232">
        <v>46095</v>
      </c>
      <c r="AG232" t="s">
        <v>754</v>
      </c>
      <c r="AH232">
        <v>6131969</v>
      </c>
      <c r="AI232">
        <v>46088</v>
      </c>
      <c r="AJ232">
        <v>46090</v>
      </c>
      <c r="AK232">
        <v>960</v>
      </c>
      <c r="AL232" t="s">
        <v>396</v>
      </c>
      <c r="AM232" t="s">
        <v>1401</v>
      </c>
      <c r="AN232">
        <v>46090</v>
      </c>
      <c r="AO232">
        <v>46090.399039351854</v>
      </c>
      <c r="AP232" t="s">
        <v>51</v>
      </c>
      <c r="AQ232">
        <v>1.50905</v>
      </c>
      <c r="AR232">
        <v>1448.68</v>
      </c>
      <c r="AS232" t="s">
        <v>51</v>
      </c>
      <c r="AT232">
        <v>1448.68</v>
      </c>
      <c r="AU232" t="s">
        <v>415</v>
      </c>
      <c r="AV232" t="s">
        <v>416</v>
      </c>
      <c r="AW232" t="s">
        <v>1360</v>
      </c>
      <c r="AX232">
        <v>46095</v>
      </c>
      <c r="AY232">
        <v>46144</v>
      </c>
      <c r="AZ232" t="s">
        <v>1376</v>
      </c>
      <c r="BA232" t="s">
        <v>560</v>
      </c>
      <c r="BB232" t="s">
        <v>1377</v>
      </c>
      <c r="BC232">
        <v>16</v>
      </c>
      <c r="BD232" t="s">
        <v>521</v>
      </c>
      <c r="BE232">
        <v>4.0369000000000002</v>
      </c>
      <c r="BF232">
        <v>2.8378999999999999</v>
      </c>
      <c r="BG232" t="s">
        <v>522</v>
      </c>
      <c r="BH232">
        <v>495</v>
      </c>
      <c r="BI232">
        <v>395</v>
      </c>
      <c r="BJ232">
        <v>190</v>
      </c>
      <c r="BK232">
        <v>30</v>
      </c>
      <c r="BL232" t="s">
        <v>521</v>
      </c>
      <c r="BM232">
        <v>148.107</v>
      </c>
      <c r="BN232">
        <v>85.137</v>
      </c>
      <c r="BO232">
        <v>296.21136000000001</v>
      </c>
      <c r="BP232" t="s">
        <v>522</v>
      </c>
      <c r="BQ232">
        <v>1200</v>
      </c>
      <c r="BR232">
        <v>1000</v>
      </c>
      <c r="BS232">
        <v>1120</v>
      </c>
      <c r="BT232">
        <v>2</v>
      </c>
      <c r="BU232">
        <v>0</v>
      </c>
      <c r="BV232">
        <v>2</v>
      </c>
      <c r="BW232">
        <v>60</v>
      </c>
      <c r="BX232">
        <v>0</v>
      </c>
      <c r="BY232">
        <v>60</v>
      </c>
      <c r="BZ232">
        <v>960</v>
      </c>
      <c r="CA232">
        <v>0</v>
      </c>
      <c r="CB232">
        <v>960</v>
      </c>
      <c r="CC232">
        <v>170.27135999999999</v>
      </c>
      <c r="CD232" t="s">
        <v>806</v>
      </c>
      <c r="CE232" t="s">
        <v>816</v>
      </c>
      <c r="CG232" t="s">
        <v>421</v>
      </c>
      <c r="CN232" t="str">
        <v>M19</v>
      </c>
      <c r="CO232" t="str">
        <v>1330-5YY0112EN</v>
      </c>
      <c r="CP232" t="str">
        <v>CSNU7568097</v>
      </c>
      <c r="CQ232" s="23">
        <v>148.10568000000001</v>
      </c>
      <c r="CR232" s="25">
        <f t="shared" si="11"/>
        <v>9.7035627442766774E-3</v>
      </c>
      <c r="CS232" s="21">
        <f t="shared" si="12"/>
        <v>24.258906860691692</v>
      </c>
    </row>
    <row r="233" spans="2:97" x14ac:dyDescent="0.35">
      <c r="B233" t="s">
        <v>299</v>
      </c>
      <c r="C233" t="s">
        <v>1072</v>
      </c>
      <c r="D233" t="s">
        <v>395</v>
      </c>
      <c r="E233" t="s">
        <v>823</v>
      </c>
      <c r="F233" t="s">
        <v>396</v>
      </c>
      <c r="G233" t="s">
        <v>397</v>
      </c>
      <c r="H233" t="s">
        <v>398</v>
      </c>
      <c r="I233" t="s">
        <v>399</v>
      </c>
      <c r="J233" t="s">
        <v>749</v>
      </c>
      <c r="K233" t="s">
        <v>809</v>
      </c>
      <c r="L233" t="s">
        <v>787</v>
      </c>
      <c r="M233" t="s">
        <v>403</v>
      </c>
      <c r="N233">
        <v>1</v>
      </c>
      <c r="O233">
        <v>2</v>
      </c>
      <c r="P233" t="s">
        <v>1073</v>
      </c>
      <c r="Q233" t="s">
        <v>637</v>
      </c>
      <c r="R233" t="s">
        <v>811</v>
      </c>
      <c r="S233" t="s">
        <v>1074</v>
      </c>
      <c r="T233" t="s">
        <v>408</v>
      </c>
      <c r="U233">
        <v>50950081288</v>
      </c>
      <c r="W233">
        <v>960</v>
      </c>
      <c r="X233" t="s">
        <v>409</v>
      </c>
      <c r="Y233" t="s">
        <v>410</v>
      </c>
      <c r="Z233" t="s">
        <v>410</v>
      </c>
      <c r="AA233" t="s">
        <v>411</v>
      </c>
      <c r="AB233" t="s">
        <v>769</v>
      </c>
      <c r="AC233" t="s">
        <v>411</v>
      </c>
      <c r="AD233">
        <v>46088</v>
      </c>
      <c r="AE233">
        <v>46139</v>
      </c>
      <c r="AF233">
        <v>46095</v>
      </c>
      <c r="AG233" t="s">
        <v>754</v>
      </c>
      <c r="AH233">
        <v>6131970</v>
      </c>
      <c r="AI233">
        <v>46088</v>
      </c>
      <c r="AJ233">
        <v>46090</v>
      </c>
      <c r="AK233">
        <v>960</v>
      </c>
      <c r="AL233" t="s">
        <v>396</v>
      </c>
      <c r="AM233" t="s">
        <v>1402</v>
      </c>
      <c r="AN233">
        <v>46090</v>
      </c>
      <c r="AO233">
        <v>46090.399039351854</v>
      </c>
      <c r="AP233" t="s">
        <v>51</v>
      </c>
      <c r="AQ233">
        <v>2.0480299999999998</v>
      </c>
      <c r="AR233">
        <v>1966.1</v>
      </c>
      <c r="AS233" t="s">
        <v>51</v>
      </c>
      <c r="AT233">
        <v>1966.1</v>
      </c>
      <c r="AU233" t="s">
        <v>415</v>
      </c>
      <c r="AV233" t="s">
        <v>416</v>
      </c>
      <c r="AW233" t="s">
        <v>1360</v>
      </c>
      <c r="AX233">
        <v>46095</v>
      </c>
      <c r="AY233">
        <v>46144</v>
      </c>
      <c r="AZ233" t="s">
        <v>1376</v>
      </c>
      <c r="BA233" t="s">
        <v>560</v>
      </c>
      <c r="BB233" t="s">
        <v>1377</v>
      </c>
      <c r="BC233">
        <v>16</v>
      </c>
      <c r="BD233" t="s">
        <v>521</v>
      </c>
      <c r="BE233">
        <v>5.8639999999999999</v>
      </c>
      <c r="BF233">
        <v>4.665</v>
      </c>
      <c r="BG233" t="s">
        <v>522</v>
      </c>
      <c r="BH233">
        <v>495</v>
      </c>
      <c r="BI233">
        <v>395</v>
      </c>
      <c r="BJ233">
        <v>190</v>
      </c>
      <c r="BK233">
        <v>30</v>
      </c>
      <c r="BL233" t="s">
        <v>521</v>
      </c>
      <c r="BM233">
        <v>202.92</v>
      </c>
      <c r="BN233">
        <v>139.94999999999999</v>
      </c>
      <c r="BO233">
        <v>405.83760000000001</v>
      </c>
      <c r="BP233" t="s">
        <v>522</v>
      </c>
      <c r="BQ233">
        <v>1200</v>
      </c>
      <c r="BR233">
        <v>1000</v>
      </c>
      <c r="BS233">
        <v>1120</v>
      </c>
      <c r="BT233">
        <v>2</v>
      </c>
      <c r="BU233">
        <v>0</v>
      </c>
      <c r="BV233">
        <v>2</v>
      </c>
      <c r="BW233">
        <v>60</v>
      </c>
      <c r="BX233">
        <v>0</v>
      </c>
      <c r="BY233">
        <v>60</v>
      </c>
      <c r="BZ233">
        <v>960</v>
      </c>
      <c r="CA233">
        <v>0</v>
      </c>
      <c r="CB233">
        <v>960</v>
      </c>
      <c r="CC233">
        <v>279.89760000000001</v>
      </c>
      <c r="CD233" t="s">
        <v>806</v>
      </c>
      <c r="CE233" t="s">
        <v>816</v>
      </c>
      <c r="CG233" t="s">
        <v>421</v>
      </c>
      <c r="CN233" t="str">
        <v>M19</v>
      </c>
      <c r="CO233" t="str">
        <v>1330-5YY0176EN</v>
      </c>
      <c r="CP233" t="str">
        <v>CSNU7568097</v>
      </c>
      <c r="CQ233" s="23">
        <v>1368.768</v>
      </c>
      <c r="CR233" s="25">
        <f t="shared" si="11"/>
        <v>8.9678708948624383E-2</v>
      </c>
      <c r="CS233" s="21">
        <f t="shared" si="12"/>
        <v>224.19677237156097</v>
      </c>
    </row>
    <row r="234" spans="2:97" x14ac:dyDescent="0.35">
      <c r="B234" t="s">
        <v>299</v>
      </c>
      <c r="C234" t="s">
        <v>1403</v>
      </c>
      <c r="D234" t="s">
        <v>395</v>
      </c>
      <c r="E234" t="s">
        <v>395</v>
      </c>
      <c r="F234" t="s">
        <v>396</v>
      </c>
      <c r="G234" t="s">
        <v>397</v>
      </c>
      <c r="H234" t="s">
        <v>398</v>
      </c>
      <c r="I234" t="s">
        <v>399</v>
      </c>
      <c r="J234" t="s">
        <v>749</v>
      </c>
      <c r="K234" t="s">
        <v>809</v>
      </c>
      <c r="L234" t="s">
        <v>787</v>
      </c>
      <c r="M234" t="s">
        <v>403</v>
      </c>
      <c r="N234">
        <v>1</v>
      </c>
      <c r="O234">
        <v>1</v>
      </c>
      <c r="P234" t="s">
        <v>1171</v>
      </c>
      <c r="Q234" t="s">
        <v>424</v>
      </c>
      <c r="R234" t="s">
        <v>811</v>
      </c>
      <c r="S234" t="s">
        <v>1172</v>
      </c>
      <c r="T234" t="s">
        <v>408</v>
      </c>
      <c r="U234">
        <v>50950081404</v>
      </c>
      <c r="W234">
        <v>480</v>
      </c>
      <c r="X234" t="s">
        <v>409</v>
      </c>
      <c r="Y234" t="s">
        <v>410</v>
      </c>
      <c r="Z234" t="s">
        <v>410</v>
      </c>
      <c r="AA234" t="s">
        <v>411</v>
      </c>
      <c r="AB234" t="s">
        <v>769</v>
      </c>
      <c r="AC234" t="s">
        <v>411</v>
      </c>
      <c r="AD234">
        <v>46081</v>
      </c>
      <c r="AE234">
        <v>46132</v>
      </c>
      <c r="AF234">
        <v>46095</v>
      </c>
      <c r="AG234" t="s">
        <v>754</v>
      </c>
      <c r="AH234">
        <v>6131971</v>
      </c>
      <c r="AI234">
        <v>46088</v>
      </c>
      <c r="AJ234">
        <v>46090</v>
      </c>
      <c r="AK234">
        <v>480</v>
      </c>
      <c r="AL234" t="s">
        <v>396</v>
      </c>
      <c r="AM234" t="s">
        <v>1404</v>
      </c>
      <c r="AN234">
        <v>46090</v>
      </c>
      <c r="AO234">
        <v>46090.399039351854</v>
      </c>
      <c r="AP234" t="s">
        <v>51</v>
      </c>
      <c r="AQ234">
        <v>2.2482600000000001</v>
      </c>
      <c r="AR234">
        <v>1079.1600000000001</v>
      </c>
      <c r="AS234" t="s">
        <v>51</v>
      </c>
      <c r="AT234">
        <v>1079.1600000000001</v>
      </c>
      <c r="AU234" t="s">
        <v>415</v>
      </c>
      <c r="AV234" t="s">
        <v>416</v>
      </c>
      <c r="AW234" t="s">
        <v>1360</v>
      </c>
      <c r="AX234">
        <v>46095</v>
      </c>
      <c r="AY234">
        <v>46144</v>
      </c>
      <c r="AZ234" t="s">
        <v>1376</v>
      </c>
      <c r="BA234" t="s">
        <v>560</v>
      </c>
      <c r="BB234" t="s">
        <v>1377</v>
      </c>
      <c r="BC234">
        <v>16</v>
      </c>
      <c r="BD234" t="s">
        <v>521</v>
      </c>
      <c r="BE234">
        <v>6.3556999999999997</v>
      </c>
      <c r="BF234">
        <v>5.1566999999999998</v>
      </c>
      <c r="BG234" t="s">
        <v>522</v>
      </c>
      <c r="BH234">
        <v>495</v>
      </c>
      <c r="BI234">
        <v>395</v>
      </c>
      <c r="BJ234">
        <v>190</v>
      </c>
      <c r="BK234">
        <v>30</v>
      </c>
      <c r="BL234" t="s">
        <v>521</v>
      </c>
      <c r="BM234">
        <v>217.67016000000001</v>
      </c>
      <c r="BN234">
        <v>154.70016000000001</v>
      </c>
      <c r="BO234">
        <v>217.67016000000001</v>
      </c>
      <c r="BP234" t="s">
        <v>522</v>
      </c>
      <c r="BQ234">
        <v>1200</v>
      </c>
      <c r="BR234">
        <v>1000</v>
      </c>
      <c r="BS234">
        <v>1120</v>
      </c>
      <c r="BT234">
        <v>1</v>
      </c>
      <c r="BU234">
        <v>0</v>
      </c>
      <c r="BV234">
        <v>1</v>
      </c>
      <c r="BW234">
        <v>30</v>
      </c>
      <c r="BX234">
        <v>0</v>
      </c>
      <c r="BY234">
        <v>30</v>
      </c>
      <c r="BZ234">
        <v>480</v>
      </c>
      <c r="CA234">
        <v>0</v>
      </c>
      <c r="CB234">
        <v>480</v>
      </c>
      <c r="CC234">
        <v>154.70016000000001</v>
      </c>
      <c r="CD234" t="s">
        <v>806</v>
      </c>
      <c r="CE234" t="s">
        <v>816</v>
      </c>
      <c r="CG234" t="s">
        <v>421</v>
      </c>
      <c r="CN234" t="str">
        <v>M45</v>
      </c>
      <c r="CO234" t="str">
        <v>AYSP61AS981EN</v>
      </c>
      <c r="CP234" t="str">
        <v>CSNU7568097</v>
      </c>
      <c r="CQ234" s="23">
        <v>1182.9003</v>
      </c>
      <c r="CR234" s="25">
        <f t="shared" si="11"/>
        <v>7.7501060602629859E-2</v>
      </c>
      <c r="CS234" s="21">
        <f t="shared" si="12"/>
        <v>193.75265150657464</v>
      </c>
    </row>
    <row r="235" spans="2:97" x14ac:dyDescent="0.35">
      <c r="B235" t="s">
        <v>296</v>
      </c>
      <c r="C235" t="s">
        <v>1405</v>
      </c>
      <c r="D235" t="s">
        <v>395</v>
      </c>
      <c r="E235" t="s">
        <v>395</v>
      </c>
      <c r="F235" t="s">
        <v>396</v>
      </c>
      <c r="G235" t="s">
        <v>397</v>
      </c>
      <c r="H235" t="s">
        <v>398</v>
      </c>
      <c r="I235" t="s">
        <v>399</v>
      </c>
      <c r="J235" t="s">
        <v>749</v>
      </c>
      <c r="K235" t="s">
        <v>1142</v>
      </c>
      <c r="L235" t="s">
        <v>787</v>
      </c>
      <c r="M235" t="s">
        <v>403</v>
      </c>
      <c r="N235">
        <v>1</v>
      </c>
      <c r="O235">
        <v>2</v>
      </c>
      <c r="P235" t="s">
        <v>1406</v>
      </c>
      <c r="Q235" t="s">
        <v>587</v>
      </c>
      <c r="R235" t="s">
        <v>1164</v>
      </c>
      <c r="S235" t="s">
        <v>1165</v>
      </c>
      <c r="T235" t="s">
        <v>408</v>
      </c>
      <c r="U235">
        <v>50950081431</v>
      </c>
      <c r="W235">
        <v>29056</v>
      </c>
      <c r="X235" t="s">
        <v>409</v>
      </c>
      <c r="Y235" t="s">
        <v>410</v>
      </c>
      <c r="Z235" t="s">
        <v>410</v>
      </c>
      <c r="AA235" t="s">
        <v>411</v>
      </c>
      <c r="AB235" t="s">
        <v>769</v>
      </c>
      <c r="AC235" t="s">
        <v>411</v>
      </c>
      <c r="AD235">
        <v>46081</v>
      </c>
      <c r="AE235">
        <v>46153</v>
      </c>
      <c r="AF235">
        <v>46095</v>
      </c>
      <c r="AG235" t="s">
        <v>754</v>
      </c>
      <c r="AH235">
        <v>6131972</v>
      </c>
      <c r="AI235">
        <v>46088</v>
      </c>
      <c r="AJ235">
        <v>46090</v>
      </c>
      <c r="AK235">
        <v>29056</v>
      </c>
      <c r="AL235" t="s">
        <v>396</v>
      </c>
      <c r="AM235" t="s">
        <v>1407</v>
      </c>
      <c r="AN235">
        <v>46090</v>
      </c>
      <c r="AO235">
        <v>46090.399039351854</v>
      </c>
      <c r="AP235" t="s">
        <v>51</v>
      </c>
      <c r="AQ235">
        <v>0.27127000000000001</v>
      </c>
      <c r="AR235">
        <v>7882</v>
      </c>
      <c r="AS235" t="s">
        <v>51</v>
      </c>
      <c r="AT235">
        <v>7882</v>
      </c>
      <c r="AU235" t="s">
        <v>415</v>
      </c>
      <c r="AV235" t="s">
        <v>416</v>
      </c>
      <c r="AW235" t="s">
        <v>1360</v>
      </c>
      <c r="AX235">
        <v>46095</v>
      </c>
      <c r="AY235">
        <v>46144</v>
      </c>
      <c r="AZ235" t="s">
        <v>1376</v>
      </c>
      <c r="BA235" t="s">
        <v>560</v>
      </c>
      <c r="BB235" t="s">
        <v>1377</v>
      </c>
      <c r="BC235">
        <v>3632</v>
      </c>
      <c r="BD235" t="s">
        <v>521</v>
      </c>
      <c r="BE235">
        <v>646.221</v>
      </c>
      <c r="BF235">
        <v>625.721</v>
      </c>
      <c r="BG235" t="s">
        <v>522</v>
      </c>
      <c r="BH235">
        <v>1050</v>
      </c>
      <c r="BI235">
        <v>480</v>
      </c>
      <c r="BJ235">
        <v>460</v>
      </c>
      <c r="BK235">
        <v>1</v>
      </c>
      <c r="BL235" t="s">
        <v>521</v>
      </c>
      <c r="BM235">
        <v>646.22109999999998</v>
      </c>
      <c r="BN235">
        <v>625.721</v>
      </c>
      <c r="BO235">
        <v>5169.7684799999997</v>
      </c>
      <c r="BP235" t="s">
        <v>522</v>
      </c>
      <c r="BQ235">
        <v>1050</v>
      </c>
      <c r="BR235">
        <v>480</v>
      </c>
      <c r="BS235">
        <v>480</v>
      </c>
      <c r="BT235">
        <v>8</v>
      </c>
      <c r="BU235">
        <v>0</v>
      </c>
      <c r="BV235">
        <v>8</v>
      </c>
      <c r="BW235">
        <v>8</v>
      </c>
      <c r="BX235">
        <v>0</v>
      </c>
      <c r="BY235">
        <v>8</v>
      </c>
      <c r="BZ235">
        <v>29056</v>
      </c>
      <c r="CA235">
        <v>0</v>
      </c>
      <c r="CB235">
        <v>29056</v>
      </c>
      <c r="CC235">
        <v>5005.7676799999999</v>
      </c>
      <c r="CD235" t="s">
        <v>641</v>
      </c>
      <c r="CE235" t="s">
        <v>1147</v>
      </c>
      <c r="CG235" t="s">
        <v>421</v>
      </c>
      <c r="CN235" t="str">
        <v>M45</v>
      </c>
      <c r="CO235" t="str">
        <v>AYSP61BS362EN</v>
      </c>
      <c r="CP235" t="str">
        <v>CSNU7568097</v>
      </c>
      <c r="CQ235" s="23">
        <v>764.09619999999995</v>
      </c>
      <c r="CR235" s="25">
        <f t="shared" si="11"/>
        <v>5.006192483207518E-2</v>
      </c>
      <c r="CS235" s="21">
        <f t="shared" si="12"/>
        <v>125.15481208018795</v>
      </c>
    </row>
    <row r="236" spans="2:97" x14ac:dyDescent="0.35">
      <c r="B236" t="s">
        <v>296</v>
      </c>
      <c r="C236" t="s">
        <v>1162</v>
      </c>
      <c r="D236" t="s">
        <v>395</v>
      </c>
      <c r="E236" t="s">
        <v>395</v>
      </c>
      <c r="F236" t="s">
        <v>396</v>
      </c>
      <c r="G236" t="s">
        <v>397</v>
      </c>
      <c r="H236" t="s">
        <v>398</v>
      </c>
      <c r="I236" t="s">
        <v>399</v>
      </c>
      <c r="J236" t="s">
        <v>749</v>
      </c>
      <c r="K236" t="s">
        <v>1142</v>
      </c>
      <c r="L236" t="s">
        <v>787</v>
      </c>
      <c r="M236" t="s">
        <v>403</v>
      </c>
      <c r="N236">
        <v>1</v>
      </c>
      <c r="O236">
        <v>3</v>
      </c>
      <c r="P236" t="s">
        <v>1163</v>
      </c>
      <c r="Q236" t="s">
        <v>430</v>
      </c>
      <c r="R236" t="s">
        <v>1164</v>
      </c>
      <c r="S236" t="s">
        <v>1165</v>
      </c>
      <c r="T236" t="s">
        <v>408</v>
      </c>
      <c r="U236">
        <v>50950081481</v>
      </c>
      <c r="W236">
        <v>7560</v>
      </c>
      <c r="X236" t="s">
        <v>409</v>
      </c>
      <c r="Y236" t="s">
        <v>410</v>
      </c>
      <c r="Z236" t="s">
        <v>410</v>
      </c>
      <c r="AA236" t="s">
        <v>411</v>
      </c>
      <c r="AB236" t="s">
        <v>769</v>
      </c>
      <c r="AC236" t="s">
        <v>411</v>
      </c>
      <c r="AD236">
        <v>46081</v>
      </c>
      <c r="AE236">
        <v>46153</v>
      </c>
      <c r="AF236">
        <v>46095</v>
      </c>
      <c r="AG236" t="s">
        <v>754</v>
      </c>
      <c r="AH236">
        <v>6131973</v>
      </c>
      <c r="AI236">
        <v>46088</v>
      </c>
      <c r="AJ236">
        <v>46090</v>
      </c>
      <c r="AK236">
        <v>7560</v>
      </c>
      <c r="AL236" t="s">
        <v>396</v>
      </c>
      <c r="AM236" t="s">
        <v>1408</v>
      </c>
      <c r="AN236">
        <v>46090</v>
      </c>
      <c r="AO236">
        <v>46090.399039351854</v>
      </c>
      <c r="AP236" t="s">
        <v>51</v>
      </c>
      <c r="AQ236">
        <v>0.11984</v>
      </c>
      <c r="AR236">
        <v>905.99</v>
      </c>
      <c r="AS236" t="s">
        <v>51</v>
      </c>
      <c r="AT236">
        <v>905.99</v>
      </c>
      <c r="AU236" t="s">
        <v>415</v>
      </c>
      <c r="AV236" t="s">
        <v>416</v>
      </c>
      <c r="AW236" t="s">
        <v>1360</v>
      </c>
      <c r="AX236">
        <v>46095</v>
      </c>
      <c r="AY236">
        <v>46144</v>
      </c>
      <c r="AZ236" t="s">
        <v>1376</v>
      </c>
      <c r="BA236" t="s">
        <v>560</v>
      </c>
      <c r="BB236" t="s">
        <v>1377</v>
      </c>
      <c r="BC236">
        <v>7560</v>
      </c>
      <c r="BD236" t="s">
        <v>521</v>
      </c>
      <c r="BE236">
        <v>637.24480000000005</v>
      </c>
      <c r="BF236">
        <v>616.74480000000005</v>
      </c>
      <c r="BG236" t="s">
        <v>522</v>
      </c>
      <c r="BH236">
        <v>1050</v>
      </c>
      <c r="BI236">
        <v>480</v>
      </c>
      <c r="BJ236">
        <v>460</v>
      </c>
      <c r="BK236">
        <v>1</v>
      </c>
      <c r="BL236" t="s">
        <v>521</v>
      </c>
      <c r="BM236">
        <v>637.24490000000003</v>
      </c>
      <c r="BN236">
        <v>616.74480000000005</v>
      </c>
      <c r="BO236">
        <v>637.24490000000003</v>
      </c>
      <c r="BP236" t="s">
        <v>522</v>
      </c>
      <c r="BQ236">
        <v>1050</v>
      </c>
      <c r="BR236">
        <v>480</v>
      </c>
      <c r="BS236">
        <v>480</v>
      </c>
      <c r="BT236">
        <v>1</v>
      </c>
      <c r="BU236">
        <v>0</v>
      </c>
      <c r="BV236">
        <v>1</v>
      </c>
      <c r="BW236">
        <v>1</v>
      </c>
      <c r="BX236">
        <v>0</v>
      </c>
      <c r="BY236">
        <v>1</v>
      </c>
      <c r="BZ236">
        <v>7560</v>
      </c>
      <c r="CA236">
        <v>0</v>
      </c>
      <c r="CB236">
        <v>7560</v>
      </c>
      <c r="CC236">
        <v>616.74480000000005</v>
      </c>
      <c r="CD236" t="s">
        <v>641</v>
      </c>
      <c r="CE236" t="s">
        <v>1147</v>
      </c>
      <c r="CG236" t="s">
        <v>421</v>
      </c>
      <c r="CN236" t="str">
        <v>M45</v>
      </c>
      <c r="CO236" t="str">
        <v>AYSP61BS362EN</v>
      </c>
      <c r="CP236" t="str">
        <v>CSNU7568097</v>
      </c>
      <c r="CQ236" s="23">
        <v>382.04809999999998</v>
      </c>
      <c r="CR236" s="25">
        <f t="shared" si="11"/>
        <v>2.503096241603759E-2</v>
      </c>
      <c r="CS236" s="21">
        <f t="shared" si="12"/>
        <v>62.577406040093976</v>
      </c>
    </row>
    <row r="237" spans="2:97" x14ac:dyDescent="0.35">
      <c r="B237" t="s">
        <v>296</v>
      </c>
      <c r="C237" t="s">
        <v>1409</v>
      </c>
      <c r="D237" t="s">
        <v>395</v>
      </c>
      <c r="E237" t="s">
        <v>395</v>
      </c>
      <c r="F237" t="s">
        <v>396</v>
      </c>
      <c r="G237" t="s">
        <v>397</v>
      </c>
      <c r="H237" t="s">
        <v>398</v>
      </c>
      <c r="I237" t="s">
        <v>399</v>
      </c>
      <c r="J237" t="s">
        <v>749</v>
      </c>
      <c r="K237" t="s">
        <v>1142</v>
      </c>
      <c r="L237" t="s">
        <v>787</v>
      </c>
      <c r="M237" t="s">
        <v>403</v>
      </c>
      <c r="N237">
        <v>1</v>
      </c>
      <c r="O237">
        <v>1</v>
      </c>
      <c r="P237" t="s">
        <v>1158</v>
      </c>
      <c r="Q237" t="s">
        <v>405</v>
      </c>
      <c r="R237" t="s">
        <v>1159</v>
      </c>
      <c r="S237" t="s">
        <v>1160</v>
      </c>
      <c r="T237" t="s">
        <v>408</v>
      </c>
      <c r="U237">
        <v>50950081482</v>
      </c>
      <c r="W237">
        <v>15120</v>
      </c>
      <c r="X237" t="s">
        <v>409</v>
      </c>
      <c r="Y237" t="s">
        <v>410</v>
      </c>
      <c r="Z237" t="s">
        <v>410</v>
      </c>
      <c r="AA237" t="s">
        <v>411</v>
      </c>
      <c r="AB237" t="s">
        <v>769</v>
      </c>
      <c r="AC237" t="s">
        <v>411</v>
      </c>
      <c r="AD237">
        <v>46088</v>
      </c>
      <c r="AE237">
        <v>46160</v>
      </c>
      <c r="AF237">
        <v>46095</v>
      </c>
      <c r="AG237" t="s">
        <v>754</v>
      </c>
      <c r="AH237">
        <v>6131974</v>
      </c>
      <c r="AI237">
        <v>46088</v>
      </c>
      <c r="AJ237">
        <v>46090</v>
      </c>
      <c r="AK237">
        <v>15120</v>
      </c>
      <c r="AL237" t="s">
        <v>396</v>
      </c>
      <c r="AM237" t="s">
        <v>1410</v>
      </c>
      <c r="AN237">
        <v>46090</v>
      </c>
      <c r="AO237">
        <v>46090.399039351854</v>
      </c>
      <c r="AP237" t="s">
        <v>51</v>
      </c>
      <c r="AQ237">
        <v>7.1290000000000006E-2</v>
      </c>
      <c r="AR237">
        <v>1077.9000000000001</v>
      </c>
      <c r="AS237" t="s">
        <v>51</v>
      </c>
      <c r="AT237">
        <v>1077.9000000000001</v>
      </c>
      <c r="AU237" t="s">
        <v>415</v>
      </c>
      <c r="AV237" t="s">
        <v>416</v>
      </c>
      <c r="AW237" t="s">
        <v>1360</v>
      </c>
      <c r="AX237">
        <v>46095</v>
      </c>
      <c r="AY237">
        <v>46144</v>
      </c>
      <c r="AZ237" t="s">
        <v>1376</v>
      </c>
      <c r="BA237" t="s">
        <v>560</v>
      </c>
      <c r="BB237" t="s">
        <v>1377</v>
      </c>
      <c r="BC237">
        <v>15120</v>
      </c>
      <c r="BD237" t="s">
        <v>521</v>
      </c>
      <c r="BE237">
        <v>659.16880000000003</v>
      </c>
      <c r="BF237">
        <v>638.66880000000003</v>
      </c>
      <c r="BG237" t="s">
        <v>522</v>
      </c>
      <c r="BH237">
        <v>1050</v>
      </c>
      <c r="BI237">
        <v>480</v>
      </c>
      <c r="BJ237">
        <v>460</v>
      </c>
      <c r="BK237">
        <v>1</v>
      </c>
      <c r="BL237" t="s">
        <v>521</v>
      </c>
      <c r="BM237">
        <v>659.16890000000001</v>
      </c>
      <c r="BN237">
        <v>638.66880000000003</v>
      </c>
      <c r="BO237">
        <v>659.16890000000001</v>
      </c>
      <c r="BP237" t="s">
        <v>522</v>
      </c>
      <c r="BQ237">
        <v>1050</v>
      </c>
      <c r="BR237">
        <v>480</v>
      </c>
      <c r="BS237">
        <v>480</v>
      </c>
      <c r="BT237">
        <v>1</v>
      </c>
      <c r="BU237">
        <v>0</v>
      </c>
      <c r="BV237">
        <v>1</v>
      </c>
      <c r="BW237">
        <v>1</v>
      </c>
      <c r="BX237">
        <v>0</v>
      </c>
      <c r="BY237">
        <v>1</v>
      </c>
      <c r="BZ237">
        <v>15120</v>
      </c>
      <c r="CA237">
        <v>0</v>
      </c>
      <c r="CB237">
        <v>15120</v>
      </c>
      <c r="CC237">
        <v>638.66880000000003</v>
      </c>
      <c r="CD237" t="s">
        <v>641</v>
      </c>
      <c r="CE237" t="s">
        <v>1147</v>
      </c>
      <c r="CG237" t="s">
        <v>421</v>
      </c>
      <c r="CN237" t="str">
        <v>M45</v>
      </c>
      <c r="CO237" t="str">
        <v>1339-12B0009EN</v>
      </c>
      <c r="CP237" t="str">
        <v>CSNU7568097</v>
      </c>
      <c r="CQ237" s="23">
        <v>1276.75188</v>
      </c>
      <c r="CR237" s="25">
        <f t="shared" si="11"/>
        <v>8.3650012453629102E-2</v>
      </c>
      <c r="CS237" s="21">
        <f t="shared" si="12"/>
        <v>209.12503113407274</v>
      </c>
    </row>
    <row r="238" spans="2:97" x14ac:dyDescent="0.35">
      <c r="B238" t="s">
        <v>296</v>
      </c>
      <c r="C238" t="s">
        <v>1411</v>
      </c>
      <c r="D238" t="s">
        <v>395</v>
      </c>
      <c r="E238" t="s">
        <v>395</v>
      </c>
      <c r="F238" t="s">
        <v>396</v>
      </c>
      <c r="G238" t="s">
        <v>397</v>
      </c>
      <c r="H238" t="s">
        <v>398</v>
      </c>
      <c r="I238" t="s">
        <v>399</v>
      </c>
      <c r="J238" t="s">
        <v>749</v>
      </c>
      <c r="K238" t="s">
        <v>1142</v>
      </c>
      <c r="L238" t="s">
        <v>787</v>
      </c>
      <c r="M238" t="s">
        <v>403</v>
      </c>
      <c r="N238">
        <v>1</v>
      </c>
      <c r="O238">
        <v>2</v>
      </c>
      <c r="P238" t="s">
        <v>1412</v>
      </c>
      <c r="Q238" t="s">
        <v>587</v>
      </c>
      <c r="R238" t="s">
        <v>1164</v>
      </c>
      <c r="S238" t="s">
        <v>1165</v>
      </c>
      <c r="T238" t="s">
        <v>408</v>
      </c>
      <c r="U238">
        <v>50950081419</v>
      </c>
      <c r="W238">
        <v>32688</v>
      </c>
      <c r="X238" t="s">
        <v>409</v>
      </c>
      <c r="Y238" t="s">
        <v>410</v>
      </c>
      <c r="Z238" t="s">
        <v>410</v>
      </c>
      <c r="AA238" t="s">
        <v>411</v>
      </c>
      <c r="AB238" t="s">
        <v>769</v>
      </c>
      <c r="AC238" t="s">
        <v>411</v>
      </c>
      <c r="AD238">
        <v>46081</v>
      </c>
      <c r="AE238">
        <v>46153</v>
      </c>
      <c r="AF238">
        <v>46095</v>
      </c>
      <c r="AG238" t="s">
        <v>754</v>
      </c>
      <c r="AH238">
        <v>6131975</v>
      </c>
      <c r="AI238">
        <v>46088</v>
      </c>
      <c r="AJ238">
        <v>46090</v>
      </c>
      <c r="AK238">
        <v>32688</v>
      </c>
      <c r="AL238" t="s">
        <v>396</v>
      </c>
      <c r="AM238" t="s">
        <v>1413</v>
      </c>
      <c r="AN238">
        <v>46090</v>
      </c>
      <c r="AO238">
        <v>46090.399039351854</v>
      </c>
      <c r="AP238" t="s">
        <v>51</v>
      </c>
      <c r="AQ238">
        <v>0.26859</v>
      </c>
      <c r="AR238">
        <v>8779.68</v>
      </c>
      <c r="AS238" t="s">
        <v>51</v>
      </c>
      <c r="AT238">
        <v>8779.68</v>
      </c>
      <c r="AU238" t="s">
        <v>415</v>
      </c>
      <c r="AV238" t="s">
        <v>416</v>
      </c>
      <c r="AW238" t="s">
        <v>1360</v>
      </c>
      <c r="AX238">
        <v>46095</v>
      </c>
      <c r="AY238">
        <v>46144</v>
      </c>
      <c r="AZ238" t="s">
        <v>1376</v>
      </c>
      <c r="BA238" t="s">
        <v>560</v>
      </c>
      <c r="BB238" t="s">
        <v>1377</v>
      </c>
      <c r="BC238">
        <v>3632</v>
      </c>
      <c r="BD238" t="s">
        <v>521</v>
      </c>
      <c r="BE238">
        <v>638.37580000000003</v>
      </c>
      <c r="BF238">
        <v>617.87580000000003</v>
      </c>
      <c r="BG238" t="s">
        <v>522</v>
      </c>
      <c r="BH238">
        <v>1050</v>
      </c>
      <c r="BI238">
        <v>480</v>
      </c>
      <c r="BJ238">
        <v>460</v>
      </c>
      <c r="BK238">
        <v>1</v>
      </c>
      <c r="BL238" t="s">
        <v>521</v>
      </c>
      <c r="BM238">
        <v>638.3759</v>
      </c>
      <c r="BN238">
        <v>617.87580000000003</v>
      </c>
      <c r="BO238">
        <v>5745.38346</v>
      </c>
      <c r="BP238" t="s">
        <v>522</v>
      </c>
      <c r="BQ238">
        <v>1050</v>
      </c>
      <c r="BR238">
        <v>480</v>
      </c>
      <c r="BS238">
        <v>480</v>
      </c>
      <c r="BT238">
        <v>9</v>
      </c>
      <c r="BU238">
        <v>0</v>
      </c>
      <c r="BV238">
        <v>9</v>
      </c>
      <c r="BW238">
        <v>9</v>
      </c>
      <c r="BX238">
        <v>0</v>
      </c>
      <c r="BY238">
        <v>9</v>
      </c>
      <c r="BZ238">
        <v>32688</v>
      </c>
      <c r="CA238">
        <v>0</v>
      </c>
      <c r="CB238">
        <v>32688</v>
      </c>
      <c r="CC238">
        <v>5560.88256</v>
      </c>
      <c r="CD238" t="s">
        <v>641</v>
      </c>
      <c r="CE238" t="s">
        <v>1147</v>
      </c>
      <c r="CG238" t="s">
        <v>421</v>
      </c>
      <c r="CN238" t="str">
        <v>M45</v>
      </c>
      <c r="CO238" t="str">
        <v>1339-12B0007EN</v>
      </c>
      <c r="CP238" t="str">
        <v>CSNU7568097</v>
      </c>
      <c r="CQ238" s="23">
        <v>1292.4421199999999</v>
      </c>
      <c r="CR238" s="25">
        <f t="shared" si="11"/>
        <v>8.4678002928489746E-2</v>
      </c>
      <c r="CS238" s="21">
        <f t="shared" si="12"/>
        <v>211.69500732122435</v>
      </c>
    </row>
    <row r="239" spans="2:97" x14ac:dyDescent="0.35">
      <c r="B239" t="s">
        <v>296</v>
      </c>
      <c r="C239" t="s">
        <v>1167</v>
      </c>
      <c r="D239" t="s">
        <v>395</v>
      </c>
      <c r="E239" t="s">
        <v>395</v>
      </c>
      <c r="F239" t="s">
        <v>396</v>
      </c>
      <c r="G239" t="s">
        <v>397</v>
      </c>
      <c r="H239" t="s">
        <v>398</v>
      </c>
      <c r="I239" t="s">
        <v>399</v>
      </c>
      <c r="J239" t="s">
        <v>749</v>
      </c>
      <c r="K239" t="s">
        <v>1142</v>
      </c>
      <c r="L239" t="s">
        <v>787</v>
      </c>
      <c r="M239" t="s">
        <v>403</v>
      </c>
      <c r="N239">
        <v>1</v>
      </c>
      <c r="O239">
        <v>3</v>
      </c>
      <c r="P239" t="s">
        <v>1168</v>
      </c>
      <c r="Q239" t="s">
        <v>430</v>
      </c>
      <c r="R239" t="s">
        <v>1164</v>
      </c>
      <c r="S239" t="s">
        <v>1165</v>
      </c>
      <c r="T239" t="s">
        <v>408</v>
      </c>
      <c r="U239">
        <v>50950081421</v>
      </c>
      <c r="W239">
        <v>15120</v>
      </c>
      <c r="X239" t="s">
        <v>409</v>
      </c>
      <c r="Y239" t="s">
        <v>410</v>
      </c>
      <c r="Z239" t="s">
        <v>410</v>
      </c>
      <c r="AA239" t="s">
        <v>411</v>
      </c>
      <c r="AB239" t="s">
        <v>769</v>
      </c>
      <c r="AC239" t="s">
        <v>411</v>
      </c>
      <c r="AD239">
        <v>46081</v>
      </c>
      <c r="AE239">
        <v>46153</v>
      </c>
      <c r="AF239">
        <v>46095</v>
      </c>
      <c r="AG239" t="s">
        <v>754</v>
      </c>
      <c r="AH239">
        <v>6131976</v>
      </c>
      <c r="AI239">
        <v>46088</v>
      </c>
      <c r="AJ239">
        <v>46090</v>
      </c>
      <c r="AK239">
        <v>15120</v>
      </c>
      <c r="AL239" t="s">
        <v>396</v>
      </c>
      <c r="AM239" t="s">
        <v>1414</v>
      </c>
      <c r="AN239">
        <v>46090</v>
      </c>
      <c r="AO239">
        <v>46090.399039351854</v>
      </c>
      <c r="AP239" t="s">
        <v>51</v>
      </c>
      <c r="AQ239">
        <v>0.12003</v>
      </c>
      <c r="AR239">
        <v>1814.86</v>
      </c>
      <c r="AS239" t="s">
        <v>51</v>
      </c>
      <c r="AT239">
        <v>1814.86</v>
      </c>
      <c r="AU239" t="s">
        <v>415</v>
      </c>
      <c r="AV239" t="s">
        <v>416</v>
      </c>
      <c r="AW239" t="s">
        <v>1360</v>
      </c>
      <c r="AX239">
        <v>46095</v>
      </c>
      <c r="AY239">
        <v>46144</v>
      </c>
      <c r="AZ239" t="s">
        <v>1376</v>
      </c>
      <c r="BA239" t="s">
        <v>560</v>
      </c>
      <c r="BB239" t="s">
        <v>1377</v>
      </c>
      <c r="BC239">
        <v>7560</v>
      </c>
      <c r="BD239" t="s">
        <v>521</v>
      </c>
      <c r="BE239">
        <v>638.45439999999996</v>
      </c>
      <c r="BF239">
        <v>617.95439999999996</v>
      </c>
      <c r="BG239" t="s">
        <v>522</v>
      </c>
      <c r="BH239">
        <v>1050</v>
      </c>
      <c r="BI239">
        <v>480</v>
      </c>
      <c r="BJ239">
        <v>460</v>
      </c>
      <c r="BK239">
        <v>1</v>
      </c>
      <c r="BL239" t="s">
        <v>521</v>
      </c>
      <c r="BM239">
        <v>638.45450000000005</v>
      </c>
      <c r="BN239">
        <v>617.95439999999996</v>
      </c>
      <c r="BO239">
        <v>1276.9090000000001</v>
      </c>
      <c r="BP239" t="s">
        <v>522</v>
      </c>
      <c r="BQ239">
        <v>1050</v>
      </c>
      <c r="BR239">
        <v>480</v>
      </c>
      <c r="BS239">
        <v>480</v>
      </c>
      <c r="BT239">
        <v>2</v>
      </c>
      <c r="BU239">
        <v>0</v>
      </c>
      <c r="BV239">
        <v>2</v>
      </c>
      <c r="BW239">
        <v>2</v>
      </c>
      <c r="BX239">
        <v>0</v>
      </c>
      <c r="BY239">
        <v>2</v>
      </c>
      <c r="BZ239">
        <v>15120</v>
      </c>
      <c r="CA239">
        <v>0</v>
      </c>
      <c r="CB239">
        <v>15120</v>
      </c>
      <c r="CC239">
        <v>1235.9087999999999</v>
      </c>
      <c r="CD239" t="s">
        <v>641</v>
      </c>
      <c r="CE239" t="s">
        <v>1147</v>
      </c>
      <c r="CG239" t="s">
        <v>421</v>
      </c>
      <c r="CN239" t="str">
        <v>M45</v>
      </c>
      <c r="CO239" t="str">
        <v>1404-12B0003EN</v>
      </c>
      <c r="CP239" t="str">
        <v>CSNU7568097</v>
      </c>
      <c r="CQ239" s="23">
        <v>607.93978000000004</v>
      </c>
      <c r="CR239" s="25">
        <f t="shared" si="11"/>
        <v>3.9830895074191346E-2</v>
      </c>
      <c r="CS239" s="21">
        <f t="shared" si="12"/>
        <v>99.577237685478366</v>
      </c>
    </row>
    <row r="240" spans="2:97" x14ac:dyDescent="0.35">
      <c r="B240" t="s">
        <v>297</v>
      </c>
      <c r="C240" t="s">
        <v>1415</v>
      </c>
      <c r="D240" t="s">
        <v>395</v>
      </c>
      <c r="E240" t="s">
        <v>395</v>
      </c>
      <c r="F240" t="s">
        <v>396</v>
      </c>
      <c r="G240" t="s">
        <v>397</v>
      </c>
      <c r="H240" t="s">
        <v>398</v>
      </c>
      <c r="I240" t="s">
        <v>399</v>
      </c>
      <c r="J240" t="s">
        <v>749</v>
      </c>
      <c r="K240" t="s">
        <v>845</v>
      </c>
      <c r="L240" t="s">
        <v>787</v>
      </c>
      <c r="M240" t="s">
        <v>403</v>
      </c>
      <c r="N240">
        <v>2</v>
      </c>
      <c r="O240">
        <v>1</v>
      </c>
      <c r="P240" t="s">
        <v>1416</v>
      </c>
      <c r="Q240" t="s">
        <v>424</v>
      </c>
      <c r="R240" t="s">
        <v>1031</v>
      </c>
      <c r="S240" t="s">
        <v>1417</v>
      </c>
      <c r="T240" t="s">
        <v>408</v>
      </c>
      <c r="U240">
        <v>50950081527</v>
      </c>
      <c r="W240">
        <v>80000</v>
      </c>
      <c r="X240" t="s">
        <v>409</v>
      </c>
      <c r="Y240" t="s">
        <v>410</v>
      </c>
      <c r="Z240" t="s">
        <v>410</v>
      </c>
      <c r="AA240" t="s">
        <v>411</v>
      </c>
      <c r="AB240" t="s">
        <v>769</v>
      </c>
      <c r="AC240" t="s">
        <v>411</v>
      </c>
      <c r="AD240">
        <v>46090</v>
      </c>
      <c r="AE240">
        <v>46097</v>
      </c>
      <c r="AF240">
        <v>46095</v>
      </c>
      <c r="AG240" t="s">
        <v>754</v>
      </c>
      <c r="AH240">
        <v>6132794</v>
      </c>
      <c r="AI240">
        <v>46089</v>
      </c>
      <c r="AJ240">
        <v>46090</v>
      </c>
      <c r="AK240">
        <v>80000</v>
      </c>
      <c r="AL240" t="s">
        <v>396</v>
      </c>
      <c r="AM240" t="s">
        <v>1418</v>
      </c>
      <c r="AN240">
        <v>46090</v>
      </c>
      <c r="AO240">
        <v>46090.599363425928</v>
      </c>
      <c r="AP240" t="s">
        <v>51</v>
      </c>
      <c r="AQ240">
        <v>3.7580000000000002E-2</v>
      </c>
      <c r="AR240">
        <v>3006.4</v>
      </c>
      <c r="AS240" t="s">
        <v>51</v>
      </c>
      <c r="AT240">
        <v>3006.4</v>
      </c>
      <c r="AU240" t="s">
        <v>415</v>
      </c>
      <c r="AV240" t="s">
        <v>416</v>
      </c>
      <c r="AW240" t="s">
        <v>1360</v>
      </c>
      <c r="AX240">
        <v>46095</v>
      </c>
      <c r="AY240">
        <v>46144</v>
      </c>
      <c r="AZ240" t="s">
        <v>1361</v>
      </c>
      <c r="BA240" t="s">
        <v>560</v>
      </c>
      <c r="BB240" t="s">
        <v>1362</v>
      </c>
      <c r="BC240">
        <v>500</v>
      </c>
      <c r="BD240" t="s">
        <v>521</v>
      </c>
      <c r="BE240">
        <v>8.5429999999999993</v>
      </c>
      <c r="BF240">
        <v>7.62</v>
      </c>
      <c r="BG240" t="s">
        <v>522</v>
      </c>
      <c r="BH240">
        <v>395</v>
      </c>
      <c r="BI240">
        <v>295</v>
      </c>
      <c r="BJ240">
        <v>220</v>
      </c>
      <c r="BK240">
        <v>40</v>
      </c>
      <c r="BL240" t="s">
        <v>521</v>
      </c>
      <c r="BM240">
        <v>368.72</v>
      </c>
      <c r="BN240">
        <v>304.8</v>
      </c>
      <c r="BO240">
        <v>1474.88</v>
      </c>
      <c r="BP240" t="s">
        <v>522</v>
      </c>
      <c r="BQ240">
        <v>1200</v>
      </c>
      <c r="BR240">
        <v>1000</v>
      </c>
      <c r="BS240">
        <v>1053</v>
      </c>
      <c r="BT240">
        <v>4</v>
      </c>
      <c r="BU240">
        <v>0</v>
      </c>
      <c r="BV240">
        <v>4</v>
      </c>
      <c r="BW240">
        <v>160</v>
      </c>
      <c r="BX240">
        <v>0</v>
      </c>
      <c r="BY240">
        <v>160</v>
      </c>
      <c r="BZ240">
        <v>80000</v>
      </c>
      <c r="CA240">
        <v>0</v>
      </c>
      <c r="CB240">
        <v>80000</v>
      </c>
      <c r="CC240">
        <v>1219.2</v>
      </c>
      <c r="CD240" t="s">
        <v>856</v>
      </c>
      <c r="CE240" t="s">
        <v>1034</v>
      </c>
      <c r="CG240" t="s">
        <v>421</v>
      </c>
      <c r="CN240" t="str">
        <v>M45</v>
      </c>
      <c r="CO240" t="str">
        <v>1339-12C0008EN</v>
      </c>
      <c r="CP240" t="str">
        <v>CSNU7568097</v>
      </c>
      <c r="CQ240" s="23">
        <v>638.45450000000005</v>
      </c>
      <c r="CR240" s="25">
        <f t="shared" si="11"/>
        <v>4.1830153307528747E-2</v>
      </c>
      <c r="CS240" s="21">
        <f t="shared" si="12"/>
        <v>104.57538326882187</v>
      </c>
    </row>
    <row r="241" spans="2:97" x14ac:dyDescent="0.35">
      <c r="B241" t="s">
        <v>299</v>
      </c>
      <c r="C241" t="s">
        <v>776</v>
      </c>
      <c r="D241" t="s">
        <v>395</v>
      </c>
      <c r="E241" t="s">
        <v>395</v>
      </c>
      <c r="F241" t="s">
        <v>396</v>
      </c>
      <c r="G241" t="s">
        <v>397</v>
      </c>
      <c r="H241" t="s">
        <v>398</v>
      </c>
      <c r="I241" t="s">
        <v>399</v>
      </c>
      <c r="J241" t="s">
        <v>749</v>
      </c>
      <c r="K241" t="s">
        <v>777</v>
      </c>
      <c r="L241" t="s">
        <v>778</v>
      </c>
      <c r="M241" t="s">
        <v>403</v>
      </c>
      <c r="N241">
        <v>1</v>
      </c>
      <c r="O241">
        <v>3</v>
      </c>
      <c r="P241" t="s">
        <v>779</v>
      </c>
      <c r="Q241" t="s">
        <v>587</v>
      </c>
      <c r="R241" t="s">
        <v>536</v>
      </c>
      <c r="S241" t="s">
        <v>780</v>
      </c>
      <c r="T241" t="s">
        <v>408</v>
      </c>
      <c r="U241">
        <v>50950076748</v>
      </c>
      <c r="W241">
        <v>1512</v>
      </c>
      <c r="X241" t="s">
        <v>409</v>
      </c>
      <c r="Y241" t="s">
        <v>410</v>
      </c>
      <c r="Z241" t="s">
        <v>410</v>
      </c>
      <c r="AA241" t="s">
        <v>411</v>
      </c>
      <c r="AB241" t="s">
        <v>554</v>
      </c>
      <c r="AC241" t="s">
        <v>411</v>
      </c>
      <c r="AD241">
        <v>46083</v>
      </c>
      <c r="AE241">
        <v>46139</v>
      </c>
      <c r="AF241">
        <v>46099</v>
      </c>
      <c r="AG241" t="s">
        <v>781</v>
      </c>
      <c r="AH241">
        <v>6133826</v>
      </c>
      <c r="AI241">
        <v>46090</v>
      </c>
      <c r="AJ241">
        <v>46091</v>
      </c>
      <c r="AK241">
        <v>1512</v>
      </c>
      <c r="AL241" t="s">
        <v>396</v>
      </c>
      <c r="AM241" t="s">
        <v>1419</v>
      </c>
      <c r="AN241">
        <v>46091</v>
      </c>
      <c r="AO241">
        <v>46091.397789351853</v>
      </c>
      <c r="AP241" t="s">
        <v>51</v>
      </c>
      <c r="AQ241">
        <v>2.1913299999999998</v>
      </c>
      <c r="AR241">
        <v>3313.29</v>
      </c>
      <c r="AS241" t="s">
        <v>51</v>
      </c>
      <c r="AT241">
        <v>3313.29</v>
      </c>
      <c r="AU241" t="s">
        <v>415</v>
      </c>
      <c r="AV241" t="s">
        <v>1420</v>
      </c>
      <c r="AW241" t="s">
        <v>1421</v>
      </c>
      <c r="AX241">
        <v>46099</v>
      </c>
      <c r="AY241">
        <v>46148</v>
      </c>
      <c r="AZ241" t="s">
        <v>1422</v>
      </c>
      <c r="BA241" t="s">
        <v>560</v>
      </c>
      <c r="BB241" t="s">
        <v>1423</v>
      </c>
      <c r="BC241">
        <v>28</v>
      </c>
      <c r="BD241" t="s">
        <v>521</v>
      </c>
      <c r="BE241">
        <v>4.1197999999999997</v>
      </c>
      <c r="BF241">
        <v>2.2568000000000001</v>
      </c>
      <c r="BG241" t="s">
        <v>522</v>
      </c>
      <c r="BH241">
        <v>795</v>
      </c>
      <c r="BI241">
        <v>395</v>
      </c>
      <c r="BJ241">
        <v>145</v>
      </c>
      <c r="BK241">
        <v>18</v>
      </c>
      <c r="BL241" t="s">
        <v>521</v>
      </c>
      <c r="BM241">
        <v>99.156400000000005</v>
      </c>
      <c r="BN241">
        <v>40.622399999999999</v>
      </c>
      <c r="BO241">
        <v>297.4692</v>
      </c>
      <c r="BP241" t="s">
        <v>522</v>
      </c>
      <c r="BQ241">
        <v>1200</v>
      </c>
      <c r="BR241">
        <v>800</v>
      </c>
      <c r="BS241">
        <v>1030</v>
      </c>
      <c r="BT241">
        <v>3</v>
      </c>
      <c r="BU241">
        <v>0</v>
      </c>
      <c r="BV241">
        <v>3</v>
      </c>
      <c r="BW241">
        <v>54</v>
      </c>
      <c r="BX241">
        <v>0</v>
      </c>
      <c r="BY241">
        <v>54</v>
      </c>
      <c r="BZ241">
        <v>1512</v>
      </c>
      <c r="CA241">
        <v>0</v>
      </c>
      <c r="CB241">
        <v>1512</v>
      </c>
      <c r="CC241">
        <v>121.8672</v>
      </c>
      <c r="CD241" t="s">
        <v>783</v>
      </c>
      <c r="CE241" t="s">
        <v>784</v>
      </c>
      <c r="CG241" t="s">
        <v>421</v>
      </c>
      <c r="CN241" t="str">
        <v>M19</v>
      </c>
      <c r="CO241" t="str">
        <v>1330-5YY0167EN</v>
      </c>
      <c r="CP241" t="str">
        <v>CSNU7568097</v>
      </c>
      <c r="CQ241" s="23">
        <v>1051.3656000000001</v>
      </c>
      <c r="CR241" s="25">
        <f t="shared" si="11"/>
        <v>6.8883192506689117E-2</v>
      </c>
      <c r="CS241" s="21">
        <f t="shared" si="12"/>
        <v>172.20798126672278</v>
      </c>
    </row>
    <row r="242" spans="2:97" x14ac:dyDescent="0.35">
      <c r="B242" t="s">
        <v>299</v>
      </c>
      <c r="C242" t="s">
        <v>1424</v>
      </c>
      <c r="D242" t="s">
        <v>395</v>
      </c>
      <c r="E242" t="s">
        <v>395</v>
      </c>
      <c r="F242" t="s">
        <v>396</v>
      </c>
      <c r="G242" t="s">
        <v>397</v>
      </c>
      <c r="H242" t="s">
        <v>398</v>
      </c>
      <c r="I242" t="s">
        <v>399</v>
      </c>
      <c r="J242" t="s">
        <v>749</v>
      </c>
      <c r="K242" t="s">
        <v>533</v>
      </c>
      <c r="L242" t="s">
        <v>778</v>
      </c>
      <c r="M242" t="s">
        <v>403</v>
      </c>
      <c r="N242">
        <v>1</v>
      </c>
      <c r="O242">
        <v>1</v>
      </c>
      <c r="P242" t="s">
        <v>1425</v>
      </c>
      <c r="Q242" t="s">
        <v>430</v>
      </c>
      <c r="R242" t="s">
        <v>536</v>
      </c>
      <c r="S242" t="s">
        <v>1426</v>
      </c>
      <c r="T242" t="s">
        <v>408</v>
      </c>
      <c r="U242">
        <v>50950080280</v>
      </c>
      <c r="W242">
        <v>16200</v>
      </c>
      <c r="X242" t="s">
        <v>409</v>
      </c>
      <c r="Y242" t="s">
        <v>410</v>
      </c>
      <c r="Z242" t="s">
        <v>410</v>
      </c>
      <c r="AA242" t="s">
        <v>411</v>
      </c>
      <c r="AB242" t="s">
        <v>554</v>
      </c>
      <c r="AC242" t="s">
        <v>411</v>
      </c>
      <c r="AD242">
        <v>46088</v>
      </c>
      <c r="AE242">
        <v>46146</v>
      </c>
      <c r="AF242">
        <v>46099</v>
      </c>
      <c r="AG242" t="s">
        <v>781</v>
      </c>
      <c r="AH242">
        <v>6133827</v>
      </c>
      <c r="AI242">
        <v>46090</v>
      </c>
      <c r="AJ242">
        <v>46091</v>
      </c>
      <c r="AK242">
        <v>16200</v>
      </c>
      <c r="AL242" t="s">
        <v>396</v>
      </c>
      <c r="AM242" t="s">
        <v>1427</v>
      </c>
      <c r="AN242">
        <v>46091</v>
      </c>
      <c r="AO242">
        <v>46091.397789351853</v>
      </c>
      <c r="AP242" t="s">
        <v>51</v>
      </c>
      <c r="AQ242">
        <v>0.73002</v>
      </c>
      <c r="AR242">
        <v>11826.31</v>
      </c>
      <c r="AS242" t="s">
        <v>51</v>
      </c>
      <c r="AT242">
        <v>11826.31</v>
      </c>
      <c r="AU242" t="s">
        <v>415</v>
      </c>
      <c r="AV242" t="s">
        <v>1420</v>
      </c>
      <c r="AW242" t="s">
        <v>1421</v>
      </c>
      <c r="AX242">
        <v>46099</v>
      </c>
      <c r="AY242">
        <v>46148</v>
      </c>
      <c r="AZ242" t="s">
        <v>1422</v>
      </c>
      <c r="BA242" t="s">
        <v>560</v>
      </c>
      <c r="BB242" t="s">
        <v>1423</v>
      </c>
      <c r="BC242">
        <v>270</v>
      </c>
      <c r="BD242" t="s">
        <v>521</v>
      </c>
      <c r="BE242">
        <v>14.847799999999999</v>
      </c>
      <c r="BF242">
        <v>13.1058</v>
      </c>
      <c r="BG242" t="s">
        <v>522</v>
      </c>
      <c r="BH242">
        <v>395</v>
      </c>
      <c r="BI242">
        <v>295</v>
      </c>
      <c r="BJ242">
        <v>150</v>
      </c>
      <c r="BK242">
        <v>60</v>
      </c>
      <c r="BL242" t="s">
        <v>521</v>
      </c>
      <c r="BM242">
        <v>917.86800000000005</v>
      </c>
      <c r="BN242">
        <v>786.34799999999996</v>
      </c>
      <c r="BO242">
        <v>917.86800000000005</v>
      </c>
      <c r="BP242" t="s">
        <v>522</v>
      </c>
      <c r="BQ242">
        <v>1200</v>
      </c>
      <c r="BR242">
        <v>1000</v>
      </c>
      <c r="BS242">
        <v>1058</v>
      </c>
      <c r="BT242">
        <v>1</v>
      </c>
      <c r="BU242">
        <v>0</v>
      </c>
      <c r="BV242">
        <v>1</v>
      </c>
      <c r="BW242">
        <v>60</v>
      </c>
      <c r="BX242">
        <v>0</v>
      </c>
      <c r="BY242">
        <v>60</v>
      </c>
      <c r="BZ242">
        <v>16200</v>
      </c>
      <c r="CA242">
        <v>0</v>
      </c>
      <c r="CB242">
        <v>16200</v>
      </c>
      <c r="CC242">
        <v>786.34799999999996</v>
      </c>
      <c r="CD242" t="s">
        <v>799</v>
      </c>
      <c r="CE242" t="s">
        <v>1428</v>
      </c>
      <c r="CG242" t="s">
        <v>421</v>
      </c>
      <c r="CN242" t="str">
        <v>M19</v>
      </c>
      <c r="CO242" t="str">
        <v>1108-1YY0106EN</v>
      </c>
      <c r="CP242" t="str">
        <v>CSNU7568097</v>
      </c>
      <c r="CQ242" s="23">
        <v>533.08704</v>
      </c>
      <c r="CR242" s="25">
        <f t="shared" si="11"/>
        <v>3.4926705989944011E-2</v>
      </c>
      <c r="CS242" s="21">
        <f t="shared" si="12"/>
        <v>87.316764974860021</v>
      </c>
    </row>
    <row r="243" spans="2:97" x14ac:dyDescent="0.35">
      <c r="B243" t="s">
        <v>295</v>
      </c>
      <c r="C243" t="s">
        <v>858</v>
      </c>
      <c r="D243" t="s">
        <v>395</v>
      </c>
      <c r="E243" t="s">
        <v>395</v>
      </c>
      <c r="F243" t="s">
        <v>396</v>
      </c>
      <c r="G243" t="s">
        <v>397</v>
      </c>
      <c r="H243" t="s">
        <v>398</v>
      </c>
      <c r="I243" t="s">
        <v>399</v>
      </c>
      <c r="J243" t="s">
        <v>749</v>
      </c>
      <c r="K243" t="s">
        <v>515</v>
      </c>
      <c r="L243" t="s">
        <v>787</v>
      </c>
      <c r="M243" t="s">
        <v>403</v>
      </c>
      <c r="N243">
        <v>1</v>
      </c>
      <c r="O243">
        <v>7</v>
      </c>
      <c r="P243" t="s">
        <v>859</v>
      </c>
      <c r="Q243" t="s">
        <v>405</v>
      </c>
      <c r="R243" t="s">
        <v>860</v>
      </c>
      <c r="S243" t="s">
        <v>861</v>
      </c>
      <c r="T243" t="s">
        <v>408</v>
      </c>
      <c r="U243">
        <v>50950076165</v>
      </c>
      <c r="W243">
        <v>3000</v>
      </c>
      <c r="X243" t="s">
        <v>409</v>
      </c>
      <c r="Y243" t="s">
        <v>410</v>
      </c>
      <c r="Z243" t="s">
        <v>410</v>
      </c>
      <c r="AA243" t="s">
        <v>411</v>
      </c>
      <c r="AB243" t="s">
        <v>554</v>
      </c>
      <c r="AC243" t="s">
        <v>411</v>
      </c>
      <c r="AD243">
        <v>46087</v>
      </c>
      <c r="AE243">
        <v>46125</v>
      </c>
      <c r="AF243">
        <v>46099</v>
      </c>
      <c r="AG243" t="s">
        <v>754</v>
      </c>
      <c r="AH243">
        <v>6133828</v>
      </c>
      <c r="AI243">
        <v>46090</v>
      </c>
      <c r="AJ243">
        <v>46091</v>
      </c>
      <c r="AK243">
        <v>3000</v>
      </c>
      <c r="AL243" t="s">
        <v>396</v>
      </c>
      <c r="AM243" t="s">
        <v>1429</v>
      </c>
      <c r="AN243">
        <v>46091</v>
      </c>
      <c r="AO243">
        <v>46091.397789351853</v>
      </c>
      <c r="AP243" t="s">
        <v>51</v>
      </c>
      <c r="AQ243">
        <v>0.26236999999999999</v>
      </c>
      <c r="AR243">
        <v>787.11</v>
      </c>
      <c r="AS243" t="s">
        <v>51</v>
      </c>
      <c r="AT243">
        <v>787.11</v>
      </c>
      <c r="AU243" t="s">
        <v>415</v>
      </c>
      <c r="AV243" t="s">
        <v>1420</v>
      </c>
      <c r="AW243" t="s">
        <v>1421</v>
      </c>
      <c r="AX243">
        <v>46099</v>
      </c>
      <c r="AY243">
        <v>46148</v>
      </c>
      <c r="AZ243" t="s">
        <v>1422</v>
      </c>
      <c r="BA243" t="s">
        <v>560</v>
      </c>
      <c r="BB243" t="s">
        <v>1423</v>
      </c>
      <c r="BC243">
        <v>200</v>
      </c>
      <c r="BD243" t="s">
        <v>521</v>
      </c>
      <c r="BE243">
        <v>4.3890000000000002</v>
      </c>
      <c r="BF243">
        <v>2.2679999999999998</v>
      </c>
      <c r="BG243" t="s">
        <v>522</v>
      </c>
      <c r="BH243">
        <v>395</v>
      </c>
      <c r="BI243">
        <v>295</v>
      </c>
      <c r="BJ243">
        <v>320</v>
      </c>
      <c r="BK243">
        <v>15</v>
      </c>
      <c r="BL243" t="s">
        <v>521</v>
      </c>
      <c r="BM243">
        <v>92.834999999999994</v>
      </c>
      <c r="BN243">
        <v>34.020000000000003</v>
      </c>
      <c r="BO243">
        <v>92.834999999999994</v>
      </c>
      <c r="BP243" t="s">
        <v>522</v>
      </c>
      <c r="BQ243">
        <v>1200</v>
      </c>
      <c r="BR243">
        <v>1000</v>
      </c>
      <c r="BS243">
        <v>1120</v>
      </c>
      <c r="BT243">
        <v>1</v>
      </c>
      <c r="BU243">
        <v>0</v>
      </c>
      <c r="BV243">
        <v>1</v>
      </c>
      <c r="BW243">
        <v>15</v>
      </c>
      <c r="BX243">
        <v>0</v>
      </c>
      <c r="BY243">
        <v>15</v>
      </c>
      <c r="BZ243">
        <v>3000</v>
      </c>
      <c r="CA243">
        <v>0</v>
      </c>
      <c r="CB243">
        <v>3000</v>
      </c>
      <c r="CC243">
        <v>34.020000000000003</v>
      </c>
      <c r="CD243" t="s">
        <v>866</v>
      </c>
      <c r="CE243" t="s">
        <v>867</v>
      </c>
      <c r="CG243" t="s">
        <v>421</v>
      </c>
      <c r="CN243" t="str">
        <v>M01</v>
      </c>
      <c r="CO243" t="str">
        <v>CPPMSF3253/7EN</v>
      </c>
      <c r="CP243" t="str">
        <v>FBIU5071920</v>
      </c>
      <c r="CQ243" s="23">
        <v>1500</v>
      </c>
      <c r="CR243" s="25">
        <f t="shared" si="11"/>
        <v>6.8656003213568406E-2</v>
      </c>
      <c r="CS243" s="21">
        <f t="shared" si="12"/>
        <v>171.64000803392102</v>
      </c>
    </row>
    <row r="244" spans="2:97" x14ac:dyDescent="0.35">
      <c r="B244" t="s">
        <v>295</v>
      </c>
      <c r="C244" t="s">
        <v>868</v>
      </c>
      <c r="D244" t="s">
        <v>395</v>
      </c>
      <c r="E244" t="s">
        <v>395</v>
      </c>
      <c r="F244" t="s">
        <v>396</v>
      </c>
      <c r="G244" t="s">
        <v>397</v>
      </c>
      <c r="H244" t="s">
        <v>398</v>
      </c>
      <c r="I244" t="s">
        <v>399</v>
      </c>
      <c r="J244" t="s">
        <v>749</v>
      </c>
      <c r="K244" t="s">
        <v>629</v>
      </c>
      <c r="L244" t="s">
        <v>787</v>
      </c>
      <c r="M244" t="s">
        <v>403</v>
      </c>
      <c r="N244">
        <v>1</v>
      </c>
      <c r="O244">
        <v>12</v>
      </c>
      <c r="P244" t="s">
        <v>869</v>
      </c>
      <c r="Q244" t="s">
        <v>637</v>
      </c>
      <c r="R244" t="s">
        <v>870</v>
      </c>
      <c r="S244" t="s">
        <v>871</v>
      </c>
      <c r="T244" t="s">
        <v>408</v>
      </c>
      <c r="U244">
        <v>50950076250</v>
      </c>
      <c r="W244">
        <v>2400</v>
      </c>
      <c r="X244" t="s">
        <v>409</v>
      </c>
      <c r="Y244" t="s">
        <v>410</v>
      </c>
      <c r="Z244" t="s">
        <v>410</v>
      </c>
      <c r="AA244" t="s">
        <v>411</v>
      </c>
      <c r="AB244" t="s">
        <v>554</v>
      </c>
      <c r="AC244" t="s">
        <v>411</v>
      </c>
      <c r="AD244">
        <v>46090</v>
      </c>
      <c r="AE244">
        <v>46118</v>
      </c>
      <c r="AF244">
        <v>46099</v>
      </c>
      <c r="AG244" t="s">
        <v>754</v>
      </c>
      <c r="AH244">
        <v>6133829</v>
      </c>
      <c r="AI244">
        <v>46090</v>
      </c>
      <c r="AJ244">
        <v>46091</v>
      </c>
      <c r="AK244">
        <v>2400</v>
      </c>
      <c r="AL244" t="s">
        <v>396</v>
      </c>
      <c r="AM244" t="s">
        <v>1430</v>
      </c>
      <c r="AN244">
        <v>46091</v>
      </c>
      <c r="AO244">
        <v>46091.397789351853</v>
      </c>
      <c r="AP244" t="s">
        <v>51</v>
      </c>
      <c r="AQ244">
        <v>1.03729</v>
      </c>
      <c r="AR244">
        <v>2489.5</v>
      </c>
      <c r="AS244" t="s">
        <v>51</v>
      </c>
      <c r="AT244">
        <v>2489.5</v>
      </c>
      <c r="AU244" t="s">
        <v>415</v>
      </c>
      <c r="AV244" t="s">
        <v>1420</v>
      </c>
      <c r="AW244" t="s">
        <v>1421</v>
      </c>
      <c r="AX244">
        <v>46099</v>
      </c>
      <c r="AY244">
        <v>46148</v>
      </c>
      <c r="AZ244" t="s">
        <v>1422</v>
      </c>
      <c r="BA244" t="s">
        <v>560</v>
      </c>
      <c r="BB244" t="s">
        <v>1423</v>
      </c>
      <c r="BC244">
        <v>40</v>
      </c>
      <c r="BD244" t="s">
        <v>521</v>
      </c>
      <c r="BE244">
        <v>4.4851000000000001</v>
      </c>
      <c r="BF244">
        <v>3.3351000000000002</v>
      </c>
      <c r="BG244" t="s">
        <v>522</v>
      </c>
      <c r="BH244">
        <v>495</v>
      </c>
      <c r="BI244">
        <v>395</v>
      </c>
      <c r="BJ244">
        <v>1800</v>
      </c>
      <c r="BK244">
        <v>30</v>
      </c>
      <c r="BL244" t="s">
        <v>521</v>
      </c>
      <c r="BM244">
        <v>161.553</v>
      </c>
      <c r="BN244">
        <v>100.053</v>
      </c>
      <c r="BO244">
        <v>323.10719999999998</v>
      </c>
      <c r="BP244" t="s">
        <v>522</v>
      </c>
      <c r="BQ244">
        <v>1200</v>
      </c>
      <c r="BR244">
        <v>1000</v>
      </c>
      <c r="BS244">
        <v>1058</v>
      </c>
      <c r="BT244">
        <v>2</v>
      </c>
      <c r="BU244">
        <v>0</v>
      </c>
      <c r="BV244">
        <v>2</v>
      </c>
      <c r="BW244">
        <v>60</v>
      </c>
      <c r="BX244">
        <v>0</v>
      </c>
      <c r="BY244">
        <v>60</v>
      </c>
      <c r="BZ244">
        <v>2400</v>
      </c>
      <c r="CA244">
        <v>0</v>
      </c>
      <c r="CB244">
        <v>2400</v>
      </c>
      <c r="CC244">
        <v>200.10720000000001</v>
      </c>
      <c r="CD244" t="s">
        <v>799</v>
      </c>
      <c r="CE244" t="s">
        <v>873</v>
      </c>
      <c r="CG244" t="s">
        <v>421</v>
      </c>
      <c r="CN244" t="str">
        <v>M01</v>
      </c>
      <c r="CO244" t="str">
        <v>1318-1030030EN</v>
      </c>
      <c r="CP244" t="str">
        <v>FBIU5071920</v>
      </c>
      <c r="CQ244" s="23">
        <v>20</v>
      </c>
      <c r="CR244" s="25">
        <f t="shared" si="11"/>
        <v>9.1541337618091217E-4</v>
      </c>
      <c r="CS244" s="21">
        <f t="shared" si="12"/>
        <v>2.2885334404522806</v>
      </c>
    </row>
    <row r="245" spans="2:97" x14ac:dyDescent="0.35">
      <c r="B245" t="s">
        <v>298</v>
      </c>
      <c r="C245" t="s">
        <v>1431</v>
      </c>
      <c r="D245" t="s">
        <v>395</v>
      </c>
      <c r="E245" t="s">
        <v>395</v>
      </c>
      <c r="F245" t="s">
        <v>396</v>
      </c>
      <c r="G245" t="s">
        <v>397</v>
      </c>
      <c r="H245" t="s">
        <v>398</v>
      </c>
      <c r="I245" t="s">
        <v>399</v>
      </c>
      <c r="J245" t="s">
        <v>749</v>
      </c>
      <c r="K245" t="s">
        <v>629</v>
      </c>
      <c r="L245" t="s">
        <v>787</v>
      </c>
      <c r="M245" t="s">
        <v>403</v>
      </c>
      <c r="N245">
        <v>1</v>
      </c>
      <c r="O245">
        <v>1</v>
      </c>
      <c r="P245" t="s">
        <v>1432</v>
      </c>
      <c r="Q245" t="s">
        <v>405</v>
      </c>
      <c r="R245" t="s">
        <v>1433</v>
      </c>
      <c r="S245" t="s">
        <v>1434</v>
      </c>
      <c r="T245" t="s">
        <v>408</v>
      </c>
      <c r="U245">
        <v>50950077154</v>
      </c>
      <c r="W245">
        <v>8424</v>
      </c>
      <c r="X245" t="s">
        <v>409</v>
      </c>
      <c r="Y245" t="s">
        <v>410</v>
      </c>
      <c r="Z245" t="s">
        <v>410</v>
      </c>
      <c r="AA245" t="s">
        <v>411</v>
      </c>
      <c r="AB245" t="s">
        <v>554</v>
      </c>
      <c r="AC245" t="s">
        <v>411</v>
      </c>
      <c r="AD245">
        <v>46097</v>
      </c>
      <c r="AE245">
        <v>46188</v>
      </c>
      <c r="AF245">
        <v>46099</v>
      </c>
      <c r="AG245" t="s">
        <v>754</v>
      </c>
      <c r="AH245">
        <v>6133830</v>
      </c>
      <c r="AI245">
        <v>46090</v>
      </c>
      <c r="AJ245">
        <v>46091</v>
      </c>
      <c r="AK245">
        <v>8424</v>
      </c>
      <c r="AL245" t="s">
        <v>396</v>
      </c>
      <c r="AM245" t="s">
        <v>1435</v>
      </c>
      <c r="AN245">
        <v>46091</v>
      </c>
      <c r="AO245">
        <v>46091.397789351853</v>
      </c>
      <c r="AP245" t="s">
        <v>51</v>
      </c>
      <c r="AQ245">
        <v>0.9506</v>
      </c>
      <c r="AR245">
        <v>8007.85</v>
      </c>
      <c r="AS245" t="s">
        <v>51</v>
      </c>
      <c r="AT245">
        <v>8007.85</v>
      </c>
      <c r="AU245" t="s">
        <v>415</v>
      </c>
      <c r="AV245" t="s">
        <v>1420</v>
      </c>
      <c r="AW245" t="s">
        <v>1421</v>
      </c>
      <c r="AX245">
        <v>46099</v>
      </c>
      <c r="AY245">
        <v>46148</v>
      </c>
      <c r="AZ245" t="s">
        <v>1422</v>
      </c>
      <c r="BA245" t="s">
        <v>560</v>
      </c>
      <c r="BB245" t="s">
        <v>1423</v>
      </c>
      <c r="BC245">
        <v>351</v>
      </c>
      <c r="BD245" t="s">
        <v>521</v>
      </c>
      <c r="BE245">
        <v>16.555700000000002</v>
      </c>
      <c r="BF245">
        <v>13.855700000000001</v>
      </c>
      <c r="BG245" t="s">
        <v>522</v>
      </c>
      <c r="BH245">
        <v>495</v>
      </c>
      <c r="BI245">
        <v>395</v>
      </c>
      <c r="BJ245">
        <v>240</v>
      </c>
      <c r="BK245">
        <v>24</v>
      </c>
      <c r="BL245" t="s">
        <v>521</v>
      </c>
      <c r="BM245">
        <v>424.3374</v>
      </c>
      <c r="BN245">
        <v>332.53739999999999</v>
      </c>
      <c r="BO245">
        <v>424.3374</v>
      </c>
      <c r="BP245" t="s">
        <v>522</v>
      </c>
      <c r="BQ245">
        <v>1200</v>
      </c>
      <c r="BR245">
        <v>1000</v>
      </c>
      <c r="BS245">
        <v>1120</v>
      </c>
      <c r="BT245">
        <v>1</v>
      </c>
      <c r="BU245">
        <v>0</v>
      </c>
      <c r="BV245">
        <v>1</v>
      </c>
      <c r="BW245">
        <v>24</v>
      </c>
      <c r="BX245">
        <v>0</v>
      </c>
      <c r="BY245">
        <v>24</v>
      </c>
      <c r="BZ245">
        <v>8424</v>
      </c>
      <c r="CA245">
        <v>0</v>
      </c>
      <c r="CB245">
        <v>8424</v>
      </c>
      <c r="CC245">
        <v>332.53739999999999</v>
      </c>
      <c r="CD245" t="s">
        <v>806</v>
      </c>
      <c r="CE245" t="s">
        <v>1436</v>
      </c>
      <c r="CG245" t="s">
        <v>421</v>
      </c>
      <c r="CN245" t="str">
        <v>M01</v>
      </c>
      <c r="CO245" t="str">
        <v>1318-1030018EN</v>
      </c>
      <c r="CP245" t="str">
        <v>FBIU5071920</v>
      </c>
      <c r="CQ245" s="23">
        <v>10</v>
      </c>
      <c r="CR245" s="25">
        <f t="shared" si="11"/>
        <v>4.5770668809045609E-4</v>
      </c>
      <c r="CS245" s="21">
        <f t="shared" si="12"/>
        <v>1.1442667202261403</v>
      </c>
    </row>
    <row r="246" spans="2:97" x14ac:dyDescent="0.35">
      <c r="B246" t="s">
        <v>296</v>
      </c>
      <c r="C246" t="s">
        <v>1100</v>
      </c>
      <c r="D246" t="s">
        <v>395</v>
      </c>
      <c r="E246" t="s">
        <v>395</v>
      </c>
      <c r="F246" t="s">
        <v>396</v>
      </c>
      <c r="G246" t="s">
        <v>397</v>
      </c>
      <c r="H246" t="s">
        <v>398</v>
      </c>
      <c r="I246" t="s">
        <v>399</v>
      </c>
      <c r="J246" t="s">
        <v>749</v>
      </c>
      <c r="K246" t="s">
        <v>629</v>
      </c>
      <c r="L246" t="s">
        <v>787</v>
      </c>
      <c r="M246" t="s">
        <v>403</v>
      </c>
      <c r="N246">
        <v>1</v>
      </c>
      <c r="O246">
        <v>3</v>
      </c>
      <c r="P246" t="s">
        <v>1101</v>
      </c>
      <c r="Q246" t="s">
        <v>943</v>
      </c>
      <c r="R246" t="s">
        <v>882</v>
      </c>
      <c r="S246" t="s">
        <v>883</v>
      </c>
      <c r="T246" t="s">
        <v>408</v>
      </c>
      <c r="U246">
        <v>50950078936</v>
      </c>
      <c r="W246">
        <v>12000</v>
      </c>
      <c r="X246" t="s">
        <v>409</v>
      </c>
      <c r="Y246" t="s">
        <v>410</v>
      </c>
      <c r="Z246" t="s">
        <v>410</v>
      </c>
      <c r="AA246" t="s">
        <v>411</v>
      </c>
      <c r="AB246" t="s">
        <v>554</v>
      </c>
      <c r="AC246" t="s">
        <v>411</v>
      </c>
      <c r="AD246">
        <v>46088</v>
      </c>
      <c r="AE246">
        <v>46146</v>
      </c>
      <c r="AF246">
        <v>46099</v>
      </c>
      <c r="AG246" t="s">
        <v>754</v>
      </c>
      <c r="AH246">
        <v>6133831</v>
      </c>
      <c r="AI246">
        <v>46090</v>
      </c>
      <c r="AJ246">
        <v>46091</v>
      </c>
      <c r="AK246">
        <v>12000</v>
      </c>
      <c r="AL246" t="s">
        <v>396</v>
      </c>
      <c r="AM246" t="s">
        <v>1437</v>
      </c>
      <c r="AN246">
        <v>46091</v>
      </c>
      <c r="AO246">
        <v>46091.397789351853</v>
      </c>
      <c r="AP246" t="s">
        <v>51</v>
      </c>
      <c r="AQ246">
        <v>0.21010999999999999</v>
      </c>
      <c r="AR246">
        <v>2521.3200000000002</v>
      </c>
      <c r="AS246" t="s">
        <v>51</v>
      </c>
      <c r="AT246">
        <v>2521.3200000000002</v>
      </c>
      <c r="AU246" t="s">
        <v>415</v>
      </c>
      <c r="AV246" t="s">
        <v>1420</v>
      </c>
      <c r="AW246" t="s">
        <v>1421</v>
      </c>
      <c r="AX246">
        <v>46099</v>
      </c>
      <c r="AY246">
        <v>46148</v>
      </c>
      <c r="AZ246" t="s">
        <v>1422</v>
      </c>
      <c r="BA246" t="s">
        <v>560</v>
      </c>
      <c r="BB246" t="s">
        <v>1423</v>
      </c>
      <c r="BC246">
        <v>100</v>
      </c>
      <c r="BD246" t="s">
        <v>521</v>
      </c>
      <c r="BE246">
        <v>3.851</v>
      </c>
      <c r="BF246">
        <v>2.601</v>
      </c>
      <c r="BG246" t="s">
        <v>522</v>
      </c>
      <c r="BH246">
        <v>595</v>
      </c>
      <c r="BI246">
        <v>395</v>
      </c>
      <c r="BJ246">
        <v>155</v>
      </c>
      <c r="BK246">
        <v>30</v>
      </c>
      <c r="BL246" t="s">
        <v>521</v>
      </c>
      <c r="BM246">
        <v>142.53</v>
      </c>
      <c r="BN246">
        <v>78.03</v>
      </c>
      <c r="BO246">
        <v>570.12</v>
      </c>
      <c r="BP246" t="s">
        <v>522</v>
      </c>
      <c r="BQ246">
        <v>1200</v>
      </c>
      <c r="BR246">
        <v>1000</v>
      </c>
      <c r="BS246">
        <v>1088</v>
      </c>
      <c r="BT246">
        <v>4</v>
      </c>
      <c r="BU246">
        <v>0</v>
      </c>
      <c r="BV246">
        <v>4</v>
      </c>
      <c r="BW246">
        <v>120</v>
      </c>
      <c r="BX246">
        <v>0</v>
      </c>
      <c r="BY246">
        <v>120</v>
      </c>
      <c r="BZ246">
        <v>12000</v>
      </c>
      <c r="CA246">
        <v>0</v>
      </c>
      <c r="CB246">
        <v>12000</v>
      </c>
      <c r="CC246">
        <v>312.12</v>
      </c>
      <c r="CD246" t="s">
        <v>842</v>
      </c>
      <c r="CE246" t="s">
        <v>1103</v>
      </c>
      <c r="CG246" t="s">
        <v>421</v>
      </c>
      <c r="CN246" t="str">
        <v>M01</v>
      </c>
      <c r="CO246" t="str">
        <v>1318-1030054EN</v>
      </c>
      <c r="CP246" t="str">
        <v>FBIU5071920</v>
      </c>
      <c r="CQ246" s="23">
        <v>10</v>
      </c>
      <c r="CR246" s="25">
        <f t="shared" si="11"/>
        <v>4.5770668809045609E-4</v>
      </c>
      <c r="CS246" s="21">
        <f t="shared" si="12"/>
        <v>1.1442667202261403</v>
      </c>
    </row>
    <row r="247" spans="2:97" x14ac:dyDescent="0.35">
      <c r="B247" t="s">
        <v>296</v>
      </c>
      <c r="C247" t="s">
        <v>1106</v>
      </c>
      <c r="D247" t="s">
        <v>395</v>
      </c>
      <c r="E247" t="s">
        <v>395</v>
      </c>
      <c r="F247" t="s">
        <v>396</v>
      </c>
      <c r="G247" t="s">
        <v>397</v>
      </c>
      <c r="H247" t="s">
        <v>398</v>
      </c>
      <c r="I247" t="s">
        <v>399</v>
      </c>
      <c r="J247" t="s">
        <v>749</v>
      </c>
      <c r="K247" t="s">
        <v>629</v>
      </c>
      <c r="L247" t="s">
        <v>787</v>
      </c>
      <c r="M247" t="s">
        <v>403</v>
      </c>
      <c r="N247">
        <v>1</v>
      </c>
      <c r="O247">
        <v>3</v>
      </c>
      <c r="P247" t="s">
        <v>875</v>
      </c>
      <c r="Q247" t="s">
        <v>430</v>
      </c>
      <c r="R247" t="s">
        <v>876</v>
      </c>
      <c r="S247" t="s">
        <v>877</v>
      </c>
      <c r="T247" t="s">
        <v>408</v>
      </c>
      <c r="U247">
        <v>50950080007</v>
      </c>
      <c r="W247">
        <v>16000</v>
      </c>
      <c r="X247" t="s">
        <v>409</v>
      </c>
      <c r="Y247" t="s">
        <v>410</v>
      </c>
      <c r="Z247" t="s">
        <v>410</v>
      </c>
      <c r="AA247" t="s">
        <v>411</v>
      </c>
      <c r="AB247" t="s">
        <v>554</v>
      </c>
      <c r="AC247" t="s">
        <v>411</v>
      </c>
      <c r="AD247">
        <v>46090</v>
      </c>
      <c r="AE247">
        <v>46181</v>
      </c>
      <c r="AF247">
        <v>46099</v>
      </c>
      <c r="AG247" t="s">
        <v>754</v>
      </c>
      <c r="AH247">
        <v>6133832</v>
      </c>
      <c r="AI247">
        <v>46090</v>
      </c>
      <c r="AJ247">
        <v>46091</v>
      </c>
      <c r="AK247">
        <v>16000</v>
      </c>
      <c r="AL247" t="s">
        <v>396</v>
      </c>
      <c r="AM247" t="s">
        <v>1438</v>
      </c>
      <c r="AN247">
        <v>46091</v>
      </c>
      <c r="AO247">
        <v>46091.397789351853</v>
      </c>
      <c r="AP247" t="s">
        <v>51</v>
      </c>
      <c r="AQ247">
        <v>0.11867</v>
      </c>
      <c r="AR247">
        <v>1898.7</v>
      </c>
      <c r="AS247" t="s">
        <v>51</v>
      </c>
      <c r="AT247">
        <v>1898.7</v>
      </c>
      <c r="AU247" t="s">
        <v>415</v>
      </c>
      <c r="AV247" t="s">
        <v>1420</v>
      </c>
      <c r="AW247" t="s">
        <v>1421</v>
      </c>
      <c r="AX247">
        <v>46099</v>
      </c>
      <c r="AY247">
        <v>46148</v>
      </c>
      <c r="AZ247" t="s">
        <v>1422</v>
      </c>
      <c r="BA247" t="s">
        <v>560</v>
      </c>
      <c r="BB247" t="s">
        <v>1423</v>
      </c>
      <c r="BC247">
        <v>160</v>
      </c>
      <c r="BD247" t="s">
        <v>521</v>
      </c>
      <c r="BE247">
        <v>6.3452000000000002</v>
      </c>
      <c r="BF247">
        <v>4.7952000000000004</v>
      </c>
      <c r="BG247" t="s">
        <v>522</v>
      </c>
      <c r="BH247">
        <v>595</v>
      </c>
      <c r="BI247">
        <v>495</v>
      </c>
      <c r="BJ247">
        <v>190</v>
      </c>
      <c r="BK247">
        <v>20</v>
      </c>
      <c r="BL247" t="s">
        <v>521</v>
      </c>
      <c r="BM247">
        <v>153.904</v>
      </c>
      <c r="BN247">
        <v>95.903999999999996</v>
      </c>
      <c r="BO247">
        <v>769.52</v>
      </c>
      <c r="BP247" t="s">
        <v>522</v>
      </c>
      <c r="BQ247">
        <v>1200</v>
      </c>
      <c r="BR247">
        <v>1000</v>
      </c>
      <c r="BS247">
        <v>1110</v>
      </c>
      <c r="BT247">
        <v>5</v>
      </c>
      <c r="BU247">
        <v>0</v>
      </c>
      <c r="BV247">
        <v>5</v>
      </c>
      <c r="BW247">
        <v>100</v>
      </c>
      <c r="BX247">
        <v>0</v>
      </c>
      <c r="BY247">
        <v>100</v>
      </c>
      <c r="BZ247">
        <v>16000</v>
      </c>
      <c r="CA247">
        <v>0</v>
      </c>
      <c r="CB247">
        <v>16000</v>
      </c>
      <c r="CC247">
        <v>479.52</v>
      </c>
      <c r="CD247" t="s">
        <v>592</v>
      </c>
      <c r="CE247" t="s">
        <v>879</v>
      </c>
      <c r="CG247" t="s">
        <v>421</v>
      </c>
      <c r="CN247" t="str">
        <v>M01</v>
      </c>
      <c r="CO247" t="str">
        <v>1318-1030054EN</v>
      </c>
      <c r="CP247" t="str">
        <v>FBIU5071920</v>
      </c>
      <c r="CQ247" s="23">
        <v>10</v>
      </c>
      <c r="CR247" s="25">
        <f t="shared" si="11"/>
        <v>4.5770668809045609E-4</v>
      </c>
      <c r="CS247" s="21">
        <f t="shared" si="12"/>
        <v>1.1442667202261403</v>
      </c>
    </row>
    <row r="248" spans="2:97" x14ac:dyDescent="0.35">
      <c r="B248" t="s">
        <v>299</v>
      </c>
      <c r="C248" t="s">
        <v>817</v>
      </c>
      <c r="D248" t="s">
        <v>395</v>
      </c>
      <c r="E248" t="s">
        <v>395</v>
      </c>
      <c r="F248" t="s">
        <v>396</v>
      </c>
      <c r="G248" t="s">
        <v>397</v>
      </c>
      <c r="H248" t="s">
        <v>398</v>
      </c>
      <c r="I248" t="s">
        <v>399</v>
      </c>
      <c r="J248" t="s">
        <v>749</v>
      </c>
      <c r="K248" t="s">
        <v>809</v>
      </c>
      <c r="L248" t="s">
        <v>787</v>
      </c>
      <c r="M248" t="s">
        <v>403</v>
      </c>
      <c r="N248">
        <v>1</v>
      </c>
      <c r="O248">
        <v>10</v>
      </c>
      <c r="P248" t="s">
        <v>818</v>
      </c>
      <c r="Q248" t="s">
        <v>430</v>
      </c>
      <c r="R248" t="s">
        <v>811</v>
      </c>
      <c r="S248" t="s">
        <v>819</v>
      </c>
      <c r="T248" t="s">
        <v>408</v>
      </c>
      <c r="U248">
        <v>50950080248</v>
      </c>
      <c r="W248">
        <v>2880</v>
      </c>
      <c r="X248" t="s">
        <v>409</v>
      </c>
      <c r="Y248" t="s">
        <v>410</v>
      </c>
      <c r="Z248" t="s">
        <v>410</v>
      </c>
      <c r="AA248" t="s">
        <v>411</v>
      </c>
      <c r="AB248" t="s">
        <v>554</v>
      </c>
      <c r="AC248" t="s">
        <v>411</v>
      </c>
      <c r="AD248">
        <v>46077</v>
      </c>
      <c r="AE248">
        <v>46111</v>
      </c>
      <c r="AF248">
        <v>46099</v>
      </c>
      <c r="AG248" t="s">
        <v>754</v>
      </c>
      <c r="AH248">
        <v>6133833</v>
      </c>
      <c r="AI248">
        <v>46090</v>
      </c>
      <c r="AJ248">
        <v>46091</v>
      </c>
      <c r="AK248">
        <v>2880</v>
      </c>
      <c r="AL248" t="s">
        <v>396</v>
      </c>
      <c r="AM248" t="s">
        <v>1439</v>
      </c>
      <c r="AN248">
        <v>46091</v>
      </c>
      <c r="AO248">
        <v>46091.397789351853</v>
      </c>
      <c r="AP248" t="s">
        <v>51</v>
      </c>
      <c r="AQ248">
        <v>1.20448</v>
      </c>
      <c r="AR248">
        <v>3468.9</v>
      </c>
      <c r="AS248" t="s">
        <v>51</v>
      </c>
      <c r="AT248">
        <v>3468.9</v>
      </c>
      <c r="AU248" t="s">
        <v>415</v>
      </c>
      <c r="AV248" t="s">
        <v>1420</v>
      </c>
      <c r="AW248" t="s">
        <v>1421</v>
      </c>
      <c r="AX248">
        <v>46099</v>
      </c>
      <c r="AY248">
        <v>46148</v>
      </c>
      <c r="AZ248" t="s">
        <v>1422</v>
      </c>
      <c r="BA248" t="s">
        <v>560</v>
      </c>
      <c r="BB248" t="s">
        <v>1423</v>
      </c>
      <c r="BC248">
        <v>48</v>
      </c>
      <c r="BD248" t="s">
        <v>521</v>
      </c>
      <c r="BE248">
        <v>7.6898999999999997</v>
      </c>
      <c r="BF248">
        <v>6.2298999999999998</v>
      </c>
      <c r="BG248" t="s">
        <v>522</v>
      </c>
      <c r="BH248">
        <v>495</v>
      </c>
      <c r="BI248">
        <v>395</v>
      </c>
      <c r="BJ248">
        <v>190</v>
      </c>
      <c r="BK248">
        <v>30</v>
      </c>
      <c r="BL248" t="s">
        <v>521</v>
      </c>
      <c r="BM248">
        <v>257.697</v>
      </c>
      <c r="BN248">
        <v>186.89699999999999</v>
      </c>
      <c r="BO248">
        <v>515.39520000000005</v>
      </c>
      <c r="BP248" t="s">
        <v>522</v>
      </c>
      <c r="BQ248">
        <v>1200</v>
      </c>
      <c r="BR248">
        <v>1000</v>
      </c>
      <c r="BS248">
        <v>1120</v>
      </c>
      <c r="BT248">
        <v>2</v>
      </c>
      <c r="BU248">
        <v>0</v>
      </c>
      <c r="BV248">
        <v>2</v>
      </c>
      <c r="BW248">
        <v>60</v>
      </c>
      <c r="BX248">
        <v>0</v>
      </c>
      <c r="BY248">
        <v>60</v>
      </c>
      <c r="BZ248">
        <v>2880</v>
      </c>
      <c r="CA248">
        <v>0</v>
      </c>
      <c r="CB248">
        <v>2880</v>
      </c>
      <c r="CC248">
        <v>373.79520000000002</v>
      </c>
      <c r="CD248" t="s">
        <v>806</v>
      </c>
      <c r="CE248" t="s">
        <v>821</v>
      </c>
      <c r="CG248" t="s">
        <v>421</v>
      </c>
      <c r="CN248" t="str">
        <v>M01</v>
      </c>
      <c r="CO248" t="str">
        <v>1307-1030122EN</v>
      </c>
      <c r="CP248" t="str">
        <v>FBIU5071920</v>
      </c>
      <c r="CQ248" s="23">
        <v>1500</v>
      </c>
      <c r="CR248" s="25">
        <f t="shared" si="11"/>
        <v>6.8656003213568406E-2</v>
      </c>
      <c r="CS248" s="21">
        <f t="shared" si="12"/>
        <v>171.64000803392102</v>
      </c>
    </row>
    <row r="249" spans="2:97" x14ac:dyDescent="0.35">
      <c r="B249" t="s">
        <v>299</v>
      </c>
      <c r="C249" t="s">
        <v>1380</v>
      </c>
      <c r="D249" t="s">
        <v>965</v>
      </c>
      <c r="E249" t="s">
        <v>395</v>
      </c>
      <c r="F249" t="s">
        <v>396</v>
      </c>
      <c r="G249" t="s">
        <v>397</v>
      </c>
      <c r="H249" t="s">
        <v>398</v>
      </c>
      <c r="I249" t="s">
        <v>399</v>
      </c>
      <c r="J249" t="s">
        <v>749</v>
      </c>
      <c r="K249" t="s">
        <v>809</v>
      </c>
      <c r="L249" t="s">
        <v>787</v>
      </c>
      <c r="M249" t="s">
        <v>403</v>
      </c>
      <c r="N249">
        <v>1</v>
      </c>
      <c r="O249">
        <v>6</v>
      </c>
      <c r="P249" t="s">
        <v>810</v>
      </c>
      <c r="Q249" t="s">
        <v>405</v>
      </c>
      <c r="R249" t="s">
        <v>811</v>
      </c>
      <c r="S249" t="s">
        <v>812</v>
      </c>
      <c r="T249" t="s">
        <v>408</v>
      </c>
      <c r="U249">
        <v>50950080270</v>
      </c>
      <c r="W249">
        <v>2400</v>
      </c>
      <c r="X249" t="s">
        <v>409</v>
      </c>
      <c r="Y249" t="s">
        <v>410</v>
      </c>
      <c r="Z249" t="s">
        <v>410</v>
      </c>
      <c r="AA249" t="s">
        <v>411</v>
      </c>
      <c r="AB249" t="s">
        <v>554</v>
      </c>
      <c r="AC249" t="s">
        <v>411</v>
      </c>
      <c r="AD249">
        <v>46088</v>
      </c>
      <c r="AE249">
        <v>46125</v>
      </c>
      <c r="AF249">
        <v>46099</v>
      </c>
      <c r="AG249" t="s">
        <v>754</v>
      </c>
      <c r="AH249">
        <v>6133834</v>
      </c>
      <c r="AI249">
        <v>46090</v>
      </c>
      <c r="AJ249">
        <v>46091</v>
      </c>
      <c r="AK249">
        <v>2400</v>
      </c>
      <c r="AL249" t="s">
        <v>396</v>
      </c>
      <c r="AM249" t="s">
        <v>1440</v>
      </c>
      <c r="AN249">
        <v>46091</v>
      </c>
      <c r="AO249">
        <v>46091.397789351853</v>
      </c>
      <c r="AP249" t="s">
        <v>51</v>
      </c>
      <c r="AQ249">
        <v>1.96204</v>
      </c>
      <c r="AR249">
        <v>4708.8999999999996</v>
      </c>
      <c r="AS249" t="s">
        <v>51</v>
      </c>
      <c r="AT249">
        <v>4708.8999999999996</v>
      </c>
      <c r="AU249" t="s">
        <v>415</v>
      </c>
      <c r="AV249" t="s">
        <v>1420</v>
      </c>
      <c r="AW249" t="s">
        <v>1421</v>
      </c>
      <c r="AX249">
        <v>46099</v>
      </c>
      <c r="AY249">
        <v>46148</v>
      </c>
      <c r="AZ249" t="s">
        <v>1422</v>
      </c>
      <c r="BA249" t="s">
        <v>560</v>
      </c>
      <c r="BB249" t="s">
        <v>1423</v>
      </c>
      <c r="BC249">
        <v>16</v>
      </c>
      <c r="BD249" t="s">
        <v>521</v>
      </c>
      <c r="BE249">
        <v>4.9545000000000003</v>
      </c>
      <c r="BF249">
        <v>3.7555000000000001</v>
      </c>
      <c r="BG249" t="s">
        <v>522</v>
      </c>
      <c r="BH249">
        <v>495</v>
      </c>
      <c r="BI249">
        <v>395</v>
      </c>
      <c r="BJ249">
        <v>190</v>
      </c>
      <c r="BK249">
        <v>30</v>
      </c>
      <c r="BL249" t="s">
        <v>521</v>
      </c>
      <c r="BM249">
        <v>175.63499999999999</v>
      </c>
      <c r="BN249">
        <v>112.66500000000001</v>
      </c>
      <c r="BO249">
        <v>878.178</v>
      </c>
      <c r="BP249" t="s">
        <v>522</v>
      </c>
      <c r="BQ249">
        <v>1200</v>
      </c>
      <c r="BR249">
        <v>1000</v>
      </c>
      <c r="BS249">
        <v>1120</v>
      </c>
      <c r="BT249">
        <v>5</v>
      </c>
      <c r="BU249">
        <v>0</v>
      </c>
      <c r="BV249">
        <v>5</v>
      </c>
      <c r="BW249">
        <v>150</v>
      </c>
      <c r="BX249">
        <v>0</v>
      </c>
      <c r="BY249">
        <v>150</v>
      </c>
      <c r="BZ249">
        <v>2400</v>
      </c>
      <c r="CA249">
        <v>0</v>
      </c>
      <c r="CB249">
        <v>2400</v>
      </c>
      <c r="CC249">
        <v>563.32799999999997</v>
      </c>
      <c r="CD249" t="s">
        <v>806</v>
      </c>
      <c r="CE249" t="s">
        <v>816</v>
      </c>
      <c r="CG249" t="s">
        <v>421</v>
      </c>
      <c r="CN249" t="str">
        <v>M01</v>
      </c>
      <c r="CO249" t="str">
        <v>0060-1050290-YEN</v>
      </c>
      <c r="CP249" t="str">
        <v>FBIU5071920</v>
      </c>
      <c r="CQ249" s="23">
        <v>1475.480326772212</v>
      </c>
      <c r="CR249" s="25">
        <f t="shared" si="11"/>
        <v>6.7533721370953301E-2</v>
      </c>
      <c r="CS249" s="21">
        <f t="shared" si="12"/>
        <v>168.83430342738325</v>
      </c>
    </row>
    <row r="250" spans="2:97" x14ac:dyDescent="0.35">
      <c r="B250" t="s">
        <v>299</v>
      </c>
      <c r="C250" t="s">
        <v>1441</v>
      </c>
      <c r="D250" t="s">
        <v>965</v>
      </c>
      <c r="E250" t="s">
        <v>395</v>
      </c>
      <c r="F250" t="s">
        <v>396</v>
      </c>
      <c r="G250" t="s">
        <v>397</v>
      </c>
      <c r="H250" t="s">
        <v>398</v>
      </c>
      <c r="I250" t="s">
        <v>399</v>
      </c>
      <c r="J250" t="s">
        <v>749</v>
      </c>
      <c r="K250" t="s">
        <v>809</v>
      </c>
      <c r="L250" t="s">
        <v>787</v>
      </c>
      <c r="M250" t="s">
        <v>403</v>
      </c>
      <c r="N250">
        <v>1</v>
      </c>
      <c r="O250">
        <v>1</v>
      </c>
      <c r="P250" t="s">
        <v>818</v>
      </c>
      <c r="Q250" t="s">
        <v>430</v>
      </c>
      <c r="R250" t="s">
        <v>811</v>
      </c>
      <c r="S250" t="s">
        <v>819</v>
      </c>
      <c r="T250" t="s">
        <v>408</v>
      </c>
      <c r="U250">
        <v>50950080392</v>
      </c>
      <c r="W250">
        <v>4320</v>
      </c>
      <c r="X250" t="s">
        <v>409</v>
      </c>
      <c r="Y250" t="s">
        <v>410</v>
      </c>
      <c r="Z250" t="s">
        <v>410</v>
      </c>
      <c r="AA250" t="s">
        <v>411</v>
      </c>
      <c r="AB250" t="s">
        <v>554</v>
      </c>
      <c r="AC250" t="s">
        <v>411</v>
      </c>
      <c r="AD250">
        <v>46088</v>
      </c>
      <c r="AE250">
        <v>46125</v>
      </c>
      <c r="AF250">
        <v>46099</v>
      </c>
      <c r="AG250" t="s">
        <v>754</v>
      </c>
      <c r="AH250">
        <v>6133835</v>
      </c>
      <c r="AI250">
        <v>46090</v>
      </c>
      <c r="AJ250">
        <v>46091</v>
      </c>
      <c r="AK250">
        <v>4320</v>
      </c>
      <c r="AL250" t="s">
        <v>396</v>
      </c>
      <c r="AM250" t="s">
        <v>1442</v>
      </c>
      <c r="AN250">
        <v>46091</v>
      </c>
      <c r="AO250">
        <v>46091.397789351853</v>
      </c>
      <c r="AP250" t="s">
        <v>51</v>
      </c>
      <c r="AQ250">
        <v>1.20448</v>
      </c>
      <c r="AR250">
        <v>5203.3500000000004</v>
      </c>
      <c r="AS250" t="s">
        <v>51</v>
      </c>
      <c r="AT250">
        <v>5203.3500000000004</v>
      </c>
      <c r="AU250" t="s">
        <v>415</v>
      </c>
      <c r="AV250" t="s">
        <v>1420</v>
      </c>
      <c r="AW250" t="s">
        <v>1421</v>
      </c>
      <c r="AX250">
        <v>46099</v>
      </c>
      <c r="AY250">
        <v>46148</v>
      </c>
      <c r="AZ250" t="s">
        <v>1422</v>
      </c>
      <c r="BA250" t="s">
        <v>560</v>
      </c>
      <c r="BB250" t="s">
        <v>1423</v>
      </c>
      <c r="BC250">
        <v>48</v>
      </c>
      <c r="BD250" t="s">
        <v>521</v>
      </c>
      <c r="BE250">
        <v>7.6898999999999997</v>
      </c>
      <c r="BF250">
        <v>6.2298999999999998</v>
      </c>
      <c r="BG250" t="s">
        <v>522</v>
      </c>
      <c r="BH250">
        <v>495</v>
      </c>
      <c r="BI250">
        <v>395</v>
      </c>
      <c r="BJ250">
        <v>190</v>
      </c>
      <c r="BK250">
        <v>30</v>
      </c>
      <c r="BL250" t="s">
        <v>521</v>
      </c>
      <c r="BM250">
        <v>257.697</v>
      </c>
      <c r="BN250">
        <v>186.89699999999999</v>
      </c>
      <c r="BO250">
        <v>773.09280000000001</v>
      </c>
      <c r="BP250" t="s">
        <v>522</v>
      </c>
      <c r="BQ250">
        <v>1200</v>
      </c>
      <c r="BR250">
        <v>1000</v>
      </c>
      <c r="BS250">
        <v>1120</v>
      </c>
      <c r="BT250">
        <v>3</v>
      </c>
      <c r="BU250">
        <v>0</v>
      </c>
      <c r="BV250">
        <v>3</v>
      </c>
      <c r="BW250">
        <v>90</v>
      </c>
      <c r="BX250">
        <v>0</v>
      </c>
      <c r="BY250">
        <v>90</v>
      </c>
      <c r="BZ250">
        <v>4320</v>
      </c>
      <c r="CA250">
        <v>0</v>
      </c>
      <c r="CB250">
        <v>4320</v>
      </c>
      <c r="CC250">
        <v>560.69280000000003</v>
      </c>
      <c r="CD250" t="s">
        <v>806</v>
      </c>
      <c r="CE250" t="s">
        <v>821</v>
      </c>
      <c r="CG250" t="s">
        <v>421</v>
      </c>
      <c r="CN250" t="str">
        <v>M19</v>
      </c>
      <c r="CO250" t="str">
        <v>1616-5YY3186-MTEN</v>
      </c>
      <c r="CP250" t="str">
        <v>FBIU5071920</v>
      </c>
      <c r="CQ250" s="23">
        <v>150</v>
      </c>
      <c r="CR250" s="25">
        <f t="shared" si="11"/>
        <v>6.8656003213568408E-3</v>
      </c>
      <c r="CS250" s="21">
        <f t="shared" si="12"/>
        <v>17.164000803392103</v>
      </c>
    </row>
    <row r="251" spans="2:97" x14ac:dyDescent="0.35">
      <c r="B251" t="s">
        <v>296</v>
      </c>
      <c r="C251" t="s">
        <v>1050</v>
      </c>
      <c r="D251" t="s">
        <v>395</v>
      </c>
      <c r="E251" t="s">
        <v>395</v>
      </c>
      <c r="F251" t="s">
        <v>396</v>
      </c>
      <c r="G251" t="s">
        <v>397</v>
      </c>
      <c r="H251" t="s">
        <v>398</v>
      </c>
      <c r="I251" t="s">
        <v>399</v>
      </c>
      <c r="J251" t="s">
        <v>749</v>
      </c>
      <c r="K251" t="s">
        <v>629</v>
      </c>
      <c r="L251" t="s">
        <v>787</v>
      </c>
      <c r="M251" t="s">
        <v>403</v>
      </c>
      <c r="N251">
        <v>1</v>
      </c>
      <c r="O251">
        <v>2</v>
      </c>
      <c r="P251" t="s">
        <v>911</v>
      </c>
      <c r="Q251" t="s">
        <v>424</v>
      </c>
      <c r="R251" t="s">
        <v>912</v>
      </c>
      <c r="S251" t="s">
        <v>913</v>
      </c>
      <c r="T251" t="s">
        <v>408</v>
      </c>
      <c r="U251">
        <v>50950080913</v>
      </c>
      <c r="W251">
        <v>30000</v>
      </c>
      <c r="X251" t="s">
        <v>409</v>
      </c>
      <c r="Y251" t="s">
        <v>410</v>
      </c>
      <c r="Z251" t="s">
        <v>410</v>
      </c>
      <c r="AA251" t="s">
        <v>411</v>
      </c>
      <c r="AB251" t="s">
        <v>554</v>
      </c>
      <c r="AC251" t="s">
        <v>411</v>
      </c>
      <c r="AD251">
        <v>46088</v>
      </c>
      <c r="AE251">
        <v>46153</v>
      </c>
      <c r="AF251">
        <v>46099</v>
      </c>
      <c r="AG251" t="s">
        <v>754</v>
      </c>
      <c r="AH251">
        <v>6133836</v>
      </c>
      <c r="AI251">
        <v>46090</v>
      </c>
      <c r="AJ251">
        <v>46091</v>
      </c>
      <c r="AK251">
        <v>30000</v>
      </c>
      <c r="AL251" t="s">
        <v>396</v>
      </c>
      <c r="AM251" t="s">
        <v>1443</v>
      </c>
      <c r="AN251">
        <v>46091</v>
      </c>
      <c r="AO251">
        <v>46091.397789351853</v>
      </c>
      <c r="AP251" t="s">
        <v>51</v>
      </c>
      <c r="AQ251">
        <v>6.123E-2</v>
      </c>
      <c r="AR251">
        <v>1836.89</v>
      </c>
      <c r="AS251" t="s">
        <v>51</v>
      </c>
      <c r="AT251">
        <v>1836.89</v>
      </c>
      <c r="AU251" t="s">
        <v>415</v>
      </c>
      <c r="AV251" t="s">
        <v>1420</v>
      </c>
      <c r="AW251" t="s">
        <v>1421</v>
      </c>
      <c r="AX251">
        <v>46099</v>
      </c>
      <c r="AY251">
        <v>46148</v>
      </c>
      <c r="AZ251" t="s">
        <v>1422</v>
      </c>
      <c r="BA251" t="s">
        <v>560</v>
      </c>
      <c r="BB251" t="s">
        <v>1423</v>
      </c>
      <c r="BC251">
        <v>1200</v>
      </c>
      <c r="BD251" t="s">
        <v>521</v>
      </c>
      <c r="BE251">
        <v>7.0679999999999996</v>
      </c>
      <c r="BF251">
        <v>6.1980000000000004</v>
      </c>
      <c r="BG251" t="s">
        <v>522</v>
      </c>
      <c r="BH251">
        <v>595</v>
      </c>
      <c r="BI251">
        <v>395</v>
      </c>
      <c r="BJ251">
        <v>190</v>
      </c>
      <c r="BK251">
        <v>25</v>
      </c>
      <c r="BL251" t="s">
        <v>521</v>
      </c>
      <c r="BM251">
        <v>203.7</v>
      </c>
      <c r="BN251">
        <v>154.94999999999999</v>
      </c>
      <c r="BO251">
        <v>203.7</v>
      </c>
      <c r="BP251" t="s">
        <v>522</v>
      </c>
      <c r="BQ251">
        <v>1200</v>
      </c>
      <c r="BR251">
        <v>1000</v>
      </c>
      <c r="BS251">
        <v>1088</v>
      </c>
      <c r="BT251">
        <v>1</v>
      </c>
      <c r="BU251">
        <v>0</v>
      </c>
      <c r="BV251">
        <v>1</v>
      </c>
      <c r="BW251">
        <v>25</v>
      </c>
      <c r="BX251">
        <v>0</v>
      </c>
      <c r="BY251">
        <v>25</v>
      </c>
      <c r="BZ251">
        <v>30000</v>
      </c>
      <c r="CA251">
        <v>0</v>
      </c>
      <c r="CB251">
        <v>30000</v>
      </c>
      <c r="CC251">
        <v>154.94999999999999</v>
      </c>
      <c r="CD251" t="s">
        <v>842</v>
      </c>
      <c r="CE251" t="s">
        <v>898</v>
      </c>
      <c r="CG251" t="s">
        <v>421</v>
      </c>
      <c r="CN251" t="str">
        <v>M19</v>
      </c>
      <c r="CO251" t="str">
        <v>CPCSSSP2001/EP</v>
      </c>
      <c r="CP251" t="str">
        <v>FBIU5071920</v>
      </c>
      <c r="CQ251" s="23">
        <v>20</v>
      </c>
      <c r="CR251" s="25">
        <f t="shared" si="11"/>
        <v>9.1541337618091217E-4</v>
      </c>
      <c r="CS251" s="21">
        <f t="shared" si="12"/>
        <v>2.2885334404522806</v>
      </c>
    </row>
    <row r="252" spans="2:97" x14ac:dyDescent="0.35">
      <c r="B252" t="s">
        <v>299</v>
      </c>
      <c r="C252" t="s">
        <v>1126</v>
      </c>
      <c r="D252" t="s">
        <v>965</v>
      </c>
      <c r="E252" t="s">
        <v>395</v>
      </c>
      <c r="F252" t="s">
        <v>396</v>
      </c>
      <c r="G252" t="s">
        <v>397</v>
      </c>
      <c r="H252" t="s">
        <v>398</v>
      </c>
      <c r="I252" t="s">
        <v>399</v>
      </c>
      <c r="J252" t="s">
        <v>749</v>
      </c>
      <c r="K252" t="s">
        <v>629</v>
      </c>
      <c r="L252" t="s">
        <v>787</v>
      </c>
      <c r="M252" t="s">
        <v>403</v>
      </c>
      <c r="N252">
        <v>1</v>
      </c>
      <c r="O252">
        <v>2</v>
      </c>
      <c r="P252" t="s">
        <v>1127</v>
      </c>
      <c r="Q252" t="s">
        <v>405</v>
      </c>
      <c r="R252" t="s">
        <v>1128</v>
      </c>
      <c r="S252" t="s">
        <v>1129</v>
      </c>
      <c r="T252" t="s">
        <v>408</v>
      </c>
      <c r="U252">
        <v>50950080980</v>
      </c>
      <c r="W252">
        <v>2400</v>
      </c>
      <c r="X252" t="s">
        <v>409</v>
      </c>
      <c r="Y252" t="s">
        <v>410</v>
      </c>
      <c r="Z252" t="s">
        <v>410</v>
      </c>
      <c r="AA252" t="s">
        <v>411</v>
      </c>
      <c r="AB252" t="s">
        <v>554</v>
      </c>
      <c r="AC252" t="s">
        <v>411</v>
      </c>
      <c r="AD252">
        <v>46088</v>
      </c>
      <c r="AE252">
        <v>46146</v>
      </c>
      <c r="AF252">
        <v>46099</v>
      </c>
      <c r="AG252" t="s">
        <v>754</v>
      </c>
      <c r="AH252">
        <v>6133837</v>
      </c>
      <c r="AI252">
        <v>46090</v>
      </c>
      <c r="AJ252">
        <v>46091</v>
      </c>
      <c r="AK252">
        <v>2400</v>
      </c>
      <c r="AL252" t="s">
        <v>396</v>
      </c>
      <c r="AM252" t="s">
        <v>1444</v>
      </c>
      <c r="AN252">
        <v>46091</v>
      </c>
      <c r="AO252">
        <v>46091.397789351853</v>
      </c>
      <c r="AP252" t="s">
        <v>51</v>
      </c>
      <c r="AQ252">
        <v>2.1219100000000002</v>
      </c>
      <c r="AR252">
        <v>5092.58</v>
      </c>
      <c r="AS252" t="s">
        <v>51</v>
      </c>
      <c r="AT252">
        <v>5092.58</v>
      </c>
      <c r="AU252" t="s">
        <v>415</v>
      </c>
      <c r="AV252" t="s">
        <v>1420</v>
      </c>
      <c r="AW252" t="s">
        <v>1421</v>
      </c>
      <c r="AX252">
        <v>46099</v>
      </c>
      <c r="AY252">
        <v>46148</v>
      </c>
      <c r="AZ252" t="s">
        <v>1422</v>
      </c>
      <c r="BA252" t="s">
        <v>560</v>
      </c>
      <c r="BB252" t="s">
        <v>1423</v>
      </c>
      <c r="BC252">
        <v>80</v>
      </c>
      <c r="BD252" t="s">
        <v>521</v>
      </c>
      <c r="BE252">
        <v>9.6</v>
      </c>
      <c r="BF252">
        <v>5.67</v>
      </c>
      <c r="BG252" t="s">
        <v>522</v>
      </c>
      <c r="BH252">
        <v>520</v>
      </c>
      <c r="BI252">
        <v>330</v>
      </c>
      <c r="BJ252">
        <v>190</v>
      </c>
      <c r="BK252">
        <v>30</v>
      </c>
      <c r="BL252" t="s">
        <v>521</v>
      </c>
      <c r="BM252">
        <v>314</v>
      </c>
      <c r="BN252">
        <v>170.1</v>
      </c>
      <c r="BO252">
        <v>314</v>
      </c>
      <c r="BP252" t="s">
        <v>522</v>
      </c>
      <c r="BQ252">
        <v>1066</v>
      </c>
      <c r="BR252">
        <v>1066</v>
      </c>
      <c r="BS252">
        <v>1100</v>
      </c>
      <c r="BT252">
        <v>1</v>
      </c>
      <c r="BU252">
        <v>0</v>
      </c>
      <c r="BV252">
        <v>1</v>
      </c>
      <c r="BW252">
        <v>30</v>
      </c>
      <c r="BX252">
        <v>0</v>
      </c>
      <c r="BY252">
        <v>30</v>
      </c>
      <c r="BZ252">
        <v>2400</v>
      </c>
      <c r="CA252">
        <v>0</v>
      </c>
      <c r="CB252">
        <v>2400</v>
      </c>
      <c r="CC252">
        <v>170.1</v>
      </c>
      <c r="CD252" t="s">
        <v>1131</v>
      </c>
      <c r="CE252" t="s">
        <v>1132</v>
      </c>
      <c r="CG252" t="s">
        <v>421</v>
      </c>
      <c r="CN252" t="str">
        <v>M19</v>
      </c>
      <c r="CO252" t="str">
        <v>CPCSSSP2001/EP</v>
      </c>
      <c r="CP252" t="str">
        <v>FBIU5071920</v>
      </c>
      <c r="CQ252" s="23">
        <v>20</v>
      </c>
      <c r="CR252" s="25">
        <f t="shared" si="11"/>
        <v>9.1541337618091217E-4</v>
      </c>
      <c r="CS252" s="21">
        <f t="shared" si="12"/>
        <v>2.2885334404522806</v>
      </c>
    </row>
    <row r="253" spans="2:97" x14ac:dyDescent="0.35">
      <c r="B253" t="s">
        <v>299</v>
      </c>
      <c r="C253" t="s">
        <v>1064</v>
      </c>
      <c r="D253" t="s">
        <v>395</v>
      </c>
      <c r="E253" t="s">
        <v>395</v>
      </c>
      <c r="F253" t="s">
        <v>396</v>
      </c>
      <c r="G253" t="s">
        <v>397</v>
      </c>
      <c r="H253" t="s">
        <v>398</v>
      </c>
      <c r="I253" t="s">
        <v>399</v>
      </c>
      <c r="J253" t="s">
        <v>749</v>
      </c>
      <c r="K253" t="s">
        <v>526</v>
      </c>
      <c r="L253" t="s">
        <v>787</v>
      </c>
      <c r="M253" t="s">
        <v>403</v>
      </c>
      <c r="N253">
        <v>1</v>
      </c>
      <c r="O253">
        <v>2</v>
      </c>
      <c r="P253" t="s">
        <v>1065</v>
      </c>
      <c r="Q253" t="s">
        <v>430</v>
      </c>
      <c r="R253" t="s">
        <v>959</v>
      </c>
      <c r="S253" t="s">
        <v>1066</v>
      </c>
      <c r="T253" t="s">
        <v>408</v>
      </c>
      <c r="U253">
        <v>50950081022</v>
      </c>
      <c r="W253">
        <v>36000</v>
      </c>
      <c r="X253" t="s">
        <v>409</v>
      </c>
      <c r="Y253" t="s">
        <v>410</v>
      </c>
      <c r="Z253" t="s">
        <v>410</v>
      </c>
      <c r="AA253" t="s">
        <v>411</v>
      </c>
      <c r="AB253" t="s">
        <v>554</v>
      </c>
      <c r="AC253" t="s">
        <v>411</v>
      </c>
      <c r="AD253">
        <v>46088</v>
      </c>
      <c r="AE253">
        <v>46146</v>
      </c>
      <c r="AF253">
        <v>46099</v>
      </c>
      <c r="AG253" t="s">
        <v>754</v>
      </c>
      <c r="AH253">
        <v>6133838</v>
      </c>
      <c r="AI253">
        <v>46090</v>
      </c>
      <c r="AJ253">
        <v>46091</v>
      </c>
      <c r="AK253">
        <v>36000</v>
      </c>
      <c r="AL253" t="s">
        <v>396</v>
      </c>
      <c r="AM253" t="s">
        <v>1445</v>
      </c>
      <c r="AN253">
        <v>46091</v>
      </c>
      <c r="AO253">
        <v>46091.397789351853</v>
      </c>
      <c r="AP253" t="s">
        <v>51</v>
      </c>
      <c r="AQ253">
        <v>9.8100000000000007E-2</v>
      </c>
      <c r="AR253">
        <v>3531.6</v>
      </c>
      <c r="AS253" t="s">
        <v>51</v>
      </c>
      <c r="AT253">
        <v>3531.6</v>
      </c>
      <c r="AU253" t="s">
        <v>415</v>
      </c>
      <c r="AV253" t="s">
        <v>1420</v>
      </c>
      <c r="AW253" t="s">
        <v>1421</v>
      </c>
      <c r="AX253">
        <v>46099</v>
      </c>
      <c r="AY253">
        <v>46148</v>
      </c>
      <c r="AZ253" t="s">
        <v>1422</v>
      </c>
      <c r="BA253" t="s">
        <v>560</v>
      </c>
      <c r="BB253" t="s">
        <v>1423</v>
      </c>
      <c r="BC253">
        <v>250</v>
      </c>
      <c r="BD253" t="s">
        <v>521</v>
      </c>
      <c r="BE253">
        <v>7.8822999999999999</v>
      </c>
      <c r="BF253">
        <v>7.6322999999999999</v>
      </c>
      <c r="BG253" t="s">
        <v>522</v>
      </c>
      <c r="BH253">
        <v>286</v>
      </c>
      <c r="BI253">
        <v>190</v>
      </c>
      <c r="BJ253">
        <v>72</v>
      </c>
      <c r="BK253">
        <v>48</v>
      </c>
      <c r="BL253" t="s">
        <v>521</v>
      </c>
      <c r="BM253">
        <v>403.35039999999998</v>
      </c>
      <c r="BN253">
        <v>366.35039999999998</v>
      </c>
      <c r="BO253">
        <v>1210.0440000000001</v>
      </c>
      <c r="BP253" t="s">
        <v>522</v>
      </c>
      <c r="BQ253">
        <v>1200</v>
      </c>
      <c r="BR253">
        <v>800</v>
      </c>
      <c r="BS253">
        <v>378</v>
      </c>
      <c r="BT253">
        <v>3</v>
      </c>
      <c r="BU253">
        <v>0</v>
      </c>
      <c r="BV253">
        <v>3</v>
      </c>
      <c r="BW253">
        <v>144</v>
      </c>
      <c r="BX253">
        <v>0</v>
      </c>
      <c r="BY253">
        <v>144</v>
      </c>
      <c r="BZ253">
        <v>36000</v>
      </c>
      <c r="CA253">
        <v>0</v>
      </c>
      <c r="CB253">
        <v>36000</v>
      </c>
      <c r="CC253">
        <v>1099.0440000000001</v>
      </c>
      <c r="CD253" t="s">
        <v>969</v>
      </c>
      <c r="CE253" t="s">
        <v>970</v>
      </c>
      <c r="CG253" t="s">
        <v>421</v>
      </c>
      <c r="CN253" t="str">
        <v>MCS</v>
      </c>
      <c r="CO253" t="str">
        <v>0070-1100018</v>
      </c>
      <c r="CP253" t="str">
        <v>FBIU5071920</v>
      </c>
      <c r="CQ253" s="23">
        <v>500.00134835217881</v>
      </c>
      <c r="CR253" s="25">
        <f t="shared" si="11"/>
        <v>2.2885396119503819E-2</v>
      </c>
      <c r="CS253" s="21">
        <f t="shared" si="12"/>
        <v>57.213490298759545</v>
      </c>
    </row>
    <row r="254" spans="2:97" x14ac:dyDescent="0.35">
      <c r="B254" t="s">
        <v>299</v>
      </c>
      <c r="C254" t="s">
        <v>1390</v>
      </c>
      <c r="D254" t="s">
        <v>395</v>
      </c>
      <c r="E254" t="s">
        <v>395</v>
      </c>
      <c r="F254" t="s">
        <v>396</v>
      </c>
      <c r="G254" t="s">
        <v>397</v>
      </c>
      <c r="H254" t="s">
        <v>398</v>
      </c>
      <c r="I254" t="s">
        <v>399</v>
      </c>
      <c r="J254" t="s">
        <v>749</v>
      </c>
      <c r="K254" t="s">
        <v>809</v>
      </c>
      <c r="L254" t="s">
        <v>787</v>
      </c>
      <c r="M254" t="s">
        <v>403</v>
      </c>
      <c r="N254">
        <v>1</v>
      </c>
      <c r="O254">
        <v>2</v>
      </c>
      <c r="P254" t="s">
        <v>892</v>
      </c>
      <c r="Q254" t="s">
        <v>424</v>
      </c>
      <c r="R254" t="s">
        <v>811</v>
      </c>
      <c r="S254" t="s">
        <v>893</v>
      </c>
      <c r="T254" t="s">
        <v>408</v>
      </c>
      <c r="U254">
        <v>50950081233</v>
      </c>
      <c r="W254">
        <v>2880</v>
      </c>
      <c r="X254" t="s">
        <v>409</v>
      </c>
      <c r="Y254" t="s">
        <v>410</v>
      </c>
      <c r="Z254" t="s">
        <v>410</v>
      </c>
      <c r="AA254" t="s">
        <v>411</v>
      </c>
      <c r="AB254" t="s">
        <v>554</v>
      </c>
      <c r="AC254" t="s">
        <v>411</v>
      </c>
      <c r="AD254">
        <v>46088</v>
      </c>
      <c r="AE254">
        <v>46146</v>
      </c>
      <c r="AF254">
        <v>46099</v>
      </c>
      <c r="AG254" t="s">
        <v>754</v>
      </c>
      <c r="AH254">
        <v>6133839</v>
      </c>
      <c r="AI254">
        <v>46090</v>
      </c>
      <c r="AJ254">
        <v>46091</v>
      </c>
      <c r="AK254">
        <v>2880</v>
      </c>
      <c r="AL254" t="s">
        <v>396</v>
      </c>
      <c r="AM254" t="s">
        <v>1446</v>
      </c>
      <c r="AN254">
        <v>46091</v>
      </c>
      <c r="AO254">
        <v>46091.397789351853</v>
      </c>
      <c r="AP254" t="s">
        <v>51</v>
      </c>
      <c r="AQ254">
        <v>1.0937699999999999</v>
      </c>
      <c r="AR254">
        <v>3150.06</v>
      </c>
      <c r="AS254" t="s">
        <v>51</v>
      </c>
      <c r="AT254">
        <v>3150.06</v>
      </c>
      <c r="AU254" t="s">
        <v>415</v>
      </c>
      <c r="AV254" t="s">
        <v>1420</v>
      </c>
      <c r="AW254" t="s">
        <v>1421</v>
      </c>
      <c r="AX254">
        <v>46099</v>
      </c>
      <c r="AY254">
        <v>46148</v>
      </c>
      <c r="AZ254" t="s">
        <v>1422</v>
      </c>
      <c r="BA254" t="s">
        <v>560</v>
      </c>
      <c r="BB254" t="s">
        <v>1423</v>
      </c>
      <c r="BC254">
        <v>48</v>
      </c>
      <c r="BD254" t="s">
        <v>521</v>
      </c>
      <c r="BE254">
        <v>7.6664000000000003</v>
      </c>
      <c r="BF254">
        <v>6.2064000000000004</v>
      </c>
      <c r="BG254" t="s">
        <v>522</v>
      </c>
      <c r="BH254">
        <v>495</v>
      </c>
      <c r="BI254">
        <v>395</v>
      </c>
      <c r="BJ254">
        <v>190</v>
      </c>
      <c r="BK254">
        <v>30</v>
      </c>
      <c r="BL254" t="s">
        <v>521</v>
      </c>
      <c r="BM254">
        <v>256.99200000000002</v>
      </c>
      <c r="BN254">
        <v>186.19200000000001</v>
      </c>
      <c r="BO254">
        <v>513.98400000000004</v>
      </c>
      <c r="BP254" t="s">
        <v>522</v>
      </c>
      <c r="BQ254">
        <v>1200</v>
      </c>
      <c r="BR254">
        <v>1000</v>
      </c>
      <c r="BS254">
        <v>1120</v>
      </c>
      <c r="BT254">
        <v>2</v>
      </c>
      <c r="BU254">
        <v>0</v>
      </c>
      <c r="BV254">
        <v>2</v>
      </c>
      <c r="BW254">
        <v>60</v>
      </c>
      <c r="BX254">
        <v>0</v>
      </c>
      <c r="BY254">
        <v>60</v>
      </c>
      <c r="BZ254">
        <v>2880</v>
      </c>
      <c r="CA254">
        <v>0</v>
      </c>
      <c r="CB254">
        <v>2880</v>
      </c>
      <c r="CC254">
        <v>372.38400000000001</v>
      </c>
      <c r="CD254" t="s">
        <v>806</v>
      </c>
      <c r="CE254" t="s">
        <v>821</v>
      </c>
      <c r="CG254" t="s">
        <v>421</v>
      </c>
      <c r="CN254" t="str">
        <v>MCS</v>
      </c>
      <c r="CO254" t="str">
        <v>0070-5050006</v>
      </c>
      <c r="CP254" t="str">
        <v>FBIU5071920</v>
      </c>
      <c r="CQ254" s="23">
        <v>3999.9999999999995</v>
      </c>
      <c r="CR254" s="25">
        <f t="shared" si="11"/>
        <v>0.18308267523618241</v>
      </c>
      <c r="CS254" s="21">
        <f t="shared" si="12"/>
        <v>457.706688090456</v>
      </c>
    </row>
    <row r="255" spans="2:97" x14ac:dyDescent="0.35">
      <c r="B255" t="s">
        <v>299</v>
      </c>
      <c r="C255" t="s">
        <v>1392</v>
      </c>
      <c r="D255" t="s">
        <v>395</v>
      </c>
      <c r="E255" t="s">
        <v>395</v>
      </c>
      <c r="F255" t="s">
        <v>396</v>
      </c>
      <c r="G255" t="s">
        <v>397</v>
      </c>
      <c r="H255" t="s">
        <v>398</v>
      </c>
      <c r="I255" t="s">
        <v>399</v>
      </c>
      <c r="J255" t="s">
        <v>749</v>
      </c>
      <c r="K255" t="s">
        <v>809</v>
      </c>
      <c r="L255" t="s">
        <v>787</v>
      </c>
      <c r="M255" t="s">
        <v>403</v>
      </c>
      <c r="N255">
        <v>1</v>
      </c>
      <c r="O255">
        <v>2</v>
      </c>
      <c r="P255" t="s">
        <v>828</v>
      </c>
      <c r="Q255" t="s">
        <v>587</v>
      </c>
      <c r="R255" t="s">
        <v>811</v>
      </c>
      <c r="S255" t="s">
        <v>829</v>
      </c>
      <c r="T255" t="s">
        <v>408</v>
      </c>
      <c r="U255">
        <v>50950081255</v>
      </c>
      <c r="W255">
        <v>1440</v>
      </c>
      <c r="X255" t="s">
        <v>409</v>
      </c>
      <c r="Y255" t="s">
        <v>410</v>
      </c>
      <c r="Z255" t="s">
        <v>410</v>
      </c>
      <c r="AA255" t="s">
        <v>411</v>
      </c>
      <c r="AB255" t="s">
        <v>554</v>
      </c>
      <c r="AC255" t="s">
        <v>411</v>
      </c>
      <c r="AD255">
        <v>46088</v>
      </c>
      <c r="AE255">
        <v>46146</v>
      </c>
      <c r="AF255">
        <v>46099</v>
      </c>
      <c r="AG255" t="s">
        <v>754</v>
      </c>
      <c r="AH255">
        <v>6133840</v>
      </c>
      <c r="AI255">
        <v>46090</v>
      </c>
      <c r="AJ255">
        <v>46091</v>
      </c>
      <c r="AK255">
        <v>1440</v>
      </c>
      <c r="AL255" t="s">
        <v>396</v>
      </c>
      <c r="AM255" t="s">
        <v>1447</v>
      </c>
      <c r="AN255">
        <v>46091</v>
      </c>
      <c r="AO255">
        <v>46091.397789351853</v>
      </c>
      <c r="AP255" t="s">
        <v>51</v>
      </c>
      <c r="AQ255">
        <v>1.8924799999999999</v>
      </c>
      <c r="AR255">
        <v>2725.17</v>
      </c>
      <c r="AS255" t="s">
        <v>51</v>
      </c>
      <c r="AT255">
        <v>2725.17</v>
      </c>
      <c r="AU255" t="s">
        <v>415</v>
      </c>
      <c r="AV255" t="s">
        <v>1420</v>
      </c>
      <c r="AW255" t="s">
        <v>1421</v>
      </c>
      <c r="AX255">
        <v>46099</v>
      </c>
      <c r="AY255">
        <v>46148</v>
      </c>
      <c r="AZ255" t="s">
        <v>1422</v>
      </c>
      <c r="BA255" t="s">
        <v>560</v>
      </c>
      <c r="BB255" t="s">
        <v>1423</v>
      </c>
      <c r="BC255">
        <v>16</v>
      </c>
      <c r="BD255" t="s">
        <v>521</v>
      </c>
      <c r="BE255">
        <v>4.9409000000000001</v>
      </c>
      <c r="BF255">
        <v>3.7418999999999998</v>
      </c>
      <c r="BG255" t="s">
        <v>522</v>
      </c>
      <c r="BH255">
        <v>495</v>
      </c>
      <c r="BI255">
        <v>395</v>
      </c>
      <c r="BJ255">
        <v>190</v>
      </c>
      <c r="BK255">
        <v>30</v>
      </c>
      <c r="BL255" t="s">
        <v>521</v>
      </c>
      <c r="BM255">
        <v>175.227</v>
      </c>
      <c r="BN255">
        <v>112.25700000000001</v>
      </c>
      <c r="BO255">
        <v>525.68280000000004</v>
      </c>
      <c r="BP255" t="s">
        <v>522</v>
      </c>
      <c r="BQ255">
        <v>1200</v>
      </c>
      <c r="BR255">
        <v>1000</v>
      </c>
      <c r="BS255">
        <v>1120</v>
      </c>
      <c r="BT255">
        <v>3</v>
      </c>
      <c r="BU255">
        <v>0</v>
      </c>
      <c r="BV255">
        <v>3</v>
      </c>
      <c r="BW255">
        <v>90</v>
      </c>
      <c r="BX255">
        <v>0</v>
      </c>
      <c r="BY255">
        <v>90</v>
      </c>
      <c r="BZ255">
        <v>1440</v>
      </c>
      <c r="CA255">
        <v>0</v>
      </c>
      <c r="CB255">
        <v>1440</v>
      </c>
      <c r="CC255">
        <v>336.77280000000002</v>
      </c>
      <c r="CD255" t="s">
        <v>806</v>
      </c>
      <c r="CE255" t="s">
        <v>816</v>
      </c>
      <c r="CG255" t="s">
        <v>421</v>
      </c>
      <c r="CN255" t="str">
        <v>M45</v>
      </c>
      <c r="CO255" t="str">
        <v>1406-12B0001EN</v>
      </c>
      <c r="CP255" t="str">
        <v>FBIU5071920</v>
      </c>
      <c r="CQ255" s="23">
        <v>50</v>
      </c>
      <c r="CR255" s="25">
        <f t="shared" si="11"/>
        <v>2.2885334404522803E-3</v>
      </c>
      <c r="CS255" s="21">
        <f t="shared" si="12"/>
        <v>5.7213336011307003</v>
      </c>
    </row>
    <row r="256" spans="2:97" x14ac:dyDescent="0.35">
      <c r="B256" t="s">
        <v>299</v>
      </c>
      <c r="C256" t="s">
        <v>1398</v>
      </c>
      <c r="D256" t="s">
        <v>395</v>
      </c>
      <c r="E256" t="s">
        <v>395</v>
      </c>
      <c r="F256" t="s">
        <v>396</v>
      </c>
      <c r="G256" t="s">
        <v>397</v>
      </c>
      <c r="H256" t="s">
        <v>398</v>
      </c>
      <c r="I256" t="s">
        <v>399</v>
      </c>
      <c r="J256" t="s">
        <v>749</v>
      </c>
      <c r="K256" t="s">
        <v>845</v>
      </c>
      <c r="L256" t="s">
        <v>787</v>
      </c>
      <c r="M256" t="s">
        <v>403</v>
      </c>
      <c r="N256">
        <v>1</v>
      </c>
      <c r="O256">
        <v>2</v>
      </c>
      <c r="P256" t="s">
        <v>1058</v>
      </c>
      <c r="Q256" t="s">
        <v>430</v>
      </c>
      <c r="R256" t="s">
        <v>847</v>
      </c>
      <c r="S256" t="s">
        <v>1059</v>
      </c>
      <c r="T256" t="s">
        <v>408</v>
      </c>
      <c r="U256">
        <v>50950081264</v>
      </c>
      <c r="W256">
        <v>1620</v>
      </c>
      <c r="X256" t="s">
        <v>409</v>
      </c>
      <c r="Y256" t="s">
        <v>410</v>
      </c>
      <c r="Z256" t="s">
        <v>410</v>
      </c>
      <c r="AA256" t="s">
        <v>411</v>
      </c>
      <c r="AB256" t="s">
        <v>554</v>
      </c>
      <c r="AC256" t="s">
        <v>411</v>
      </c>
      <c r="AD256">
        <v>46088</v>
      </c>
      <c r="AE256">
        <v>46146</v>
      </c>
      <c r="AF256">
        <v>46099</v>
      </c>
      <c r="AG256" t="s">
        <v>754</v>
      </c>
      <c r="AH256">
        <v>6133841</v>
      </c>
      <c r="AI256">
        <v>46090</v>
      </c>
      <c r="AJ256">
        <v>46091</v>
      </c>
      <c r="AK256">
        <v>1620</v>
      </c>
      <c r="AL256" t="s">
        <v>396</v>
      </c>
      <c r="AM256" t="s">
        <v>1448</v>
      </c>
      <c r="AN256">
        <v>46091</v>
      </c>
      <c r="AO256">
        <v>46091.397789351853</v>
      </c>
      <c r="AP256" t="s">
        <v>51</v>
      </c>
      <c r="AQ256">
        <v>1.4178500000000001</v>
      </c>
      <c r="AR256">
        <v>2296.92</v>
      </c>
      <c r="AS256" t="s">
        <v>51</v>
      </c>
      <c r="AT256">
        <v>2296.92</v>
      </c>
      <c r="AU256" t="s">
        <v>415</v>
      </c>
      <c r="AV256" t="s">
        <v>1420</v>
      </c>
      <c r="AW256" t="s">
        <v>1421</v>
      </c>
      <c r="AX256">
        <v>46099</v>
      </c>
      <c r="AY256">
        <v>46148</v>
      </c>
      <c r="AZ256" t="s">
        <v>1422</v>
      </c>
      <c r="BA256" t="s">
        <v>560</v>
      </c>
      <c r="BB256" t="s">
        <v>1423</v>
      </c>
      <c r="BC256">
        <v>27</v>
      </c>
      <c r="BD256" t="s">
        <v>521</v>
      </c>
      <c r="BE256">
        <v>13.9528</v>
      </c>
      <c r="BF256">
        <v>12.7248</v>
      </c>
      <c r="BG256" t="s">
        <v>522</v>
      </c>
      <c r="BH256">
        <v>495</v>
      </c>
      <c r="BI256">
        <v>395</v>
      </c>
      <c r="BJ256">
        <v>170</v>
      </c>
      <c r="BK256">
        <v>30</v>
      </c>
      <c r="BL256" t="s">
        <v>521</v>
      </c>
      <c r="BM256">
        <v>445.584</v>
      </c>
      <c r="BN256">
        <v>381.74400000000003</v>
      </c>
      <c r="BO256">
        <v>891.16980000000001</v>
      </c>
      <c r="BP256" t="s">
        <v>522</v>
      </c>
      <c r="BQ256">
        <v>1200</v>
      </c>
      <c r="BR256">
        <v>1000</v>
      </c>
      <c r="BS256">
        <v>1000</v>
      </c>
      <c r="BT256">
        <v>2</v>
      </c>
      <c r="BU256">
        <v>0</v>
      </c>
      <c r="BV256">
        <v>2</v>
      </c>
      <c r="BW256">
        <v>60</v>
      </c>
      <c r="BX256">
        <v>0</v>
      </c>
      <c r="BY256">
        <v>60</v>
      </c>
      <c r="BZ256">
        <v>1620</v>
      </c>
      <c r="CA256">
        <v>0</v>
      </c>
      <c r="CB256">
        <v>1620</v>
      </c>
      <c r="CC256">
        <v>763.48979999999995</v>
      </c>
      <c r="CD256" t="s">
        <v>850</v>
      </c>
      <c r="CE256" t="s">
        <v>851</v>
      </c>
      <c r="CG256" t="s">
        <v>421</v>
      </c>
      <c r="CN256" t="str">
        <v>M45</v>
      </c>
      <c r="CO256" t="str">
        <v>1318-11A0060EN</v>
      </c>
      <c r="CP256" t="str">
        <v>FBIU5071920</v>
      </c>
      <c r="CQ256" s="23">
        <v>50</v>
      </c>
      <c r="CR256" s="25">
        <f t="shared" si="11"/>
        <v>2.2885334404522803E-3</v>
      </c>
      <c r="CS256" s="21">
        <f t="shared" si="12"/>
        <v>5.7213336011307003</v>
      </c>
    </row>
    <row r="257" spans="2:97" x14ac:dyDescent="0.35">
      <c r="B257" t="s">
        <v>299</v>
      </c>
      <c r="C257" t="s">
        <v>1403</v>
      </c>
      <c r="D257" t="s">
        <v>395</v>
      </c>
      <c r="E257" t="s">
        <v>395</v>
      </c>
      <c r="F257" t="s">
        <v>396</v>
      </c>
      <c r="G257" t="s">
        <v>397</v>
      </c>
      <c r="H257" t="s">
        <v>398</v>
      </c>
      <c r="I257" t="s">
        <v>399</v>
      </c>
      <c r="J257" t="s">
        <v>749</v>
      </c>
      <c r="K257" t="s">
        <v>809</v>
      </c>
      <c r="L257" t="s">
        <v>787</v>
      </c>
      <c r="M257" t="s">
        <v>403</v>
      </c>
      <c r="N257">
        <v>1</v>
      </c>
      <c r="O257">
        <v>2</v>
      </c>
      <c r="P257" t="s">
        <v>1171</v>
      </c>
      <c r="Q257" t="s">
        <v>424</v>
      </c>
      <c r="R257" t="s">
        <v>811</v>
      </c>
      <c r="S257" t="s">
        <v>1172</v>
      </c>
      <c r="T257" t="s">
        <v>408</v>
      </c>
      <c r="U257">
        <v>50950081404</v>
      </c>
      <c r="W257">
        <v>960</v>
      </c>
      <c r="X257" t="s">
        <v>409</v>
      </c>
      <c r="Y257" t="s">
        <v>410</v>
      </c>
      <c r="Z257" t="s">
        <v>410</v>
      </c>
      <c r="AA257" t="s">
        <v>411</v>
      </c>
      <c r="AB257" t="s">
        <v>554</v>
      </c>
      <c r="AC257" t="s">
        <v>411</v>
      </c>
      <c r="AD257">
        <v>46081</v>
      </c>
      <c r="AE257">
        <v>46132</v>
      </c>
      <c r="AF257">
        <v>46099</v>
      </c>
      <c r="AG257" t="s">
        <v>754</v>
      </c>
      <c r="AH257">
        <v>6133842</v>
      </c>
      <c r="AI257">
        <v>46090</v>
      </c>
      <c r="AJ257">
        <v>46091</v>
      </c>
      <c r="AK257">
        <v>960</v>
      </c>
      <c r="AL257" t="s">
        <v>396</v>
      </c>
      <c r="AM257" t="s">
        <v>1449</v>
      </c>
      <c r="AN257">
        <v>46091</v>
      </c>
      <c r="AO257">
        <v>46091.397789351853</v>
      </c>
      <c r="AP257" t="s">
        <v>51</v>
      </c>
      <c r="AQ257">
        <v>2.2482600000000001</v>
      </c>
      <c r="AR257">
        <v>2158.3200000000002</v>
      </c>
      <c r="AS257" t="s">
        <v>51</v>
      </c>
      <c r="AT257">
        <v>2158.3200000000002</v>
      </c>
      <c r="AU257" t="s">
        <v>415</v>
      </c>
      <c r="AV257" t="s">
        <v>1420</v>
      </c>
      <c r="AW257" t="s">
        <v>1421</v>
      </c>
      <c r="AX257">
        <v>46099</v>
      </c>
      <c r="AY257">
        <v>46148</v>
      </c>
      <c r="AZ257" t="s">
        <v>1422</v>
      </c>
      <c r="BA257" t="s">
        <v>560</v>
      </c>
      <c r="BB257" t="s">
        <v>1423</v>
      </c>
      <c r="BC257">
        <v>16</v>
      </c>
      <c r="BD257" t="s">
        <v>521</v>
      </c>
      <c r="BE257">
        <v>6.3556999999999997</v>
      </c>
      <c r="BF257">
        <v>5.1566999999999998</v>
      </c>
      <c r="BG257" t="s">
        <v>522</v>
      </c>
      <c r="BH257">
        <v>495</v>
      </c>
      <c r="BI257">
        <v>395</v>
      </c>
      <c r="BJ257">
        <v>190</v>
      </c>
      <c r="BK257">
        <v>30</v>
      </c>
      <c r="BL257" t="s">
        <v>521</v>
      </c>
      <c r="BM257">
        <v>217.67099999999999</v>
      </c>
      <c r="BN257">
        <v>154.70099999999999</v>
      </c>
      <c r="BO257">
        <v>435.34032000000002</v>
      </c>
      <c r="BP257" t="s">
        <v>522</v>
      </c>
      <c r="BQ257">
        <v>1200</v>
      </c>
      <c r="BR257">
        <v>1000</v>
      </c>
      <c r="BS257">
        <v>1120</v>
      </c>
      <c r="BT257">
        <v>2</v>
      </c>
      <c r="BU257">
        <v>0</v>
      </c>
      <c r="BV257">
        <v>2</v>
      </c>
      <c r="BW257">
        <v>60</v>
      </c>
      <c r="BX257">
        <v>0</v>
      </c>
      <c r="BY257">
        <v>60</v>
      </c>
      <c r="BZ257">
        <v>960</v>
      </c>
      <c r="CA257">
        <v>0</v>
      </c>
      <c r="CB257">
        <v>960</v>
      </c>
      <c r="CC257">
        <v>309.40032000000002</v>
      </c>
      <c r="CD257" t="s">
        <v>806</v>
      </c>
      <c r="CE257" t="s">
        <v>816</v>
      </c>
      <c r="CG257" t="s">
        <v>421</v>
      </c>
      <c r="CN257" t="str">
        <v>M45</v>
      </c>
      <c r="CO257" t="str">
        <v>1205-V0C0003EN</v>
      </c>
      <c r="CP257" t="str">
        <v>FBIU5071920</v>
      </c>
      <c r="CQ257" s="23">
        <v>0.1</v>
      </c>
      <c r="CR257" s="25">
        <f t="shared" si="11"/>
        <v>4.5770668809045608E-6</v>
      </c>
      <c r="CS257" s="21">
        <f t="shared" si="12"/>
        <v>1.1442667202261402E-2</v>
      </c>
    </row>
    <row r="258" spans="2:97" x14ac:dyDescent="0.35">
      <c r="B258" t="s">
        <v>296</v>
      </c>
      <c r="C258" t="s">
        <v>1450</v>
      </c>
      <c r="D258" t="s">
        <v>395</v>
      </c>
      <c r="E258" t="s">
        <v>395</v>
      </c>
      <c r="F258" t="s">
        <v>396</v>
      </c>
      <c r="G258" t="s">
        <v>397</v>
      </c>
      <c r="H258" t="s">
        <v>398</v>
      </c>
      <c r="I258" t="s">
        <v>399</v>
      </c>
      <c r="J258" t="s">
        <v>749</v>
      </c>
      <c r="K258" t="s">
        <v>629</v>
      </c>
      <c r="L258" t="s">
        <v>787</v>
      </c>
      <c r="M258" t="s">
        <v>403</v>
      </c>
      <c r="N258">
        <v>1</v>
      </c>
      <c r="O258">
        <v>2</v>
      </c>
      <c r="P258" t="s">
        <v>1451</v>
      </c>
      <c r="Q258" t="s">
        <v>637</v>
      </c>
      <c r="R258" t="s">
        <v>1452</v>
      </c>
      <c r="S258" t="s">
        <v>1453</v>
      </c>
      <c r="T258" t="s">
        <v>408</v>
      </c>
      <c r="U258">
        <v>50950081428</v>
      </c>
      <c r="W258">
        <v>2400</v>
      </c>
      <c r="X258" t="s">
        <v>409</v>
      </c>
      <c r="Y258" t="s">
        <v>410</v>
      </c>
      <c r="Z258" t="s">
        <v>410</v>
      </c>
      <c r="AA258" t="s">
        <v>411</v>
      </c>
      <c r="AB258" t="s">
        <v>554</v>
      </c>
      <c r="AC258" t="s">
        <v>411</v>
      </c>
      <c r="AD258">
        <v>46088</v>
      </c>
      <c r="AE258">
        <v>46146</v>
      </c>
      <c r="AF258">
        <v>46099</v>
      </c>
      <c r="AG258" t="s">
        <v>754</v>
      </c>
      <c r="AH258">
        <v>6133843</v>
      </c>
      <c r="AI258">
        <v>46090</v>
      </c>
      <c r="AJ258">
        <v>46091</v>
      </c>
      <c r="AK258">
        <v>2400</v>
      </c>
      <c r="AL258" t="s">
        <v>396</v>
      </c>
      <c r="AM258" t="s">
        <v>1454</v>
      </c>
      <c r="AN258">
        <v>46091</v>
      </c>
      <c r="AO258">
        <v>46091.397789351853</v>
      </c>
      <c r="AP258" t="s">
        <v>51</v>
      </c>
      <c r="AQ258">
        <v>0.17452000000000001</v>
      </c>
      <c r="AR258">
        <v>418.85</v>
      </c>
      <c r="AS258" t="s">
        <v>51</v>
      </c>
      <c r="AT258">
        <v>418.85</v>
      </c>
      <c r="AU258" t="s">
        <v>415</v>
      </c>
      <c r="AV258" t="s">
        <v>1420</v>
      </c>
      <c r="AW258" t="s">
        <v>1421</v>
      </c>
      <c r="AX258">
        <v>46099</v>
      </c>
      <c r="AY258">
        <v>46148</v>
      </c>
      <c r="AZ258" t="s">
        <v>1422</v>
      </c>
      <c r="BA258" t="s">
        <v>560</v>
      </c>
      <c r="BB258" t="s">
        <v>1423</v>
      </c>
      <c r="BC258">
        <v>200</v>
      </c>
      <c r="BD258" t="s">
        <v>521</v>
      </c>
      <c r="BE258">
        <v>9.9641999999999999</v>
      </c>
      <c r="BF258">
        <v>8.4342000000000006</v>
      </c>
      <c r="BG258" t="s">
        <v>522</v>
      </c>
      <c r="BH258">
        <v>595</v>
      </c>
      <c r="BI258">
        <v>495</v>
      </c>
      <c r="BJ258">
        <v>310</v>
      </c>
      <c r="BK258">
        <v>12</v>
      </c>
      <c r="BL258" t="s">
        <v>521</v>
      </c>
      <c r="BM258">
        <v>146.57040000000001</v>
      </c>
      <c r="BN258">
        <v>101.21040000000001</v>
      </c>
      <c r="BO258">
        <v>146.57040000000001</v>
      </c>
      <c r="BP258" t="s">
        <v>522</v>
      </c>
      <c r="BQ258">
        <v>1200</v>
      </c>
      <c r="BR258">
        <v>1000</v>
      </c>
      <c r="BS258">
        <v>1088</v>
      </c>
      <c r="BT258">
        <v>1</v>
      </c>
      <c r="BU258">
        <v>0</v>
      </c>
      <c r="BV258">
        <v>1</v>
      </c>
      <c r="BW258">
        <v>12</v>
      </c>
      <c r="BX258">
        <v>0</v>
      </c>
      <c r="BY258">
        <v>12</v>
      </c>
      <c r="BZ258">
        <v>2400</v>
      </c>
      <c r="CA258">
        <v>0</v>
      </c>
      <c r="CB258">
        <v>2400</v>
      </c>
      <c r="CC258">
        <v>101.21040000000001</v>
      </c>
      <c r="CD258" t="s">
        <v>842</v>
      </c>
      <c r="CE258" t="s">
        <v>843</v>
      </c>
      <c r="CG258" t="s">
        <v>421</v>
      </c>
      <c r="CN258" t="str">
        <v>M45</v>
      </c>
      <c r="CO258" t="str">
        <v>0059-V040320EN</v>
      </c>
      <c r="CP258" t="str">
        <v>FBIU5071920</v>
      </c>
      <c r="CQ258" s="23">
        <v>1575.9695877765787</v>
      </c>
      <c r="CR258" s="25">
        <f t="shared" si="11"/>
        <v>7.213318205524992E-2</v>
      </c>
      <c r="CS258" s="21">
        <f t="shared" si="12"/>
        <v>180.33295513812479</v>
      </c>
    </row>
    <row r="259" spans="2:97" x14ac:dyDescent="0.35">
      <c r="B259" t="s">
        <v>296</v>
      </c>
      <c r="C259" t="s">
        <v>1455</v>
      </c>
      <c r="D259" t="s">
        <v>395</v>
      </c>
      <c r="E259" t="s">
        <v>395</v>
      </c>
      <c r="F259" t="s">
        <v>396</v>
      </c>
      <c r="G259" t="s">
        <v>397</v>
      </c>
      <c r="H259" t="s">
        <v>398</v>
      </c>
      <c r="I259" t="s">
        <v>399</v>
      </c>
      <c r="J259" t="s">
        <v>749</v>
      </c>
      <c r="K259" t="s">
        <v>629</v>
      </c>
      <c r="L259" t="s">
        <v>787</v>
      </c>
      <c r="M259" t="s">
        <v>403</v>
      </c>
      <c r="N259">
        <v>1</v>
      </c>
      <c r="O259">
        <v>2</v>
      </c>
      <c r="P259" t="s">
        <v>1456</v>
      </c>
      <c r="Q259" t="s">
        <v>430</v>
      </c>
      <c r="R259" t="s">
        <v>1457</v>
      </c>
      <c r="S259" t="s">
        <v>913</v>
      </c>
      <c r="T259" t="s">
        <v>408</v>
      </c>
      <c r="U259">
        <v>50950081442</v>
      </c>
      <c r="W259">
        <v>60000</v>
      </c>
      <c r="X259" t="s">
        <v>409</v>
      </c>
      <c r="Y259" t="s">
        <v>410</v>
      </c>
      <c r="Z259" t="s">
        <v>410</v>
      </c>
      <c r="AA259" t="s">
        <v>411</v>
      </c>
      <c r="AB259" t="s">
        <v>554</v>
      </c>
      <c r="AC259" t="s">
        <v>411</v>
      </c>
      <c r="AD259">
        <v>46088</v>
      </c>
      <c r="AE259">
        <v>46146</v>
      </c>
      <c r="AF259">
        <v>46099</v>
      </c>
      <c r="AG259" t="s">
        <v>754</v>
      </c>
      <c r="AH259">
        <v>6133844</v>
      </c>
      <c r="AI259">
        <v>46090</v>
      </c>
      <c r="AJ259">
        <v>46091</v>
      </c>
      <c r="AK259">
        <v>60000</v>
      </c>
      <c r="AL259" t="s">
        <v>396</v>
      </c>
      <c r="AM259" t="s">
        <v>1458</v>
      </c>
      <c r="AN259">
        <v>46091</v>
      </c>
      <c r="AO259">
        <v>46091.397789351853</v>
      </c>
      <c r="AP259" t="s">
        <v>51</v>
      </c>
      <c r="AQ259">
        <v>6.8459999999999993E-2</v>
      </c>
      <c r="AR259">
        <v>4107.6000000000004</v>
      </c>
      <c r="AS259" t="s">
        <v>51</v>
      </c>
      <c r="AT259">
        <v>4107.6000000000004</v>
      </c>
      <c r="AU259" t="s">
        <v>415</v>
      </c>
      <c r="AV259" t="s">
        <v>1420</v>
      </c>
      <c r="AW259" t="s">
        <v>1421</v>
      </c>
      <c r="AX259">
        <v>46099</v>
      </c>
      <c r="AY259">
        <v>46148</v>
      </c>
      <c r="AZ259" t="s">
        <v>1422</v>
      </c>
      <c r="BA259" t="s">
        <v>560</v>
      </c>
      <c r="BB259" t="s">
        <v>1423</v>
      </c>
      <c r="BC259">
        <v>800</v>
      </c>
      <c r="BD259" t="s">
        <v>521</v>
      </c>
      <c r="BE259">
        <v>8.0396000000000001</v>
      </c>
      <c r="BF259">
        <v>7.1696</v>
      </c>
      <c r="BG259" t="s">
        <v>522</v>
      </c>
      <c r="BH259">
        <v>595</v>
      </c>
      <c r="BI259">
        <v>395</v>
      </c>
      <c r="BJ259">
        <v>190</v>
      </c>
      <c r="BK259">
        <v>25</v>
      </c>
      <c r="BL259" t="s">
        <v>521</v>
      </c>
      <c r="BM259">
        <v>227.99</v>
      </c>
      <c r="BN259">
        <v>179.24</v>
      </c>
      <c r="BO259">
        <v>683.97</v>
      </c>
      <c r="BP259" t="s">
        <v>522</v>
      </c>
      <c r="BQ259">
        <v>1200</v>
      </c>
      <c r="BR259">
        <v>1000</v>
      </c>
      <c r="BS259">
        <v>1088</v>
      </c>
      <c r="BT259">
        <v>3</v>
      </c>
      <c r="BU259">
        <v>0</v>
      </c>
      <c r="BV259">
        <v>3</v>
      </c>
      <c r="BW259">
        <v>75</v>
      </c>
      <c r="BX259">
        <v>0</v>
      </c>
      <c r="BY259">
        <v>75</v>
      </c>
      <c r="BZ259">
        <v>60000</v>
      </c>
      <c r="CA259">
        <v>0</v>
      </c>
      <c r="CB259">
        <v>60000</v>
      </c>
      <c r="CC259">
        <v>537.72</v>
      </c>
      <c r="CD259" t="s">
        <v>842</v>
      </c>
      <c r="CE259" t="s">
        <v>898</v>
      </c>
      <c r="CG259" t="s">
        <v>421</v>
      </c>
      <c r="CN259" t="str">
        <v>M45</v>
      </c>
      <c r="CO259" t="str">
        <v>0059-V040320EN</v>
      </c>
      <c r="CP259" t="str">
        <v>FBIU5071920</v>
      </c>
      <c r="CQ259" s="23">
        <v>1641.1305811124728</v>
      </c>
      <c r="CR259" s="25">
        <f t="shared" si="11"/>
        <v>7.5115644300495554E-2</v>
      </c>
      <c r="CS259" s="21">
        <f t="shared" si="12"/>
        <v>187.78911075123889</v>
      </c>
    </row>
    <row r="260" spans="2:97" x14ac:dyDescent="0.35">
      <c r="B260" t="s">
        <v>296</v>
      </c>
      <c r="C260" t="s">
        <v>1459</v>
      </c>
      <c r="D260" t="s">
        <v>395</v>
      </c>
      <c r="E260" t="s">
        <v>395</v>
      </c>
      <c r="F260" t="s">
        <v>396</v>
      </c>
      <c r="G260" t="s">
        <v>397</v>
      </c>
      <c r="H260" t="s">
        <v>398</v>
      </c>
      <c r="I260" t="s">
        <v>399</v>
      </c>
      <c r="J260" t="s">
        <v>749</v>
      </c>
      <c r="K260" t="s">
        <v>1142</v>
      </c>
      <c r="L260" t="s">
        <v>787</v>
      </c>
      <c r="M260" t="s">
        <v>403</v>
      </c>
      <c r="N260">
        <v>1</v>
      </c>
      <c r="O260">
        <v>2</v>
      </c>
      <c r="P260" t="s">
        <v>1460</v>
      </c>
      <c r="Q260" t="s">
        <v>645</v>
      </c>
      <c r="R260" t="s">
        <v>1159</v>
      </c>
      <c r="S260" t="s">
        <v>1160</v>
      </c>
      <c r="T260" t="s">
        <v>408</v>
      </c>
      <c r="U260">
        <v>50950081424</v>
      </c>
      <c r="W260">
        <v>29056</v>
      </c>
      <c r="X260" t="s">
        <v>409</v>
      </c>
      <c r="Y260" t="s">
        <v>410</v>
      </c>
      <c r="Z260" t="s">
        <v>410</v>
      </c>
      <c r="AA260" t="s">
        <v>411</v>
      </c>
      <c r="AB260" t="s">
        <v>554</v>
      </c>
      <c r="AC260" t="s">
        <v>411</v>
      </c>
      <c r="AD260">
        <v>46081</v>
      </c>
      <c r="AE260">
        <v>46153</v>
      </c>
      <c r="AF260">
        <v>46099</v>
      </c>
      <c r="AG260" t="s">
        <v>754</v>
      </c>
      <c r="AH260">
        <v>6133845</v>
      </c>
      <c r="AI260">
        <v>46090</v>
      </c>
      <c r="AJ260">
        <v>46091</v>
      </c>
      <c r="AK260">
        <v>29056</v>
      </c>
      <c r="AL260" t="s">
        <v>396</v>
      </c>
      <c r="AM260" t="s">
        <v>1461</v>
      </c>
      <c r="AN260">
        <v>46091</v>
      </c>
      <c r="AO260">
        <v>46091.397789351853</v>
      </c>
      <c r="AP260" t="s">
        <v>51</v>
      </c>
      <c r="AQ260">
        <v>0.15223</v>
      </c>
      <c r="AR260">
        <v>4423.2</v>
      </c>
      <c r="AS260" t="s">
        <v>51</v>
      </c>
      <c r="AT260">
        <v>4423.2</v>
      </c>
      <c r="AU260" t="s">
        <v>415</v>
      </c>
      <c r="AV260" t="s">
        <v>1420</v>
      </c>
      <c r="AW260" t="s">
        <v>1421</v>
      </c>
      <c r="AX260">
        <v>46099</v>
      </c>
      <c r="AY260">
        <v>46148</v>
      </c>
      <c r="AZ260" t="s">
        <v>1422</v>
      </c>
      <c r="BA260" t="s">
        <v>560</v>
      </c>
      <c r="BB260" t="s">
        <v>1423</v>
      </c>
      <c r="BC260">
        <v>7264</v>
      </c>
      <c r="BD260" t="s">
        <v>521</v>
      </c>
      <c r="BE260">
        <v>607.93970000000002</v>
      </c>
      <c r="BF260">
        <v>587.43970000000002</v>
      </c>
      <c r="BG260" t="s">
        <v>522</v>
      </c>
      <c r="BH260">
        <v>1050</v>
      </c>
      <c r="BI260">
        <v>480</v>
      </c>
      <c r="BJ260">
        <v>460</v>
      </c>
      <c r="BK260">
        <v>1</v>
      </c>
      <c r="BL260" t="s">
        <v>521</v>
      </c>
      <c r="BM260">
        <v>607.93979999999999</v>
      </c>
      <c r="BN260">
        <v>587.43970000000002</v>
      </c>
      <c r="BO260">
        <v>2431.7591200000002</v>
      </c>
      <c r="BP260" t="s">
        <v>522</v>
      </c>
      <c r="BQ260">
        <v>1050</v>
      </c>
      <c r="BR260">
        <v>480</v>
      </c>
      <c r="BS260">
        <v>480</v>
      </c>
      <c r="BT260">
        <v>4</v>
      </c>
      <c r="BU260">
        <v>0</v>
      </c>
      <c r="BV260">
        <v>4</v>
      </c>
      <c r="BW260">
        <v>4</v>
      </c>
      <c r="BX260">
        <v>0</v>
      </c>
      <c r="BY260">
        <v>4</v>
      </c>
      <c r="BZ260">
        <v>29056</v>
      </c>
      <c r="CA260">
        <v>0</v>
      </c>
      <c r="CB260">
        <v>29056</v>
      </c>
      <c r="CC260">
        <v>2349.7587199999998</v>
      </c>
      <c r="CD260" t="s">
        <v>641</v>
      </c>
      <c r="CE260" t="s">
        <v>1147</v>
      </c>
      <c r="CG260" t="s">
        <v>421</v>
      </c>
      <c r="CN260" t="str">
        <v>M45</v>
      </c>
      <c r="CO260" t="str">
        <v>1202-12B0005EN</v>
      </c>
      <c r="CP260" t="str">
        <v>FBIU5071920</v>
      </c>
      <c r="CQ260" s="23">
        <v>154.9872</v>
      </c>
      <c r="CR260" s="25">
        <f t="shared" si="11"/>
        <v>7.0938678008413136E-3</v>
      </c>
      <c r="CS260" s="21">
        <f t="shared" si="12"/>
        <v>17.734669502103284</v>
      </c>
    </row>
    <row r="261" spans="2:97" x14ac:dyDescent="0.35">
      <c r="B261" t="s">
        <v>297</v>
      </c>
      <c r="C261" t="s">
        <v>1462</v>
      </c>
      <c r="D261" t="s">
        <v>549</v>
      </c>
      <c r="E261" t="s">
        <v>395</v>
      </c>
      <c r="F261" t="s">
        <v>396</v>
      </c>
      <c r="G261" t="s">
        <v>397</v>
      </c>
      <c r="H261" t="s">
        <v>398</v>
      </c>
      <c r="I261" t="s">
        <v>399</v>
      </c>
      <c r="J261" t="s">
        <v>749</v>
      </c>
      <c r="K261" t="s">
        <v>1081</v>
      </c>
      <c r="L261" t="s">
        <v>766</v>
      </c>
      <c r="M261" t="s">
        <v>403</v>
      </c>
      <c r="N261">
        <v>1</v>
      </c>
      <c r="O261">
        <v>1</v>
      </c>
      <c r="P261" t="s">
        <v>1463</v>
      </c>
      <c r="Q261" t="s">
        <v>424</v>
      </c>
      <c r="R261" t="s">
        <v>1083</v>
      </c>
      <c r="S261" t="s">
        <v>1464</v>
      </c>
      <c r="T261" t="s">
        <v>408</v>
      </c>
      <c r="U261">
        <v>50950080536</v>
      </c>
      <c r="W261">
        <v>5200</v>
      </c>
      <c r="X261" t="s">
        <v>409</v>
      </c>
      <c r="Y261" t="s">
        <v>410</v>
      </c>
      <c r="Z261" t="s">
        <v>410</v>
      </c>
      <c r="AA261" t="s">
        <v>411</v>
      </c>
      <c r="AB261" t="s">
        <v>769</v>
      </c>
      <c r="AC261" t="s">
        <v>411</v>
      </c>
      <c r="AD261">
        <v>46088</v>
      </c>
      <c r="AE261">
        <v>46146</v>
      </c>
      <c r="AF261">
        <v>46095</v>
      </c>
      <c r="AG261" t="s">
        <v>770</v>
      </c>
      <c r="AH261">
        <v>6135620</v>
      </c>
      <c r="AI261">
        <v>46091</v>
      </c>
      <c r="AJ261">
        <v>46092</v>
      </c>
      <c r="AK261">
        <v>5200</v>
      </c>
      <c r="AL261" t="s">
        <v>396</v>
      </c>
      <c r="AM261" t="s">
        <v>1465</v>
      </c>
      <c r="AN261">
        <v>46092</v>
      </c>
      <c r="AO261">
        <v>46092.379803240743</v>
      </c>
      <c r="AP261" t="s">
        <v>51</v>
      </c>
      <c r="AQ261">
        <v>1.0019400000000001</v>
      </c>
      <c r="AR261">
        <v>5210.09</v>
      </c>
      <c r="AS261" t="s">
        <v>51</v>
      </c>
      <c r="AT261">
        <v>5210.09</v>
      </c>
      <c r="AU261" t="s">
        <v>415</v>
      </c>
      <c r="AV261" t="s">
        <v>416</v>
      </c>
      <c r="AW261" t="s">
        <v>1360</v>
      </c>
      <c r="AX261">
        <v>46095</v>
      </c>
      <c r="AY261">
        <v>46144</v>
      </c>
      <c r="AZ261" t="s">
        <v>1466</v>
      </c>
      <c r="BA261" t="s">
        <v>419</v>
      </c>
      <c r="BB261" t="s">
        <v>1467</v>
      </c>
      <c r="BC261">
        <v>130</v>
      </c>
      <c r="BD261" t="s">
        <v>521</v>
      </c>
      <c r="BE261">
        <v>12.355</v>
      </c>
      <c r="BF261">
        <v>10.92</v>
      </c>
      <c r="BG261" t="s">
        <v>522</v>
      </c>
      <c r="BH261">
        <v>395</v>
      </c>
      <c r="BI261">
        <v>295</v>
      </c>
      <c r="BJ261">
        <v>180</v>
      </c>
      <c r="BK261">
        <v>40</v>
      </c>
      <c r="BL261" t="s">
        <v>521</v>
      </c>
      <c r="BM261">
        <v>518.20000000000005</v>
      </c>
      <c r="BN261">
        <v>436.8</v>
      </c>
      <c r="BO261">
        <v>518.20000000000005</v>
      </c>
      <c r="BP261" t="s">
        <v>522</v>
      </c>
      <c r="BQ261">
        <v>1200</v>
      </c>
      <c r="BR261">
        <v>800</v>
      </c>
      <c r="BS261">
        <v>1060</v>
      </c>
      <c r="BT261">
        <v>1</v>
      </c>
      <c r="BU261">
        <v>0</v>
      </c>
      <c r="BV261">
        <v>1</v>
      </c>
      <c r="BW261">
        <v>40</v>
      </c>
      <c r="BX261">
        <v>0</v>
      </c>
      <c r="BY261">
        <v>40</v>
      </c>
      <c r="BZ261">
        <v>5200</v>
      </c>
      <c r="CA261">
        <v>0</v>
      </c>
      <c r="CB261">
        <v>5200</v>
      </c>
      <c r="CC261">
        <v>436.8</v>
      </c>
      <c r="CD261" t="s">
        <v>694</v>
      </c>
      <c r="CE261" t="s">
        <v>1088</v>
      </c>
      <c r="CG261" t="s">
        <v>421</v>
      </c>
      <c r="CN261" t="str">
        <v>M19</v>
      </c>
      <c r="CO261" t="str">
        <v>1307-5YY0150EN</v>
      </c>
      <c r="CP261" t="str">
        <v>FBIU5071920</v>
      </c>
      <c r="CQ261" s="23">
        <v>1500</v>
      </c>
      <c r="CR261" s="25">
        <f t="shared" si="11"/>
        <v>6.8656003213568406E-2</v>
      </c>
      <c r="CS261" s="21">
        <f t="shared" si="12"/>
        <v>171.64000803392102</v>
      </c>
    </row>
    <row r="262" spans="2:97" x14ac:dyDescent="0.35">
      <c r="B262" t="s">
        <v>297</v>
      </c>
      <c r="C262" t="s">
        <v>1468</v>
      </c>
      <c r="D262" t="s">
        <v>549</v>
      </c>
      <c r="E262" t="s">
        <v>395</v>
      </c>
      <c r="F262" t="s">
        <v>396</v>
      </c>
      <c r="G262" t="s">
        <v>397</v>
      </c>
      <c r="H262" t="s">
        <v>398</v>
      </c>
      <c r="I262" t="s">
        <v>399</v>
      </c>
      <c r="J262" t="s">
        <v>749</v>
      </c>
      <c r="K262" t="s">
        <v>1081</v>
      </c>
      <c r="L262" t="s">
        <v>766</v>
      </c>
      <c r="M262" t="s">
        <v>403</v>
      </c>
      <c r="N262">
        <v>1</v>
      </c>
      <c r="O262">
        <v>1</v>
      </c>
      <c r="P262" t="s">
        <v>1469</v>
      </c>
      <c r="Q262" t="s">
        <v>424</v>
      </c>
      <c r="R262" t="s">
        <v>1083</v>
      </c>
      <c r="S262" t="s">
        <v>1470</v>
      </c>
      <c r="T262" t="s">
        <v>408</v>
      </c>
      <c r="U262">
        <v>50950080558</v>
      </c>
      <c r="W262">
        <v>5200</v>
      </c>
      <c r="X262" t="s">
        <v>409</v>
      </c>
      <c r="Y262" t="s">
        <v>410</v>
      </c>
      <c r="Z262" t="s">
        <v>410</v>
      </c>
      <c r="AA262" t="s">
        <v>411</v>
      </c>
      <c r="AB262" t="s">
        <v>769</v>
      </c>
      <c r="AC262" t="s">
        <v>411</v>
      </c>
      <c r="AD262">
        <v>46088</v>
      </c>
      <c r="AE262">
        <v>46146</v>
      </c>
      <c r="AF262">
        <v>46095</v>
      </c>
      <c r="AG262" t="s">
        <v>770</v>
      </c>
      <c r="AH262">
        <v>6135621</v>
      </c>
      <c r="AI262">
        <v>46091</v>
      </c>
      <c r="AJ262">
        <v>46092</v>
      </c>
      <c r="AK262">
        <v>5200</v>
      </c>
      <c r="AL262" t="s">
        <v>396</v>
      </c>
      <c r="AM262" t="s">
        <v>1471</v>
      </c>
      <c r="AN262">
        <v>46092</v>
      </c>
      <c r="AO262">
        <v>46092.379803240743</v>
      </c>
      <c r="AP262" t="s">
        <v>51</v>
      </c>
      <c r="AQ262">
        <v>1.0019</v>
      </c>
      <c r="AR262">
        <v>5209.88</v>
      </c>
      <c r="AS262" t="s">
        <v>51</v>
      </c>
      <c r="AT262">
        <v>5209.88</v>
      </c>
      <c r="AU262" t="s">
        <v>415</v>
      </c>
      <c r="AV262" t="s">
        <v>416</v>
      </c>
      <c r="AW262" t="s">
        <v>1360</v>
      </c>
      <c r="AX262">
        <v>46095</v>
      </c>
      <c r="AY262">
        <v>46144</v>
      </c>
      <c r="AZ262" t="s">
        <v>1466</v>
      </c>
      <c r="BA262" t="s">
        <v>419</v>
      </c>
      <c r="BB262" t="s">
        <v>1467</v>
      </c>
      <c r="BC262">
        <v>130</v>
      </c>
      <c r="BD262" t="s">
        <v>521</v>
      </c>
      <c r="BE262">
        <v>12.355</v>
      </c>
      <c r="BF262">
        <v>10.92</v>
      </c>
      <c r="BG262" t="s">
        <v>522</v>
      </c>
      <c r="BH262">
        <v>395</v>
      </c>
      <c r="BI262">
        <v>295</v>
      </c>
      <c r="BJ262">
        <v>180</v>
      </c>
      <c r="BK262">
        <v>40</v>
      </c>
      <c r="BL262" t="s">
        <v>521</v>
      </c>
      <c r="BM262">
        <v>518.20000000000005</v>
      </c>
      <c r="BN262">
        <v>436.8</v>
      </c>
      <c r="BO262">
        <v>518.20000000000005</v>
      </c>
      <c r="BP262" t="s">
        <v>522</v>
      </c>
      <c r="BQ262">
        <v>1200</v>
      </c>
      <c r="BR262">
        <v>800</v>
      </c>
      <c r="BS262">
        <v>1060</v>
      </c>
      <c r="BT262">
        <v>1</v>
      </c>
      <c r="BU262">
        <v>0</v>
      </c>
      <c r="BV262">
        <v>1</v>
      </c>
      <c r="BW262">
        <v>40</v>
      </c>
      <c r="BX262">
        <v>0</v>
      </c>
      <c r="BY262">
        <v>40</v>
      </c>
      <c r="BZ262">
        <v>5200</v>
      </c>
      <c r="CA262">
        <v>0</v>
      </c>
      <c r="CB262">
        <v>5200</v>
      </c>
      <c r="CC262">
        <v>436.8</v>
      </c>
      <c r="CD262" t="s">
        <v>694</v>
      </c>
      <c r="CE262" t="s">
        <v>1088</v>
      </c>
      <c r="CG262" t="s">
        <v>421</v>
      </c>
      <c r="CN262" t="str">
        <v>M23</v>
      </c>
      <c r="CO262" t="str">
        <v>0081-5000001EN</v>
      </c>
      <c r="CP262" t="str">
        <v>FBIU5071920</v>
      </c>
      <c r="CQ262" s="23">
        <v>3330.192</v>
      </c>
      <c r="CR262" s="25">
        <f t="shared" ref="CR262:CR325" si="13">IFERROR(CQ262/(SUMIFS(CQ:CQ,CP:CP,CP262)),100%)</f>
        <v>0.1524251151025332</v>
      </c>
      <c r="CS262" s="21">
        <f t="shared" si="12"/>
        <v>381.06278775633302</v>
      </c>
    </row>
    <row r="263" spans="2:97" x14ac:dyDescent="0.35">
      <c r="B263" t="s">
        <v>297</v>
      </c>
      <c r="C263" t="s">
        <v>1080</v>
      </c>
      <c r="D263" t="s">
        <v>549</v>
      </c>
      <c r="E263" t="s">
        <v>395</v>
      </c>
      <c r="F263" t="s">
        <v>396</v>
      </c>
      <c r="G263" t="s">
        <v>397</v>
      </c>
      <c r="H263" t="s">
        <v>398</v>
      </c>
      <c r="I263" t="s">
        <v>399</v>
      </c>
      <c r="J263" t="s">
        <v>749</v>
      </c>
      <c r="K263" t="s">
        <v>1081</v>
      </c>
      <c r="L263" t="s">
        <v>766</v>
      </c>
      <c r="M263" t="s">
        <v>403</v>
      </c>
      <c r="N263">
        <v>1</v>
      </c>
      <c r="O263">
        <v>3</v>
      </c>
      <c r="P263" t="s">
        <v>1082</v>
      </c>
      <c r="Q263" t="s">
        <v>424</v>
      </c>
      <c r="R263" t="s">
        <v>1083</v>
      </c>
      <c r="S263" t="s">
        <v>1084</v>
      </c>
      <c r="T263" t="s">
        <v>408</v>
      </c>
      <c r="U263">
        <v>50950080560</v>
      </c>
      <c r="W263">
        <v>5200</v>
      </c>
      <c r="X263" t="s">
        <v>409</v>
      </c>
      <c r="Y263" t="s">
        <v>410</v>
      </c>
      <c r="Z263" t="s">
        <v>410</v>
      </c>
      <c r="AA263" t="s">
        <v>411</v>
      </c>
      <c r="AB263" t="s">
        <v>769</v>
      </c>
      <c r="AC263" t="s">
        <v>411</v>
      </c>
      <c r="AD263">
        <v>46088</v>
      </c>
      <c r="AE263">
        <v>46146</v>
      </c>
      <c r="AF263">
        <v>46095</v>
      </c>
      <c r="AG263" t="s">
        <v>770</v>
      </c>
      <c r="AH263">
        <v>6135622</v>
      </c>
      <c r="AI263">
        <v>46091</v>
      </c>
      <c r="AJ263">
        <v>46092</v>
      </c>
      <c r="AK263">
        <v>5200</v>
      </c>
      <c r="AL263" t="s">
        <v>396</v>
      </c>
      <c r="AM263" t="s">
        <v>1472</v>
      </c>
      <c r="AN263">
        <v>46092</v>
      </c>
      <c r="AO263">
        <v>46092.379803240743</v>
      </c>
      <c r="AP263" t="s">
        <v>51</v>
      </c>
      <c r="AQ263">
        <v>0.69545000000000001</v>
      </c>
      <c r="AR263">
        <v>3616.34</v>
      </c>
      <c r="AS263" t="s">
        <v>51</v>
      </c>
      <c r="AT263">
        <v>3616.34</v>
      </c>
      <c r="AU263" t="s">
        <v>415</v>
      </c>
      <c r="AV263" t="s">
        <v>416</v>
      </c>
      <c r="AW263" t="s">
        <v>1360</v>
      </c>
      <c r="AX263">
        <v>46095</v>
      </c>
      <c r="AY263">
        <v>46144</v>
      </c>
      <c r="AZ263" t="s">
        <v>1466</v>
      </c>
      <c r="BA263" t="s">
        <v>419</v>
      </c>
      <c r="BB263" t="s">
        <v>1467</v>
      </c>
      <c r="BC263">
        <v>130</v>
      </c>
      <c r="BD263" t="s">
        <v>521</v>
      </c>
      <c r="BE263">
        <v>12.42</v>
      </c>
      <c r="BF263">
        <v>10.984999999999999</v>
      </c>
      <c r="BG263" t="s">
        <v>522</v>
      </c>
      <c r="BH263">
        <v>395</v>
      </c>
      <c r="BI263">
        <v>295</v>
      </c>
      <c r="BJ263">
        <v>180</v>
      </c>
      <c r="BK263">
        <v>40</v>
      </c>
      <c r="BL263" t="s">
        <v>521</v>
      </c>
      <c r="BM263">
        <v>520.79999999999995</v>
      </c>
      <c r="BN263">
        <v>439.4</v>
      </c>
      <c r="BO263">
        <v>520.79999999999995</v>
      </c>
      <c r="BP263" t="s">
        <v>522</v>
      </c>
      <c r="BQ263">
        <v>1200</v>
      </c>
      <c r="BR263">
        <v>800</v>
      </c>
      <c r="BS263">
        <v>1060</v>
      </c>
      <c r="BT263">
        <v>1</v>
      </c>
      <c r="BU263">
        <v>0</v>
      </c>
      <c r="BV263">
        <v>1</v>
      </c>
      <c r="BW263">
        <v>40</v>
      </c>
      <c r="BX263">
        <v>0</v>
      </c>
      <c r="BY263">
        <v>40</v>
      </c>
      <c r="BZ263">
        <v>5200</v>
      </c>
      <c r="CA263">
        <v>0</v>
      </c>
      <c r="CB263">
        <v>5200</v>
      </c>
      <c r="CC263">
        <v>439.4</v>
      </c>
      <c r="CD263" t="s">
        <v>694</v>
      </c>
      <c r="CE263" t="s">
        <v>1088</v>
      </c>
      <c r="CG263" t="s">
        <v>421</v>
      </c>
      <c r="CN263" t="str">
        <v>M23</v>
      </c>
      <c r="CO263" t="str">
        <v>0081-5000001EN</v>
      </c>
      <c r="CP263" t="str">
        <v>FBIU5071920</v>
      </c>
      <c r="CQ263" s="23">
        <v>3330.192</v>
      </c>
      <c r="CR263" s="25">
        <f t="shared" si="13"/>
        <v>0.1524251151025332</v>
      </c>
      <c r="CS263" s="21">
        <f t="shared" ref="CS263:CS326" si="14">CR263*$CS$2</f>
        <v>381.06278775633302</v>
      </c>
    </row>
    <row r="264" spans="2:97" x14ac:dyDescent="0.35">
      <c r="B264" t="s">
        <v>297</v>
      </c>
      <c r="C264" t="s">
        <v>1363</v>
      </c>
      <c r="D264" t="s">
        <v>549</v>
      </c>
      <c r="E264" t="s">
        <v>395</v>
      </c>
      <c r="F264" t="s">
        <v>396</v>
      </c>
      <c r="G264" t="s">
        <v>397</v>
      </c>
      <c r="H264" t="s">
        <v>398</v>
      </c>
      <c r="I264" t="s">
        <v>399</v>
      </c>
      <c r="J264" t="s">
        <v>749</v>
      </c>
      <c r="K264" t="s">
        <v>401</v>
      </c>
      <c r="L264" t="s">
        <v>766</v>
      </c>
      <c r="M264" t="s">
        <v>403</v>
      </c>
      <c r="N264">
        <v>1</v>
      </c>
      <c r="O264">
        <v>2</v>
      </c>
      <c r="P264" t="s">
        <v>767</v>
      </c>
      <c r="Q264" t="s">
        <v>424</v>
      </c>
      <c r="R264" t="s">
        <v>552</v>
      </c>
      <c r="S264" t="s">
        <v>768</v>
      </c>
      <c r="T264" t="s">
        <v>408</v>
      </c>
      <c r="U264">
        <v>50950080815</v>
      </c>
      <c r="W264">
        <v>46080</v>
      </c>
      <c r="X264" t="s">
        <v>409</v>
      </c>
      <c r="Y264" t="s">
        <v>410</v>
      </c>
      <c r="Z264" t="s">
        <v>410</v>
      </c>
      <c r="AA264" t="s">
        <v>411</v>
      </c>
      <c r="AB264" t="s">
        <v>769</v>
      </c>
      <c r="AC264" t="s">
        <v>411</v>
      </c>
      <c r="AD264">
        <v>46088</v>
      </c>
      <c r="AE264">
        <v>46146</v>
      </c>
      <c r="AF264">
        <v>46095</v>
      </c>
      <c r="AG264" t="s">
        <v>770</v>
      </c>
      <c r="AH264">
        <v>6135623</v>
      </c>
      <c r="AI264">
        <v>46091</v>
      </c>
      <c r="AJ264">
        <v>46092</v>
      </c>
      <c r="AK264">
        <v>46080</v>
      </c>
      <c r="AL264" t="s">
        <v>396</v>
      </c>
      <c r="AM264" t="s">
        <v>1473</v>
      </c>
      <c r="AN264">
        <v>46092</v>
      </c>
      <c r="AO264">
        <v>46092.379803240743</v>
      </c>
      <c r="AP264" t="s">
        <v>51</v>
      </c>
      <c r="AQ264">
        <v>0.18359</v>
      </c>
      <c r="AR264">
        <v>8459.84</v>
      </c>
      <c r="AS264" t="s">
        <v>51</v>
      </c>
      <c r="AT264">
        <v>8459.84</v>
      </c>
      <c r="AU264" t="s">
        <v>415</v>
      </c>
      <c r="AV264" t="s">
        <v>416</v>
      </c>
      <c r="AW264" t="s">
        <v>1360</v>
      </c>
      <c r="AX264">
        <v>46095</v>
      </c>
      <c r="AY264">
        <v>46144</v>
      </c>
      <c r="AZ264" t="s">
        <v>1466</v>
      </c>
      <c r="BA264" t="s">
        <v>419</v>
      </c>
      <c r="BB264" t="s">
        <v>1467</v>
      </c>
      <c r="BC264">
        <v>240</v>
      </c>
      <c r="BD264" t="s">
        <v>521</v>
      </c>
      <c r="BE264">
        <v>2.5634000000000001</v>
      </c>
      <c r="BF264">
        <v>1.2864</v>
      </c>
      <c r="BG264" t="s">
        <v>522</v>
      </c>
      <c r="BH264">
        <v>340</v>
      </c>
      <c r="BI264">
        <v>250</v>
      </c>
      <c r="BJ264">
        <v>230</v>
      </c>
      <c r="BK264">
        <v>48</v>
      </c>
      <c r="BL264" t="s">
        <v>521</v>
      </c>
      <c r="BM264">
        <v>144.04320000000001</v>
      </c>
      <c r="BN264">
        <v>61.747199999999999</v>
      </c>
      <c r="BO264">
        <v>576.17280000000005</v>
      </c>
      <c r="BP264" t="s">
        <v>522</v>
      </c>
      <c r="BQ264">
        <v>1066</v>
      </c>
      <c r="BR264">
        <v>1066</v>
      </c>
      <c r="BS264">
        <v>1080</v>
      </c>
      <c r="BT264">
        <v>4</v>
      </c>
      <c r="BU264">
        <v>0</v>
      </c>
      <c r="BV264">
        <v>4</v>
      </c>
      <c r="BW264">
        <v>192</v>
      </c>
      <c r="BX264">
        <v>0</v>
      </c>
      <c r="BY264">
        <v>192</v>
      </c>
      <c r="BZ264">
        <v>46080</v>
      </c>
      <c r="CA264">
        <v>0</v>
      </c>
      <c r="CB264">
        <v>46080</v>
      </c>
      <c r="CC264">
        <v>246.9888</v>
      </c>
      <c r="CD264" t="s">
        <v>562</v>
      </c>
      <c r="CE264" t="s">
        <v>563</v>
      </c>
      <c r="CG264" t="s">
        <v>421</v>
      </c>
      <c r="CN264" t="str">
        <v>MCS</v>
      </c>
      <c r="CO264" t="str">
        <v>0070-G130008EN</v>
      </c>
      <c r="CP264" t="str">
        <v>FBIU5071920</v>
      </c>
      <c r="CQ264" s="23">
        <v>1000.0000000000001</v>
      </c>
      <c r="CR264" s="25">
        <f t="shared" si="13"/>
        <v>4.5770668809045609E-2</v>
      </c>
      <c r="CS264" s="21">
        <f t="shared" si="14"/>
        <v>114.42667202261403</v>
      </c>
    </row>
    <row r="265" spans="2:97" x14ac:dyDescent="0.35">
      <c r="B265" t="s">
        <v>299</v>
      </c>
      <c r="C265" t="s">
        <v>1474</v>
      </c>
      <c r="D265" t="s">
        <v>395</v>
      </c>
      <c r="E265" t="s">
        <v>395</v>
      </c>
      <c r="F265" t="s">
        <v>396</v>
      </c>
      <c r="G265" t="s">
        <v>397</v>
      </c>
      <c r="H265" t="s">
        <v>398</v>
      </c>
      <c r="I265" t="s">
        <v>399</v>
      </c>
      <c r="J265" t="s">
        <v>749</v>
      </c>
      <c r="K265" t="s">
        <v>777</v>
      </c>
      <c r="L265" t="s">
        <v>778</v>
      </c>
      <c r="M265" t="s">
        <v>403</v>
      </c>
      <c r="N265">
        <v>1</v>
      </c>
      <c r="O265">
        <v>1</v>
      </c>
      <c r="P265" t="s">
        <v>1475</v>
      </c>
      <c r="Q265" t="s">
        <v>789</v>
      </c>
      <c r="R265" t="s">
        <v>536</v>
      </c>
      <c r="S265" t="s">
        <v>1476</v>
      </c>
      <c r="T265" t="s">
        <v>408</v>
      </c>
      <c r="U265">
        <v>50950074462</v>
      </c>
      <c r="W265">
        <v>2016</v>
      </c>
      <c r="X265" t="s">
        <v>409</v>
      </c>
      <c r="Y265" t="s">
        <v>410</v>
      </c>
      <c r="Z265" t="s">
        <v>410</v>
      </c>
      <c r="AA265" t="s">
        <v>411</v>
      </c>
      <c r="AB265" t="s">
        <v>769</v>
      </c>
      <c r="AC265" t="s">
        <v>411</v>
      </c>
      <c r="AD265">
        <v>46090</v>
      </c>
      <c r="AE265">
        <v>46146</v>
      </c>
      <c r="AF265">
        <v>46095</v>
      </c>
      <c r="AG265" t="s">
        <v>781</v>
      </c>
      <c r="AH265">
        <v>6135624</v>
      </c>
      <c r="AI265">
        <v>46091</v>
      </c>
      <c r="AJ265">
        <v>46092</v>
      </c>
      <c r="AK265">
        <v>2016</v>
      </c>
      <c r="AL265" t="s">
        <v>396</v>
      </c>
      <c r="AM265" t="s">
        <v>1477</v>
      </c>
      <c r="AN265">
        <v>46092</v>
      </c>
      <c r="AO265">
        <v>46092.379803240743</v>
      </c>
      <c r="AP265" t="s">
        <v>51</v>
      </c>
      <c r="AQ265">
        <v>2.38144</v>
      </c>
      <c r="AR265">
        <v>4801</v>
      </c>
      <c r="AS265" t="s">
        <v>51</v>
      </c>
      <c r="AT265">
        <v>4801</v>
      </c>
      <c r="AU265" t="s">
        <v>415</v>
      </c>
      <c r="AV265" t="s">
        <v>416</v>
      </c>
      <c r="AW265" t="s">
        <v>1360</v>
      </c>
      <c r="AX265">
        <v>46095</v>
      </c>
      <c r="AY265">
        <v>46144</v>
      </c>
      <c r="AZ265" t="s">
        <v>1466</v>
      </c>
      <c r="BA265" t="s">
        <v>419</v>
      </c>
      <c r="BB265" t="s">
        <v>1467</v>
      </c>
      <c r="BC265">
        <v>28</v>
      </c>
      <c r="BD265" t="s">
        <v>521</v>
      </c>
      <c r="BE265">
        <v>4.6210000000000004</v>
      </c>
      <c r="BF265">
        <v>2.758</v>
      </c>
      <c r="BG265" t="s">
        <v>522</v>
      </c>
      <c r="BH265">
        <v>795</v>
      </c>
      <c r="BI265">
        <v>395</v>
      </c>
      <c r="BJ265">
        <v>145</v>
      </c>
      <c r="BK265">
        <v>18</v>
      </c>
      <c r="BL265" t="s">
        <v>521</v>
      </c>
      <c r="BM265">
        <v>108.178</v>
      </c>
      <c r="BN265">
        <v>49.643999999999998</v>
      </c>
      <c r="BO265">
        <v>432.71199999999999</v>
      </c>
      <c r="BP265" t="s">
        <v>522</v>
      </c>
      <c r="BQ265">
        <v>1200</v>
      </c>
      <c r="BR265">
        <v>800</v>
      </c>
      <c r="BS265">
        <v>1030</v>
      </c>
      <c r="BT265">
        <v>4</v>
      </c>
      <c r="BU265">
        <v>0</v>
      </c>
      <c r="BV265">
        <v>4</v>
      </c>
      <c r="BW265">
        <v>72</v>
      </c>
      <c r="BX265">
        <v>0</v>
      </c>
      <c r="BY265">
        <v>72</v>
      </c>
      <c r="BZ265">
        <v>2016</v>
      </c>
      <c r="CA265">
        <v>0</v>
      </c>
      <c r="CB265">
        <v>2016</v>
      </c>
      <c r="CC265">
        <v>198.57599999999999</v>
      </c>
      <c r="CD265" t="s">
        <v>783</v>
      </c>
      <c r="CE265" t="s">
        <v>784</v>
      </c>
      <c r="CG265" t="s">
        <v>421</v>
      </c>
      <c r="CN265" t="str">
        <v>M19</v>
      </c>
      <c r="CO265" t="str">
        <v>1330-5YY0182EN</v>
      </c>
      <c r="CP265" t="str">
        <v>FFAU1272834</v>
      </c>
      <c r="CQ265" s="23">
        <v>1405.0848000000001</v>
      </c>
      <c r="CR265" s="25">
        <f t="shared" si="13"/>
        <v>0.10867932250642602</v>
      </c>
      <c r="CS265" s="21">
        <f t="shared" si="14"/>
        <v>271.69830626606506</v>
      </c>
    </row>
    <row r="266" spans="2:97" x14ac:dyDescent="0.35">
      <c r="B266" t="s">
        <v>299</v>
      </c>
      <c r="C266" t="s">
        <v>1478</v>
      </c>
      <c r="D266" t="s">
        <v>395</v>
      </c>
      <c r="E266" t="s">
        <v>395</v>
      </c>
      <c r="F266" t="s">
        <v>396</v>
      </c>
      <c r="G266" t="s">
        <v>397</v>
      </c>
      <c r="H266" t="s">
        <v>398</v>
      </c>
      <c r="I266" t="s">
        <v>399</v>
      </c>
      <c r="J266" t="s">
        <v>749</v>
      </c>
      <c r="K266" t="s">
        <v>777</v>
      </c>
      <c r="L266" t="s">
        <v>778</v>
      </c>
      <c r="M266" t="s">
        <v>403</v>
      </c>
      <c r="N266">
        <v>1</v>
      </c>
      <c r="O266">
        <v>1</v>
      </c>
      <c r="P266" t="s">
        <v>933</v>
      </c>
      <c r="Q266" t="s">
        <v>934</v>
      </c>
      <c r="R266" t="s">
        <v>536</v>
      </c>
      <c r="S266" t="s">
        <v>935</v>
      </c>
      <c r="T266" t="s">
        <v>408</v>
      </c>
      <c r="U266">
        <v>50950075862</v>
      </c>
      <c r="W266">
        <v>2700</v>
      </c>
      <c r="X266" t="s">
        <v>409</v>
      </c>
      <c r="Y266" t="s">
        <v>410</v>
      </c>
      <c r="Z266" t="s">
        <v>410</v>
      </c>
      <c r="AA266" t="s">
        <v>411</v>
      </c>
      <c r="AB266" t="s">
        <v>769</v>
      </c>
      <c r="AC266" t="s">
        <v>411</v>
      </c>
      <c r="AD266">
        <v>46097</v>
      </c>
      <c r="AE266">
        <v>46125</v>
      </c>
      <c r="AF266">
        <v>46095</v>
      </c>
      <c r="AG266" t="s">
        <v>936</v>
      </c>
      <c r="AH266">
        <v>6135625</v>
      </c>
      <c r="AI266">
        <v>46091</v>
      </c>
      <c r="AJ266">
        <v>46092</v>
      </c>
      <c r="AK266">
        <v>2700</v>
      </c>
      <c r="AL266" t="s">
        <v>396</v>
      </c>
      <c r="AM266" t="s">
        <v>1479</v>
      </c>
      <c r="AN266">
        <v>46092</v>
      </c>
      <c r="AO266">
        <v>46092.379803240743</v>
      </c>
      <c r="AP266" t="s">
        <v>51</v>
      </c>
      <c r="AQ266">
        <v>4.1398799999999998</v>
      </c>
      <c r="AR266">
        <v>11177.69</v>
      </c>
      <c r="AS266" t="s">
        <v>51</v>
      </c>
      <c r="AT266">
        <v>11177.69</v>
      </c>
      <c r="AU266" t="s">
        <v>415</v>
      </c>
      <c r="AV266" t="s">
        <v>416</v>
      </c>
      <c r="AW266" t="s">
        <v>1360</v>
      </c>
      <c r="AX266">
        <v>46095</v>
      </c>
      <c r="AY266">
        <v>46144</v>
      </c>
      <c r="AZ266" t="s">
        <v>1466</v>
      </c>
      <c r="BA266" t="s">
        <v>419</v>
      </c>
      <c r="BB266" t="s">
        <v>1467</v>
      </c>
      <c r="BC266">
        <v>36</v>
      </c>
      <c r="BD266" t="s">
        <v>521</v>
      </c>
      <c r="BE266">
        <v>8.7870000000000008</v>
      </c>
      <c r="BF266">
        <v>6.5519999999999996</v>
      </c>
      <c r="BG266" t="s">
        <v>522</v>
      </c>
      <c r="BH266">
        <v>595</v>
      </c>
      <c r="BI266">
        <v>395</v>
      </c>
      <c r="BJ266">
        <v>290</v>
      </c>
      <c r="BK266">
        <v>15</v>
      </c>
      <c r="BL266" t="s">
        <v>521</v>
      </c>
      <c r="BM266">
        <v>158.80500000000001</v>
      </c>
      <c r="BN266">
        <v>98.28</v>
      </c>
      <c r="BO266">
        <v>794.02499999999998</v>
      </c>
      <c r="BP266" t="s">
        <v>522</v>
      </c>
      <c r="BQ266">
        <v>1200</v>
      </c>
      <c r="BR266">
        <v>1000</v>
      </c>
      <c r="BS266">
        <v>1025</v>
      </c>
      <c r="BT266">
        <v>5</v>
      </c>
      <c r="BU266">
        <v>0</v>
      </c>
      <c r="BV266">
        <v>5</v>
      </c>
      <c r="BW266">
        <v>75</v>
      </c>
      <c r="BX266">
        <v>0</v>
      </c>
      <c r="BY266">
        <v>75</v>
      </c>
      <c r="BZ266">
        <v>2700</v>
      </c>
      <c r="CA266">
        <v>0</v>
      </c>
      <c r="CB266">
        <v>2700</v>
      </c>
      <c r="CC266">
        <v>491.4</v>
      </c>
      <c r="CD266" t="s">
        <v>938</v>
      </c>
      <c r="CE266" t="s">
        <v>939</v>
      </c>
      <c r="CG266" t="s">
        <v>421</v>
      </c>
      <c r="CN266" t="str">
        <v>M19</v>
      </c>
      <c r="CO266" t="str">
        <v>1330-5YY0183EN</v>
      </c>
      <c r="CP266" t="str">
        <v>FFAU1272834</v>
      </c>
      <c r="CQ266" s="23">
        <v>257.69760000000002</v>
      </c>
      <c r="CR266" s="25">
        <f t="shared" si="13"/>
        <v>1.9932178171404295E-2</v>
      </c>
      <c r="CS266" s="21">
        <f t="shared" si="14"/>
        <v>49.830445428510735</v>
      </c>
    </row>
    <row r="267" spans="2:97" x14ac:dyDescent="0.35">
      <c r="B267" t="s">
        <v>299</v>
      </c>
      <c r="C267" t="s">
        <v>1366</v>
      </c>
      <c r="D267" t="s">
        <v>395</v>
      </c>
      <c r="E267" t="s">
        <v>395</v>
      </c>
      <c r="F267" t="s">
        <v>396</v>
      </c>
      <c r="G267" t="s">
        <v>397</v>
      </c>
      <c r="H267" t="s">
        <v>398</v>
      </c>
      <c r="I267" t="s">
        <v>399</v>
      </c>
      <c r="J267" t="s">
        <v>749</v>
      </c>
      <c r="K267" t="s">
        <v>777</v>
      </c>
      <c r="L267" t="s">
        <v>778</v>
      </c>
      <c r="M267" t="s">
        <v>403</v>
      </c>
      <c r="N267">
        <v>1</v>
      </c>
      <c r="O267">
        <v>2</v>
      </c>
      <c r="P267" t="s">
        <v>1367</v>
      </c>
      <c r="Q267" t="s">
        <v>645</v>
      </c>
      <c r="R267" t="s">
        <v>536</v>
      </c>
      <c r="S267" t="s">
        <v>1368</v>
      </c>
      <c r="T267" t="s">
        <v>408</v>
      </c>
      <c r="U267">
        <v>50950077697</v>
      </c>
      <c r="W267">
        <v>2352</v>
      </c>
      <c r="X267" t="s">
        <v>409</v>
      </c>
      <c r="Y267" t="s">
        <v>410</v>
      </c>
      <c r="Z267" t="s">
        <v>410</v>
      </c>
      <c r="AA267" t="s">
        <v>411</v>
      </c>
      <c r="AB267" t="s">
        <v>769</v>
      </c>
      <c r="AC267" t="s">
        <v>411</v>
      </c>
      <c r="AD267">
        <v>46088</v>
      </c>
      <c r="AE267">
        <v>46146</v>
      </c>
      <c r="AF267">
        <v>46095</v>
      </c>
      <c r="AG267" t="s">
        <v>781</v>
      </c>
      <c r="AH267">
        <v>6135626</v>
      </c>
      <c r="AI267">
        <v>46091</v>
      </c>
      <c r="AJ267">
        <v>46092</v>
      </c>
      <c r="AK267">
        <v>2352</v>
      </c>
      <c r="AL267" t="s">
        <v>396</v>
      </c>
      <c r="AM267" t="s">
        <v>1480</v>
      </c>
      <c r="AN267">
        <v>46092</v>
      </c>
      <c r="AO267">
        <v>46092.379803240743</v>
      </c>
      <c r="AP267" t="s">
        <v>51</v>
      </c>
      <c r="AQ267">
        <v>2.85012</v>
      </c>
      <c r="AR267">
        <v>6703.48</v>
      </c>
      <c r="AS267" t="s">
        <v>51</v>
      </c>
      <c r="AT267">
        <v>6703.48</v>
      </c>
      <c r="AU267" t="s">
        <v>415</v>
      </c>
      <c r="AV267" t="s">
        <v>416</v>
      </c>
      <c r="AW267" t="s">
        <v>1360</v>
      </c>
      <c r="AX267">
        <v>46095</v>
      </c>
      <c r="AY267">
        <v>46144</v>
      </c>
      <c r="AZ267" t="s">
        <v>1466</v>
      </c>
      <c r="BA267" t="s">
        <v>419</v>
      </c>
      <c r="BB267" t="s">
        <v>1467</v>
      </c>
      <c r="BC267">
        <v>14</v>
      </c>
      <c r="BD267" t="s">
        <v>521</v>
      </c>
      <c r="BE267">
        <v>3.2919999999999998</v>
      </c>
      <c r="BF267">
        <v>1.792</v>
      </c>
      <c r="BG267" t="s">
        <v>522</v>
      </c>
      <c r="BH267">
        <v>595</v>
      </c>
      <c r="BI267">
        <v>395</v>
      </c>
      <c r="BJ267">
        <v>145</v>
      </c>
      <c r="BK267">
        <v>24</v>
      </c>
      <c r="BL267" t="s">
        <v>521</v>
      </c>
      <c r="BM267">
        <v>104.008</v>
      </c>
      <c r="BN267">
        <v>43.008000000000003</v>
      </c>
      <c r="BO267">
        <v>728.05600000000004</v>
      </c>
      <c r="BP267" t="s">
        <v>522</v>
      </c>
      <c r="BQ267">
        <v>1200</v>
      </c>
      <c r="BR267">
        <v>800</v>
      </c>
      <c r="BS267">
        <v>1030</v>
      </c>
      <c r="BT267">
        <v>7</v>
      </c>
      <c r="BU267">
        <v>0</v>
      </c>
      <c r="BV267">
        <v>7</v>
      </c>
      <c r="BW267">
        <v>168</v>
      </c>
      <c r="BX267">
        <v>0</v>
      </c>
      <c r="BY267">
        <v>168</v>
      </c>
      <c r="BZ267">
        <v>2352</v>
      </c>
      <c r="CA267">
        <v>0</v>
      </c>
      <c r="CB267">
        <v>2352</v>
      </c>
      <c r="CC267">
        <v>301.05599999999998</v>
      </c>
      <c r="CD267" t="s">
        <v>783</v>
      </c>
      <c r="CE267" t="s">
        <v>1370</v>
      </c>
      <c r="CG267" t="s">
        <v>421</v>
      </c>
      <c r="CN267" t="str">
        <v>M19</v>
      </c>
      <c r="CO267" t="str">
        <v>1330-5YY0176EN</v>
      </c>
      <c r="CP267" t="str">
        <v>FFAU1272834</v>
      </c>
      <c r="CQ267" s="23">
        <v>547.50720000000001</v>
      </c>
      <c r="CR267" s="25">
        <f t="shared" si="13"/>
        <v>4.2348128428540605E-2</v>
      </c>
      <c r="CS267" s="21">
        <f t="shared" si="14"/>
        <v>105.87032107135151</v>
      </c>
    </row>
    <row r="268" spans="2:97" x14ac:dyDescent="0.35">
      <c r="B268" t="s">
        <v>296</v>
      </c>
      <c r="C268" t="s">
        <v>1481</v>
      </c>
      <c r="D268" t="s">
        <v>395</v>
      </c>
      <c r="E268" t="s">
        <v>395</v>
      </c>
      <c r="F268" t="s">
        <v>396</v>
      </c>
      <c r="G268" t="s">
        <v>397</v>
      </c>
      <c r="H268" t="s">
        <v>398</v>
      </c>
      <c r="I268" t="s">
        <v>399</v>
      </c>
      <c r="J268" t="s">
        <v>749</v>
      </c>
      <c r="K268" t="s">
        <v>629</v>
      </c>
      <c r="L268" t="s">
        <v>787</v>
      </c>
      <c r="M268" t="s">
        <v>403</v>
      </c>
      <c r="N268">
        <v>1</v>
      </c>
      <c r="O268">
        <v>1</v>
      </c>
      <c r="P268" t="s">
        <v>1482</v>
      </c>
      <c r="Q268" t="s">
        <v>934</v>
      </c>
      <c r="R268" t="s">
        <v>1483</v>
      </c>
      <c r="S268" t="s">
        <v>1484</v>
      </c>
      <c r="T268" t="s">
        <v>408</v>
      </c>
      <c r="U268">
        <v>50950081440</v>
      </c>
      <c r="W268">
        <v>33120</v>
      </c>
      <c r="X268" t="s">
        <v>409</v>
      </c>
      <c r="Y268" t="s">
        <v>410</v>
      </c>
      <c r="Z268" t="s">
        <v>410</v>
      </c>
      <c r="AA268" t="s">
        <v>411</v>
      </c>
      <c r="AB268" t="s">
        <v>769</v>
      </c>
      <c r="AC268" t="s">
        <v>411</v>
      </c>
      <c r="AD268">
        <v>46095</v>
      </c>
      <c r="AE268">
        <v>46146</v>
      </c>
      <c r="AF268">
        <v>46095</v>
      </c>
      <c r="AG268" t="s">
        <v>754</v>
      </c>
      <c r="AH268">
        <v>6135627</v>
      </c>
      <c r="AI268">
        <v>46091</v>
      </c>
      <c r="AJ268">
        <v>46092</v>
      </c>
      <c r="AK268">
        <v>33120</v>
      </c>
      <c r="AL268" t="s">
        <v>396</v>
      </c>
      <c r="AM268" t="s">
        <v>1485</v>
      </c>
      <c r="AN268">
        <v>46092</v>
      </c>
      <c r="AO268">
        <v>46092.379803240743</v>
      </c>
      <c r="AP268" t="s">
        <v>51</v>
      </c>
      <c r="AQ268">
        <v>0.38090000000000002</v>
      </c>
      <c r="AR268">
        <v>12615.5</v>
      </c>
      <c r="AS268" t="s">
        <v>51</v>
      </c>
      <c r="AT268">
        <v>12615.5</v>
      </c>
      <c r="AU268" t="s">
        <v>415</v>
      </c>
      <c r="AV268" t="s">
        <v>416</v>
      </c>
      <c r="AW268" t="s">
        <v>1360</v>
      </c>
      <c r="AX268">
        <v>46095</v>
      </c>
      <c r="AY268">
        <v>46144</v>
      </c>
      <c r="AZ268" t="s">
        <v>1466</v>
      </c>
      <c r="BA268" t="s">
        <v>419</v>
      </c>
      <c r="BB268" t="s">
        <v>1467</v>
      </c>
      <c r="BC268">
        <v>120</v>
      </c>
      <c r="BD268" t="s">
        <v>521</v>
      </c>
      <c r="BE268">
        <v>10.095499999999999</v>
      </c>
      <c r="BF268">
        <v>8.5655000000000001</v>
      </c>
      <c r="BG268" t="s">
        <v>522</v>
      </c>
      <c r="BH268">
        <v>595</v>
      </c>
      <c r="BI268">
        <v>495</v>
      </c>
      <c r="BJ268">
        <v>310</v>
      </c>
      <c r="BK268">
        <v>12</v>
      </c>
      <c r="BL268" t="s">
        <v>521</v>
      </c>
      <c r="BM268">
        <v>148.14599999999999</v>
      </c>
      <c r="BN268">
        <v>102.786</v>
      </c>
      <c r="BO268">
        <v>3407.35248</v>
      </c>
      <c r="BP268" t="s">
        <v>522</v>
      </c>
      <c r="BQ268">
        <v>1200</v>
      </c>
      <c r="BR268">
        <v>1000</v>
      </c>
      <c r="BS268">
        <v>1088</v>
      </c>
      <c r="BT268">
        <v>23</v>
      </c>
      <c r="BU268">
        <v>0</v>
      </c>
      <c r="BV268">
        <v>23</v>
      </c>
      <c r="BW268">
        <v>276</v>
      </c>
      <c r="BX268">
        <v>0</v>
      </c>
      <c r="BY268">
        <v>276</v>
      </c>
      <c r="BZ268">
        <v>33120</v>
      </c>
      <c r="CA268">
        <v>0</v>
      </c>
      <c r="CB268">
        <v>33120</v>
      </c>
      <c r="CC268">
        <v>2364.0724799999998</v>
      </c>
      <c r="CD268" t="s">
        <v>842</v>
      </c>
      <c r="CE268" t="s">
        <v>843</v>
      </c>
      <c r="CG268" t="s">
        <v>421</v>
      </c>
      <c r="CN268" t="str">
        <v>M19</v>
      </c>
      <c r="CO268" t="str">
        <v>1330-5YY0167EN</v>
      </c>
      <c r="CP268" t="str">
        <v>FFAU1272834</v>
      </c>
      <c r="CQ268" s="23">
        <v>2453.1864</v>
      </c>
      <c r="CR268" s="25">
        <f t="shared" si="13"/>
        <v>0.18974700739341727</v>
      </c>
      <c r="CS268" s="21">
        <f t="shared" si="14"/>
        <v>474.36751848354317</v>
      </c>
    </row>
    <row r="269" spans="2:97" x14ac:dyDescent="0.35">
      <c r="B269" s="34" t="s">
        <v>297</v>
      </c>
      <c r="C269" t="s">
        <v>921</v>
      </c>
      <c r="D269" t="s">
        <v>549</v>
      </c>
      <c r="E269" t="s">
        <v>395</v>
      </c>
      <c r="F269" t="s">
        <v>396</v>
      </c>
      <c r="G269" t="s">
        <v>397</v>
      </c>
      <c r="H269" t="s">
        <v>398</v>
      </c>
      <c r="I269" t="s">
        <v>399</v>
      </c>
      <c r="J269" t="s">
        <v>749</v>
      </c>
      <c r="K269" t="s">
        <v>922</v>
      </c>
      <c r="L269" t="s">
        <v>766</v>
      </c>
      <c r="M269" t="s">
        <v>403</v>
      </c>
      <c r="N269">
        <v>12</v>
      </c>
      <c r="O269">
        <v>1</v>
      </c>
      <c r="P269" t="s">
        <v>923</v>
      </c>
      <c r="Q269" t="s">
        <v>645</v>
      </c>
      <c r="R269" t="s">
        <v>924</v>
      </c>
      <c r="S269" t="s">
        <v>925</v>
      </c>
      <c r="T269" t="s">
        <v>408</v>
      </c>
      <c r="U269">
        <v>50950080751</v>
      </c>
      <c r="W269">
        <v>11520</v>
      </c>
      <c r="X269" t="s">
        <v>409</v>
      </c>
      <c r="Y269" t="s">
        <v>410</v>
      </c>
      <c r="Z269" t="s">
        <v>410</v>
      </c>
      <c r="AA269" t="s">
        <v>411</v>
      </c>
      <c r="AB269" t="s">
        <v>554</v>
      </c>
      <c r="AC269" t="s">
        <v>411</v>
      </c>
      <c r="AD269">
        <v>46087</v>
      </c>
      <c r="AE269">
        <v>46132</v>
      </c>
      <c r="AF269">
        <v>46099</v>
      </c>
      <c r="AG269" t="s">
        <v>926</v>
      </c>
      <c r="AH269">
        <v>6137671</v>
      </c>
      <c r="AI269">
        <v>46092</v>
      </c>
      <c r="AJ269">
        <v>46093</v>
      </c>
      <c r="AK269">
        <v>11520</v>
      </c>
      <c r="AL269" t="s">
        <v>396</v>
      </c>
      <c r="AM269" t="s">
        <v>1486</v>
      </c>
      <c r="AN269">
        <v>46093</v>
      </c>
      <c r="AO269">
        <v>46093.600787037038</v>
      </c>
      <c r="AP269" t="s">
        <v>51</v>
      </c>
      <c r="AQ269">
        <v>0.59975999999999996</v>
      </c>
      <c r="AR269">
        <v>6909.2</v>
      </c>
      <c r="AS269" t="s">
        <v>51</v>
      </c>
      <c r="AT269">
        <v>6909.2</v>
      </c>
      <c r="AU269" t="s">
        <v>415</v>
      </c>
      <c r="AV269" t="s">
        <v>1420</v>
      </c>
      <c r="AW269" t="s">
        <v>1421</v>
      </c>
      <c r="AX269">
        <v>46099</v>
      </c>
      <c r="AY269">
        <v>46148</v>
      </c>
      <c r="AZ269" t="s">
        <v>1487</v>
      </c>
      <c r="BA269" t="s">
        <v>560</v>
      </c>
      <c r="BB269" t="s">
        <v>1488</v>
      </c>
      <c r="BC269">
        <v>288</v>
      </c>
      <c r="BD269" t="s">
        <v>521</v>
      </c>
      <c r="BE269">
        <v>9.8219999999999992</v>
      </c>
      <c r="BF269">
        <v>8.3520000000000003</v>
      </c>
      <c r="BG269" t="s">
        <v>522</v>
      </c>
      <c r="BH269">
        <v>400</v>
      </c>
      <c r="BI269">
        <v>300</v>
      </c>
      <c r="BJ269">
        <v>160</v>
      </c>
      <c r="BK269">
        <v>40</v>
      </c>
      <c r="BL269" t="s">
        <v>521</v>
      </c>
      <c r="BM269">
        <v>417.88</v>
      </c>
      <c r="BN269">
        <v>334.08</v>
      </c>
      <c r="BO269">
        <v>417.88</v>
      </c>
      <c r="BP269" t="s">
        <v>522</v>
      </c>
      <c r="BQ269">
        <v>1200</v>
      </c>
      <c r="BR269">
        <v>800</v>
      </c>
      <c r="BS269">
        <v>970</v>
      </c>
      <c r="BT269">
        <v>1</v>
      </c>
      <c r="BU269">
        <v>0</v>
      </c>
      <c r="BV269">
        <v>1</v>
      </c>
      <c r="BW269">
        <v>40</v>
      </c>
      <c r="BX269">
        <v>0</v>
      </c>
      <c r="BY269">
        <v>40</v>
      </c>
      <c r="BZ269">
        <v>11520</v>
      </c>
      <c r="CA269">
        <v>0</v>
      </c>
      <c r="CB269">
        <v>11520</v>
      </c>
      <c r="CC269">
        <v>334.08</v>
      </c>
      <c r="CD269" t="s">
        <v>930</v>
      </c>
      <c r="CE269" t="s">
        <v>931</v>
      </c>
      <c r="CG269" t="s">
        <v>421</v>
      </c>
      <c r="CN269" t="str">
        <v>M19</v>
      </c>
      <c r="CO269" t="str">
        <v>1301-5YY0305EN0093</v>
      </c>
      <c r="CP269" t="str">
        <v>FFAU1272834</v>
      </c>
      <c r="CQ269" s="23">
        <v>2837.7773999999999</v>
      </c>
      <c r="CR269" s="25">
        <f t="shared" si="13"/>
        <v>0.21949403000875611</v>
      </c>
      <c r="CS269" s="21">
        <f t="shared" si="14"/>
        <v>548.73507502189034</v>
      </c>
    </row>
    <row r="270" spans="2:97" x14ac:dyDescent="0.35">
      <c r="B270" s="34" t="s">
        <v>297</v>
      </c>
      <c r="C270" t="s">
        <v>921</v>
      </c>
      <c r="D270" t="s">
        <v>549</v>
      </c>
      <c r="E270" t="s">
        <v>395</v>
      </c>
      <c r="F270" t="s">
        <v>396</v>
      </c>
      <c r="G270" t="s">
        <v>397</v>
      </c>
      <c r="H270" t="s">
        <v>398</v>
      </c>
      <c r="I270" t="s">
        <v>399</v>
      </c>
      <c r="J270" t="s">
        <v>749</v>
      </c>
      <c r="K270" t="s">
        <v>922</v>
      </c>
      <c r="L270" t="s">
        <v>766</v>
      </c>
      <c r="M270" t="s">
        <v>403</v>
      </c>
      <c r="N270">
        <v>8</v>
      </c>
      <c r="O270">
        <v>1</v>
      </c>
      <c r="P270" t="s">
        <v>923</v>
      </c>
      <c r="Q270" t="s">
        <v>645</v>
      </c>
      <c r="R270" t="s">
        <v>924</v>
      </c>
      <c r="S270" t="s">
        <v>925</v>
      </c>
      <c r="T270" t="s">
        <v>408</v>
      </c>
      <c r="U270">
        <v>50950080751</v>
      </c>
      <c r="W270">
        <v>11520</v>
      </c>
      <c r="X270" t="s">
        <v>409</v>
      </c>
      <c r="Y270" t="s">
        <v>410</v>
      </c>
      <c r="Z270" t="s">
        <v>410</v>
      </c>
      <c r="AA270" t="s">
        <v>411</v>
      </c>
      <c r="AB270" t="s">
        <v>554</v>
      </c>
      <c r="AC270" t="s">
        <v>411</v>
      </c>
      <c r="AD270">
        <v>46090</v>
      </c>
      <c r="AE270">
        <v>46139</v>
      </c>
      <c r="AF270">
        <v>46099</v>
      </c>
      <c r="AG270" t="s">
        <v>926</v>
      </c>
      <c r="AH270">
        <v>6137671</v>
      </c>
      <c r="AI270">
        <v>46092</v>
      </c>
      <c r="AJ270">
        <v>46093</v>
      </c>
      <c r="AK270">
        <v>11520</v>
      </c>
      <c r="AL270" t="s">
        <v>396</v>
      </c>
      <c r="AM270" t="s">
        <v>1486</v>
      </c>
      <c r="AN270">
        <v>46093</v>
      </c>
      <c r="AO270">
        <v>46093.600787037038</v>
      </c>
      <c r="AP270" t="s">
        <v>51</v>
      </c>
      <c r="AQ270">
        <v>0.59975999999999996</v>
      </c>
      <c r="AR270">
        <v>6909.21</v>
      </c>
      <c r="AS270" t="s">
        <v>51</v>
      </c>
      <c r="AT270">
        <v>6909.21</v>
      </c>
      <c r="AU270" t="s">
        <v>415</v>
      </c>
      <c r="AV270" t="s">
        <v>1420</v>
      </c>
      <c r="AW270" t="s">
        <v>1421</v>
      </c>
      <c r="AX270">
        <v>46099</v>
      </c>
      <c r="AY270">
        <v>46148</v>
      </c>
      <c r="AZ270" t="s">
        <v>1487</v>
      </c>
      <c r="BA270" t="s">
        <v>560</v>
      </c>
      <c r="BB270" t="s">
        <v>1488</v>
      </c>
      <c r="BC270">
        <v>288</v>
      </c>
      <c r="BD270" t="s">
        <v>521</v>
      </c>
      <c r="BE270">
        <v>9.8219999999999992</v>
      </c>
      <c r="BF270">
        <v>8.3520000000000003</v>
      </c>
      <c r="BG270" t="s">
        <v>522</v>
      </c>
      <c r="BH270">
        <v>400</v>
      </c>
      <c r="BI270">
        <v>300</v>
      </c>
      <c r="BJ270">
        <v>160</v>
      </c>
      <c r="BK270">
        <v>40</v>
      </c>
      <c r="BL270" t="s">
        <v>521</v>
      </c>
      <c r="BM270">
        <v>417.88</v>
      </c>
      <c r="BN270">
        <v>334.08</v>
      </c>
      <c r="BO270">
        <v>417.88</v>
      </c>
      <c r="BP270" t="s">
        <v>522</v>
      </c>
      <c r="BQ270">
        <v>1200</v>
      </c>
      <c r="BR270">
        <v>800</v>
      </c>
      <c r="BS270">
        <v>970</v>
      </c>
      <c r="BT270">
        <v>1</v>
      </c>
      <c r="BU270">
        <v>0</v>
      </c>
      <c r="BV270">
        <v>1</v>
      </c>
      <c r="BW270">
        <v>40</v>
      </c>
      <c r="BX270">
        <v>0</v>
      </c>
      <c r="BY270">
        <v>40</v>
      </c>
      <c r="BZ270">
        <v>11520</v>
      </c>
      <c r="CA270">
        <v>0</v>
      </c>
      <c r="CB270">
        <v>11520</v>
      </c>
      <c r="CC270">
        <v>334.08</v>
      </c>
      <c r="CD270" t="s">
        <v>930</v>
      </c>
      <c r="CE270" t="s">
        <v>931</v>
      </c>
      <c r="CG270" t="s">
        <v>421</v>
      </c>
      <c r="CN270" t="str">
        <v>M19</v>
      </c>
      <c r="CO270" t="str">
        <v>1301-5YY0306EN0093</v>
      </c>
      <c r="CP270" t="str">
        <v>FFAU1272834</v>
      </c>
      <c r="CQ270" s="23">
        <v>5427.4690799999998</v>
      </c>
      <c r="CR270" s="25">
        <f t="shared" si="13"/>
        <v>0.41979933349145565</v>
      </c>
      <c r="CS270" s="21">
        <f t="shared" si="14"/>
        <v>1049.4983337286392</v>
      </c>
    </row>
    <row r="271" spans="2:97" x14ac:dyDescent="0.35">
      <c r="B271" t="s">
        <v>299</v>
      </c>
      <c r="C271" t="s">
        <v>1489</v>
      </c>
      <c r="D271" t="s">
        <v>395</v>
      </c>
      <c r="E271" t="s">
        <v>395</v>
      </c>
      <c r="F271" t="s">
        <v>396</v>
      </c>
      <c r="G271" t="s">
        <v>397</v>
      </c>
      <c r="H271" t="s">
        <v>398</v>
      </c>
      <c r="I271" t="s">
        <v>399</v>
      </c>
      <c r="J271" t="s">
        <v>749</v>
      </c>
      <c r="K271" t="s">
        <v>777</v>
      </c>
      <c r="L271" t="s">
        <v>778</v>
      </c>
      <c r="M271" t="s">
        <v>403</v>
      </c>
      <c r="N271">
        <v>1</v>
      </c>
      <c r="O271">
        <v>1</v>
      </c>
      <c r="P271" t="s">
        <v>1490</v>
      </c>
      <c r="Q271" t="s">
        <v>637</v>
      </c>
      <c r="R271" t="s">
        <v>536</v>
      </c>
      <c r="S271" t="s">
        <v>1491</v>
      </c>
      <c r="T271" t="s">
        <v>408</v>
      </c>
      <c r="U271">
        <v>50950076754</v>
      </c>
      <c r="W271">
        <v>1008</v>
      </c>
      <c r="X271" t="s">
        <v>409</v>
      </c>
      <c r="Y271" t="s">
        <v>410</v>
      </c>
      <c r="Z271" t="s">
        <v>410</v>
      </c>
      <c r="AA271" t="s">
        <v>411</v>
      </c>
      <c r="AB271" t="s">
        <v>554</v>
      </c>
      <c r="AC271" t="s">
        <v>411</v>
      </c>
      <c r="AD271">
        <v>46090</v>
      </c>
      <c r="AE271">
        <v>46097</v>
      </c>
      <c r="AF271">
        <v>46099</v>
      </c>
      <c r="AG271" t="s">
        <v>781</v>
      </c>
      <c r="AH271">
        <v>6137332</v>
      </c>
      <c r="AI271">
        <v>46092</v>
      </c>
      <c r="AJ271">
        <v>46093</v>
      </c>
      <c r="AK271">
        <v>1008</v>
      </c>
      <c r="AL271" t="s">
        <v>396</v>
      </c>
      <c r="AM271" t="s">
        <v>1492</v>
      </c>
      <c r="AN271">
        <v>46093</v>
      </c>
      <c r="AO271">
        <v>46093.400011574071</v>
      </c>
      <c r="AP271" t="s">
        <v>51</v>
      </c>
      <c r="AQ271">
        <v>3.2103700000000002</v>
      </c>
      <c r="AR271">
        <v>3236.06</v>
      </c>
      <c r="AS271" t="s">
        <v>51</v>
      </c>
      <c r="AT271">
        <v>3236.06</v>
      </c>
      <c r="AU271" t="s">
        <v>415</v>
      </c>
      <c r="AV271" t="s">
        <v>1420</v>
      </c>
      <c r="AW271" t="s">
        <v>1421</v>
      </c>
      <c r="AX271">
        <v>46099</v>
      </c>
      <c r="AY271">
        <v>46148</v>
      </c>
      <c r="AZ271" t="s">
        <v>1493</v>
      </c>
      <c r="BA271" t="s">
        <v>560</v>
      </c>
      <c r="BB271" t="s">
        <v>1494</v>
      </c>
      <c r="BC271">
        <v>28</v>
      </c>
      <c r="BD271" t="s">
        <v>521</v>
      </c>
      <c r="BE271">
        <v>6.0069999999999997</v>
      </c>
      <c r="BF271">
        <v>4.1440000000000001</v>
      </c>
      <c r="BG271" t="s">
        <v>522</v>
      </c>
      <c r="BH271">
        <v>795</v>
      </c>
      <c r="BI271">
        <v>395</v>
      </c>
      <c r="BJ271">
        <v>145</v>
      </c>
      <c r="BK271">
        <v>18</v>
      </c>
      <c r="BL271" t="s">
        <v>521</v>
      </c>
      <c r="BM271">
        <v>133.126</v>
      </c>
      <c r="BN271">
        <v>74.591999999999999</v>
      </c>
      <c r="BO271">
        <v>266.25200000000001</v>
      </c>
      <c r="BP271" t="s">
        <v>522</v>
      </c>
      <c r="BQ271">
        <v>1200</v>
      </c>
      <c r="BR271">
        <v>800</v>
      </c>
      <c r="BS271">
        <v>1030</v>
      </c>
      <c r="BT271">
        <v>2</v>
      </c>
      <c r="BU271">
        <v>0</v>
      </c>
      <c r="BV271">
        <v>2</v>
      </c>
      <c r="BW271">
        <v>36</v>
      </c>
      <c r="BX271">
        <v>0</v>
      </c>
      <c r="BY271">
        <v>36</v>
      </c>
      <c r="BZ271">
        <v>1008</v>
      </c>
      <c r="CA271">
        <v>0</v>
      </c>
      <c r="CB271">
        <v>1008</v>
      </c>
      <c r="CC271">
        <v>149.184</v>
      </c>
      <c r="CD271" t="s">
        <v>783</v>
      </c>
      <c r="CE271" t="s">
        <v>784</v>
      </c>
      <c r="CG271" t="s">
        <v>421</v>
      </c>
      <c r="CN271" t="str">
        <v>M19</v>
      </c>
      <c r="CO271" t="str">
        <v>1330-5YY0182EN</v>
      </c>
      <c r="CP271" t="str">
        <v>FFAU3131007</v>
      </c>
      <c r="CQ271" s="23">
        <v>1580.7203999999999</v>
      </c>
      <c r="CR271" s="25">
        <f t="shared" si="13"/>
        <v>0.22186488872977289</v>
      </c>
      <c r="CS271" s="21">
        <f t="shared" si="14"/>
        <v>554.66222182443221</v>
      </c>
    </row>
    <row r="272" spans="2:97" x14ac:dyDescent="0.35">
      <c r="B272" t="s">
        <v>299</v>
      </c>
      <c r="C272" t="s">
        <v>1495</v>
      </c>
      <c r="D272" t="s">
        <v>395</v>
      </c>
      <c r="E272" t="s">
        <v>395</v>
      </c>
      <c r="F272" t="s">
        <v>396</v>
      </c>
      <c r="G272" t="s">
        <v>397</v>
      </c>
      <c r="H272" t="s">
        <v>398</v>
      </c>
      <c r="I272" t="s">
        <v>399</v>
      </c>
      <c r="J272" t="s">
        <v>749</v>
      </c>
      <c r="K272" t="s">
        <v>777</v>
      </c>
      <c r="L272" t="s">
        <v>778</v>
      </c>
      <c r="M272" t="s">
        <v>403</v>
      </c>
      <c r="N272">
        <v>1</v>
      </c>
      <c r="O272">
        <v>1</v>
      </c>
      <c r="P272" t="s">
        <v>1367</v>
      </c>
      <c r="Q272" t="s">
        <v>645</v>
      </c>
      <c r="R272" t="s">
        <v>536</v>
      </c>
      <c r="S272" t="s">
        <v>1368</v>
      </c>
      <c r="T272" t="s">
        <v>408</v>
      </c>
      <c r="U272">
        <v>50950077714</v>
      </c>
      <c r="W272">
        <v>3024</v>
      </c>
      <c r="X272" t="s">
        <v>409</v>
      </c>
      <c r="Y272" t="s">
        <v>410</v>
      </c>
      <c r="Z272" t="s">
        <v>410</v>
      </c>
      <c r="AA272" t="s">
        <v>411</v>
      </c>
      <c r="AB272" t="s">
        <v>554</v>
      </c>
      <c r="AC272" t="s">
        <v>411</v>
      </c>
      <c r="AD272">
        <v>46095</v>
      </c>
      <c r="AE272">
        <v>46153</v>
      </c>
      <c r="AF272">
        <v>46099</v>
      </c>
      <c r="AG272" t="s">
        <v>781</v>
      </c>
      <c r="AH272">
        <v>6137672</v>
      </c>
      <c r="AI272">
        <v>46092</v>
      </c>
      <c r="AJ272">
        <v>46093</v>
      </c>
      <c r="AK272">
        <v>3024</v>
      </c>
      <c r="AL272" t="s">
        <v>396</v>
      </c>
      <c r="AM272" t="s">
        <v>1496</v>
      </c>
      <c r="AN272">
        <v>46093</v>
      </c>
      <c r="AO272">
        <v>46093.600787037038</v>
      </c>
      <c r="AP272" t="s">
        <v>51</v>
      </c>
      <c r="AQ272">
        <v>2.85012</v>
      </c>
      <c r="AR272">
        <v>8618.76</v>
      </c>
      <c r="AS272" t="s">
        <v>51</v>
      </c>
      <c r="AT272">
        <v>8618.76</v>
      </c>
      <c r="AU272" t="s">
        <v>415</v>
      </c>
      <c r="AV272" t="s">
        <v>1420</v>
      </c>
      <c r="AW272" t="s">
        <v>1421</v>
      </c>
      <c r="AX272">
        <v>46099</v>
      </c>
      <c r="AY272">
        <v>46148</v>
      </c>
      <c r="AZ272" t="s">
        <v>1487</v>
      </c>
      <c r="BA272" t="s">
        <v>560</v>
      </c>
      <c r="BB272" t="s">
        <v>1488</v>
      </c>
      <c r="BC272">
        <v>14</v>
      </c>
      <c r="BD272" t="s">
        <v>521</v>
      </c>
      <c r="BE272">
        <v>3.2919999999999998</v>
      </c>
      <c r="BF272">
        <v>1.792</v>
      </c>
      <c r="BG272" t="s">
        <v>522</v>
      </c>
      <c r="BH272">
        <v>595</v>
      </c>
      <c r="BI272">
        <v>395</v>
      </c>
      <c r="BJ272">
        <v>145</v>
      </c>
      <c r="BK272">
        <v>24</v>
      </c>
      <c r="BL272" t="s">
        <v>521</v>
      </c>
      <c r="BM272">
        <v>104.008</v>
      </c>
      <c r="BN272">
        <v>43.008000000000003</v>
      </c>
      <c r="BO272">
        <v>936.072</v>
      </c>
      <c r="BP272" t="s">
        <v>522</v>
      </c>
      <c r="BQ272">
        <v>1200</v>
      </c>
      <c r="BR272">
        <v>800</v>
      </c>
      <c r="BS272">
        <v>1030</v>
      </c>
      <c r="BT272">
        <v>9</v>
      </c>
      <c r="BU272">
        <v>0</v>
      </c>
      <c r="BV272">
        <v>9</v>
      </c>
      <c r="BW272">
        <v>216</v>
      </c>
      <c r="BX272">
        <v>0</v>
      </c>
      <c r="BY272">
        <v>216</v>
      </c>
      <c r="BZ272">
        <v>3024</v>
      </c>
      <c r="CA272">
        <v>0</v>
      </c>
      <c r="CB272">
        <v>3024</v>
      </c>
      <c r="CC272">
        <v>387.072</v>
      </c>
      <c r="CD272" t="s">
        <v>783</v>
      </c>
      <c r="CE272" t="s">
        <v>1370</v>
      </c>
      <c r="CG272" t="s">
        <v>421</v>
      </c>
      <c r="CN272" t="str">
        <v>M01</v>
      </c>
      <c r="CO272" t="str">
        <v>1277-1030100EN</v>
      </c>
      <c r="CP272" t="str">
        <v>FFAU3131007</v>
      </c>
      <c r="CQ272" s="23">
        <v>77.256</v>
      </c>
      <c r="CR272" s="25">
        <f t="shared" si="13"/>
        <v>1.0843406489665936E-2</v>
      </c>
      <c r="CS272" s="21">
        <f t="shared" si="14"/>
        <v>27.108516224164841</v>
      </c>
    </row>
    <row r="273" spans="2:97" x14ac:dyDescent="0.35">
      <c r="B273" t="s">
        <v>299</v>
      </c>
      <c r="C273" t="s">
        <v>1371</v>
      </c>
      <c r="D273" t="s">
        <v>395</v>
      </c>
      <c r="E273" t="s">
        <v>395</v>
      </c>
      <c r="F273" t="s">
        <v>396</v>
      </c>
      <c r="G273" t="s">
        <v>397</v>
      </c>
      <c r="H273" t="s">
        <v>398</v>
      </c>
      <c r="I273" t="s">
        <v>399</v>
      </c>
      <c r="J273" t="s">
        <v>749</v>
      </c>
      <c r="K273" t="s">
        <v>777</v>
      </c>
      <c r="L273" t="s">
        <v>778</v>
      </c>
      <c r="M273" t="s">
        <v>403</v>
      </c>
      <c r="N273">
        <v>1</v>
      </c>
      <c r="O273">
        <v>2</v>
      </c>
      <c r="P273" t="s">
        <v>1372</v>
      </c>
      <c r="Q273" t="s">
        <v>637</v>
      </c>
      <c r="R273" t="s">
        <v>536</v>
      </c>
      <c r="S273" t="s">
        <v>1373</v>
      </c>
      <c r="T273" t="s">
        <v>408</v>
      </c>
      <c r="U273">
        <v>50950078376</v>
      </c>
      <c r="W273">
        <v>504</v>
      </c>
      <c r="X273" t="s">
        <v>409</v>
      </c>
      <c r="Y273" t="s">
        <v>410</v>
      </c>
      <c r="Z273" t="s">
        <v>410</v>
      </c>
      <c r="AA273" t="s">
        <v>411</v>
      </c>
      <c r="AB273" t="s">
        <v>554</v>
      </c>
      <c r="AC273" t="s">
        <v>411</v>
      </c>
      <c r="AD273">
        <v>46088</v>
      </c>
      <c r="AE273">
        <v>46146</v>
      </c>
      <c r="AF273">
        <v>46099</v>
      </c>
      <c r="AG273" t="s">
        <v>781</v>
      </c>
      <c r="AH273">
        <v>6137333</v>
      </c>
      <c r="AI273">
        <v>46092</v>
      </c>
      <c r="AJ273">
        <v>46093</v>
      </c>
      <c r="AK273">
        <v>504</v>
      </c>
      <c r="AL273" t="s">
        <v>396</v>
      </c>
      <c r="AM273" t="s">
        <v>1497</v>
      </c>
      <c r="AN273">
        <v>46093</v>
      </c>
      <c r="AO273">
        <v>46093.400011574071</v>
      </c>
      <c r="AP273" t="s">
        <v>51</v>
      </c>
      <c r="AQ273">
        <v>2.7070500000000002</v>
      </c>
      <c r="AR273">
        <v>1364.35</v>
      </c>
      <c r="AS273" t="s">
        <v>51</v>
      </c>
      <c r="AT273">
        <v>1364.35</v>
      </c>
      <c r="AU273" t="s">
        <v>415</v>
      </c>
      <c r="AV273" t="s">
        <v>1420</v>
      </c>
      <c r="AW273" t="s">
        <v>1421</v>
      </c>
      <c r="AX273">
        <v>46099</v>
      </c>
      <c r="AY273">
        <v>46148</v>
      </c>
      <c r="AZ273" t="s">
        <v>1493</v>
      </c>
      <c r="BA273" t="s">
        <v>560</v>
      </c>
      <c r="BB273" t="s">
        <v>1494</v>
      </c>
      <c r="BC273">
        <v>28</v>
      </c>
      <c r="BD273" t="s">
        <v>521</v>
      </c>
      <c r="BE273">
        <v>5.1753999999999998</v>
      </c>
      <c r="BF273">
        <v>3.3123999999999998</v>
      </c>
      <c r="BG273" t="s">
        <v>522</v>
      </c>
      <c r="BH273">
        <v>795</v>
      </c>
      <c r="BI273">
        <v>395</v>
      </c>
      <c r="BJ273">
        <v>145</v>
      </c>
      <c r="BK273">
        <v>18</v>
      </c>
      <c r="BL273" t="s">
        <v>521</v>
      </c>
      <c r="BM273">
        <v>118.1572</v>
      </c>
      <c r="BN273">
        <v>59.623199999999997</v>
      </c>
      <c r="BO273">
        <v>118.1572</v>
      </c>
      <c r="BP273" t="s">
        <v>522</v>
      </c>
      <c r="BQ273">
        <v>1200</v>
      </c>
      <c r="BR273">
        <v>800</v>
      </c>
      <c r="BS273">
        <v>1030</v>
      </c>
      <c r="BT273">
        <v>1</v>
      </c>
      <c r="BU273">
        <v>0</v>
      </c>
      <c r="BV273">
        <v>1</v>
      </c>
      <c r="BW273">
        <v>18</v>
      </c>
      <c r="BX273">
        <v>0</v>
      </c>
      <c r="BY273">
        <v>18</v>
      </c>
      <c r="BZ273">
        <v>504</v>
      </c>
      <c r="CA273">
        <v>0</v>
      </c>
      <c r="CB273">
        <v>504</v>
      </c>
      <c r="CC273">
        <v>59.623199999999997</v>
      </c>
      <c r="CD273" t="s">
        <v>783</v>
      </c>
      <c r="CE273" t="s">
        <v>784</v>
      </c>
      <c r="CG273" t="s">
        <v>421</v>
      </c>
      <c r="CN273" t="str">
        <v>M19</v>
      </c>
      <c r="CO273" t="str">
        <v>1330-5YY0256EN</v>
      </c>
      <c r="CP273" t="str">
        <v>FFAU3131007</v>
      </c>
      <c r="CQ273" s="23">
        <v>868.00800000000004</v>
      </c>
      <c r="CR273" s="25">
        <f t="shared" si="13"/>
        <v>0.12183084265664738</v>
      </c>
      <c r="CS273" s="21">
        <f t="shared" si="14"/>
        <v>304.57710664161846</v>
      </c>
    </row>
    <row r="274" spans="2:97" x14ac:dyDescent="0.35">
      <c r="B274" t="s">
        <v>296</v>
      </c>
      <c r="C274" t="s">
        <v>1498</v>
      </c>
      <c r="D274" t="s">
        <v>395</v>
      </c>
      <c r="E274" t="s">
        <v>395</v>
      </c>
      <c r="F274" t="s">
        <v>396</v>
      </c>
      <c r="G274" t="s">
        <v>397</v>
      </c>
      <c r="H274" t="s">
        <v>398</v>
      </c>
      <c r="I274" t="s">
        <v>399</v>
      </c>
      <c r="J274" t="s">
        <v>749</v>
      </c>
      <c r="K274" t="s">
        <v>786</v>
      </c>
      <c r="L274" t="s">
        <v>787</v>
      </c>
      <c r="M274" t="s">
        <v>403</v>
      </c>
      <c r="N274">
        <v>1</v>
      </c>
      <c r="O274">
        <v>3</v>
      </c>
      <c r="P274" t="s">
        <v>949</v>
      </c>
      <c r="Q274" t="s">
        <v>430</v>
      </c>
      <c r="R274" t="s">
        <v>790</v>
      </c>
      <c r="S274" t="s">
        <v>950</v>
      </c>
      <c r="T274" t="s">
        <v>408</v>
      </c>
      <c r="U274">
        <v>50950072256</v>
      </c>
      <c r="W274">
        <v>12600</v>
      </c>
      <c r="X274" t="s">
        <v>409</v>
      </c>
      <c r="Y274" t="s">
        <v>410</v>
      </c>
      <c r="Z274" t="s">
        <v>410</v>
      </c>
      <c r="AA274" t="s">
        <v>411</v>
      </c>
      <c r="AB274" t="s">
        <v>554</v>
      </c>
      <c r="AC274" t="s">
        <v>411</v>
      </c>
      <c r="AD274">
        <v>46094</v>
      </c>
      <c r="AE274">
        <v>46118</v>
      </c>
      <c r="AF274">
        <v>46099</v>
      </c>
      <c r="AG274" t="s">
        <v>754</v>
      </c>
      <c r="AH274">
        <v>6137334</v>
      </c>
      <c r="AI274">
        <v>46092</v>
      </c>
      <c r="AJ274">
        <v>46093</v>
      </c>
      <c r="AK274">
        <v>12600</v>
      </c>
      <c r="AL274" t="s">
        <v>396</v>
      </c>
      <c r="AM274" t="s">
        <v>1499</v>
      </c>
      <c r="AN274">
        <v>46093</v>
      </c>
      <c r="AO274">
        <v>46093.400011574071</v>
      </c>
      <c r="AP274" t="s">
        <v>51</v>
      </c>
      <c r="AQ274">
        <v>0.63771999999999995</v>
      </c>
      <c r="AR274">
        <v>8035.27</v>
      </c>
      <c r="AS274" t="s">
        <v>51</v>
      </c>
      <c r="AT274">
        <v>8035.27</v>
      </c>
      <c r="AU274" t="s">
        <v>415</v>
      </c>
      <c r="AV274" t="s">
        <v>1420</v>
      </c>
      <c r="AW274" t="s">
        <v>1421</v>
      </c>
      <c r="AX274">
        <v>46099</v>
      </c>
      <c r="AY274">
        <v>46148</v>
      </c>
      <c r="AZ274" t="s">
        <v>1493</v>
      </c>
      <c r="BA274" t="s">
        <v>560</v>
      </c>
      <c r="BB274" t="s">
        <v>1494</v>
      </c>
      <c r="BC274">
        <v>350</v>
      </c>
      <c r="BD274" t="s">
        <v>521</v>
      </c>
      <c r="BE274">
        <v>3.74</v>
      </c>
      <c r="BF274">
        <v>2.0299999999999998</v>
      </c>
      <c r="BG274" t="s">
        <v>522</v>
      </c>
      <c r="BH274">
        <v>400</v>
      </c>
      <c r="BI274">
        <v>335</v>
      </c>
      <c r="BJ274">
        <v>230</v>
      </c>
      <c r="BK274">
        <v>36</v>
      </c>
      <c r="BL274" t="s">
        <v>521</v>
      </c>
      <c r="BM274">
        <v>159.63999999999999</v>
      </c>
      <c r="BN274">
        <v>73.08</v>
      </c>
      <c r="BO274">
        <v>159.63999999999999</v>
      </c>
      <c r="BP274" t="s">
        <v>522</v>
      </c>
      <c r="BQ274">
        <v>1219</v>
      </c>
      <c r="BR274">
        <v>1016</v>
      </c>
      <c r="BS274">
        <v>1080</v>
      </c>
      <c r="BT274">
        <v>1</v>
      </c>
      <c r="BU274">
        <v>0</v>
      </c>
      <c r="BV274">
        <v>1</v>
      </c>
      <c r="BW274">
        <v>36</v>
      </c>
      <c r="BX274">
        <v>0</v>
      </c>
      <c r="BY274">
        <v>36</v>
      </c>
      <c r="BZ274">
        <v>12600</v>
      </c>
      <c r="CA274">
        <v>0</v>
      </c>
      <c r="CB274">
        <v>12600</v>
      </c>
      <c r="CC274">
        <v>73.08</v>
      </c>
      <c r="CD274" t="s">
        <v>952</v>
      </c>
      <c r="CE274" t="s">
        <v>953</v>
      </c>
      <c r="CG274" t="s">
        <v>421</v>
      </c>
      <c r="CN274" t="str">
        <v>M19</v>
      </c>
      <c r="CO274" t="str">
        <v>1330-5YY0167EN</v>
      </c>
      <c r="CP274" t="str">
        <v>FFAU3131007</v>
      </c>
      <c r="CQ274" s="23">
        <v>1051.3656000000001</v>
      </c>
      <c r="CR274" s="25">
        <f t="shared" si="13"/>
        <v>0.14756633232436991</v>
      </c>
      <c r="CS274" s="21">
        <f t="shared" si="14"/>
        <v>368.91583081092477</v>
      </c>
    </row>
    <row r="275" spans="2:97" x14ac:dyDescent="0.35">
      <c r="B275" t="s">
        <v>297</v>
      </c>
      <c r="C275" t="s">
        <v>1500</v>
      </c>
      <c r="D275" t="s">
        <v>395</v>
      </c>
      <c r="E275" t="s">
        <v>395</v>
      </c>
      <c r="F275" t="s">
        <v>396</v>
      </c>
      <c r="G275" t="s">
        <v>397</v>
      </c>
      <c r="H275" t="s">
        <v>398</v>
      </c>
      <c r="I275" t="s">
        <v>399</v>
      </c>
      <c r="J275" t="s">
        <v>749</v>
      </c>
      <c r="K275" t="s">
        <v>786</v>
      </c>
      <c r="L275" t="s">
        <v>787</v>
      </c>
      <c r="M275" t="s">
        <v>403</v>
      </c>
      <c r="N275">
        <v>1</v>
      </c>
      <c r="O275">
        <v>1</v>
      </c>
      <c r="P275" t="s">
        <v>796</v>
      </c>
      <c r="Q275" t="s">
        <v>637</v>
      </c>
      <c r="R275" t="s">
        <v>790</v>
      </c>
      <c r="S275" t="s">
        <v>797</v>
      </c>
      <c r="T275" t="s">
        <v>408</v>
      </c>
      <c r="U275">
        <v>50950074329</v>
      </c>
      <c r="W275">
        <v>43200</v>
      </c>
      <c r="X275" t="s">
        <v>409</v>
      </c>
      <c r="Y275" t="s">
        <v>410</v>
      </c>
      <c r="Z275" t="s">
        <v>410</v>
      </c>
      <c r="AA275" t="s">
        <v>411</v>
      </c>
      <c r="AB275" t="s">
        <v>554</v>
      </c>
      <c r="AC275" t="s">
        <v>411</v>
      </c>
      <c r="AD275">
        <v>46090</v>
      </c>
      <c r="AE275">
        <v>46167</v>
      </c>
      <c r="AF275">
        <v>46099</v>
      </c>
      <c r="AG275" t="s">
        <v>754</v>
      </c>
      <c r="AH275">
        <v>6137335</v>
      </c>
      <c r="AI275">
        <v>46092</v>
      </c>
      <c r="AJ275">
        <v>46093</v>
      </c>
      <c r="AK275">
        <v>43200</v>
      </c>
      <c r="AL275" t="s">
        <v>396</v>
      </c>
      <c r="AM275" t="s">
        <v>1501</v>
      </c>
      <c r="AN275">
        <v>46093</v>
      </c>
      <c r="AO275">
        <v>46093.400011574071</v>
      </c>
      <c r="AP275" t="s">
        <v>51</v>
      </c>
      <c r="AQ275">
        <v>1.44828</v>
      </c>
      <c r="AR275">
        <v>62565.75</v>
      </c>
      <c r="AS275" t="s">
        <v>51</v>
      </c>
      <c r="AT275">
        <v>62565.75</v>
      </c>
      <c r="AU275" t="s">
        <v>415</v>
      </c>
      <c r="AV275" t="s">
        <v>1420</v>
      </c>
      <c r="AW275" t="s">
        <v>1421</v>
      </c>
      <c r="AX275">
        <v>46099</v>
      </c>
      <c r="AY275">
        <v>46148</v>
      </c>
      <c r="AZ275" t="s">
        <v>1493</v>
      </c>
      <c r="BA275" t="s">
        <v>560</v>
      </c>
      <c r="BB275" t="s">
        <v>1494</v>
      </c>
      <c r="BC275">
        <v>72</v>
      </c>
      <c r="BD275" t="s">
        <v>521</v>
      </c>
      <c r="BE275">
        <v>2.5280999999999998</v>
      </c>
      <c r="BF275">
        <v>1.3421000000000001</v>
      </c>
      <c r="BG275" t="s">
        <v>522</v>
      </c>
      <c r="BH275">
        <v>495</v>
      </c>
      <c r="BI275">
        <v>295</v>
      </c>
      <c r="BJ275">
        <v>180</v>
      </c>
      <c r="BK275">
        <v>40</v>
      </c>
      <c r="BL275" t="s">
        <v>521</v>
      </c>
      <c r="BM275">
        <v>128.124</v>
      </c>
      <c r="BN275">
        <v>53.683999999999997</v>
      </c>
      <c r="BO275">
        <v>1921.848</v>
      </c>
      <c r="BP275" t="s">
        <v>522</v>
      </c>
      <c r="BQ275">
        <v>1200</v>
      </c>
      <c r="BR275">
        <v>1000</v>
      </c>
      <c r="BS275">
        <v>1058</v>
      </c>
      <c r="BT275">
        <v>15</v>
      </c>
      <c r="BU275">
        <v>0</v>
      </c>
      <c r="BV275">
        <v>15</v>
      </c>
      <c r="BW275">
        <v>600</v>
      </c>
      <c r="BX275">
        <v>0</v>
      </c>
      <c r="BY275">
        <v>600</v>
      </c>
      <c r="BZ275">
        <v>43200</v>
      </c>
      <c r="CA275">
        <v>0</v>
      </c>
      <c r="CB275">
        <v>43200</v>
      </c>
      <c r="CC275">
        <v>805.24800000000005</v>
      </c>
      <c r="CD275" t="s">
        <v>799</v>
      </c>
      <c r="CE275" t="s">
        <v>800</v>
      </c>
      <c r="CG275" t="s">
        <v>421</v>
      </c>
      <c r="CN275" t="str">
        <v>M19</v>
      </c>
      <c r="CO275" t="str">
        <v>1330-5YY0183EN</v>
      </c>
      <c r="CP275" t="str">
        <v>FFAU3131007</v>
      </c>
      <c r="CQ275" s="23">
        <v>515.39520000000005</v>
      </c>
      <c r="CR275" s="25">
        <f t="shared" si="13"/>
        <v>7.2339231340254134E-2</v>
      </c>
      <c r="CS275" s="21">
        <f t="shared" si="14"/>
        <v>180.84807835063535</v>
      </c>
    </row>
    <row r="276" spans="2:97" x14ac:dyDescent="0.35">
      <c r="B276" t="s">
        <v>296</v>
      </c>
      <c r="C276" t="s">
        <v>948</v>
      </c>
      <c r="D276" t="s">
        <v>395</v>
      </c>
      <c r="E276" t="s">
        <v>395</v>
      </c>
      <c r="F276" t="s">
        <v>396</v>
      </c>
      <c r="G276" t="s">
        <v>397</v>
      </c>
      <c r="H276" t="s">
        <v>398</v>
      </c>
      <c r="I276" t="s">
        <v>399</v>
      </c>
      <c r="J276" t="s">
        <v>749</v>
      </c>
      <c r="K276" t="s">
        <v>786</v>
      </c>
      <c r="L276" t="s">
        <v>787</v>
      </c>
      <c r="M276" t="s">
        <v>403</v>
      </c>
      <c r="N276">
        <v>1</v>
      </c>
      <c r="O276">
        <v>2</v>
      </c>
      <c r="P276" t="s">
        <v>949</v>
      </c>
      <c r="Q276" t="s">
        <v>430</v>
      </c>
      <c r="R276" t="s">
        <v>790</v>
      </c>
      <c r="S276" t="s">
        <v>950</v>
      </c>
      <c r="T276" t="s">
        <v>408</v>
      </c>
      <c r="U276">
        <v>50950075102</v>
      </c>
      <c r="W276">
        <v>50400</v>
      </c>
      <c r="X276" t="s">
        <v>409</v>
      </c>
      <c r="Y276" t="s">
        <v>410</v>
      </c>
      <c r="Z276" t="s">
        <v>410</v>
      </c>
      <c r="AA276" t="s">
        <v>411</v>
      </c>
      <c r="AB276" t="s">
        <v>554</v>
      </c>
      <c r="AC276" t="s">
        <v>411</v>
      </c>
      <c r="AD276">
        <v>46094</v>
      </c>
      <c r="AE276">
        <v>46195</v>
      </c>
      <c r="AF276">
        <v>46099</v>
      </c>
      <c r="AG276" t="s">
        <v>754</v>
      </c>
      <c r="AH276">
        <v>6137336</v>
      </c>
      <c r="AI276">
        <v>46092</v>
      </c>
      <c r="AJ276">
        <v>46093</v>
      </c>
      <c r="AK276">
        <v>50400</v>
      </c>
      <c r="AL276" t="s">
        <v>396</v>
      </c>
      <c r="AM276" t="s">
        <v>1502</v>
      </c>
      <c r="AN276">
        <v>46093</v>
      </c>
      <c r="AO276">
        <v>46093.400011574071</v>
      </c>
      <c r="AP276" t="s">
        <v>51</v>
      </c>
      <c r="AQ276">
        <v>0.63771999999999995</v>
      </c>
      <c r="AR276">
        <v>32141.08</v>
      </c>
      <c r="AS276" t="s">
        <v>51</v>
      </c>
      <c r="AT276">
        <v>32141.08</v>
      </c>
      <c r="AU276" t="s">
        <v>415</v>
      </c>
      <c r="AV276" t="s">
        <v>1420</v>
      </c>
      <c r="AW276" t="s">
        <v>1421</v>
      </c>
      <c r="AX276">
        <v>46099</v>
      </c>
      <c r="AY276">
        <v>46148</v>
      </c>
      <c r="AZ276" t="s">
        <v>1493</v>
      </c>
      <c r="BA276" t="s">
        <v>560</v>
      </c>
      <c r="BB276" t="s">
        <v>1494</v>
      </c>
      <c r="BC276">
        <v>350</v>
      </c>
      <c r="BD276" t="s">
        <v>521</v>
      </c>
      <c r="BE276">
        <v>3.74</v>
      </c>
      <c r="BF276">
        <v>2.0299999999999998</v>
      </c>
      <c r="BG276" t="s">
        <v>522</v>
      </c>
      <c r="BH276">
        <v>400</v>
      </c>
      <c r="BI276">
        <v>335</v>
      </c>
      <c r="BJ276">
        <v>230</v>
      </c>
      <c r="BK276">
        <v>36</v>
      </c>
      <c r="BL276" t="s">
        <v>521</v>
      </c>
      <c r="BM276">
        <v>159.63999999999999</v>
      </c>
      <c r="BN276">
        <v>73.08</v>
      </c>
      <c r="BO276">
        <v>638.55999999999995</v>
      </c>
      <c r="BP276" t="s">
        <v>522</v>
      </c>
      <c r="BQ276">
        <v>1219</v>
      </c>
      <c r="BR276">
        <v>1016</v>
      </c>
      <c r="BS276">
        <v>1080</v>
      </c>
      <c r="BT276">
        <v>4</v>
      </c>
      <c r="BU276">
        <v>0</v>
      </c>
      <c r="BV276">
        <v>4</v>
      </c>
      <c r="BW276">
        <v>144</v>
      </c>
      <c r="BX276">
        <v>0</v>
      </c>
      <c r="BY276">
        <v>144</v>
      </c>
      <c r="BZ276">
        <v>50400</v>
      </c>
      <c r="CA276">
        <v>0</v>
      </c>
      <c r="CB276">
        <v>50400</v>
      </c>
      <c r="CC276">
        <v>292.32</v>
      </c>
      <c r="CD276" t="s">
        <v>952</v>
      </c>
      <c r="CE276" t="s">
        <v>953</v>
      </c>
      <c r="CG276" t="s">
        <v>421</v>
      </c>
      <c r="CN276" t="str">
        <v>M19</v>
      </c>
      <c r="CO276" t="str">
        <v>1330-5YY0183EN</v>
      </c>
      <c r="CP276" t="str">
        <v>FFAU3131007</v>
      </c>
      <c r="CQ276" s="23">
        <v>515.39520000000005</v>
      </c>
      <c r="CR276" s="25">
        <f t="shared" si="13"/>
        <v>7.2339231340254134E-2</v>
      </c>
      <c r="CS276" s="21">
        <f t="shared" si="14"/>
        <v>180.84807835063535</v>
      </c>
    </row>
    <row r="277" spans="2:97" x14ac:dyDescent="0.35">
      <c r="B277" t="s">
        <v>296</v>
      </c>
      <c r="C277" t="s">
        <v>1174</v>
      </c>
      <c r="D277" t="s">
        <v>395</v>
      </c>
      <c r="E277" t="s">
        <v>395</v>
      </c>
      <c r="F277" t="s">
        <v>396</v>
      </c>
      <c r="G277" t="s">
        <v>397</v>
      </c>
      <c r="H277" t="s">
        <v>398</v>
      </c>
      <c r="I277" t="s">
        <v>399</v>
      </c>
      <c r="J277" t="s">
        <v>749</v>
      </c>
      <c r="K277" t="s">
        <v>786</v>
      </c>
      <c r="L277" t="s">
        <v>787</v>
      </c>
      <c r="M277" t="s">
        <v>403</v>
      </c>
      <c r="N277">
        <v>1</v>
      </c>
      <c r="O277">
        <v>2</v>
      </c>
      <c r="P277" t="s">
        <v>949</v>
      </c>
      <c r="Q277" t="s">
        <v>430</v>
      </c>
      <c r="R277" t="s">
        <v>790</v>
      </c>
      <c r="S277" t="s">
        <v>950</v>
      </c>
      <c r="T277" t="s">
        <v>408</v>
      </c>
      <c r="U277">
        <v>50950078180</v>
      </c>
      <c r="W277">
        <v>12600</v>
      </c>
      <c r="X277" t="s">
        <v>409</v>
      </c>
      <c r="Y277" t="s">
        <v>410</v>
      </c>
      <c r="Z277" t="s">
        <v>410</v>
      </c>
      <c r="AA277" t="s">
        <v>411</v>
      </c>
      <c r="AB277" t="s">
        <v>554</v>
      </c>
      <c r="AC277" t="s">
        <v>411</v>
      </c>
      <c r="AD277">
        <v>46099</v>
      </c>
      <c r="AE277">
        <v>46314</v>
      </c>
      <c r="AF277">
        <v>46099</v>
      </c>
      <c r="AG277" t="s">
        <v>754</v>
      </c>
      <c r="AH277">
        <v>6137337</v>
      </c>
      <c r="AI277">
        <v>46092</v>
      </c>
      <c r="AJ277">
        <v>46093</v>
      </c>
      <c r="AK277">
        <v>12600</v>
      </c>
      <c r="AL277" t="s">
        <v>396</v>
      </c>
      <c r="AM277" t="s">
        <v>1503</v>
      </c>
      <c r="AN277">
        <v>46093</v>
      </c>
      <c r="AO277">
        <v>46093.400011574071</v>
      </c>
      <c r="AP277" t="s">
        <v>51</v>
      </c>
      <c r="AQ277">
        <v>0.63771999999999995</v>
      </c>
      <c r="AR277">
        <v>8035.27</v>
      </c>
      <c r="AS277" t="s">
        <v>51</v>
      </c>
      <c r="AT277">
        <v>8035.27</v>
      </c>
      <c r="AU277" t="s">
        <v>415</v>
      </c>
      <c r="AV277" t="s">
        <v>1420</v>
      </c>
      <c r="AW277" t="s">
        <v>1421</v>
      </c>
      <c r="AX277">
        <v>46099</v>
      </c>
      <c r="AY277">
        <v>46148</v>
      </c>
      <c r="AZ277" t="s">
        <v>1493</v>
      </c>
      <c r="BA277" t="s">
        <v>560</v>
      </c>
      <c r="BB277" t="s">
        <v>1494</v>
      </c>
      <c r="BC277">
        <v>350</v>
      </c>
      <c r="BD277" t="s">
        <v>521</v>
      </c>
      <c r="BE277">
        <v>3.74</v>
      </c>
      <c r="BF277">
        <v>2.0299999999999998</v>
      </c>
      <c r="BG277" t="s">
        <v>522</v>
      </c>
      <c r="BH277">
        <v>400</v>
      </c>
      <c r="BI277">
        <v>335</v>
      </c>
      <c r="BJ277">
        <v>230</v>
      </c>
      <c r="BK277">
        <v>36</v>
      </c>
      <c r="BL277" t="s">
        <v>521</v>
      </c>
      <c r="BM277">
        <v>159.63999999999999</v>
      </c>
      <c r="BN277">
        <v>73.08</v>
      </c>
      <c r="BO277">
        <v>159.63999999999999</v>
      </c>
      <c r="BP277" t="s">
        <v>522</v>
      </c>
      <c r="BQ277">
        <v>1219</v>
      </c>
      <c r="BR277">
        <v>1016</v>
      </c>
      <c r="BS277">
        <v>1080</v>
      </c>
      <c r="BT277">
        <v>1</v>
      </c>
      <c r="BU277">
        <v>0</v>
      </c>
      <c r="BV277">
        <v>1</v>
      </c>
      <c r="BW277">
        <v>36</v>
      </c>
      <c r="BX277">
        <v>0</v>
      </c>
      <c r="BY277">
        <v>36</v>
      </c>
      <c r="BZ277">
        <v>12600</v>
      </c>
      <c r="CA277">
        <v>0</v>
      </c>
      <c r="CB277">
        <v>12600</v>
      </c>
      <c r="CC277">
        <v>73.08</v>
      </c>
      <c r="CD277" t="s">
        <v>952</v>
      </c>
      <c r="CE277" t="s">
        <v>953</v>
      </c>
      <c r="CG277" t="s">
        <v>421</v>
      </c>
      <c r="CN277" t="str">
        <v>M45</v>
      </c>
      <c r="CO277" t="str">
        <v>1459-12C0018EN</v>
      </c>
      <c r="CP277" t="str">
        <v>FFAU3131007</v>
      </c>
      <c r="CQ277" s="23">
        <v>2363.4979199999998</v>
      </c>
      <c r="CR277" s="25">
        <f t="shared" si="13"/>
        <v>0.33173305224241406</v>
      </c>
      <c r="CS277" s="21">
        <f t="shared" si="14"/>
        <v>829.3326306060352</v>
      </c>
    </row>
    <row r="278" spans="2:97" x14ac:dyDescent="0.35">
      <c r="B278" t="s">
        <v>299</v>
      </c>
      <c r="C278" t="s">
        <v>1504</v>
      </c>
      <c r="D278" t="s">
        <v>395</v>
      </c>
      <c r="E278" t="s">
        <v>395</v>
      </c>
      <c r="F278" t="s">
        <v>396</v>
      </c>
      <c r="G278" t="s">
        <v>397</v>
      </c>
      <c r="H278" t="s">
        <v>398</v>
      </c>
      <c r="I278" t="s">
        <v>399</v>
      </c>
      <c r="J278" t="s">
        <v>749</v>
      </c>
      <c r="K278" t="s">
        <v>629</v>
      </c>
      <c r="L278" t="s">
        <v>787</v>
      </c>
      <c r="M278" t="s">
        <v>403</v>
      </c>
      <c r="N278">
        <v>1</v>
      </c>
      <c r="O278">
        <v>1</v>
      </c>
      <c r="P278" t="s">
        <v>1177</v>
      </c>
      <c r="Q278" t="s">
        <v>637</v>
      </c>
      <c r="R278" t="s">
        <v>1128</v>
      </c>
      <c r="S278" t="s">
        <v>1178</v>
      </c>
      <c r="T278" t="s">
        <v>408</v>
      </c>
      <c r="U278">
        <v>50950078278</v>
      </c>
      <c r="W278">
        <v>12000</v>
      </c>
      <c r="X278" t="s">
        <v>409</v>
      </c>
      <c r="Y278" t="s">
        <v>410</v>
      </c>
      <c r="Z278" t="s">
        <v>410</v>
      </c>
      <c r="AA278" t="s">
        <v>411</v>
      </c>
      <c r="AB278" t="s">
        <v>554</v>
      </c>
      <c r="AC278" t="s">
        <v>411</v>
      </c>
      <c r="AD278">
        <v>46097</v>
      </c>
      <c r="AE278">
        <v>46153</v>
      </c>
      <c r="AF278">
        <v>46099</v>
      </c>
      <c r="AG278" t="s">
        <v>754</v>
      </c>
      <c r="AH278">
        <v>6137338</v>
      </c>
      <c r="AI278">
        <v>46092</v>
      </c>
      <c r="AJ278">
        <v>46093</v>
      </c>
      <c r="AK278">
        <v>12000</v>
      </c>
      <c r="AL278" t="s">
        <v>396</v>
      </c>
      <c r="AM278" t="s">
        <v>1505</v>
      </c>
      <c r="AN278">
        <v>46093</v>
      </c>
      <c r="AO278">
        <v>46093.400011574071</v>
      </c>
      <c r="AP278" t="s">
        <v>51</v>
      </c>
      <c r="AQ278">
        <v>1.1251800000000001</v>
      </c>
      <c r="AR278">
        <v>13502.15</v>
      </c>
      <c r="AS278" t="s">
        <v>51</v>
      </c>
      <c r="AT278">
        <v>13502.15</v>
      </c>
      <c r="AU278" t="s">
        <v>415</v>
      </c>
      <c r="AV278" t="s">
        <v>1420</v>
      </c>
      <c r="AW278" t="s">
        <v>1421</v>
      </c>
      <c r="AX278">
        <v>46099</v>
      </c>
      <c r="AY278">
        <v>46148</v>
      </c>
      <c r="AZ278" t="s">
        <v>1493</v>
      </c>
      <c r="BA278" t="s">
        <v>560</v>
      </c>
      <c r="BB278" t="s">
        <v>1494</v>
      </c>
      <c r="BC278">
        <v>80</v>
      </c>
      <c r="BD278" t="s">
        <v>521</v>
      </c>
      <c r="BE278">
        <v>6.9805999999999999</v>
      </c>
      <c r="BF278">
        <v>3.0506000000000002</v>
      </c>
      <c r="BG278" t="s">
        <v>522</v>
      </c>
      <c r="BH278">
        <v>520</v>
      </c>
      <c r="BI278">
        <v>330</v>
      </c>
      <c r="BJ278">
        <v>190</v>
      </c>
      <c r="BK278">
        <v>30</v>
      </c>
      <c r="BL278" t="s">
        <v>521</v>
      </c>
      <c r="BM278">
        <v>235.41800000000001</v>
      </c>
      <c r="BN278">
        <v>91.518000000000001</v>
      </c>
      <c r="BO278">
        <v>1177.096</v>
      </c>
      <c r="BP278" t="s">
        <v>522</v>
      </c>
      <c r="BQ278">
        <v>1066</v>
      </c>
      <c r="BR278">
        <v>1066</v>
      </c>
      <c r="BS278">
        <v>1100</v>
      </c>
      <c r="BT278">
        <v>5</v>
      </c>
      <c r="BU278">
        <v>0</v>
      </c>
      <c r="BV278">
        <v>5</v>
      </c>
      <c r="BW278">
        <v>150</v>
      </c>
      <c r="BX278">
        <v>0</v>
      </c>
      <c r="BY278">
        <v>150</v>
      </c>
      <c r="BZ278">
        <v>12000</v>
      </c>
      <c r="CA278">
        <v>0</v>
      </c>
      <c r="CB278">
        <v>12000</v>
      </c>
      <c r="CC278">
        <v>457.596</v>
      </c>
      <c r="CD278" t="s">
        <v>1131</v>
      </c>
      <c r="CE278" t="s">
        <v>1132</v>
      </c>
      <c r="CG278" t="s">
        <v>421</v>
      </c>
      <c r="CN278" t="str">
        <v>M01</v>
      </c>
      <c r="CO278" t="str">
        <v>1277-1030086EN</v>
      </c>
      <c r="CP278" t="str">
        <v>FFAU3131007</v>
      </c>
      <c r="CQ278" s="23">
        <v>153.06</v>
      </c>
      <c r="CR278" s="25">
        <f t="shared" si="13"/>
        <v>2.1483014876621472E-2</v>
      </c>
      <c r="CS278" s="21">
        <f t="shared" si="14"/>
        <v>53.707537191553676</v>
      </c>
    </row>
    <row r="279" spans="2:97" x14ac:dyDescent="0.35">
      <c r="B279" t="s">
        <v>299</v>
      </c>
      <c r="C279" t="s">
        <v>964</v>
      </c>
      <c r="D279" t="s">
        <v>965</v>
      </c>
      <c r="E279" t="s">
        <v>395</v>
      </c>
      <c r="F279" t="s">
        <v>396</v>
      </c>
      <c r="G279" t="s">
        <v>397</v>
      </c>
      <c r="H279" t="s">
        <v>398</v>
      </c>
      <c r="I279" t="s">
        <v>399</v>
      </c>
      <c r="J279" t="s">
        <v>749</v>
      </c>
      <c r="K279" t="s">
        <v>526</v>
      </c>
      <c r="L279" t="s">
        <v>787</v>
      </c>
      <c r="M279" t="s">
        <v>403</v>
      </c>
      <c r="N279">
        <v>1</v>
      </c>
      <c r="O279">
        <v>2</v>
      </c>
      <c r="P279" t="s">
        <v>966</v>
      </c>
      <c r="Q279" t="s">
        <v>424</v>
      </c>
      <c r="R279" t="s">
        <v>959</v>
      </c>
      <c r="S279" t="s">
        <v>967</v>
      </c>
      <c r="T279" t="s">
        <v>408</v>
      </c>
      <c r="U279">
        <v>50950079499</v>
      </c>
      <c r="W279">
        <v>28512</v>
      </c>
      <c r="X279" t="s">
        <v>409</v>
      </c>
      <c r="Y279" t="s">
        <v>410</v>
      </c>
      <c r="Z279" t="s">
        <v>410</v>
      </c>
      <c r="AA279" t="s">
        <v>411</v>
      </c>
      <c r="AB279" t="s">
        <v>554</v>
      </c>
      <c r="AC279" t="s">
        <v>411</v>
      </c>
      <c r="AD279">
        <v>46081</v>
      </c>
      <c r="AE279">
        <v>46104</v>
      </c>
      <c r="AF279">
        <v>46099</v>
      </c>
      <c r="AG279" t="s">
        <v>754</v>
      </c>
      <c r="AH279">
        <v>6137339</v>
      </c>
      <c r="AI279">
        <v>46092</v>
      </c>
      <c r="AJ279">
        <v>46093</v>
      </c>
      <c r="AK279">
        <v>28512</v>
      </c>
      <c r="AL279" t="s">
        <v>396</v>
      </c>
      <c r="AM279" t="s">
        <v>1506</v>
      </c>
      <c r="AN279">
        <v>46093</v>
      </c>
      <c r="AO279">
        <v>46093.400011574071</v>
      </c>
      <c r="AP279" t="s">
        <v>51</v>
      </c>
      <c r="AQ279">
        <v>5.5079999999999997E-2</v>
      </c>
      <c r="AR279">
        <v>1570.44</v>
      </c>
      <c r="AS279" t="s">
        <v>51</v>
      </c>
      <c r="AT279">
        <v>1570.44</v>
      </c>
      <c r="AU279" t="s">
        <v>415</v>
      </c>
      <c r="AV279" t="s">
        <v>1420</v>
      </c>
      <c r="AW279" t="s">
        <v>1421</v>
      </c>
      <c r="AX279">
        <v>46099</v>
      </c>
      <c r="AY279">
        <v>46148</v>
      </c>
      <c r="AZ279" t="s">
        <v>1493</v>
      </c>
      <c r="BA279" t="s">
        <v>560</v>
      </c>
      <c r="BB279" t="s">
        <v>1494</v>
      </c>
      <c r="BC279">
        <v>594</v>
      </c>
      <c r="BD279" t="s">
        <v>521</v>
      </c>
      <c r="BE279">
        <v>8.2226999999999997</v>
      </c>
      <c r="BF279">
        <v>7.9726999999999997</v>
      </c>
      <c r="BG279" t="s">
        <v>522</v>
      </c>
      <c r="BH279">
        <v>286</v>
      </c>
      <c r="BI279">
        <v>190</v>
      </c>
      <c r="BJ279">
        <v>72</v>
      </c>
      <c r="BK279">
        <v>48</v>
      </c>
      <c r="BL279" t="s">
        <v>521</v>
      </c>
      <c r="BM279">
        <v>419.688064</v>
      </c>
      <c r="BN279">
        <v>382.688064</v>
      </c>
      <c r="BO279">
        <v>419.688064</v>
      </c>
      <c r="BP279" t="s">
        <v>522</v>
      </c>
      <c r="BQ279">
        <v>1200</v>
      </c>
      <c r="BR279">
        <v>800</v>
      </c>
      <c r="BS279">
        <v>378</v>
      </c>
      <c r="BT279">
        <v>1</v>
      </c>
      <c r="BU279">
        <v>0</v>
      </c>
      <c r="BV279">
        <v>1</v>
      </c>
      <c r="BW279">
        <v>48</v>
      </c>
      <c r="BX279">
        <v>0</v>
      </c>
      <c r="BY279">
        <v>48</v>
      </c>
      <c r="BZ279">
        <v>28512</v>
      </c>
      <c r="CA279">
        <v>0</v>
      </c>
      <c r="CB279">
        <v>28512</v>
      </c>
      <c r="CC279">
        <v>382.688064</v>
      </c>
      <c r="CD279" t="s">
        <v>969</v>
      </c>
      <c r="CE279" t="s">
        <v>970</v>
      </c>
      <c r="CG279" t="s">
        <v>421</v>
      </c>
      <c r="CN279" t="str">
        <v>M01</v>
      </c>
      <c r="CO279" t="str">
        <v>1999-1031497EN</v>
      </c>
      <c r="CP279" t="str">
        <v>FFAU5676599</v>
      </c>
      <c r="CQ279" s="23">
        <v>520.79999999999995</v>
      </c>
      <c r="CR279" s="25">
        <f t="shared" si="13"/>
        <v>3.6875127910599936E-2</v>
      </c>
      <c r="CS279" s="21">
        <f t="shared" si="14"/>
        <v>92.187819776499836</v>
      </c>
    </row>
    <row r="280" spans="2:97" x14ac:dyDescent="0.35">
      <c r="B280" t="s">
        <v>299</v>
      </c>
      <c r="C280" t="s">
        <v>1507</v>
      </c>
      <c r="D280" t="s">
        <v>395</v>
      </c>
      <c r="E280" t="s">
        <v>395</v>
      </c>
      <c r="F280" t="s">
        <v>396</v>
      </c>
      <c r="G280" t="s">
        <v>397</v>
      </c>
      <c r="H280" t="s">
        <v>398</v>
      </c>
      <c r="I280" t="s">
        <v>399</v>
      </c>
      <c r="J280" t="s">
        <v>749</v>
      </c>
      <c r="K280" t="s">
        <v>809</v>
      </c>
      <c r="L280" t="s">
        <v>787</v>
      </c>
      <c r="M280" t="s">
        <v>403</v>
      </c>
      <c r="N280">
        <v>1</v>
      </c>
      <c r="O280">
        <v>2</v>
      </c>
      <c r="P280" t="s">
        <v>1508</v>
      </c>
      <c r="Q280" t="s">
        <v>943</v>
      </c>
      <c r="R280" t="s">
        <v>1509</v>
      </c>
      <c r="S280" t="s">
        <v>1510</v>
      </c>
      <c r="T280" t="s">
        <v>408</v>
      </c>
      <c r="U280">
        <v>50950079502</v>
      </c>
      <c r="W280">
        <v>1440</v>
      </c>
      <c r="X280" t="s">
        <v>409</v>
      </c>
      <c r="Y280" t="s">
        <v>410</v>
      </c>
      <c r="Z280" t="s">
        <v>410</v>
      </c>
      <c r="AA280" t="s">
        <v>411</v>
      </c>
      <c r="AB280" t="s">
        <v>554</v>
      </c>
      <c r="AC280" t="s">
        <v>411</v>
      </c>
      <c r="AD280">
        <v>46090</v>
      </c>
      <c r="AE280">
        <v>46076</v>
      </c>
      <c r="AF280">
        <v>46099</v>
      </c>
      <c r="AG280" t="s">
        <v>754</v>
      </c>
      <c r="AH280">
        <v>6137673</v>
      </c>
      <c r="AI280">
        <v>46092</v>
      </c>
      <c r="AJ280">
        <v>46093</v>
      </c>
      <c r="AK280">
        <v>1440</v>
      </c>
      <c r="AL280" t="s">
        <v>396</v>
      </c>
      <c r="AM280" t="s">
        <v>1511</v>
      </c>
      <c r="AN280">
        <v>46093</v>
      </c>
      <c r="AO280">
        <v>46093.600787037038</v>
      </c>
      <c r="AP280" t="s">
        <v>51</v>
      </c>
      <c r="AQ280">
        <v>1.0311999999999999</v>
      </c>
      <c r="AR280">
        <v>1484.92</v>
      </c>
      <c r="AS280" t="s">
        <v>51</v>
      </c>
      <c r="AT280">
        <v>1484.92</v>
      </c>
      <c r="AU280" t="s">
        <v>415</v>
      </c>
      <c r="AV280" t="s">
        <v>1420</v>
      </c>
      <c r="AW280" t="s">
        <v>1421</v>
      </c>
      <c r="AX280">
        <v>46099</v>
      </c>
      <c r="AY280">
        <v>46148</v>
      </c>
      <c r="AZ280" t="s">
        <v>1487</v>
      </c>
      <c r="BA280" t="s">
        <v>560</v>
      </c>
      <c r="BB280" t="s">
        <v>1488</v>
      </c>
      <c r="BC280">
        <v>24</v>
      </c>
      <c r="BD280" t="s">
        <v>521</v>
      </c>
      <c r="BE280">
        <v>4.4367000000000001</v>
      </c>
      <c r="BF280">
        <v>2.9767000000000001</v>
      </c>
      <c r="BG280" t="s">
        <v>522</v>
      </c>
      <c r="BH280">
        <v>495</v>
      </c>
      <c r="BI280">
        <v>395</v>
      </c>
      <c r="BJ280">
        <v>190</v>
      </c>
      <c r="BK280">
        <v>30</v>
      </c>
      <c r="BL280" t="s">
        <v>521</v>
      </c>
      <c r="BM280">
        <v>160.101</v>
      </c>
      <c r="BN280">
        <v>89.301000000000002</v>
      </c>
      <c r="BO280">
        <v>320.20319999999998</v>
      </c>
      <c r="BP280" t="s">
        <v>522</v>
      </c>
      <c r="BQ280">
        <v>1200</v>
      </c>
      <c r="BR280">
        <v>1000</v>
      </c>
      <c r="BS280">
        <v>1120</v>
      </c>
      <c r="BT280">
        <v>2</v>
      </c>
      <c r="BU280">
        <v>0</v>
      </c>
      <c r="BV280">
        <v>2</v>
      </c>
      <c r="BW280">
        <v>60</v>
      </c>
      <c r="BX280">
        <v>0</v>
      </c>
      <c r="BY280">
        <v>60</v>
      </c>
      <c r="BZ280">
        <v>1440</v>
      </c>
      <c r="CA280">
        <v>0</v>
      </c>
      <c r="CB280">
        <v>1440</v>
      </c>
      <c r="CC280">
        <v>178.60319999999999</v>
      </c>
      <c r="CD280" t="s">
        <v>806</v>
      </c>
      <c r="CE280" t="s">
        <v>821</v>
      </c>
      <c r="CG280" t="s">
        <v>421</v>
      </c>
      <c r="CN280" t="str">
        <v>M01</v>
      </c>
      <c r="CO280" t="str">
        <v>1200-1030990EN0002</v>
      </c>
      <c r="CP280" t="str">
        <v>FFAU5676599</v>
      </c>
      <c r="CQ280" s="23">
        <v>576.17280000000005</v>
      </c>
      <c r="CR280" s="25">
        <f t="shared" si="13"/>
        <v>4.0795786671675341E-2</v>
      </c>
      <c r="CS280" s="21">
        <f t="shared" si="14"/>
        <v>101.98946667918835</v>
      </c>
    </row>
    <row r="281" spans="2:97" x14ac:dyDescent="0.35">
      <c r="B281" t="s">
        <v>296</v>
      </c>
      <c r="C281" t="s">
        <v>1512</v>
      </c>
      <c r="D281" t="s">
        <v>395</v>
      </c>
      <c r="E281" t="s">
        <v>395</v>
      </c>
      <c r="F281" t="s">
        <v>396</v>
      </c>
      <c r="G281" t="s">
        <v>397</v>
      </c>
      <c r="H281" t="s">
        <v>398</v>
      </c>
      <c r="I281" t="s">
        <v>399</v>
      </c>
      <c r="J281" t="s">
        <v>749</v>
      </c>
      <c r="K281" t="s">
        <v>515</v>
      </c>
      <c r="L281" t="s">
        <v>787</v>
      </c>
      <c r="M281" t="s">
        <v>403</v>
      </c>
      <c r="N281">
        <v>1</v>
      </c>
      <c r="O281">
        <v>1</v>
      </c>
      <c r="P281" t="s">
        <v>1513</v>
      </c>
      <c r="Q281" t="s">
        <v>430</v>
      </c>
      <c r="R281" t="s">
        <v>691</v>
      </c>
      <c r="S281" t="s">
        <v>1514</v>
      </c>
      <c r="T281" t="s">
        <v>408</v>
      </c>
      <c r="U281">
        <v>50950080008</v>
      </c>
      <c r="W281">
        <v>48000</v>
      </c>
      <c r="X281" t="s">
        <v>409</v>
      </c>
      <c r="Y281" t="s">
        <v>410</v>
      </c>
      <c r="Z281" t="s">
        <v>410</v>
      </c>
      <c r="AA281" t="s">
        <v>411</v>
      </c>
      <c r="AB281" t="s">
        <v>554</v>
      </c>
      <c r="AC281" t="s">
        <v>411</v>
      </c>
      <c r="AD281">
        <v>46090</v>
      </c>
      <c r="AE281">
        <v>46146</v>
      </c>
      <c r="AF281">
        <v>46099</v>
      </c>
      <c r="AG281" t="s">
        <v>754</v>
      </c>
      <c r="AH281">
        <v>6137674</v>
      </c>
      <c r="AI281">
        <v>46092</v>
      </c>
      <c r="AJ281">
        <v>46093</v>
      </c>
      <c r="AK281">
        <v>48000</v>
      </c>
      <c r="AL281" t="s">
        <v>396</v>
      </c>
      <c r="AM281" t="s">
        <v>1515</v>
      </c>
      <c r="AN281">
        <v>46093</v>
      </c>
      <c r="AO281">
        <v>46093.600787037038</v>
      </c>
      <c r="AP281" t="s">
        <v>51</v>
      </c>
      <c r="AQ281">
        <v>2.9409999999999999E-2</v>
      </c>
      <c r="AR281">
        <v>1411.68</v>
      </c>
      <c r="AS281" t="s">
        <v>51</v>
      </c>
      <c r="AT281">
        <v>1411.68</v>
      </c>
      <c r="AU281" t="s">
        <v>415</v>
      </c>
      <c r="AV281" t="s">
        <v>1420</v>
      </c>
      <c r="AW281" t="s">
        <v>1421</v>
      </c>
      <c r="AX281">
        <v>46099</v>
      </c>
      <c r="AY281">
        <v>46148</v>
      </c>
      <c r="AZ281" t="s">
        <v>1487</v>
      </c>
      <c r="BA281" t="s">
        <v>560</v>
      </c>
      <c r="BB281" t="s">
        <v>1488</v>
      </c>
      <c r="BC281">
        <v>12000</v>
      </c>
      <c r="BD281" t="s">
        <v>521</v>
      </c>
      <c r="BE281">
        <v>10.519</v>
      </c>
      <c r="BF281">
        <v>9.84</v>
      </c>
      <c r="BG281" t="s">
        <v>522</v>
      </c>
      <c r="BH281">
        <v>395</v>
      </c>
      <c r="BI281">
        <v>295</v>
      </c>
      <c r="BJ281">
        <v>174</v>
      </c>
      <c r="BK281">
        <v>6</v>
      </c>
      <c r="BL281" t="s">
        <v>521</v>
      </c>
      <c r="BM281">
        <v>50.076000000000001</v>
      </c>
      <c r="BN281">
        <v>39.36</v>
      </c>
      <c r="BO281">
        <v>50.076000000000001</v>
      </c>
      <c r="BP281" t="s">
        <v>522</v>
      </c>
      <c r="BQ281">
        <v>800</v>
      </c>
      <c r="BR281">
        <v>300</v>
      </c>
      <c r="BS281">
        <v>698</v>
      </c>
      <c r="BT281">
        <v>0</v>
      </c>
      <c r="BU281">
        <v>1</v>
      </c>
      <c r="BV281">
        <v>1</v>
      </c>
      <c r="BW281">
        <v>4</v>
      </c>
      <c r="BX281">
        <v>0</v>
      </c>
      <c r="BY281">
        <v>4</v>
      </c>
      <c r="BZ281">
        <v>0</v>
      </c>
      <c r="CA281">
        <v>48000</v>
      </c>
      <c r="CB281">
        <v>48000</v>
      </c>
      <c r="CC281">
        <v>39.36</v>
      </c>
      <c r="CD281" t="s">
        <v>659</v>
      </c>
      <c r="CE281" t="s">
        <v>1006</v>
      </c>
      <c r="CG281" t="s">
        <v>421</v>
      </c>
      <c r="CN281" t="str">
        <v>M19</v>
      </c>
      <c r="CO281" t="str">
        <v>1275-5YY0352EN</v>
      </c>
      <c r="CP281" t="str">
        <v>FFAU5676599</v>
      </c>
      <c r="CQ281" s="23">
        <v>635.22</v>
      </c>
      <c r="CR281" s="25">
        <f t="shared" si="13"/>
        <v>4.4976610505705249E-2</v>
      </c>
      <c r="CS281" s="21">
        <f t="shared" si="14"/>
        <v>112.44152626426312</v>
      </c>
    </row>
    <row r="282" spans="2:97" x14ac:dyDescent="0.35">
      <c r="B282" t="s">
        <v>296</v>
      </c>
      <c r="C282" t="s">
        <v>1516</v>
      </c>
      <c r="D282" t="s">
        <v>395</v>
      </c>
      <c r="E282" t="s">
        <v>395</v>
      </c>
      <c r="F282" t="s">
        <v>396</v>
      </c>
      <c r="G282" t="s">
        <v>397</v>
      </c>
      <c r="H282" t="s">
        <v>398</v>
      </c>
      <c r="I282" t="s">
        <v>399</v>
      </c>
      <c r="J282" t="s">
        <v>749</v>
      </c>
      <c r="K282" t="s">
        <v>515</v>
      </c>
      <c r="L282" t="s">
        <v>787</v>
      </c>
      <c r="M282" t="s">
        <v>403</v>
      </c>
      <c r="N282">
        <v>1</v>
      </c>
      <c r="O282">
        <v>1</v>
      </c>
      <c r="P282" t="s">
        <v>978</v>
      </c>
      <c r="Q282" t="s">
        <v>430</v>
      </c>
      <c r="R282" t="s">
        <v>691</v>
      </c>
      <c r="S282" t="s">
        <v>979</v>
      </c>
      <c r="T282" t="s">
        <v>408</v>
      </c>
      <c r="U282">
        <v>50950080011</v>
      </c>
      <c r="W282">
        <v>48000</v>
      </c>
      <c r="X282" t="s">
        <v>409</v>
      </c>
      <c r="Y282" t="s">
        <v>410</v>
      </c>
      <c r="Z282" t="s">
        <v>410</v>
      </c>
      <c r="AA282" t="s">
        <v>411</v>
      </c>
      <c r="AB282" t="s">
        <v>554</v>
      </c>
      <c r="AC282" t="s">
        <v>411</v>
      </c>
      <c r="AD282">
        <v>46090</v>
      </c>
      <c r="AE282">
        <v>46132</v>
      </c>
      <c r="AF282">
        <v>46099</v>
      </c>
      <c r="AG282" t="s">
        <v>754</v>
      </c>
      <c r="AH282">
        <v>6137675</v>
      </c>
      <c r="AI282">
        <v>46092</v>
      </c>
      <c r="AJ282">
        <v>46093</v>
      </c>
      <c r="AK282">
        <v>48000</v>
      </c>
      <c r="AL282" t="s">
        <v>396</v>
      </c>
      <c r="AM282" t="s">
        <v>1517</v>
      </c>
      <c r="AN282">
        <v>46093</v>
      </c>
      <c r="AO282">
        <v>46093.600787037038</v>
      </c>
      <c r="AP282" t="s">
        <v>51</v>
      </c>
      <c r="AQ282">
        <v>2.4469999999999999E-2</v>
      </c>
      <c r="AR282">
        <v>1174.56</v>
      </c>
      <c r="AS282" t="s">
        <v>51</v>
      </c>
      <c r="AT282">
        <v>1174.56</v>
      </c>
      <c r="AU282" t="s">
        <v>415</v>
      </c>
      <c r="AV282" t="s">
        <v>1420</v>
      </c>
      <c r="AW282" t="s">
        <v>1421</v>
      </c>
      <c r="AX282">
        <v>46099</v>
      </c>
      <c r="AY282">
        <v>46148</v>
      </c>
      <c r="AZ282" t="s">
        <v>1487</v>
      </c>
      <c r="BA282" t="s">
        <v>560</v>
      </c>
      <c r="BB282" t="s">
        <v>1488</v>
      </c>
      <c r="BC282">
        <v>16000</v>
      </c>
      <c r="BD282" t="s">
        <v>521</v>
      </c>
      <c r="BE282">
        <v>8.9338499999999996</v>
      </c>
      <c r="BF282">
        <v>8</v>
      </c>
      <c r="BG282" t="s">
        <v>522</v>
      </c>
      <c r="BH282">
        <v>398</v>
      </c>
      <c r="BI282">
        <v>298</v>
      </c>
      <c r="BJ282">
        <v>155</v>
      </c>
      <c r="BK282">
        <v>6</v>
      </c>
      <c r="BL282" t="s">
        <v>521</v>
      </c>
      <c r="BM282">
        <v>34.801549999999999</v>
      </c>
      <c r="BN282">
        <v>24</v>
      </c>
      <c r="BO282">
        <v>34.801549999999999</v>
      </c>
      <c r="BP282" t="s">
        <v>522</v>
      </c>
      <c r="BQ282">
        <v>800</v>
      </c>
      <c r="BR282">
        <v>300</v>
      </c>
      <c r="BS282">
        <v>608</v>
      </c>
      <c r="BT282">
        <v>0</v>
      </c>
      <c r="BU282">
        <v>1</v>
      </c>
      <c r="BV282">
        <v>1</v>
      </c>
      <c r="BW282">
        <v>3</v>
      </c>
      <c r="BX282">
        <v>0</v>
      </c>
      <c r="BY282">
        <v>3</v>
      </c>
      <c r="BZ282">
        <v>0</v>
      </c>
      <c r="CA282">
        <v>48000</v>
      </c>
      <c r="CB282">
        <v>48000</v>
      </c>
      <c r="CC282">
        <v>24</v>
      </c>
      <c r="CD282" t="s">
        <v>523</v>
      </c>
      <c r="CE282" t="s">
        <v>981</v>
      </c>
      <c r="CG282" t="s">
        <v>421</v>
      </c>
      <c r="CN282" t="str">
        <v>M19</v>
      </c>
      <c r="CO282" t="str">
        <v>1275-5YY0685EN</v>
      </c>
      <c r="CP282" t="str">
        <v>FFAU5676599</v>
      </c>
      <c r="CQ282" s="23">
        <v>832.06399999999996</v>
      </c>
      <c r="CR282" s="25">
        <f t="shared" si="13"/>
        <v>5.891410604801349E-2</v>
      </c>
      <c r="CS282" s="21">
        <f t="shared" si="14"/>
        <v>147.28526512003373</v>
      </c>
    </row>
    <row r="283" spans="2:97" x14ac:dyDescent="0.35">
      <c r="B283" t="s">
        <v>296</v>
      </c>
      <c r="C283" t="s">
        <v>1518</v>
      </c>
      <c r="D283" t="s">
        <v>395</v>
      </c>
      <c r="E283" t="s">
        <v>395</v>
      </c>
      <c r="F283" t="s">
        <v>396</v>
      </c>
      <c r="G283" t="s">
        <v>397</v>
      </c>
      <c r="H283" t="s">
        <v>398</v>
      </c>
      <c r="I283" t="s">
        <v>399</v>
      </c>
      <c r="J283" t="s">
        <v>749</v>
      </c>
      <c r="K283" t="s">
        <v>515</v>
      </c>
      <c r="L283" t="s">
        <v>787</v>
      </c>
      <c r="M283" t="s">
        <v>403</v>
      </c>
      <c r="N283">
        <v>1</v>
      </c>
      <c r="O283">
        <v>1</v>
      </c>
      <c r="P283" t="s">
        <v>987</v>
      </c>
      <c r="Q283" t="s">
        <v>405</v>
      </c>
      <c r="R283" t="s">
        <v>691</v>
      </c>
      <c r="S283" t="s">
        <v>988</v>
      </c>
      <c r="T283" t="s">
        <v>408</v>
      </c>
      <c r="U283">
        <v>50950080022</v>
      </c>
      <c r="W283">
        <v>48000</v>
      </c>
      <c r="X283" t="s">
        <v>409</v>
      </c>
      <c r="Y283" t="s">
        <v>410</v>
      </c>
      <c r="Z283" t="s">
        <v>410</v>
      </c>
      <c r="AA283" t="s">
        <v>411</v>
      </c>
      <c r="AB283" t="s">
        <v>554</v>
      </c>
      <c r="AC283" t="s">
        <v>411</v>
      </c>
      <c r="AD283">
        <v>46090</v>
      </c>
      <c r="AE283">
        <v>46132</v>
      </c>
      <c r="AF283">
        <v>46099</v>
      </c>
      <c r="AG283" t="s">
        <v>754</v>
      </c>
      <c r="AH283">
        <v>6137676</v>
      </c>
      <c r="AI283">
        <v>46092</v>
      </c>
      <c r="AJ283">
        <v>46093</v>
      </c>
      <c r="AK283">
        <v>48000</v>
      </c>
      <c r="AL283" t="s">
        <v>396</v>
      </c>
      <c r="AM283" t="s">
        <v>1519</v>
      </c>
      <c r="AN283">
        <v>46093</v>
      </c>
      <c r="AO283">
        <v>46093.600787037038</v>
      </c>
      <c r="AP283" t="s">
        <v>51</v>
      </c>
      <c r="AQ283">
        <v>1.1990000000000001E-2</v>
      </c>
      <c r="AR283">
        <v>575.52</v>
      </c>
      <c r="AS283" t="s">
        <v>51</v>
      </c>
      <c r="AT283">
        <v>575.52</v>
      </c>
      <c r="AU283" t="s">
        <v>415</v>
      </c>
      <c r="AV283" t="s">
        <v>1420</v>
      </c>
      <c r="AW283" t="s">
        <v>1421</v>
      </c>
      <c r="AX283">
        <v>46099</v>
      </c>
      <c r="AY283">
        <v>46148</v>
      </c>
      <c r="AZ283" t="s">
        <v>1487</v>
      </c>
      <c r="BA283" t="s">
        <v>560</v>
      </c>
      <c r="BB283" t="s">
        <v>1488</v>
      </c>
      <c r="BC283">
        <v>24000</v>
      </c>
      <c r="BD283" t="s">
        <v>521</v>
      </c>
      <c r="BE283">
        <v>11.613849999999999</v>
      </c>
      <c r="BF283">
        <v>10.68</v>
      </c>
      <c r="BG283" t="s">
        <v>522</v>
      </c>
      <c r="BH283">
        <v>398</v>
      </c>
      <c r="BI283">
        <v>298</v>
      </c>
      <c r="BJ283">
        <v>155</v>
      </c>
      <c r="BK283">
        <v>6</v>
      </c>
      <c r="BL283" t="s">
        <v>521</v>
      </c>
      <c r="BM283">
        <v>31.227699999999999</v>
      </c>
      <c r="BN283">
        <v>21.36</v>
      </c>
      <c r="BO283">
        <v>31.227699999999999</v>
      </c>
      <c r="BP283" t="s">
        <v>522</v>
      </c>
      <c r="BQ283">
        <v>800</v>
      </c>
      <c r="BR283">
        <v>300</v>
      </c>
      <c r="BS283">
        <v>608</v>
      </c>
      <c r="BT283">
        <v>0</v>
      </c>
      <c r="BU283">
        <v>1</v>
      </c>
      <c r="BV283">
        <v>1</v>
      </c>
      <c r="BW283">
        <v>2</v>
      </c>
      <c r="BX283">
        <v>0</v>
      </c>
      <c r="BY283">
        <v>2</v>
      </c>
      <c r="BZ283">
        <v>0</v>
      </c>
      <c r="CA283">
        <v>48000</v>
      </c>
      <c r="CB283">
        <v>48000</v>
      </c>
      <c r="CC283">
        <v>21.36</v>
      </c>
      <c r="CD283" t="s">
        <v>523</v>
      </c>
      <c r="CE283" t="s">
        <v>981</v>
      </c>
      <c r="CG283" t="s">
        <v>421</v>
      </c>
      <c r="CN283" t="str">
        <v>M19</v>
      </c>
      <c r="CO283" t="str">
        <v>1275-5YY0564EN</v>
      </c>
      <c r="CP283" t="str">
        <v>FFAU5676599</v>
      </c>
      <c r="CQ283" s="23">
        <v>590.78599999999994</v>
      </c>
      <c r="CR283" s="25">
        <f t="shared" si="13"/>
        <v>4.1830471040306627E-2</v>
      </c>
      <c r="CS283" s="21">
        <f t="shared" si="14"/>
        <v>104.57617760076657</v>
      </c>
    </row>
    <row r="284" spans="2:97" x14ac:dyDescent="0.35">
      <c r="B284" t="s">
        <v>299</v>
      </c>
      <c r="C284" t="s">
        <v>1380</v>
      </c>
      <c r="D284" t="s">
        <v>965</v>
      </c>
      <c r="E284" t="s">
        <v>395</v>
      </c>
      <c r="F284" t="s">
        <v>396</v>
      </c>
      <c r="G284" t="s">
        <v>397</v>
      </c>
      <c r="H284" t="s">
        <v>398</v>
      </c>
      <c r="I284" t="s">
        <v>399</v>
      </c>
      <c r="J284" t="s">
        <v>749</v>
      </c>
      <c r="K284" t="s">
        <v>809</v>
      </c>
      <c r="L284" t="s">
        <v>787</v>
      </c>
      <c r="M284" t="s">
        <v>403</v>
      </c>
      <c r="N284">
        <v>1</v>
      </c>
      <c r="O284">
        <v>2</v>
      </c>
      <c r="P284" t="s">
        <v>810</v>
      </c>
      <c r="Q284" t="s">
        <v>405</v>
      </c>
      <c r="R284" t="s">
        <v>811</v>
      </c>
      <c r="S284" t="s">
        <v>812</v>
      </c>
      <c r="T284" t="s">
        <v>408</v>
      </c>
      <c r="U284">
        <v>50950080270</v>
      </c>
      <c r="W284">
        <v>7200</v>
      </c>
      <c r="X284" t="s">
        <v>409</v>
      </c>
      <c r="Y284" t="s">
        <v>410</v>
      </c>
      <c r="Z284" t="s">
        <v>410</v>
      </c>
      <c r="AA284" t="s">
        <v>411</v>
      </c>
      <c r="AB284" t="s">
        <v>554</v>
      </c>
      <c r="AC284" t="s">
        <v>411</v>
      </c>
      <c r="AD284">
        <v>46095</v>
      </c>
      <c r="AE284">
        <v>46125</v>
      </c>
      <c r="AF284">
        <v>46099</v>
      </c>
      <c r="AG284" t="s">
        <v>754</v>
      </c>
      <c r="AH284">
        <v>6137677</v>
      </c>
      <c r="AI284">
        <v>46092</v>
      </c>
      <c r="AJ284">
        <v>46093</v>
      </c>
      <c r="AK284">
        <v>7200</v>
      </c>
      <c r="AL284" t="s">
        <v>396</v>
      </c>
      <c r="AM284" t="s">
        <v>1520</v>
      </c>
      <c r="AN284">
        <v>46093</v>
      </c>
      <c r="AO284">
        <v>46093.600787037038</v>
      </c>
      <c r="AP284" t="s">
        <v>51</v>
      </c>
      <c r="AQ284">
        <v>1.96204</v>
      </c>
      <c r="AR284">
        <v>14126.7</v>
      </c>
      <c r="AS284" t="s">
        <v>51</v>
      </c>
      <c r="AT284">
        <v>14126.7</v>
      </c>
      <c r="AU284" t="s">
        <v>415</v>
      </c>
      <c r="AV284" t="s">
        <v>1420</v>
      </c>
      <c r="AW284" t="s">
        <v>1421</v>
      </c>
      <c r="AX284">
        <v>46099</v>
      </c>
      <c r="AY284">
        <v>46148</v>
      </c>
      <c r="AZ284" t="s">
        <v>1487</v>
      </c>
      <c r="BA284" t="s">
        <v>560</v>
      </c>
      <c r="BB284" t="s">
        <v>1488</v>
      </c>
      <c r="BC284">
        <v>16</v>
      </c>
      <c r="BD284" t="s">
        <v>521</v>
      </c>
      <c r="BE284">
        <v>4.9545000000000003</v>
      </c>
      <c r="BF284">
        <v>3.7555000000000001</v>
      </c>
      <c r="BG284" t="s">
        <v>522</v>
      </c>
      <c r="BH284">
        <v>495</v>
      </c>
      <c r="BI284">
        <v>395</v>
      </c>
      <c r="BJ284">
        <v>190</v>
      </c>
      <c r="BK284">
        <v>30</v>
      </c>
      <c r="BL284" t="s">
        <v>521</v>
      </c>
      <c r="BM284">
        <v>175.63499999999999</v>
      </c>
      <c r="BN284">
        <v>112.66500000000001</v>
      </c>
      <c r="BO284">
        <v>2634.5340000000001</v>
      </c>
      <c r="BP284" t="s">
        <v>522</v>
      </c>
      <c r="BQ284">
        <v>1200</v>
      </c>
      <c r="BR284">
        <v>1000</v>
      </c>
      <c r="BS284">
        <v>1120</v>
      </c>
      <c r="BT284">
        <v>15</v>
      </c>
      <c r="BU284">
        <v>0</v>
      </c>
      <c r="BV284">
        <v>15</v>
      </c>
      <c r="BW284">
        <v>450</v>
      </c>
      <c r="BX284">
        <v>0</v>
      </c>
      <c r="BY284">
        <v>450</v>
      </c>
      <c r="BZ284">
        <v>7200</v>
      </c>
      <c r="CA284">
        <v>0</v>
      </c>
      <c r="CB284">
        <v>7200</v>
      </c>
      <c r="CC284">
        <v>1689.9839999999999</v>
      </c>
      <c r="CD284" t="s">
        <v>806</v>
      </c>
      <c r="CE284" t="s">
        <v>816</v>
      </c>
      <c r="CG284" t="s">
        <v>421</v>
      </c>
      <c r="CN284" t="str">
        <v>M19</v>
      </c>
      <c r="CO284" t="str">
        <v>1301-5YY0311EN0093</v>
      </c>
      <c r="CP284" t="str">
        <v>FFAU5676599</v>
      </c>
      <c r="CQ284" s="23">
        <v>501.26976000000002</v>
      </c>
      <c r="CR284" s="25">
        <f t="shared" si="13"/>
        <v>3.5492293620805936E-2</v>
      </c>
      <c r="CS284" s="21">
        <f t="shared" si="14"/>
        <v>88.730734052014839</v>
      </c>
    </row>
    <row r="285" spans="2:97" x14ac:dyDescent="0.35">
      <c r="B285" t="s">
        <v>299</v>
      </c>
      <c r="C285" t="s">
        <v>1380</v>
      </c>
      <c r="D285" t="s">
        <v>965</v>
      </c>
      <c r="E285" t="s">
        <v>395</v>
      </c>
      <c r="F285" t="s">
        <v>396</v>
      </c>
      <c r="G285" t="s">
        <v>397</v>
      </c>
      <c r="H285" t="s">
        <v>398</v>
      </c>
      <c r="I285" t="s">
        <v>399</v>
      </c>
      <c r="J285" t="s">
        <v>749</v>
      </c>
      <c r="K285" t="s">
        <v>809</v>
      </c>
      <c r="L285" t="s">
        <v>787</v>
      </c>
      <c r="M285" t="s">
        <v>403</v>
      </c>
      <c r="N285">
        <v>1</v>
      </c>
      <c r="O285">
        <v>7</v>
      </c>
      <c r="P285" t="s">
        <v>810</v>
      </c>
      <c r="Q285" t="s">
        <v>405</v>
      </c>
      <c r="R285" t="s">
        <v>811</v>
      </c>
      <c r="S285" t="s">
        <v>812</v>
      </c>
      <c r="T285" t="s">
        <v>408</v>
      </c>
      <c r="U285">
        <v>50950080270</v>
      </c>
      <c r="W285">
        <v>1920</v>
      </c>
      <c r="X285" t="s">
        <v>409</v>
      </c>
      <c r="Y285" t="s">
        <v>410</v>
      </c>
      <c r="Z285" t="s">
        <v>410</v>
      </c>
      <c r="AA285" t="s">
        <v>411</v>
      </c>
      <c r="AB285" t="s">
        <v>554</v>
      </c>
      <c r="AC285" t="s">
        <v>411</v>
      </c>
      <c r="AD285">
        <v>46088</v>
      </c>
      <c r="AE285">
        <v>46125</v>
      </c>
      <c r="AF285">
        <v>46099</v>
      </c>
      <c r="AG285" t="s">
        <v>754</v>
      </c>
      <c r="AH285">
        <v>6137677</v>
      </c>
      <c r="AI285">
        <v>46092</v>
      </c>
      <c r="AJ285">
        <v>46093</v>
      </c>
      <c r="AK285">
        <v>1920</v>
      </c>
      <c r="AL285" t="s">
        <v>396</v>
      </c>
      <c r="AM285" t="s">
        <v>1520</v>
      </c>
      <c r="AN285">
        <v>46093</v>
      </c>
      <c r="AO285">
        <v>46093.600787037038</v>
      </c>
      <c r="AP285" t="s">
        <v>51</v>
      </c>
      <c r="AQ285">
        <v>1.96204</v>
      </c>
      <c r="AR285">
        <v>3767.12</v>
      </c>
      <c r="AS285" t="s">
        <v>51</v>
      </c>
      <c r="AT285">
        <v>3767.12</v>
      </c>
      <c r="AU285" t="s">
        <v>415</v>
      </c>
      <c r="AV285" t="s">
        <v>1420</v>
      </c>
      <c r="AW285" t="s">
        <v>1421</v>
      </c>
      <c r="AX285">
        <v>46099</v>
      </c>
      <c r="AY285">
        <v>46148</v>
      </c>
      <c r="AZ285" t="s">
        <v>1487</v>
      </c>
      <c r="BA285" t="s">
        <v>560</v>
      </c>
      <c r="BB285" t="s">
        <v>1488</v>
      </c>
      <c r="BC285">
        <v>16</v>
      </c>
      <c r="BD285" t="s">
        <v>521</v>
      </c>
      <c r="BE285">
        <v>4.9545000000000003</v>
      </c>
      <c r="BF285">
        <v>3.7555000000000001</v>
      </c>
      <c r="BG285" t="s">
        <v>522</v>
      </c>
      <c r="BH285">
        <v>495</v>
      </c>
      <c r="BI285">
        <v>395</v>
      </c>
      <c r="BJ285">
        <v>190</v>
      </c>
      <c r="BK285">
        <v>30</v>
      </c>
      <c r="BL285" t="s">
        <v>521</v>
      </c>
      <c r="BM285">
        <v>175.63499999999999</v>
      </c>
      <c r="BN285">
        <v>112.66500000000001</v>
      </c>
      <c r="BO285">
        <v>702.54240000000004</v>
      </c>
      <c r="BP285" t="s">
        <v>522</v>
      </c>
      <c r="BQ285">
        <v>1200</v>
      </c>
      <c r="BR285">
        <v>1000</v>
      </c>
      <c r="BS285">
        <v>1120</v>
      </c>
      <c r="BT285">
        <v>4</v>
      </c>
      <c r="BU285">
        <v>0</v>
      </c>
      <c r="BV285">
        <v>4</v>
      </c>
      <c r="BW285">
        <v>120</v>
      </c>
      <c r="BX285">
        <v>0</v>
      </c>
      <c r="BY285">
        <v>120</v>
      </c>
      <c r="BZ285">
        <v>1920</v>
      </c>
      <c r="CA285">
        <v>0</v>
      </c>
      <c r="CB285">
        <v>1920</v>
      </c>
      <c r="CC285">
        <v>450.66239999999999</v>
      </c>
      <c r="CD285" t="s">
        <v>806</v>
      </c>
      <c r="CE285" t="s">
        <v>816</v>
      </c>
      <c r="CG285" t="s">
        <v>421</v>
      </c>
      <c r="CN285" t="str">
        <v>M19</v>
      </c>
      <c r="CO285" t="str">
        <v>1301-5YY0322EN0093</v>
      </c>
      <c r="CP285" t="str">
        <v>FFAU5676599</v>
      </c>
      <c r="CQ285" s="23">
        <v>3564.6792</v>
      </c>
      <c r="CR285" s="25">
        <f t="shared" si="13"/>
        <v>0.25239631616792446</v>
      </c>
      <c r="CS285" s="21">
        <f t="shared" si="14"/>
        <v>630.99079041981111</v>
      </c>
    </row>
    <row r="286" spans="2:97" x14ac:dyDescent="0.35">
      <c r="B286" t="s">
        <v>299</v>
      </c>
      <c r="C286" t="s">
        <v>1521</v>
      </c>
      <c r="D286" t="s">
        <v>395</v>
      </c>
      <c r="E286" t="s">
        <v>395</v>
      </c>
      <c r="F286" t="s">
        <v>396</v>
      </c>
      <c r="G286" t="s">
        <v>397</v>
      </c>
      <c r="H286" t="s">
        <v>398</v>
      </c>
      <c r="I286" t="s">
        <v>399</v>
      </c>
      <c r="J286" t="s">
        <v>749</v>
      </c>
      <c r="K286" t="s">
        <v>526</v>
      </c>
      <c r="L286" t="s">
        <v>787</v>
      </c>
      <c r="M286" t="s">
        <v>403</v>
      </c>
      <c r="N286">
        <v>1</v>
      </c>
      <c r="O286">
        <v>1</v>
      </c>
      <c r="P286" t="s">
        <v>1065</v>
      </c>
      <c r="Q286" t="s">
        <v>430</v>
      </c>
      <c r="R286" t="s">
        <v>959</v>
      </c>
      <c r="S286" t="s">
        <v>1066</v>
      </c>
      <c r="T286" t="s">
        <v>408</v>
      </c>
      <c r="U286">
        <v>50950080307</v>
      </c>
      <c r="W286">
        <v>48000</v>
      </c>
      <c r="X286" t="s">
        <v>409</v>
      </c>
      <c r="Y286" t="s">
        <v>410</v>
      </c>
      <c r="Z286" t="s">
        <v>410</v>
      </c>
      <c r="AA286" t="s">
        <v>411</v>
      </c>
      <c r="AB286" t="s">
        <v>554</v>
      </c>
      <c r="AC286" t="s">
        <v>411</v>
      </c>
      <c r="AD286">
        <v>46095</v>
      </c>
      <c r="AE286">
        <v>46153</v>
      </c>
      <c r="AF286">
        <v>46099</v>
      </c>
      <c r="AG286" t="s">
        <v>754</v>
      </c>
      <c r="AH286">
        <v>6137678</v>
      </c>
      <c r="AI286">
        <v>46092</v>
      </c>
      <c r="AJ286">
        <v>46093</v>
      </c>
      <c r="AK286">
        <v>48000</v>
      </c>
      <c r="AL286" t="s">
        <v>396</v>
      </c>
      <c r="AM286" t="s">
        <v>1522</v>
      </c>
      <c r="AN286">
        <v>46093</v>
      </c>
      <c r="AO286">
        <v>46093.600787037038</v>
      </c>
      <c r="AP286" t="s">
        <v>51</v>
      </c>
      <c r="AQ286">
        <v>9.8100000000000007E-2</v>
      </c>
      <c r="AR286">
        <v>4708.8</v>
      </c>
      <c r="AS286" t="s">
        <v>51</v>
      </c>
      <c r="AT286">
        <v>4708.8</v>
      </c>
      <c r="AU286" t="s">
        <v>415</v>
      </c>
      <c r="AV286" t="s">
        <v>1420</v>
      </c>
      <c r="AW286" t="s">
        <v>1421</v>
      </c>
      <c r="AX286">
        <v>46099</v>
      </c>
      <c r="AY286">
        <v>46148</v>
      </c>
      <c r="AZ286" t="s">
        <v>1487</v>
      </c>
      <c r="BA286" t="s">
        <v>560</v>
      </c>
      <c r="BB286" t="s">
        <v>1488</v>
      </c>
      <c r="BC286">
        <v>250</v>
      </c>
      <c r="BD286" t="s">
        <v>521</v>
      </c>
      <c r="BE286">
        <v>7.8822999999999999</v>
      </c>
      <c r="BF286">
        <v>7.6322999999999999</v>
      </c>
      <c r="BG286" t="s">
        <v>522</v>
      </c>
      <c r="BH286">
        <v>286</v>
      </c>
      <c r="BI286">
        <v>190</v>
      </c>
      <c r="BJ286">
        <v>72</v>
      </c>
      <c r="BK286">
        <v>48</v>
      </c>
      <c r="BL286" t="s">
        <v>521</v>
      </c>
      <c r="BM286">
        <v>403.35039999999998</v>
      </c>
      <c r="BN286">
        <v>366.35039999999998</v>
      </c>
      <c r="BO286">
        <v>1613.3920000000001</v>
      </c>
      <c r="BP286" t="s">
        <v>522</v>
      </c>
      <c r="BQ286">
        <v>1200</v>
      </c>
      <c r="BR286">
        <v>800</v>
      </c>
      <c r="BS286">
        <v>378</v>
      </c>
      <c r="BT286">
        <v>4</v>
      </c>
      <c r="BU286">
        <v>0</v>
      </c>
      <c r="BV286">
        <v>4</v>
      </c>
      <c r="BW286">
        <v>192</v>
      </c>
      <c r="BX286">
        <v>0</v>
      </c>
      <c r="BY286">
        <v>192</v>
      </c>
      <c r="BZ286">
        <v>48000</v>
      </c>
      <c r="CA286">
        <v>0</v>
      </c>
      <c r="CB286">
        <v>48000</v>
      </c>
      <c r="CC286">
        <v>1465.3920000000001</v>
      </c>
      <c r="CD286" t="s">
        <v>969</v>
      </c>
      <c r="CE286" t="s">
        <v>970</v>
      </c>
      <c r="CG286" t="s">
        <v>421</v>
      </c>
      <c r="CN286" t="str">
        <v>M19</v>
      </c>
      <c r="CO286" t="str">
        <v>1301-5YY0306EN0093</v>
      </c>
      <c r="CP286" t="str">
        <v>FFAU5676599</v>
      </c>
      <c r="CQ286" s="23">
        <v>5427.4690799999998</v>
      </c>
      <c r="CR286" s="25">
        <f t="shared" si="13"/>
        <v>0.3842907383944435</v>
      </c>
      <c r="CS286" s="21">
        <f t="shared" si="14"/>
        <v>960.72684598610874</v>
      </c>
    </row>
    <row r="287" spans="2:97" x14ac:dyDescent="0.35">
      <c r="B287" t="s">
        <v>299</v>
      </c>
      <c r="C287" t="s">
        <v>1441</v>
      </c>
      <c r="D287" t="s">
        <v>965</v>
      </c>
      <c r="E287" t="s">
        <v>395</v>
      </c>
      <c r="F287" t="s">
        <v>396</v>
      </c>
      <c r="G287" t="s">
        <v>397</v>
      </c>
      <c r="H287" t="s">
        <v>398</v>
      </c>
      <c r="I287" t="s">
        <v>399</v>
      </c>
      <c r="J287" t="s">
        <v>749</v>
      </c>
      <c r="K287" t="s">
        <v>809</v>
      </c>
      <c r="L287" t="s">
        <v>787</v>
      </c>
      <c r="M287" t="s">
        <v>403</v>
      </c>
      <c r="N287">
        <v>1</v>
      </c>
      <c r="O287">
        <v>2</v>
      </c>
      <c r="P287" t="s">
        <v>818</v>
      </c>
      <c r="Q287" t="s">
        <v>430</v>
      </c>
      <c r="R287" t="s">
        <v>811</v>
      </c>
      <c r="S287" t="s">
        <v>819</v>
      </c>
      <c r="T287" t="s">
        <v>408</v>
      </c>
      <c r="U287">
        <v>50950080392</v>
      </c>
      <c r="W287">
        <v>1440</v>
      </c>
      <c r="X287" t="s">
        <v>409</v>
      </c>
      <c r="Y287" t="s">
        <v>410</v>
      </c>
      <c r="Z287" t="s">
        <v>410</v>
      </c>
      <c r="AA287" t="s">
        <v>411</v>
      </c>
      <c r="AB287" t="s">
        <v>554</v>
      </c>
      <c r="AC287" t="s">
        <v>411</v>
      </c>
      <c r="AD287">
        <v>46088</v>
      </c>
      <c r="AE287">
        <v>46125</v>
      </c>
      <c r="AF287">
        <v>46099</v>
      </c>
      <c r="AG287" t="s">
        <v>754</v>
      </c>
      <c r="AH287">
        <v>6137679</v>
      </c>
      <c r="AI287">
        <v>46092</v>
      </c>
      <c r="AJ287">
        <v>46093</v>
      </c>
      <c r="AK287">
        <v>1440</v>
      </c>
      <c r="AL287" t="s">
        <v>396</v>
      </c>
      <c r="AM287" t="s">
        <v>1523</v>
      </c>
      <c r="AN287">
        <v>46093</v>
      </c>
      <c r="AO287">
        <v>46093.600787037038</v>
      </c>
      <c r="AP287" t="s">
        <v>51</v>
      </c>
      <c r="AQ287">
        <v>1.20448</v>
      </c>
      <c r="AR287">
        <v>1734.45</v>
      </c>
      <c r="AS287" t="s">
        <v>51</v>
      </c>
      <c r="AT287">
        <v>1734.45</v>
      </c>
      <c r="AU287" t="s">
        <v>415</v>
      </c>
      <c r="AV287" t="s">
        <v>1420</v>
      </c>
      <c r="AW287" t="s">
        <v>1421</v>
      </c>
      <c r="AX287">
        <v>46099</v>
      </c>
      <c r="AY287">
        <v>46148</v>
      </c>
      <c r="AZ287" t="s">
        <v>1487</v>
      </c>
      <c r="BA287" t="s">
        <v>560</v>
      </c>
      <c r="BB287" t="s">
        <v>1488</v>
      </c>
      <c r="BC287">
        <v>48</v>
      </c>
      <c r="BD287" t="s">
        <v>521</v>
      </c>
      <c r="BE287">
        <v>7.6898999999999997</v>
      </c>
      <c r="BF287">
        <v>6.2298999999999998</v>
      </c>
      <c r="BG287" t="s">
        <v>522</v>
      </c>
      <c r="BH287">
        <v>495</v>
      </c>
      <c r="BI287">
        <v>395</v>
      </c>
      <c r="BJ287">
        <v>190</v>
      </c>
      <c r="BK287">
        <v>30</v>
      </c>
      <c r="BL287" t="s">
        <v>521</v>
      </c>
      <c r="BM287">
        <v>257.69760000000002</v>
      </c>
      <c r="BN287">
        <v>186.89760000000001</v>
      </c>
      <c r="BO287">
        <v>257.69760000000002</v>
      </c>
      <c r="BP287" t="s">
        <v>522</v>
      </c>
      <c r="BQ287">
        <v>1200</v>
      </c>
      <c r="BR287">
        <v>1000</v>
      </c>
      <c r="BS287">
        <v>1120</v>
      </c>
      <c r="BT287">
        <v>1</v>
      </c>
      <c r="BU287">
        <v>0</v>
      </c>
      <c r="BV287">
        <v>1</v>
      </c>
      <c r="BW287">
        <v>30</v>
      </c>
      <c r="BX287">
        <v>0</v>
      </c>
      <c r="BY287">
        <v>30</v>
      </c>
      <c r="BZ287">
        <v>1440</v>
      </c>
      <c r="CA287">
        <v>0</v>
      </c>
      <c r="CB287">
        <v>1440</v>
      </c>
      <c r="CC287">
        <v>186.89760000000001</v>
      </c>
      <c r="CD287" t="s">
        <v>806</v>
      </c>
      <c r="CE287" t="s">
        <v>821</v>
      </c>
      <c r="CG287" t="s">
        <v>421</v>
      </c>
      <c r="CN287" t="str">
        <v>M01</v>
      </c>
      <c r="CO287" t="str">
        <v>1301-1030476EN</v>
      </c>
      <c r="CP287" t="str">
        <v>FFAU5676599</v>
      </c>
      <c r="CQ287" s="23">
        <v>1474.88</v>
      </c>
      <c r="CR287" s="25">
        <f t="shared" si="13"/>
        <v>0.10442854964052542</v>
      </c>
      <c r="CS287" s="21">
        <f t="shared" si="14"/>
        <v>261.07137410131355</v>
      </c>
    </row>
    <row r="288" spans="2:97" x14ac:dyDescent="0.35">
      <c r="B288" t="s">
        <v>296</v>
      </c>
      <c r="C288" t="s">
        <v>1524</v>
      </c>
      <c r="D288" t="s">
        <v>395</v>
      </c>
      <c r="E288" t="s">
        <v>395</v>
      </c>
      <c r="F288" t="s">
        <v>396</v>
      </c>
      <c r="G288" t="s">
        <v>397</v>
      </c>
      <c r="H288" t="s">
        <v>398</v>
      </c>
      <c r="I288" t="s">
        <v>399</v>
      </c>
      <c r="J288" t="s">
        <v>749</v>
      </c>
      <c r="K288" t="s">
        <v>515</v>
      </c>
      <c r="L288" t="s">
        <v>787</v>
      </c>
      <c r="M288" t="s">
        <v>403</v>
      </c>
      <c r="N288">
        <v>1</v>
      </c>
      <c r="O288">
        <v>1</v>
      </c>
      <c r="P288" t="s">
        <v>996</v>
      </c>
      <c r="Q288" t="s">
        <v>424</v>
      </c>
      <c r="R288" t="s">
        <v>997</v>
      </c>
      <c r="S288" t="s">
        <v>998</v>
      </c>
      <c r="T288" t="s">
        <v>408</v>
      </c>
      <c r="U288">
        <v>50950080409</v>
      </c>
      <c r="W288">
        <v>23000</v>
      </c>
      <c r="X288" t="s">
        <v>409</v>
      </c>
      <c r="Y288" t="s">
        <v>410</v>
      </c>
      <c r="Z288" t="s">
        <v>410</v>
      </c>
      <c r="AA288" t="s">
        <v>411</v>
      </c>
      <c r="AB288" t="s">
        <v>554</v>
      </c>
      <c r="AC288" t="s">
        <v>411</v>
      </c>
      <c r="AD288">
        <v>46090</v>
      </c>
      <c r="AE288">
        <v>46083</v>
      </c>
      <c r="AF288">
        <v>46099</v>
      </c>
      <c r="AG288" t="s">
        <v>754</v>
      </c>
      <c r="AH288">
        <v>6137340</v>
      </c>
      <c r="AI288">
        <v>46092</v>
      </c>
      <c r="AJ288">
        <v>46093</v>
      </c>
      <c r="AK288">
        <v>23000</v>
      </c>
      <c r="AL288" t="s">
        <v>396</v>
      </c>
      <c r="AM288" t="s">
        <v>1525</v>
      </c>
      <c r="AN288">
        <v>46093</v>
      </c>
      <c r="AO288">
        <v>46093.400011574071</v>
      </c>
      <c r="AP288" t="s">
        <v>51</v>
      </c>
      <c r="AQ288">
        <v>0.23293</v>
      </c>
      <c r="AR288">
        <v>5357.39</v>
      </c>
      <c r="AS288" t="s">
        <v>51</v>
      </c>
      <c r="AT288">
        <v>5357.39</v>
      </c>
      <c r="AU288" t="s">
        <v>415</v>
      </c>
      <c r="AV288" t="s">
        <v>1420</v>
      </c>
      <c r="AW288" t="s">
        <v>1421</v>
      </c>
      <c r="AX288">
        <v>46099</v>
      </c>
      <c r="AY288">
        <v>46148</v>
      </c>
      <c r="AZ288" t="s">
        <v>1493</v>
      </c>
      <c r="BA288" t="s">
        <v>560</v>
      </c>
      <c r="BB288" t="s">
        <v>1494</v>
      </c>
      <c r="BC288">
        <v>1000</v>
      </c>
      <c r="BD288" t="s">
        <v>521</v>
      </c>
      <c r="BE288">
        <v>11.22</v>
      </c>
      <c r="BF288">
        <v>10.5</v>
      </c>
      <c r="BG288" t="s">
        <v>522</v>
      </c>
      <c r="BH288">
        <v>395</v>
      </c>
      <c r="BI288">
        <v>295</v>
      </c>
      <c r="BJ288">
        <v>220</v>
      </c>
      <c r="BK288">
        <v>32</v>
      </c>
      <c r="BL288" t="s">
        <v>521</v>
      </c>
      <c r="BM288">
        <v>283.06</v>
      </c>
      <c r="BN288">
        <v>241.5</v>
      </c>
      <c r="BO288">
        <v>283.06</v>
      </c>
      <c r="BP288" t="s">
        <v>522</v>
      </c>
      <c r="BQ288">
        <v>1200</v>
      </c>
      <c r="BR288">
        <v>800</v>
      </c>
      <c r="BS288">
        <v>1040</v>
      </c>
      <c r="BT288">
        <v>0</v>
      </c>
      <c r="BU288">
        <v>1</v>
      </c>
      <c r="BV288">
        <v>1</v>
      </c>
      <c r="BW288">
        <v>23</v>
      </c>
      <c r="BX288">
        <v>0</v>
      </c>
      <c r="BY288">
        <v>23</v>
      </c>
      <c r="BZ288">
        <v>0</v>
      </c>
      <c r="CA288">
        <v>23000</v>
      </c>
      <c r="CB288">
        <v>23000</v>
      </c>
      <c r="CC288">
        <v>241.5</v>
      </c>
      <c r="CD288" t="s">
        <v>1000</v>
      </c>
      <c r="CE288" t="s">
        <v>620</v>
      </c>
      <c r="CG288" t="s">
        <v>421</v>
      </c>
      <c r="CN288" t="str">
        <v>M01</v>
      </c>
      <c r="CO288" t="str">
        <v>1999-1010399E1</v>
      </c>
      <c r="CP288" t="str">
        <v>FFAU5865735</v>
      </c>
      <c r="CQ288" s="23">
        <v>417.88</v>
      </c>
      <c r="CR288" s="25">
        <f t="shared" si="13"/>
        <v>3.0239861411296965E-2</v>
      </c>
      <c r="CS288" s="21">
        <f t="shared" si="14"/>
        <v>75.599653528242413</v>
      </c>
    </row>
    <row r="289" spans="2:97" x14ac:dyDescent="0.35">
      <c r="B289" t="s">
        <v>297</v>
      </c>
      <c r="C289" t="s">
        <v>1526</v>
      </c>
      <c r="D289" t="s">
        <v>395</v>
      </c>
      <c r="E289" t="s">
        <v>395</v>
      </c>
      <c r="F289" t="s">
        <v>396</v>
      </c>
      <c r="G289" t="s">
        <v>397</v>
      </c>
      <c r="H289" t="s">
        <v>398</v>
      </c>
      <c r="I289" t="s">
        <v>399</v>
      </c>
      <c r="J289" t="s">
        <v>749</v>
      </c>
      <c r="K289" t="s">
        <v>515</v>
      </c>
      <c r="L289" t="s">
        <v>787</v>
      </c>
      <c r="M289" t="s">
        <v>403</v>
      </c>
      <c r="N289">
        <v>2</v>
      </c>
      <c r="O289">
        <v>1</v>
      </c>
      <c r="P289" t="s">
        <v>1527</v>
      </c>
      <c r="Q289" t="s">
        <v>405</v>
      </c>
      <c r="R289" t="s">
        <v>1528</v>
      </c>
      <c r="S289" t="s">
        <v>1529</v>
      </c>
      <c r="T289" t="s">
        <v>408</v>
      </c>
      <c r="U289">
        <v>50950080790</v>
      </c>
      <c r="W289">
        <v>160000</v>
      </c>
      <c r="X289" t="s">
        <v>409</v>
      </c>
      <c r="Y289" t="s">
        <v>410</v>
      </c>
      <c r="Z289" t="s">
        <v>410</v>
      </c>
      <c r="AA289" t="s">
        <v>411</v>
      </c>
      <c r="AB289" t="s">
        <v>554</v>
      </c>
      <c r="AC289" t="s">
        <v>411</v>
      </c>
      <c r="AD289">
        <v>46088</v>
      </c>
      <c r="AE289">
        <v>46146</v>
      </c>
      <c r="AF289">
        <v>46099</v>
      </c>
      <c r="AG289" t="s">
        <v>754</v>
      </c>
      <c r="AH289">
        <v>6137680</v>
      </c>
      <c r="AI289">
        <v>46092</v>
      </c>
      <c r="AJ289">
        <v>46093</v>
      </c>
      <c r="AK289">
        <v>160000</v>
      </c>
      <c r="AL289" t="s">
        <v>396</v>
      </c>
      <c r="AM289" t="s">
        <v>1530</v>
      </c>
      <c r="AN289">
        <v>46093</v>
      </c>
      <c r="AO289">
        <v>46093.600787037038</v>
      </c>
      <c r="AP289" t="s">
        <v>51</v>
      </c>
      <c r="AQ289">
        <v>1.17E-3</v>
      </c>
      <c r="AR289">
        <v>187.2</v>
      </c>
      <c r="AS289" t="s">
        <v>51</v>
      </c>
      <c r="AT289">
        <v>187.2</v>
      </c>
      <c r="AU289" t="s">
        <v>415</v>
      </c>
      <c r="AV289" t="s">
        <v>1420</v>
      </c>
      <c r="AW289" t="s">
        <v>1421</v>
      </c>
      <c r="AX289">
        <v>46099</v>
      </c>
      <c r="AY289">
        <v>46148</v>
      </c>
      <c r="AZ289" t="s">
        <v>1487</v>
      </c>
      <c r="BA289" t="s">
        <v>560</v>
      </c>
      <c r="BB289" t="s">
        <v>1488</v>
      </c>
      <c r="BC289">
        <v>80000</v>
      </c>
      <c r="BD289" t="s">
        <v>521</v>
      </c>
      <c r="BE289">
        <v>4.8280000000000003</v>
      </c>
      <c r="BF289">
        <v>4.1280000000000001</v>
      </c>
      <c r="BG289" t="s">
        <v>522</v>
      </c>
      <c r="BH289">
        <v>398</v>
      </c>
      <c r="BI289">
        <v>375</v>
      </c>
      <c r="BJ289">
        <v>234</v>
      </c>
      <c r="BK289">
        <v>8</v>
      </c>
      <c r="BL289" t="s">
        <v>521</v>
      </c>
      <c r="BM289">
        <v>17.655999999999999</v>
      </c>
      <c r="BN289">
        <v>8.2560000000000002</v>
      </c>
      <c r="BO289">
        <v>17.655999999999999</v>
      </c>
      <c r="BP289" t="s">
        <v>522</v>
      </c>
      <c r="BQ289">
        <v>800</v>
      </c>
      <c r="BR289">
        <v>300</v>
      </c>
      <c r="BS289">
        <v>625</v>
      </c>
      <c r="BT289">
        <v>0</v>
      </c>
      <c r="BU289">
        <v>1</v>
      </c>
      <c r="BV289">
        <v>1</v>
      </c>
      <c r="BW289">
        <v>2</v>
      </c>
      <c r="BX289">
        <v>0</v>
      </c>
      <c r="BY289">
        <v>2</v>
      </c>
      <c r="BZ289">
        <v>0</v>
      </c>
      <c r="CA289">
        <v>160000</v>
      </c>
      <c r="CB289">
        <v>160000</v>
      </c>
      <c r="CC289">
        <v>8.2560000000000002</v>
      </c>
      <c r="CD289" t="s">
        <v>1346</v>
      </c>
      <c r="CE289" t="s">
        <v>1347</v>
      </c>
      <c r="CG289" t="s">
        <v>421</v>
      </c>
      <c r="CN289" t="str">
        <v>M01</v>
      </c>
      <c r="CO289" t="str">
        <v>1200-1030990EN0002</v>
      </c>
      <c r="CP289" t="str">
        <v>FFAU5865735</v>
      </c>
      <c r="CQ289" s="23">
        <v>288.08640000000003</v>
      </c>
      <c r="CR289" s="25">
        <f t="shared" si="13"/>
        <v>2.0847355246672399E-2</v>
      </c>
      <c r="CS289" s="21">
        <f t="shared" si="14"/>
        <v>52.118388116680997</v>
      </c>
    </row>
    <row r="290" spans="2:97" x14ac:dyDescent="0.35">
      <c r="B290" t="s">
        <v>295</v>
      </c>
      <c r="C290" t="s">
        <v>1531</v>
      </c>
      <c r="D290" t="s">
        <v>395</v>
      </c>
      <c r="E290" t="s">
        <v>395</v>
      </c>
      <c r="F290" t="s">
        <v>396</v>
      </c>
      <c r="G290" t="s">
        <v>397</v>
      </c>
      <c r="H290" t="s">
        <v>398</v>
      </c>
      <c r="I290" t="s">
        <v>399</v>
      </c>
      <c r="J290" t="s">
        <v>749</v>
      </c>
      <c r="K290" t="s">
        <v>845</v>
      </c>
      <c r="L290" t="s">
        <v>787</v>
      </c>
      <c r="M290" t="s">
        <v>403</v>
      </c>
      <c r="N290">
        <v>1</v>
      </c>
      <c r="O290">
        <v>1</v>
      </c>
      <c r="P290" t="s">
        <v>1120</v>
      </c>
      <c r="Q290" t="s">
        <v>637</v>
      </c>
      <c r="R290" t="s">
        <v>1121</v>
      </c>
      <c r="S290" t="s">
        <v>1122</v>
      </c>
      <c r="T290" t="s">
        <v>408</v>
      </c>
      <c r="U290">
        <v>50950080827</v>
      </c>
      <c r="W290">
        <v>10000</v>
      </c>
      <c r="X290" t="s">
        <v>409</v>
      </c>
      <c r="Y290" t="s">
        <v>410</v>
      </c>
      <c r="Z290" t="s">
        <v>410</v>
      </c>
      <c r="AA290" t="s">
        <v>411</v>
      </c>
      <c r="AB290" t="s">
        <v>554</v>
      </c>
      <c r="AC290" t="s">
        <v>411</v>
      </c>
      <c r="AD290">
        <v>46091</v>
      </c>
      <c r="AE290">
        <v>46125</v>
      </c>
      <c r="AF290">
        <v>46099</v>
      </c>
      <c r="AG290" t="s">
        <v>754</v>
      </c>
      <c r="AH290">
        <v>6137341</v>
      </c>
      <c r="AI290">
        <v>46092</v>
      </c>
      <c r="AJ290">
        <v>46093</v>
      </c>
      <c r="AK290">
        <v>10000</v>
      </c>
      <c r="AL290" t="s">
        <v>396</v>
      </c>
      <c r="AM290" t="s">
        <v>1532</v>
      </c>
      <c r="AN290">
        <v>46093</v>
      </c>
      <c r="AO290">
        <v>46093.400011574071</v>
      </c>
      <c r="AP290" t="s">
        <v>51</v>
      </c>
      <c r="AQ290">
        <v>5.704E-2</v>
      </c>
      <c r="AR290">
        <v>570.4</v>
      </c>
      <c r="AS290" t="s">
        <v>51</v>
      </c>
      <c r="AT290">
        <v>570.4</v>
      </c>
      <c r="AU290" t="s">
        <v>415</v>
      </c>
      <c r="AV290" t="s">
        <v>1420</v>
      </c>
      <c r="AW290" t="s">
        <v>1421</v>
      </c>
      <c r="AX290">
        <v>46099</v>
      </c>
      <c r="AY290">
        <v>46148</v>
      </c>
      <c r="AZ290" t="s">
        <v>1493</v>
      </c>
      <c r="BA290" t="s">
        <v>560</v>
      </c>
      <c r="BB290" t="s">
        <v>1494</v>
      </c>
      <c r="BC290">
        <v>500</v>
      </c>
      <c r="BD290" t="s">
        <v>521</v>
      </c>
      <c r="BE290">
        <v>9.3520000000000003</v>
      </c>
      <c r="BF290">
        <v>8.7919999999999998</v>
      </c>
      <c r="BG290" t="s">
        <v>522</v>
      </c>
      <c r="BH290">
        <v>295</v>
      </c>
      <c r="BI290">
        <v>195</v>
      </c>
      <c r="BJ290">
        <v>138</v>
      </c>
      <c r="BK290">
        <v>100</v>
      </c>
      <c r="BL290" t="s">
        <v>521</v>
      </c>
      <c r="BM290">
        <v>214.04</v>
      </c>
      <c r="BN290">
        <v>175.84</v>
      </c>
      <c r="BO290">
        <v>214.04</v>
      </c>
      <c r="BP290" t="s">
        <v>522</v>
      </c>
      <c r="BQ290">
        <v>1200</v>
      </c>
      <c r="BR290">
        <v>1000</v>
      </c>
      <c r="BS290">
        <v>850</v>
      </c>
      <c r="BT290">
        <v>0</v>
      </c>
      <c r="BU290">
        <v>1</v>
      </c>
      <c r="BV290">
        <v>1</v>
      </c>
      <c r="BW290">
        <v>20</v>
      </c>
      <c r="BX290">
        <v>0</v>
      </c>
      <c r="BY290">
        <v>20</v>
      </c>
      <c r="BZ290">
        <v>0</v>
      </c>
      <c r="CA290">
        <v>10000</v>
      </c>
      <c r="CB290">
        <v>10000</v>
      </c>
      <c r="CC290">
        <v>175.84</v>
      </c>
      <c r="CD290" t="s">
        <v>1124</v>
      </c>
      <c r="CE290" t="s">
        <v>1125</v>
      </c>
      <c r="CG290" t="s">
        <v>421</v>
      </c>
      <c r="CN290" t="str">
        <v>M19</v>
      </c>
      <c r="CO290" t="str">
        <v>1275-5YY0783EN</v>
      </c>
      <c r="CP290" t="str">
        <v>FFAU5865735</v>
      </c>
      <c r="CQ290" s="23">
        <v>396.62560000000002</v>
      </c>
      <c r="CR290" s="25">
        <f t="shared" si="13"/>
        <v>2.8701788016111101E-2</v>
      </c>
      <c r="CS290" s="21">
        <f t="shared" si="14"/>
        <v>71.754470040277752</v>
      </c>
    </row>
    <row r="291" spans="2:97" x14ac:dyDescent="0.35">
      <c r="B291" t="s">
        <v>3497</v>
      </c>
      <c r="C291" t="s">
        <v>1533</v>
      </c>
      <c r="D291" t="s">
        <v>395</v>
      </c>
      <c r="E291" t="s">
        <v>395</v>
      </c>
      <c r="F291" t="s">
        <v>396</v>
      </c>
      <c r="G291" t="s">
        <v>397</v>
      </c>
      <c r="H291" t="s">
        <v>398</v>
      </c>
      <c r="I291" t="s">
        <v>399</v>
      </c>
      <c r="J291" t="s">
        <v>749</v>
      </c>
      <c r="K291" t="s">
        <v>515</v>
      </c>
      <c r="L291" t="s">
        <v>787</v>
      </c>
      <c r="M291" t="s">
        <v>403</v>
      </c>
      <c r="N291">
        <v>1</v>
      </c>
      <c r="O291">
        <v>1</v>
      </c>
      <c r="P291" t="s">
        <v>1062</v>
      </c>
      <c r="Q291" t="s">
        <v>405</v>
      </c>
      <c r="R291" t="s">
        <v>691</v>
      </c>
      <c r="S291" t="s">
        <v>1048</v>
      </c>
      <c r="T291" t="s">
        <v>408</v>
      </c>
      <c r="U291">
        <v>50950081136</v>
      </c>
      <c r="W291">
        <v>24000</v>
      </c>
      <c r="X291" t="s">
        <v>409</v>
      </c>
      <c r="Y291" t="s">
        <v>410</v>
      </c>
      <c r="Z291" t="s">
        <v>410</v>
      </c>
      <c r="AA291" t="s">
        <v>411</v>
      </c>
      <c r="AB291" t="s">
        <v>554</v>
      </c>
      <c r="AC291" t="s">
        <v>411</v>
      </c>
      <c r="AD291">
        <v>46095</v>
      </c>
      <c r="AE291">
        <v>46153</v>
      </c>
      <c r="AF291">
        <v>46099</v>
      </c>
      <c r="AG291" t="s">
        <v>754</v>
      </c>
      <c r="AH291">
        <v>6137681</v>
      </c>
      <c r="AI291">
        <v>46092</v>
      </c>
      <c r="AJ291">
        <v>46093</v>
      </c>
      <c r="AK291">
        <v>24000</v>
      </c>
      <c r="AL291" t="s">
        <v>396</v>
      </c>
      <c r="AM291" t="s">
        <v>1534</v>
      </c>
      <c r="AN291">
        <v>46093</v>
      </c>
      <c r="AO291">
        <v>46093.600787037038</v>
      </c>
      <c r="AP291" t="s">
        <v>51</v>
      </c>
      <c r="AQ291">
        <v>3.2770000000000001E-2</v>
      </c>
      <c r="AR291">
        <v>786.48</v>
      </c>
      <c r="AS291" t="s">
        <v>51</v>
      </c>
      <c r="AT291">
        <v>786.48</v>
      </c>
      <c r="AU291" t="s">
        <v>415</v>
      </c>
      <c r="AV291" t="s">
        <v>1420</v>
      </c>
      <c r="AW291" t="s">
        <v>1421</v>
      </c>
      <c r="AX291">
        <v>46099</v>
      </c>
      <c r="AY291">
        <v>46148</v>
      </c>
      <c r="AZ291" t="s">
        <v>1487</v>
      </c>
      <c r="BA291" t="s">
        <v>560</v>
      </c>
      <c r="BB291" t="s">
        <v>1488</v>
      </c>
      <c r="BC291">
        <v>4000</v>
      </c>
      <c r="BD291" t="s">
        <v>521</v>
      </c>
      <c r="BE291">
        <v>4.4618500000000001</v>
      </c>
      <c r="BF291">
        <v>3.528</v>
      </c>
      <c r="BG291" t="s">
        <v>522</v>
      </c>
      <c r="BH291">
        <v>398</v>
      </c>
      <c r="BI291">
        <v>298</v>
      </c>
      <c r="BJ291">
        <v>155</v>
      </c>
      <c r="BK291">
        <v>6</v>
      </c>
      <c r="BL291" t="s">
        <v>521</v>
      </c>
      <c r="BM291">
        <v>34.771099999999997</v>
      </c>
      <c r="BN291">
        <v>21.167999999999999</v>
      </c>
      <c r="BO291">
        <v>34.771099999999997</v>
      </c>
      <c r="BP291" t="s">
        <v>522</v>
      </c>
      <c r="BQ291">
        <v>800</v>
      </c>
      <c r="BR291">
        <v>300</v>
      </c>
      <c r="BS291">
        <v>608</v>
      </c>
      <c r="BT291">
        <v>1</v>
      </c>
      <c r="BU291">
        <v>0</v>
      </c>
      <c r="BV291">
        <v>1</v>
      </c>
      <c r="BW291">
        <v>6</v>
      </c>
      <c r="BX291">
        <v>0</v>
      </c>
      <c r="BY291">
        <v>6</v>
      </c>
      <c r="BZ291">
        <v>24000</v>
      </c>
      <c r="CA291">
        <v>0</v>
      </c>
      <c r="CB291">
        <v>24000</v>
      </c>
      <c r="CC291">
        <v>21.167999999999999</v>
      </c>
      <c r="CD291" t="s">
        <v>523</v>
      </c>
      <c r="CE291" t="s">
        <v>981</v>
      </c>
      <c r="CG291" t="s">
        <v>421</v>
      </c>
      <c r="CN291" t="str">
        <v>M19</v>
      </c>
      <c r="CO291" t="str">
        <v>1275-5YY0564EN</v>
      </c>
      <c r="CP291" t="str">
        <v>FFAU5865735</v>
      </c>
      <c r="CQ291" s="23">
        <v>472.62880000000001</v>
      </c>
      <c r="CR291" s="25">
        <f t="shared" si="13"/>
        <v>3.4201755075590104E-2</v>
      </c>
      <c r="CS291" s="21">
        <f t="shared" si="14"/>
        <v>85.504387688975257</v>
      </c>
    </row>
    <row r="292" spans="2:97" x14ac:dyDescent="0.35">
      <c r="B292" t="s">
        <v>299</v>
      </c>
      <c r="C292" t="s">
        <v>1535</v>
      </c>
      <c r="D292" t="s">
        <v>395</v>
      </c>
      <c r="E292" t="s">
        <v>823</v>
      </c>
      <c r="F292" t="s">
        <v>396</v>
      </c>
      <c r="G292" t="s">
        <v>397</v>
      </c>
      <c r="H292" t="s">
        <v>398</v>
      </c>
      <c r="I292" t="s">
        <v>399</v>
      </c>
      <c r="J292" t="s">
        <v>749</v>
      </c>
      <c r="K292" t="s">
        <v>809</v>
      </c>
      <c r="L292" t="s">
        <v>787</v>
      </c>
      <c r="M292" t="s">
        <v>403</v>
      </c>
      <c r="N292">
        <v>1</v>
      </c>
      <c r="O292">
        <v>1</v>
      </c>
      <c r="P292" t="s">
        <v>824</v>
      </c>
      <c r="Q292" t="s">
        <v>424</v>
      </c>
      <c r="R292" t="s">
        <v>811</v>
      </c>
      <c r="S292" t="s">
        <v>825</v>
      </c>
      <c r="T292" t="s">
        <v>408</v>
      </c>
      <c r="U292">
        <v>50950081235</v>
      </c>
      <c r="W292">
        <v>4320</v>
      </c>
      <c r="X292" t="s">
        <v>409</v>
      </c>
      <c r="Y292" t="s">
        <v>410</v>
      </c>
      <c r="Z292" t="s">
        <v>410</v>
      </c>
      <c r="AA292" t="s">
        <v>411</v>
      </c>
      <c r="AB292" t="s">
        <v>554</v>
      </c>
      <c r="AC292" t="s">
        <v>411</v>
      </c>
      <c r="AD292">
        <v>46088</v>
      </c>
      <c r="AE292">
        <v>46146</v>
      </c>
      <c r="AF292">
        <v>46099</v>
      </c>
      <c r="AG292" t="s">
        <v>754</v>
      </c>
      <c r="AH292">
        <v>6137682</v>
      </c>
      <c r="AI292">
        <v>46092</v>
      </c>
      <c r="AJ292">
        <v>46093</v>
      </c>
      <c r="AK292">
        <v>4320</v>
      </c>
      <c r="AL292" t="s">
        <v>396</v>
      </c>
      <c r="AM292" t="s">
        <v>1536</v>
      </c>
      <c r="AN292">
        <v>46093</v>
      </c>
      <c r="AO292">
        <v>46093.600787037038</v>
      </c>
      <c r="AP292" t="s">
        <v>51</v>
      </c>
      <c r="AQ292">
        <v>1.15734</v>
      </c>
      <c r="AR292">
        <v>4999.71</v>
      </c>
      <c r="AS292" t="s">
        <v>51</v>
      </c>
      <c r="AT292">
        <v>4999.71</v>
      </c>
      <c r="AU292" t="s">
        <v>415</v>
      </c>
      <c r="AV292" t="s">
        <v>1420</v>
      </c>
      <c r="AW292" t="s">
        <v>1421</v>
      </c>
      <c r="AX292">
        <v>46099</v>
      </c>
      <c r="AY292">
        <v>46148</v>
      </c>
      <c r="AZ292" t="s">
        <v>1487</v>
      </c>
      <c r="BA292" t="s">
        <v>560</v>
      </c>
      <c r="BB292" t="s">
        <v>1488</v>
      </c>
      <c r="BC292">
        <v>48</v>
      </c>
      <c r="BD292" t="s">
        <v>521</v>
      </c>
      <c r="BE292">
        <v>8.2250999999999994</v>
      </c>
      <c r="BF292">
        <v>6.7651000000000003</v>
      </c>
      <c r="BG292" t="s">
        <v>522</v>
      </c>
      <c r="BH292">
        <v>495</v>
      </c>
      <c r="BI292">
        <v>395</v>
      </c>
      <c r="BJ292">
        <v>190</v>
      </c>
      <c r="BK292">
        <v>30</v>
      </c>
      <c r="BL292" t="s">
        <v>521</v>
      </c>
      <c r="BM292">
        <v>273.75299999999999</v>
      </c>
      <c r="BN292">
        <v>202.953</v>
      </c>
      <c r="BO292">
        <v>821.26080000000002</v>
      </c>
      <c r="BP292" t="s">
        <v>522</v>
      </c>
      <c r="BQ292">
        <v>1200</v>
      </c>
      <c r="BR292">
        <v>1000</v>
      </c>
      <c r="BS292">
        <v>1120</v>
      </c>
      <c r="BT292">
        <v>3</v>
      </c>
      <c r="BU292">
        <v>0</v>
      </c>
      <c r="BV292">
        <v>3</v>
      </c>
      <c r="BW292">
        <v>90</v>
      </c>
      <c r="BX292">
        <v>0</v>
      </c>
      <c r="BY292">
        <v>90</v>
      </c>
      <c r="BZ292">
        <v>4320</v>
      </c>
      <c r="CA292">
        <v>0</v>
      </c>
      <c r="CB292">
        <v>4320</v>
      </c>
      <c r="CC292">
        <v>608.86080000000004</v>
      </c>
      <c r="CD292" t="s">
        <v>806</v>
      </c>
      <c r="CE292" t="s">
        <v>821</v>
      </c>
      <c r="CG292" t="s">
        <v>421</v>
      </c>
      <c r="CN292" t="str">
        <v>M19</v>
      </c>
      <c r="CO292" t="str">
        <v>1275-5YY0561EN</v>
      </c>
      <c r="CP292" t="str">
        <v>FFAU5865735</v>
      </c>
      <c r="CQ292" s="23">
        <v>1065.008</v>
      </c>
      <c r="CR292" s="25">
        <f t="shared" si="13"/>
        <v>7.706924074356887E-2</v>
      </c>
      <c r="CS292" s="21">
        <f t="shared" si="14"/>
        <v>192.67310185892217</v>
      </c>
    </row>
    <row r="293" spans="2:97" x14ac:dyDescent="0.35">
      <c r="B293" t="s">
        <v>299</v>
      </c>
      <c r="C293" t="s">
        <v>1398</v>
      </c>
      <c r="D293" t="s">
        <v>395</v>
      </c>
      <c r="E293" t="s">
        <v>395</v>
      </c>
      <c r="F293" t="s">
        <v>396</v>
      </c>
      <c r="G293" t="s">
        <v>397</v>
      </c>
      <c r="H293" t="s">
        <v>398</v>
      </c>
      <c r="I293" t="s">
        <v>399</v>
      </c>
      <c r="J293" t="s">
        <v>749</v>
      </c>
      <c r="K293" t="s">
        <v>845</v>
      </c>
      <c r="L293" t="s">
        <v>787</v>
      </c>
      <c r="M293" t="s">
        <v>403</v>
      </c>
      <c r="N293">
        <v>1</v>
      </c>
      <c r="O293">
        <v>3</v>
      </c>
      <c r="P293" t="s">
        <v>1058</v>
      </c>
      <c r="Q293" t="s">
        <v>430</v>
      </c>
      <c r="R293" t="s">
        <v>847</v>
      </c>
      <c r="S293" t="s">
        <v>1059</v>
      </c>
      <c r="T293" t="s">
        <v>408</v>
      </c>
      <c r="U293">
        <v>50950081264</v>
      </c>
      <c r="W293">
        <v>1620</v>
      </c>
      <c r="X293" t="s">
        <v>409</v>
      </c>
      <c r="Y293" t="s">
        <v>410</v>
      </c>
      <c r="Z293" t="s">
        <v>410</v>
      </c>
      <c r="AA293" t="s">
        <v>411</v>
      </c>
      <c r="AB293" t="s">
        <v>554</v>
      </c>
      <c r="AC293" t="s">
        <v>411</v>
      </c>
      <c r="AD293">
        <v>46088</v>
      </c>
      <c r="AE293">
        <v>46146</v>
      </c>
      <c r="AF293">
        <v>46099</v>
      </c>
      <c r="AG293" t="s">
        <v>754</v>
      </c>
      <c r="AH293">
        <v>6137342</v>
      </c>
      <c r="AI293">
        <v>46092</v>
      </c>
      <c r="AJ293">
        <v>46093</v>
      </c>
      <c r="AK293">
        <v>1620</v>
      </c>
      <c r="AL293" t="s">
        <v>396</v>
      </c>
      <c r="AM293" t="s">
        <v>1537</v>
      </c>
      <c r="AN293">
        <v>46093</v>
      </c>
      <c r="AO293">
        <v>46093.400011574071</v>
      </c>
      <c r="AP293" t="s">
        <v>51</v>
      </c>
      <c r="AQ293">
        <v>1.4178500000000001</v>
      </c>
      <c r="AR293">
        <v>2296.92</v>
      </c>
      <c r="AS293" t="s">
        <v>51</v>
      </c>
      <c r="AT293">
        <v>2296.92</v>
      </c>
      <c r="AU293" t="s">
        <v>415</v>
      </c>
      <c r="AV293" t="s">
        <v>1420</v>
      </c>
      <c r="AW293" t="s">
        <v>1421</v>
      </c>
      <c r="AX293">
        <v>46099</v>
      </c>
      <c r="AY293">
        <v>46148</v>
      </c>
      <c r="AZ293" t="s">
        <v>1493</v>
      </c>
      <c r="BA293" t="s">
        <v>560</v>
      </c>
      <c r="BB293" t="s">
        <v>1494</v>
      </c>
      <c r="BC293">
        <v>27</v>
      </c>
      <c r="BD293" t="s">
        <v>521</v>
      </c>
      <c r="BE293">
        <v>13.9528</v>
      </c>
      <c r="BF293">
        <v>12.7248</v>
      </c>
      <c r="BG293" t="s">
        <v>522</v>
      </c>
      <c r="BH293">
        <v>495</v>
      </c>
      <c r="BI293">
        <v>395</v>
      </c>
      <c r="BJ293">
        <v>170</v>
      </c>
      <c r="BK293">
        <v>30</v>
      </c>
      <c r="BL293" t="s">
        <v>521</v>
      </c>
      <c r="BM293">
        <v>445.584</v>
      </c>
      <c r="BN293">
        <v>381.74400000000003</v>
      </c>
      <c r="BO293">
        <v>891.16980000000001</v>
      </c>
      <c r="BP293" t="s">
        <v>522</v>
      </c>
      <c r="BQ293">
        <v>1200</v>
      </c>
      <c r="BR293">
        <v>1000</v>
      </c>
      <c r="BS293">
        <v>1000</v>
      </c>
      <c r="BT293">
        <v>2</v>
      </c>
      <c r="BU293">
        <v>0</v>
      </c>
      <c r="BV293">
        <v>2</v>
      </c>
      <c r="BW293">
        <v>60</v>
      </c>
      <c r="BX293">
        <v>0</v>
      </c>
      <c r="BY293">
        <v>60</v>
      </c>
      <c r="BZ293">
        <v>1620</v>
      </c>
      <c r="CA293">
        <v>0</v>
      </c>
      <c r="CB293">
        <v>1620</v>
      </c>
      <c r="CC293">
        <v>763.48979999999995</v>
      </c>
      <c r="CD293" t="s">
        <v>850</v>
      </c>
      <c r="CE293" t="s">
        <v>851</v>
      </c>
      <c r="CG293" t="s">
        <v>421</v>
      </c>
      <c r="CN293" t="str">
        <v>M19</v>
      </c>
      <c r="CO293" t="str">
        <v>1275-5YY0696EN</v>
      </c>
      <c r="CP293" t="str">
        <v>FFAU5865735</v>
      </c>
      <c r="CQ293" s="23">
        <v>448.23520000000002</v>
      </c>
      <c r="CR293" s="25">
        <f t="shared" si="13"/>
        <v>3.2436513658622039E-2</v>
      </c>
      <c r="CS293" s="21">
        <f t="shared" si="14"/>
        <v>81.091284146555097</v>
      </c>
    </row>
    <row r="294" spans="2:97" x14ac:dyDescent="0.35">
      <c r="B294" t="s">
        <v>3497</v>
      </c>
      <c r="C294" t="s">
        <v>1538</v>
      </c>
      <c r="D294" t="s">
        <v>395</v>
      </c>
      <c r="E294" t="s">
        <v>395</v>
      </c>
      <c r="F294" t="s">
        <v>396</v>
      </c>
      <c r="G294" t="s">
        <v>397</v>
      </c>
      <c r="H294" t="s">
        <v>398</v>
      </c>
      <c r="I294" t="s">
        <v>399</v>
      </c>
      <c r="J294" t="s">
        <v>749</v>
      </c>
      <c r="K294" t="s">
        <v>515</v>
      </c>
      <c r="L294" t="s">
        <v>787</v>
      </c>
      <c r="M294" t="s">
        <v>403</v>
      </c>
      <c r="N294">
        <v>1</v>
      </c>
      <c r="O294">
        <v>1</v>
      </c>
      <c r="P294" t="s">
        <v>1539</v>
      </c>
      <c r="Q294" t="s">
        <v>424</v>
      </c>
      <c r="R294" t="s">
        <v>616</v>
      </c>
      <c r="S294" t="s">
        <v>1540</v>
      </c>
      <c r="T294" t="s">
        <v>408</v>
      </c>
      <c r="U294">
        <v>50950081275</v>
      </c>
      <c r="W294">
        <v>15000</v>
      </c>
      <c r="X294" t="s">
        <v>409</v>
      </c>
      <c r="Y294" t="s">
        <v>410</v>
      </c>
      <c r="Z294" t="s">
        <v>410</v>
      </c>
      <c r="AA294" t="s">
        <v>411</v>
      </c>
      <c r="AB294" t="s">
        <v>554</v>
      </c>
      <c r="AC294" t="s">
        <v>411</v>
      </c>
      <c r="AD294">
        <v>46095</v>
      </c>
      <c r="AE294">
        <v>46153</v>
      </c>
      <c r="AF294">
        <v>46099</v>
      </c>
      <c r="AG294" t="s">
        <v>754</v>
      </c>
      <c r="AH294">
        <v>6137683</v>
      </c>
      <c r="AI294">
        <v>46092</v>
      </c>
      <c r="AJ294">
        <v>46093</v>
      </c>
      <c r="AK294">
        <v>15000</v>
      </c>
      <c r="AL294" t="s">
        <v>396</v>
      </c>
      <c r="AM294" t="s">
        <v>1541</v>
      </c>
      <c r="AN294">
        <v>46093</v>
      </c>
      <c r="AO294">
        <v>46093.600787037038</v>
      </c>
      <c r="AP294" t="s">
        <v>51</v>
      </c>
      <c r="AQ294">
        <v>1.549E-2</v>
      </c>
      <c r="AR294">
        <v>232.35</v>
      </c>
      <c r="AS294" t="s">
        <v>51</v>
      </c>
      <c r="AT294">
        <v>232.35</v>
      </c>
      <c r="AU294" t="s">
        <v>415</v>
      </c>
      <c r="AV294" t="s">
        <v>1420</v>
      </c>
      <c r="AW294" t="s">
        <v>1421</v>
      </c>
      <c r="AX294">
        <v>46099</v>
      </c>
      <c r="AY294">
        <v>46148</v>
      </c>
      <c r="AZ294" t="s">
        <v>1487</v>
      </c>
      <c r="BA294" t="s">
        <v>560</v>
      </c>
      <c r="BB294" t="s">
        <v>1488</v>
      </c>
      <c r="BC294">
        <v>7500</v>
      </c>
      <c r="BD294" t="s">
        <v>521</v>
      </c>
      <c r="BE294">
        <v>10.749000000000001</v>
      </c>
      <c r="BF294">
        <v>8.8049999999999997</v>
      </c>
      <c r="BG294" t="s">
        <v>522</v>
      </c>
      <c r="BH294">
        <v>395</v>
      </c>
      <c r="BI294">
        <v>295</v>
      </c>
      <c r="BJ294">
        <v>200</v>
      </c>
      <c r="BK294">
        <v>6</v>
      </c>
      <c r="BL294" t="s">
        <v>521</v>
      </c>
      <c r="BM294">
        <v>29.498000000000001</v>
      </c>
      <c r="BN294">
        <v>17.61</v>
      </c>
      <c r="BO294">
        <v>29.498000000000001</v>
      </c>
      <c r="BP294" t="s">
        <v>522</v>
      </c>
      <c r="BQ294">
        <v>800</v>
      </c>
      <c r="BR294">
        <v>300</v>
      </c>
      <c r="BS294">
        <v>790</v>
      </c>
      <c r="BT294">
        <v>0</v>
      </c>
      <c r="BU294">
        <v>1</v>
      </c>
      <c r="BV294">
        <v>1</v>
      </c>
      <c r="BW294">
        <v>2</v>
      </c>
      <c r="BX294">
        <v>0</v>
      </c>
      <c r="BY294">
        <v>2</v>
      </c>
      <c r="BZ294">
        <v>0</v>
      </c>
      <c r="CA294">
        <v>15000</v>
      </c>
      <c r="CB294">
        <v>15000</v>
      </c>
      <c r="CC294">
        <v>17.61</v>
      </c>
      <c r="CD294" t="s">
        <v>626</v>
      </c>
      <c r="CE294" t="s">
        <v>1542</v>
      </c>
      <c r="CG294" t="s">
        <v>421</v>
      </c>
      <c r="CN294" t="str">
        <v>M19</v>
      </c>
      <c r="CO294" t="str">
        <v>1606-5YY5024EN</v>
      </c>
      <c r="CP294" t="str">
        <v>FFAU5865735</v>
      </c>
      <c r="CQ294" s="23">
        <v>635.14559999999994</v>
      </c>
      <c r="CR294" s="25">
        <f t="shared" si="13"/>
        <v>4.5962273667069627E-2</v>
      </c>
      <c r="CS294" s="21">
        <f t="shared" si="14"/>
        <v>114.90568416767407</v>
      </c>
    </row>
    <row r="295" spans="2:97" x14ac:dyDescent="0.35">
      <c r="B295" t="s">
        <v>299</v>
      </c>
      <c r="C295" t="s">
        <v>1137</v>
      </c>
      <c r="D295" t="s">
        <v>395</v>
      </c>
      <c r="E295" t="s">
        <v>395</v>
      </c>
      <c r="F295" t="s">
        <v>396</v>
      </c>
      <c r="G295" t="s">
        <v>397</v>
      </c>
      <c r="H295" t="s">
        <v>398</v>
      </c>
      <c r="I295" t="s">
        <v>399</v>
      </c>
      <c r="J295" t="s">
        <v>749</v>
      </c>
      <c r="K295" t="s">
        <v>809</v>
      </c>
      <c r="L295" t="s">
        <v>787</v>
      </c>
      <c r="M295" t="s">
        <v>403</v>
      </c>
      <c r="N295">
        <v>1</v>
      </c>
      <c r="O295">
        <v>3</v>
      </c>
      <c r="P295" t="s">
        <v>1138</v>
      </c>
      <c r="Q295" t="s">
        <v>943</v>
      </c>
      <c r="R295" t="s">
        <v>811</v>
      </c>
      <c r="S295" t="s">
        <v>1139</v>
      </c>
      <c r="T295" t="s">
        <v>408</v>
      </c>
      <c r="U295">
        <v>50950081276</v>
      </c>
      <c r="W295">
        <v>480</v>
      </c>
      <c r="X295" t="s">
        <v>409</v>
      </c>
      <c r="Y295" t="s">
        <v>410</v>
      </c>
      <c r="Z295" t="s">
        <v>410</v>
      </c>
      <c r="AA295" t="s">
        <v>411</v>
      </c>
      <c r="AB295" t="s">
        <v>554</v>
      </c>
      <c r="AC295" t="s">
        <v>411</v>
      </c>
      <c r="AD295">
        <v>46088</v>
      </c>
      <c r="AE295">
        <v>46146</v>
      </c>
      <c r="AF295">
        <v>46099</v>
      </c>
      <c r="AG295" t="s">
        <v>754</v>
      </c>
      <c r="AH295">
        <v>6137684</v>
      </c>
      <c r="AI295">
        <v>46092</v>
      </c>
      <c r="AJ295">
        <v>46093</v>
      </c>
      <c r="AK295">
        <v>480</v>
      </c>
      <c r="AL295" t="s">
        <v>396</v>
      </c>
      <c r="AM295" t="s">
        <v>1543</v>
      </c>
      <c r="AN295">
        <v>46093</v>
      </c>
      <c r="AO295">
        <v>46093.600787037038</v>
      </c>
      <c r="AP295" t="s">
        <v>51</v>
      </c>
      <c r="AQ295">
        <v>1.50905</v>
      </c>
      <c r="AR295">
        <v>724.34</v>
      </c>
      <c r="AS295" t="s">
        <v>51</v>
      </c>
      <c r="AT295">
        <v>724.34</v>
      </c>
      <c r="AU295" t="s">
        <v>415</v>
      </c>
      <c r="AV295" t="s">
        <v>1420</v>
      </c>
      <c r="AW295" t="s">
        <v>1421</v>
      </c>
      <c r="AX295">
        <v>46099</v>
      </c>
      <c r="AY295">
        <v>46148</v>
      </c>
      <c r="AZ295" t="s">
        <v>1487</v>
      </c>
      <c r="BA295" t="s">
        <v>560</v>
      </c>
      <c r="BB295" t="s">
        <v>1488</v>
      </c>
      <c r="BC295">
        <v>16</v>
      </c>
      <c r="BD295" t="s">
        <v>521</v>
      </c>
      <c r="BE295">
        <v>4.0369000000000002</v>
      </c>
      <c r="BF295">
        <v>2.8378999999999999</v>
      </c>
      <c r="BG295" t="s">
        <v>522</v>
      </c>
      <c r="BH295">
        <v>495</v>
      </c>
      <c r="BI295">
        <v>395</v>
      </c>
      <c r="BJ295">
        <v>190</v>
      </c>
      <c r="BK295">
        <v>30</v>
      </c>
      <c r="BL295" t="s">
        <v>521</v>
      </c>
      <c r="BM295">
        <v>148.10568000000001</v>
      </c>
      <c r="BN295">
        <v>85.135679999999994</v>
      </c>
      <c r="BO295">
        <v>148.10568000000001</v>
      </c>
      <c r="BP295" t="s">
        <v>522</v>
      </c>
      <c r="BQ295">
        <v>1200</v>
      </c>
      <c r="BR295">
        <v>1000</v>
      </c>
      <c r="BS295">
        <v>1120</v>
      </c>
      <c r="BT295">
        <v>1</v>
      </c>
      <c r="BU295">
        <v>0</v>
      </c>
      <c r="BV295">
        <v>1</v>
      </c>
      <c r="BW295">
        <v>30</v>
      </c>
      <c r="BX295">
        <v>0</v>
      </c>
      <c r="BY295">
        <v>30</v>
      </c>
      <c r="BZ295">
        <v>480</v>
      </c>
      <c r="CA295">
        <v>0</v>
      </c>
      <c r="CB295">
        <v>480</v>
      </c>
      <c r="CC295">
        <v>85.135679999999994</v>
      </c>
      <c r="CD295" t="s">
        <v>806</v>
      </c>
      <c r="CE295" t="s">
        <v>816</v>
      </c>
      <c r="CG295" t="s">
        <v>421</v>
      </c>
      <c r="CN295" t="str">
        <v>M23</v>
      </c>
      <c r="CO295" t="str">
        <v>1301-1120169EN</v>
      </c>
      <c r="CP295" t="str">
        <v>FFAU5865735</v>
      </c>
      <c r="CQ295" s="23">
        <v>969.32159999999999</v>
      </c>
      <c r="CR295" s="25">
        <f t="shared" si="13"/>
        <v>7.0144900083700182E-2</v>
      </c>
      <c r="CS295" s="21">
        <f t="shared" si="14"/>
        <v>175.36225020925045</v>
      </c>
    </row>
    <row r="296" spans="2:97" x14ac:dyDescent="0.35">
      <c r="B296" t="s">
        <v>299</v>
      </c>
      <c r="C296" t="s">
        <v>1544</v>
      </c>
      <c r="D296" t="s">
        <v>395</v>
      </c>
      <c r="E296" t="s">
        <v>395</v>
      </c>
      <c r="F296" t="s">
        <v>396</v>
      </c>
      <c r="G296" t="s">
        <v>397</v>
      </c>
      <c r="H296" t="s">
        <v>398</v>
      </c>
      <c r="I296" t="s">
        <v>399</v>
      </c>
      <c r="J296" t="s">
        <v>749</v>
      </c>
      <c r="K296" t="s">
        <v>809</v>
      </c>
      <c r="L296" t="s">
        <v>787</v>
      </c>
      <c r="M296" t="s">
        <v>403</v>
      </c>
      <c r="N296">
        <v>1</v>
      </c>
      <c r="O296">
        <v>1</v>
      </c>
      <c r="P296" t="s">
        <v>892</v>
      </c>
      <c r="Q296" t="s">
        <v>424</v>
      </c>
      <c r="R296" t="s">
        <v>811</v>
      </c>
      <c r="S296" t="s">
        <v>893</v>
      </c>
      <c r="T296" t="s">
        <v>408</v>
      </c>
      <c r="U296">
        <v>50950081284</v>
      </c>
      <c r="W296">
        <v>2880</v>
      </c>
      <c r="X296" t="s">
        <v>409</v>
      </c>
      <c r="Y296" t="s">
        <v>410</v>
      </c>
      <c r="Z296" t="s">
        <v>410</v>
      </c>
      <c r="AA296" t="s">
        <v>411</v>
      </c>
      <c r="AB296" t="s">
        <v>554</v>
      </c>
      <c r="AC296" t="s">
        <v>411</v>
      </c>
      <c r="AD296">
        <v>46095</v>
      </c>
      <c r="AE296">
        <v>46153</v>
      </c>
      <c r="AF296">
        <v>46099</v>
      </c>
      <c r="AG296" t="s">
        <v>754</v>
      </c>
      <c r="AH296">
        <v>6137685</v>
      </c>
      <c r="AI296">
        <v>46092</v>
      </c>
      <c r="AJ296">
        <v>46093</v>
      </c>
      <c r="AK296">
        <v>2880</v>
      </c>
      <c r="AL296" t="s">
        <v>396</v>
      </c>
      <c r="AM296" t="s">
        <v>1545</v>
      </c>
      <c r="AN296">
        <v>46093</v>
      </c>
      <c r="AO296">
        <v>46093.600787037038</v>
      </c>
      <c r="AP296" t="s">
        <v>51</v>
      </c>
      <c r="AQ296">
        <v>1.0937699999999999</v>
      </c>
      <c r="AR296">
        <v>3150.06</v>
      </c>
      <c r="AS296" t="s">
        <v>51</v>
      </c>
      <c r="AT296">
        <v>3150.06</v>
      </c>
      <c r="AU296" t="s">
        <v>415</v>
      </c>
      <c r="AV296" t="s">
        <v>1420</v>
      </c>
      <c r="AW296" t="s">
        <v>1421</v>
      </c>
      <c r="AX296">
        <v>46099</v>
      </c>
      <c r="AY296">
        <v>46148</v>
      </c>
      <c r="AZ296" t="s">
        <v>1487</v>
      </c>
      <c r="BA296" t="s">
        <v>560</v>
      </c>
      <c r="BB296" t="s">
        <v>1488</v>
      </c>
      <c r="BC296">
        <v>48</v>
      </c>
      <c r="BD296" t="s">
        <v>521</v>
      </c>
      <c r="BE296">
        <v>7.6664000000000003</v>
      </c>
      <c r="BF296">
        <v>6.2064000000000004</v>
      </c>
      <c r="BG296" t="s">
        <v>522</v>
      </c>
      <c r="BH296">
        <v>495</v>
      </c>
      <c r="BI296">
        <v>395</v>
      </c>
      <c r="BJ296">
        <v>190</v>
      </c>
      <c r="BK296">
        <v>30</v>
      </c>
      <c r="BL296" t="s">
        <v>521</v>
      </c>
      <c r="BM296">
        <v>256.99200000000002</v>
      </c>
      <c r="BN296">
        <v>186.19200000000001</v>
      </c>
      <c r="BO296">
        <v>513.98400000000004</v>
      </c>
      <c r="BP296" t="s">
        <v>522</v>
      </c>
      <c r="BQ296">
        <v>1200</v>
      </c>
      <c r="BR296">
        <v>1000</v>
      </c>
      <c r="BS296">
        <v>1120</v>
      </c>
      <c r="BT296">
        <v>2</v>
      </c>
      <c r="BU296">
        <v>0</v>
      </c>
      <c r="BV296">
        <v>2</v>
      </c>
      <c r="BW296">
        <v>60</v>
      </c>
      <c r="BX296">
        <v>0</v>
      </c>
      <c r="BY296">
        <v>60</v>
      </c>
      <c r="BZ296">
        <v>2880</v>
      </c>
      <c r="CA296">
        <v>0</v>
      </c>
      <c r="CB296">
        <v>2880</v>
      </c>
      <c r="CC296">
        <v>372.38400000000001</v>
      </c>
      <c r="CD296" t="s">
        <v>806</v>
      </c>
      <c r="CE296" t="s">
        <v>821</v>
      </c>
      <c r="CG296" t="s">
        <v>421</v>
      </c>
      <c r="CN296" t="str">
        <v>M19</v>
      </c>
      <c r="CO296" t="str">
        <v>1271-5YY0099EN</v>
      </c>
      <c r="CP296" t="str">
        <v>FFAU5865735</v>
      </c>
      <c r="CQ296" s="23">
        <v>1647.9344000000001</v>
      </c>
      <c r="CR296" s="25">
        <f t="shared" si="13"/>
        <v>0.11925267510028913</v>
      </c>
      <c r="CS296" s="21">
        <f t="shared" si="14"/>
        <v>298.13168775072279</v>
      </c>
    </row>
    <row r="297" spans="2:97" x14ac:dyDescent="0.35">
      <c r="B297" t="s">
        <v>299</v>
      </c>
      <c r="C297" t="s">
        <v>1546</v>
      </c>
      <c r="D297" t="s">
        <v>395</v>
      </c>
      <c r="E297" t="s">
        <v>395</v>
      </c>
      <c r="F297" t="s">
        <v>396</v>
      </c>
      <c r="G297" t="s">
        <v>397</v>
      </c>
      <c r="H297" t="s">
        <v>398</v>
      </c>
      <c r="I297" t="s">
        <v>399</v>
      </c>
      <c r="J297" t="s">
        <v>749</v>
      </c>
      <c r="K297" t="s">
        <v>845</v>
      </c>
      <c r="L297" t="s">
        <v>787</v>
      </c>
      <c r="M297" t="s">
        <v>403</v>
      </c>
      <c r="N297">
        <v>1</v>
      </c>
      <c r="O297">
        <v>1</v>
      </c>
      <c r="P297" t="s">
        <v>853</v>
      </c>
      <c r="Q297" t="s">
        <v>789</v>
      </c>
      <c r="R297" t="s">
        <v>847</v>
      </c>
      <c r="S297" t="s">
        <v>854</v>
      </c>
      <c r="T297" t="s">
        <v>408</v>
      </c>
      <c r="U297">
        <v>50950081249</v>
      </c>
      <c r="W297">
        <v>13068</v>
      </c>
      <c r="X297" t="s">
        <v>409</v>
      </c>
      <c r="Y297" t="s">
        <v>410</v>
      </c>
      <c r="Z297" t="s">
        <v>410</v>
      </c>
      <c r="AA297" t="s">
        <v>411</v>
      </c>
      <c r="AB297" t="s">
        <v>554</v>
      </c>
      <c r="AC297" t="s">
        <v>411</v>
      </c>
      <c r="AD297">
        <v>46095</v>
      </c>
      <c r="AE297">
        <v>46153</v>
      </c>
      <c r="AF297">
        <v>46099</v>
      </c>
      <c r="AG297" t="s">
        <v>754</v>
      </c>
      <c r="AH297">
        <v>6137343</v>
      </c>
      <c r="AI297">
        <v>46092</v>
      </c>
      <c r="AJ297">
        <v>46093</v>
      </c>
      <c r="AK297">
        <v>13068</v>
      </c>
      <c r="AL297" t="s">
        <v>396</v>
      </c>
      <c r="AM297" t="s">
        <v>1547</v>
      </c>
      <c r="AN297">
        <v>46093</v>
      </c>
      <c r="AO297">
        <v>46093.400011574071</v>
      </c>
      <c r="AP297" t="s">
        <v>51</v>
      </c>
      <c r="AQ297">
        <v>1.00054</v>
      </c>
      <c r="AR297">
        <v>13075.04</v>
      </c>
      <c r="AS297" t="s">
        <v>51</v>
      </c>
      <c r="AT297">
        <v>13075.04</v>
      </c>
      <c r="AU297" t="s">
        <v>415</v>
      </c>
      <c r="AV297" t="s">
        <v>1420</v>
      </c>
      <c r="AW297" t="s">
        <v>1421</v>
      </c>
      <c r="AX297">
        <v>46099</v>
      </c>
      <c r="AY297">
        <v>46148</v>
      </c>
      <c r="AZ297" t="s">
        <v>1493</v>
      </c>
      <c r="BA297" t="s">
        <v>560</v>
      </c>
      <c r="BB297" t="s">
        <v>1494</v>
      </c>
      <c r="BC297">
        <v>33</v>
      </c>
      <c r="BD297" t="s">
        <v>521</v>
      </c>
      <c r="BE297">
        <v>12.9557</v>
      </c>
      <c r="BF297">
        <v>12.005699999999999</v>
      </c>
      <c r="BG297" t="s">
        <v>522</v>
      </c>
      <c r="BH297">
        <v>495</v>
      </c>
      <c r="BI297">
        <v>395</v>
      </c>
      <c r="BJ297">
        <v>150</v>
      </c>
      <c r="BK297">
        <v>36</v>
      </c>
      <c r="BL297" t="s">
        <v>521</v>
      </c>
      <c r="BM297">
        <v>493.40519999999998</v>
      </c>
      <c r="BN297">
        <v>432.20519999999999</v>
      </c>
      <c r="BO297">
        <v>5427.4690799999998</v>
      </c>
      <c r="BP297" t="s">
        <v>522</v>
      </c>
      <c r="BQ297">
        <v>1200</v>
      </c>
      <c r="BR297">
        <v>1000</v>
      </c>
      <c r="BS297">
        <v>1053</v>
      </c>
      <c r="BT297">
        <v>11</v>
      </c>
      <c r="BU297">
        <v>0</v>
      </c>
      <c r="BV297">
        <v>11</v>
      </c>
      <c r="BW297">
        <v>396</v>
      </c>
      <c r="BX297">
        <v>0</v>
      </c>
      <c r="BY297">
        <v>396</v>
      </c>
      <c r="BZ297">
        <v>13068</v>
      </c>
      <c r="CA297">
        <v>0</v>
      </c>
      <c r="CB297">
        <v>13068</v>
      </c>
      <c r="CC297">
        <v>4754.26908</v>
      </c>
      <c r="CD297" t="s">
        <v>856</v>
      </c>
      <c r="CE297" t="s">
        <v>857</v>
      </c>
      <c r="CG297" t="s">
        <v>421</v>
      </c>
      <c r="CN297" t="str">
        <v>M19</v>
      </c>
      <c r="CO297" t="str">
        <v>1307-5YY0182EN</v>
      </c>
      <c r="CP297" t="str">
        <v>FFAU5865735</v>
      </c>
      <c r="CQ297" s="23">
        <v>839.37612799999999</v>
      </c>
      <c r="CR297" s="25">
        <f t="shared" si="13"/>
        <v>6.0741403710804685E-2</v>
      </c>
      <c r="CS297" s="21">
        <f t="shared" si="14"/>
        <v>151.85350927701171</v>
      </c>
    </row>
    <row r="298" spans="2:97" x14ac:dyDescent="0.35">
      <c r="B298" t="s">
        <v>3497</v>
      </c>
      <c r="C298" t="s">
        <v>1548</v>
      </c>
      <c r="D298" t="s">
        <v>395</v>
      </c>
      <c r="E298" t="s">
        <v>395</v>
      </c>
      <c r="F298" t="s">
        <v>396</v>
      </c>
      <c r="G298" t="s">
        <v>397</v>
      </c>
      <c r="H298" t="s">
        <v>398</v>
      </c>
      <c r="I298" t="s">
        <v>399</v>
      </c>
      <c r="J298" t="s">
        <v>749</v>
      </c>
      <c r="K298" t="s">
        <v>515</v>
      </c>
      <c r="L298" t="s">
        <v>787</v>
      </c>
      <c r="M298" t="s">
        <v>403</v>
      </c>
      <c r="N298">
        <v>1</v>
      </c>
      <c r="O298">
        <v>1</v>
      </c>
      <c r="P298" t="s">
        <v>1549</v>
      </c>
      <c r="Q298" t="s">
        <v>637</v>
      </c>
      <c r="R298" t="s">
        <v>616</v>
      </c>
      <c r="S298" t="s">
        <v>1540</v>
      </c>
      <c r="T298" t="s">
        <v>408</v>
      </c>
      <c r="U298">
        <v>50950081220</v>
      </c>
      <c r="W298">
        <v>15000</v>
      </c>
      <c r="X298" t="s">
        <v>409</v>
      </c>
      <c r="Y298" t="s">
        <v>410</v>
      </c>
      <c r="Z298" t="s">
        <v>410</v>
      </c>
      <c r="AA298" t="s">
        <v>411</v>
      </c>
      <c r="AB298" t="s">
        <v>554</v>
      </c>
      <c r="AC298" t="s">
        <v>411</v>
      </c>
      <c r="AD298">
        <v>46088</v>
      </c>
      <c r="AE298">
        <v>46146</v>
      </c>
      <c r="AF298">
        <v>46099</v>
      </c>
      <c r="AG298" t="s">
        <v>754</v>
      </c>
      <c r="AH298">
        <v>6137686</v>
      </c>
      <c r="AI298">
        <v>46092</v>
      </c>
      <c r="AJ298">
        <v>46093</v>
      </c>
      <c r="AK298">
        <v>15000</v>
      </c>
      <c r="AL298" t="s">
        <v>396</v>
      </c>
      <c r="AM298" t="s">
        <v>1550</v>
      </c>
      <c r="AN298">
        <v>46093</v>
      </c>
      <c r="AO298">
        <v>46093.600787037038</v>
      </c>
      <c r="AP298" t="s">
        <v>51</v>
      </c>
      <c r="AQ298">
        <v>3.7159999999999999E-2</v>
      </c>
      <c r="AR298">
        <v>557.4</v>
      </c>
      <c r="AS298" t="s">
        <v>51</v>
      </c>
      <c r="AT298">
        <v>557.4</v>
      </c>
      <c r="AU298" t="s">
        <v>415</v>
      </c>
      <c r="AV298" t="s">
        <v>1420</v>
      </c>
      <c r="AW298" t="s">
        <v>1421</v>
      </c>
      <c r="AX298">
        <v>46099</v>
      </c>
      <c r="AY298">
        <v>46148</v>
      </c>
      <c r="AZ298" t="s">
        <v>1487</v>
      </c>
      <c r="BA298" t="s">
        <v>560</v>
      </c>
      <c r="BB298" t="s">
        <v>1488</v>
      </c>
      <c r="BC298">
        <v>2000</v>
      </c>
      <c r="BD298" t="s">
        <v>521</v>
      </c>
      <c r="BE298">
        <v>8.0278500000000008</v>
      </c>
      <c r="BF298">
        <v>7.0940000000000003</v>
      </c>
      <c r="BG298" t="s">
        <v>522</v>
      </c>
      <c r="BH298">
        <v>398</v>
      </c>
      <c r="BI298">
        <v>298</v>
      </c>
      <c r="BJ298">
        <v>155</v>
      </c>
      <c r="BK298">
        <v>6</v>
      </c>
      <c r="BL298" t="s">
        <v>521</v>
      </c>
      <c r="BM298">
        <v>56.167099999999998</v>
      </c>
      <c r="BN298">
        <v>42.564</v>
      </c>
      <c r="BO298">
        <v>76.675799999999995</v>
      </c>
      <c r="BP298" t="s">
        <v>522</v>
      </c>
      <c r="BQ298">
        <v>800</v>
      </c>
      <c r="BR298">
        <v>300</v>
      </c>
      <c r="BS298">
        <v>608</v>
      </c>
      <c r="BT298">
        <v>1</v>
      </c>
      <c r="BU298">
        <v>1</v>
      </c>
      <c r="BV298">
        <v>2</v>
      </c>
      <c r="BW298">
        <v>7</v>
      </c>
      <c r="BX298">
        <v>1</v>
      </c>
      <c r="BY298">
        <v>8</v>
      </c>
      <c r="BZ298">
        <v>12000</v>
      </c>
      <c r="CA298">
        <v>3000</v>
      </c>
      <c r="CB298">
        <v>15000</v>
      </c>
      <c r="CC298">
        <v>53.204999999999998</v>
      </c>
      <c r="CD298" t="s">
        <v>523</v>
      </c>
      <c r="CE298" t="s">
        <v>981</v>
      </c>
      <c r="CG298" t="s">
        <v>421</v>
      </c>
      <c r="CN298" t="str">
        <v>M19</v>
      </c>
      <c r="CO298" t="str">
        <v>1307-5YY0182EN</v>
      </c>
      <c r="CP298" t="str">
        <v>FFAU5865735</v>
      </c>
      <c r="CQ298" s="23">
        <v>3357.504512</v>
      </c>
      <c r="CR298" s="25">
        <f t="shared" si="13"/>
        <v>0.24296561484321874</v>
      </c>
      <c r="CS298" s="21">
        <f t="shared" si="14"/>
        <v>607.41403710804684</v>
      </c>
    </row>
    <row r="299" spans="2:97" x14ac:dyDescent="0.35">
      <c r="B299" t="s">
        <v>297</v>
      </c>
      <c r="C299" t="s">
        <v>1551</v>
      </c>
      <c r="D299" t="s">
        <v>395</v>
      </c>
      <c r="E299" t="s">
        <v>395</v>
      </c>
      <c r="F299" t="s">
        <v>396</v>
      </c>
      <c r="G299" t="s">
        <v>397</v>
      </c>
      <c r="H299" t="s">
        <v>398</v>
      </c>
      <c r="I299" t="s">
        <v>399</v>
      </c>
      <c r="J299" t="s">
        <v>749</v>
      </c>
      <c r="K299" t="s">
        <v>515</v>
      </c>
      <c r="L299" t="s">
        <v>787</v>
      </c>
      <c r="M299" t="s">
        <v>403</v>
      </c>
      <c r="N299">
        <v>1</v>
      </c>
      <c r="O299">
        <v>1</v>
      </c>
      <c r="P299" t="s">
        <v>1047</v>
      </c>
      <c r="Q299" t="s">
        <v>424</v>
      </c>
      <c r="R299" t="s">
        <v>691</v>
      </c>
      <c r="S299" t="s">
        <v>1048</v>
      </c>
      <c r="T299" t="s">
        <v>408</v>
      </c>
      <c r="U299">
        <v>50950081391</v>
      </c>
      <c r="W299">
        <v>120000</v>
      </c>
      <c r="X299" t="s">
        <v>409</v>
      </c>
      <c r="Y299" t="s">
        <v>410</v>
      </c>
      <c r="Z299" t="s">
        <v>410</v>
      </c>
      <c r="AA299" t="s">
        <v>411</v>
      </c>
      <c r="AB299" t="s">
        <v>554</v>
      </c>
      <c r="AC299" t="s">
        <v>411</v>
      </c>
      <c r="AD299">
        <v>46088</v>
      </c>
      <c r="AE299">
        <v>46146</v>
      </c>
      <c r="AF299">
        <v>46099</v>
      </c>
      <c r="AG299" t="s">
        <v>754</v>
      </c>
      <c r="AH299">
        <v>6137687</v>
      </c>
      <c r="AI299">
        <v>46092</v>
      </c>
      <c r="AJ299">
        <v>46093</v>
      </c>
      <c r="AK299">
        <v>120000</v>
      </c>
      <c r="AL299" t="s">
        <v>396</v>
      </c>
      <c r="AM299" t="s">
        <v>1552</v>
      </c>
      <c r="AN299">
        <v>46093</v>
      </c>
      <c r="AO299">
        <v>46093.600787037038</v>
      </c>
      <c r="AP299" t="s">
        <v>51</v>
      </c>
      <c r="AQ299">
        <v>1.2959999999999999E-2</v>
      </c>
      <c r="AR299">
        <v>1555.2</v>
      </c>
      <c r="AS299" t="s">
        <v>51</v>
      </c>
      <c r="AT299">
        <v>1555.2</v>
      </c>
      <c r="AU299" t="s">
        <v>415</v>
      </c>
      <c r="AV299" t="s">
        <v>1420</v>
      </c>
      <c r="AW299" t="s">
        <v>1421</v>
      </c>
      <c r="AX299">
        <v>46099</v>
      </c>
      <c r="AY299">
        <v>46148</v>
      </c>
      <c r="AZ299" t="s">
        <v>1487</v>
      </c>
      <c r="BA299" t="s">
        <v>560</v>
      </c>
      <c r="BB299" t="s">
        <v>1488</v>
      </c>
      <c r="BC299">
        <v>20000</v>
      </c>
      <c r="BD299" t="s">
        <v>521</v>
      </c>
      <c r="BE299">
        <v>11.879</v>
      </c>
      <c r="BF299">
        <v>11.2</v>
      </c>
      <c r="BG299" t="s">
        <v>522</v>
      </c>
      <c r="BH299">
        <v>395</v>
      </c>
      <c r="BI299">
        <v>295</v>
      </c>
      <c r="BJ299">
        <v>174</v>
      </c>
      <c r="BK299">
        <v>6</v>
      </c>
      <c r="BL299" t="s">
        <v>521</v>
      </c>
      <c r="BM299">
        <v>79.274000000000001</v>
      </c>
      <c r="BN299">
        <v>67.2</v>
      </c>
      <c r="BO299">
        <v>79.274000000000001</v>
      </c>
      <c r="BP299" t="s">
        <v>522</v>
      </c>
      <c r="BQ299">
        <v>800</v>
      </c>
      <c r="BR299">
        <v>300</v>
      </c>
      <c r="BS299">
        <v>698</v>
      </c>
      <c r="BT299">
        <v>1</v>
      </c>
      <c r="BU299">
        <v>0</v>
      </c>
      <c r="BV299">
        <v>1</v>
      </c>
      <c r="BW299">
        <v>6</v>
      </c>
      <c r="BX299">
        <v>0</v>
      </c>
      <c r="BY299">
        <v>6</v>
      </c>
      <c r="BZ299">
        <v>120000</v>
      </c>
      <c r="CA299">
        <v>0</v>
      </c>
      <c r="CB299">
        <v>120000</v>
      </c>
      <c r="CC299">
        <v>67.2</v>
      </c>
      <c r="CD299" t="s">
        <v>659</v>
      </c>
      <c r="CE299" t="s">
        <v>1006</v>
      </c>
      <c r="CG299" t="s">
        <v>421</v>
      </c>
      <c r="CN299" t="str">
        <v>M45</v>
      </c>
      <c r="CO299" t="str">
        <v>1100-12C0005EN</v>
      </c>
      <c r="CP299" t="str">
        <v>FFAU5865735</v>
      </c>
      <c r="CQ299" s="23">
        <v>820.86383999999998</v>
      </c>
      <c r="CR299" s="25">
        <f t="shared" si="13"/>
        <v>5.9401763087836332E-2</v>
      </c>
      <c r="CS299" s="21">
        <f t="shared" si="14"/>
        <v>148.50440771959083</v>
      </c>
    </row>
    <row r="300" spans="2:97" x14ac:dyDescent="0.35">
      <c r="B300" t="s">
        <v>299</v>
      </c>
      <c r="C300" t="s">
        <v>1553</v>
      </c>
      <c r="D300" t="s">
        <v>395</v>
      </c>
      <c r="E300" t="s">
        <v>395</v>
      </c>
      <c r="F300" t="s">
        <v>396</v>
      </c>
      <c r="G300" t="s">
        <v>397</v>
      </c>
      <c r="H300" t="s">
        <v>398</v>
      </c>
      <c r="I300" t="s">
        <v>399</v>
      </c>
      <c r="J300" t="s">
        <v>749</v>
      </c>
      <c r="K300" t="s">
        <v>809</v>
      </c>
      <c r="L300" t="s">
        <v>787</v>
      </c>
      <c r="M300" t="s">
        <v>403</v>
      </c>
      <c r="N300">
        <v>1</v>
      </c>
      <c r="O300">
        <v>1</v>
      </c>
      <c r="P300" t="s">
        <v>1171</v>
      </c>
      <c r="Q300" t="s">
        <v>424</v>
      </c>
      <c r="R300" t="s">
        <v>811</v>
      </c>
      <c r="S300" t="s">
        <v>1172</v>
      </c>
      <c r="T300" t="s">
        <v>408</v>
      </c>
      <c r="U300">
        <v>50950081407</v>
      </c>
      <c r="W300">
        <v>960</v>
      </c>
      <c r="X300" t="s">
        <v>409</v>
      </c>
      <c r="Y300" t="s">
        <v>410</v>
      </c>
      <c r="Z300" t="s">
        <v>410</v>
      </c>
      <c r="AA300" t="s">
        <v>411</v>
      </c>
      <c r="AB300" t="s">
        <v>554</v>
      </c>
      <c r="AC300" t="s">
        <v>411</v>
      </c>
      <c r="AD300">
        <v>46088</v>
      </c>
      <c r="AE300">
        <v>46146</v>
      </c>
      <c r="AF300">
        <v>46099</v>
      </c>
      <c r="AG300" t="s">
        <v>754</v>
      </c>
      <c r="AH300">
        <v>6137688</v>
      </c>
      <c r="AI300">
        <v>46092</v>
      </c>
      <c r="AJ300">
        <v>46093</v>
      </c>
      <c r="AK300">
        <v>960</v>
      </c>
      <c r="AL300" t="s">
        <v>396</v>
      </c>
      <c r="AM300" t="s">
        <v>1554</v>
      </c>
      <c r="AN300">
        <v>46093</v>
      </c>
      <c r="AO300">
        <v>46093.600787037038</v>
      </c>
      <c r="AP300" t="s">
        <v>51</v>
      </c>
      <c r="AQ300">
        <v>2.2482600000000001</v>
      </c>
      <c r="AR300">
        <v>2158.3200000000002</v>
      </c>
      <c r="AS300" t="s">
        <v>51</v>
      </c>
      <c r="AT300">
        <v>2158.3200000000002</v>
      </c>
      <c r="AU300" t="s">
        <v>415</v>
      </c>
      <c r="AV300" t="s">
        <v>1420</v>
      </c>
      <c r="AW300" t="s">
        <v>1421</v>
      </c>
      <c r="AX300">
        <v>46099</v>
      </c>
      <c r="AY300">
        <v>46148</v>
      </c>
      <c r="AZ300" t="s">
        <v>1487</v>
      </c>
      <c r="BA300" t="s">
        <v>560</v>
      </c>
      <c r="BB300" t="s">
        <v>1488</v>
      </c>
      <c r="BC300">
        <v>16</v>
      </c>
      <c r="BD300" t="s">
        <v>521</v>
      </c>
      <c r="BE300">
        <v>6.3556999999999997</v>
      </c>
      <c r="BF300">
        <v>5.1566999999999998</v>
      </c>
      <c r="BG300" t="s">
        <v>522</v>
      </c>
      <c r="BH300">
        <v>495</v>
      </c>
      <c r="BI300">
        <v>395</v>
      </c>
      <c r="BJ300">
        <v>190</v>
      </c>
      <c r="BK300">
        <v>30</v>
      </c>
      <c r="BL300" t="s">
        <v>521</v>
      </c>
      <c r="BM300">
        <v>217.67099999999999</v>
      </c>
      <c r="BN300">
        <v>154.70099999999999</v>
      </c>
      <c r="BO300">
        <v>435.34032000000002</v>
      </c>
      <c r="BP300" t="s">
        <v>522</v>
      </c>
      <c r="BQ300">
        <v>1200</v>
      </c>
      <c r="BR300">
        <v>1000</v>
      </c>
      <c r="BS300">
        <v>1120</v>
      </c>
      <c r="BT300">
        <v>2</v>
      </c>
      <c r="BU300">
        <v>0</v>
      </c>
      <c r="BV300">
        <v>2</v>
      </c>
      <c r="BW300">
        <v>60</v>
      </c>
      <c r="BX300">
        <v>0</v>
      </c>
      <c r="BY300">
        <v>60</v>
      </c>
      <c r="BZ300">
        <v>960</v>
      </c>
      <c r="CA300">
        <v>0</v>
      </c>
      <c r="CB300">
        <v>960</v>
      </c>
      <c r="CC300">
        <v>309.40032000000002</v>
      </c>
      <c r="CD300" t="s">
        <v>806</v>
      </c>
      <c r="CE300" t="s">
        <v>816</v>
      </c>
      <c r="CG300" t="s">
        <v>421</v>
      </c>
      <c r="CN300" t="str">
        <v>M01</v>
      </c>
      <c r="CO300" t="str">
        <v>1301-1030463EN</v>
      </c>
      <c r="CP300" t="str">
        <v>FFAU5865735</v>
      </c>
      <c r="CQ300" s="23">
        <v>196.83199999999999</v>
      </c>
      <c r="CR300" s="25">
        <f t="shared" si="13"/>
        <v>1.4243736003896822E-2</v>
      </c>
      <c r="CS300" s="21">
        <f t="shared" si="14"/>
        <v>35.609340009742056</v>
      </c>
    </row>
    <row r="301" spans="2:97" x14ac:dyDescent="0.35">
      <c r="B301" t="s">
        <v>297</v>
      </c>
      <c r="C301" t="s">
        <v>1555</v>
      </c>
      <c r="D301" t="s">
        <v>395</v>
      </c>
      <c r="E301" t="s">
        <v>395</v>
      </c>
      <c r="F301" t="s">
        <v>396</v>
      </c>
      <c r="G301" t="s">
        <v>397</v>
      </c>
      <c r="H301" t="s">
        <v>398</v>
      </c>
      <c r="I301" t="s">
        <v>399</v>
      </c>
      <c r="J301" t="s">
        <v>749</v>
      </c>
      <c r="K301" t="s">
        <v>629</v>
      </c>
      <c r="L301" t="s">
        <v>787</v>
      </c>
      <c r="M301" t="s">
        <v>403</v>
      </c>
      <c r="N301">
        <v>1</v>
      </c>
      <c r="O301">
        <v>1</v>
      </c>
      <c r="P301" t="s">
        <v>1037</v>
      </c>
      <c r="Q301" t="s">
        <v>430</v>
      </c>
      <c r="R301" t="s">
        <v>1038</v>
      </c>
      <c r="S301" t="s">
        <v>840</v>
      </c>
      <c r="T301" t="s">
        <v>408</v>
      </c>
      <c r="U301">
        <v>50950081411</v>
      </c>
      <c r="W301">
        <v>33600</v>
      </c>
      <c r="X301" t="s">
        <v>409</v>
      </c>
      <c r="Y301" t="s">
        <v>410</v>
      </c>
      <c r="Z301" t="s">
        <v>410</v>
      </c>
      <c r="AA301" t="s">
        <v>411</v>
      </c>
      <c r="AB301" t="s">
        <v>554</v>
      </c>
      <c r="AC301" t="s">
        <v>411</v>
      </c>
      <c r="AD301">
        <v>46095</v>
      </c>
      <c r="AE301">
        <v>46153</v>
      </c>
      <c r="AF301">
        <v>46099</v>
      </c>
      <c r="AG301" t="s">
        <v>754</v>
      </c>
      <c r="AH301">
        <v>6137689</v>
      </c>
      <c r="AI301">
        <v>46092</v>
      </c>
      <c r="AJ301">
        <v>46093</v>
      </c>
      <c r="AK301">
        <v>33600</v>
      </c>
      <c r="AL301" t="s">
        <v>396</v>
      </c>
      <c r="AM301" t="s">
        <v>1556</v>
      </c>
      <c r="AN301">
        <v>46093</v>
      </c>
      <c r="AO301">
        <v>46093.600787037038</v>
      </c>
      <c r="AP301" t="s">
        <v>51</v>
      </c>
      <c r="AQ301">
        <v>1.3639999999999999E-2</v>
      </c>
      <c r="AR301">
        <v>458.3</v>
      </c>
      <c r="AS301" t="s">
        <v>51</v>
      </c>
      <c r="AT301">
        <v>458.3</v>
      </c>
      <c r="AU301" t="s">
        <v>415</v>
      </c>
      <c r="AV301" t="s">
        <v>1420</v>
      </c>
      <c r="AW301" t="s">
        <v>1421</v>
      </c>
      <c r="AX301">
        <v>46099</v>
      </c>
      <c r="AY301">
        <v>46148</v>
      </c>
      <c r="AZ301" t="s">
        <v>1487</v>
      </c>
      <c r="BA301" t="s">
        <v>560</v>
      </c>
      <c r="BB301" t="s">
        <v>1488</v>
      </c>
      <c r="BC301">
        <v>16800</v>
      </c>
      <c r="BD301" t="s">
        <v>521</v>
      </c>
      <c r="BE301">
        <v>8.2989999999999995</v>
      </c>
      <c r="BF301">
        <v>7.3920000000000003</v>
      </c>
      <c r="BG301" t="s">
        <v>522</v>
      </c>
      <c r="BH301">
        <v>395</v>
      </c>
      <c r="BI301">
        <v>295</v>
      </c>
      <c r="BJ301">
        <v>270</v>
      </c>
      <c r="BK301">
        <v>4</v>
      </c>
      <c r="BL301" t="s">
        <v>521</v>
      </c>
      <c r="BM301">
        <v>24.597999999999999</v>
      </c>
      <c r="BN301">
        <v>14.784000000000001</v>
      </c>
      <c r="BO301">
        <v>24.597999999999999</v>
      </c>
      <c r="BP301" t="s">
        <v>522</v>
      </c>
      <c r="BQ301">
        <v>800</v>
      </c>
      <c r="BR301">
        <v>300</v>
      </c>
      <c r="BS301">
        <v>698</v>
      </c>
      <c r="BT301">
        <v>0</v>
      </c>
      <c r="BU301">
        <v>1</v>
      </c>
      <c r="BV301">
        <v>1</v>
      </c>
      <c r="BW301">
        <v>2</v>
      </c>
      <c r="BX301">
        <v>0</v>
      </c>
      <c r="BY301">
        <v>2</v>
      </c>
      <c r="BZ301">
        <v>0</v>
      </c>
      <c r="CA301">
        <v>33600</v>
      </c>
      <c r="CB301">
        <v>33600</v>
      </c>
      <c r="CC301">
        <v>14.784000000000001</v>
      </c>
      <c r="CD301" t="s">
        <v>659</v>
      </c>
      <c r="CE301" t="s">
        <v>634</v>
      </c>
      <c r="CG301" t="s">
        <v>421</v>
      </c>
      <c r="CN301" t="str">
        <v>M01</v>
      </c>
      <c r="CO301" t="str">
        <v>1201-1030400EN</v>
      </c>
      <c r="CP301" t="str">
        <v>FFAU5865735</v>
      </c>
      <c r="CQ301" s="23">
        <v>224.244</v>
      </c>
      <c r="CR301" s="25">
        <f t="shared" si="13"/>
        <v>1.6227403757812953E-2</v>
      </c>
      <c r="CS301" s="21">
        <f t="shared" si="14"/>
        <v>40.568509394532384</v>
      </c>
    </row>
    <row r="302" spans="2:97" x14ac:dyDescent="0.35">
      <c r="B302" t="s">
        <v>296</v>
      </c>
      <c r="C302" t="s">
        <v>1557</v>
      </c>
      <c r="D302" t="s">
        <v>395</v>
      </c>
      <c r="E302" t="s">
        <v>395</v>
      </c>
      <c r="F302" t="s">
        <v>396</v>
      </c>
      <c r="G302" t="s">
        <v>397</v>
      </c>
      <c r="H302" t="s">
        <v>398</v>
      </c>
      <c r="I302" t="s">
        <v>399</v>
      </c>
      <c r="J302" t="s">
        <v>749</v>
      </c>
      <c r="K302" t="s">
        <v>1142</v>
      </c>
      <c r="L302" t="s">
        <v>787</v>
      </c>
      <c r="M302" t="s">
        <v>403</v>
      </c>
      <c r="N302">
        <v>1</v>
      </c>
      <c r="O302">
        <v>1</v>
      </c>
      <c r="P302" t="s">
        <v>1163</v>
      </c>
      <c r="Q302" t="s">
        <v>430</v>
      </c>
      <c r="R302" t="s">
        <v>1164</v>
      </c>
      <c r="S302" t="s">
        <v>1165</v>
      </c>
      <c r="T302" t="s">
        <v>408</v>
      </c>
      <c r="U302">
        <v>50950081429</v>
      </c>
      <c r="W302">
        <v>22680</v>
      </c>
      <c r="X302" t="s">
        <v>409</v>
      </c>
      <c r="Y302" t="s">
        <v>410</v>
      </c>
      <c r="Z302" t="s">
        <v>410</v>
      </c>
      <c r="AA302" t="s">
        <v>411</v>
      </c>
      <c r="AB302" t="s">
        <v>554</v>
      </c>
      <c r="AC302" t="s">
        <v>411</v>
      </c>
      <c r="AD302">
        <v>46088</v>
      </c>
      <c r="AE302">
        <v>46160</v>
      </c>
      <c r="AF302">
        <v>46099</v>
      </c>
      <c r="AG302" t="s">
        <v>754</v>
      </c>
      <c r="AH302">
        <v>6137690</v>
      </c>
      <c r="AI302">
        <v>46092</v>
      </c>
      <c r="AJ302">
        <v>46093</v>
      </c>
      <c r="AK302">
        <v>22680</v>
      </c>
      <c r="AL302" t="s">
        <v>396</v>
      </c>
      <c r="AM302" t="s">
        <v>1558</v>
      </c>
      <c r="AN302">
        <v>46093</v>
      </c>
      <c r="AO302">
        <v>46093.600787037038</v>
      </c>
      <c r="AP302" t="s">
        <v>51</v>
      </c>
      <c r="AQ302">
        <v>0.11984</v>
      </c>
      <c r="AR302">
        <v>2717.97</v>
      </c>
      <c r="AS302" t="s">
        <v>51</v>
      </c>
      <c r="AT302">
        <v>2717.97</v>
      </c>
      <c r="AU302" t="s">
        <v>415</v>
      </c>
      <c r="AV302" t="s">
        <v>1420</v>
      </c>
      <c r="AW302" t="s">
        <v>1421</v>
      </c>
      <c r="AX302">
        <v>46099</v>
      </c>
      <c r="AY302">
        <v>46148</v>
      </c>
      <c r="AZ302" t="s">
        <v>1487</v>
      </c>
      <c r="BA302" t="s">
        <v>560</v>
      </c>
      <c r="BB302" t="s">
        <v>1488</v>
      </c>
      <c r="BC302">
        <v>7560</v>
      </c>
      <c r="BD302" t="s">
        <v>521</v>
      </c>
      <c r="BE302">
        <v>637.24480000000005</v>
      </c>
      <c r="BF302">
        <v>616.74480000000005</v>
      </c>
      <c r="BG302" t="s">
        <v>522</v>
      </c>
      <c r="BH302">
        <v>1050</v>
      </c>
      <c r="BI302">
        <v>480</v>
      </c>
      <c r="BJ302">
        <v>460</v>
      </c>
      <c r="BK302">
        <v>1</v>
      </c>
      <c r="BL302" t="s">
        <v>521</v>
      </c>
      <c r="BM302">
        <v>637.24490000000003</v>
      </c>
      <c r="BN302">
        <v>616.74480000000005</v>
      </c>
      <c r="BO302">
        <v>1911.7347</v>
      </c>
      <c r="BP302" t="s">
        <v>522</v>
      </c>
      <c r="BQ302">
        <v>1050</v>
      </c>
      <c r="BR302">
        <v>480</v>
      </c>
      <c r="BS302">
        <v>480</v>
      </c>
      <c r="BT302">
        <v>3</v>
      </c>
      <c r="BU302">
        <v>0</v>
      </c>
      <c r="BV302">
        <v>3</v>
      </c>
      <c r="BW302">
        <v>3</v>
      </c>
      <c r="BX302">
        <v>0</v>
      </c>
      <c r="BY302">
        <v>3</v>
      </c>
      <c r="BZ302">
        <v>22680</v>
      </c>
      <c r="CA302">
        <v>0</v>
      </c>
      <c r="CB302">
        <v>22680</v>
      </c>
      <c r="CC302">
        <v>1850.2344000000001</v>
      </c>
      <c r="CD302" t="s">
        <v>641</v>
      </c>
      <c r="CE302" t="s">
        <v>1147</v>
      </c>
      <c r="CG302" t="s">
        <v>421</v>
      </c>
      <c r="CN302" t="str">
        <v>M01</v>
      </c>
      <c r="CO302" t="str">
        <v>1277-1030069EN</v>
      </c>
      <c r="CP302" t="str">
        <v>FFAU5865735</v>
      </c>
      <c r="CQ302" s="23">
        <v>152.58000000000001</v>
      </c>
      <c r="CR302" s="25">
        <f t="shared" si="13"/>
        <v>1.1041442648931969E-2</v>
      </c>
      <c r="CS302" s="21">
        <f t="shared" si="14"/>
        <v>27.603606622329924</v>
      </c>
    </row>
    <row r="303" spans="2:97" x14ac:dyDescent="0.35">
      <c r="B303" t="s">
        <v>296</v>
      </c>
      <c r="C303" t="s">
        <v>1559</v>
      </c>
      <c r="D303" t="s">
        <v>395</v>
      </c>
      <c r="E303" t="s">
        <v>395</v>
      </c>
      <c r="F303" t="s">
        <v>396</v>
      </c>
      <c r="G303" t="s">
        <v>397</v>
      </c>
      <c r="H303" t="s">
        <v>398</v>
      </c>
      <c r="I303" t="s">
        <v>399</v>
      </c>
      <c r="J303" t="s">
        <v>749</v>
      </c>
      <c r="K303" t="s">
        <v>845</v>
      </c>
      <c r="L303" t="s">
        <v>787</v>
      </c>
      <c r="M303" t="s">
        <v>403</v>
      </c>
      <c r="N303">
        <v>1</v>
      </c>
      <c r="O303">
        <v>1</v>
      </c>
      <c r="P303" t="s">
        <v>1560</v>
      </c>
      <c r="Q303" t="s">
        <v>430</v>
      </c>
      <c r="R303" t="s">
        <v>1561</v>
      </c>
      <c r="S303" t="s">
        <v>1562</v>
      </c>
      <c r="T303" t="s">
        <v>408</v>
      </c>
      <c r="U303">
        <v>50950081455</v>
      </c>
      <c r="W303">
        <v>40000</v>
      </c>
      <c r="X303" t="s">
        <v>409</v>
      </c>
      <c r="Y303" t="s">
        <v>410</v>
      </c>
      <c r="Z303" t="s">
        <v>410</v>
      </c>
      <c r="AA303" t="s">
        <v>411</v>
      </c>
      <c r="AB303" t="s">
        <v>554</v>
      </c>
      <c r="AC303" t="s">
        <v>411</v>
      </c>
      <c r="AD303">
        <v>46091</v>
      </c>
      <c r="AE303">
        <v>46139</v>
      </c>
      <c r="AF303">
        <v>46099</v>
      </c>
      <c r="AG303" t="s">
        <v>754</v>
      </c>
      <c r="AH303">
        <v>6137691</v>
      </c>
      <c r="AI303">
        <v>46092</v>
      </c>
      <c r="AJ303">
        <v>46093</v>
      </c>
      <c r="AK303">
        <v>40000</v>
      </c>
      <c r="AL303" t="s">
        <v>396</v>
      </c>
      <c r="AM303" t="s">
        <v>1563</v>
      </c>
      <c r="AN303">
        <v>46093</v>
      </c>
      <c r="AO303">
        <v>46093.600787037038</v>
      </c>
      <c r="AP303" t="s">
        <v>51</v>
      </c>
      <c r="AQ303">
        <v>2.3949999999999999E-2</v>
      </c>
      <c r="AR303">
        <v>958</v>
      </c>
      <c r="AS303" t="s">
        <v>51</v>
      </c>
      <c r="AT303">
        <v>958</v>
      </c>
      <c r="AU303" t="s">
        <v>415</v>
      </c>
      <c r="AV303" t="s">
        <v>1420</v>
      </c>
      <c r="AW303" t="s">
        <v>1421</v>
      </c>
      <c r="AX303">
        <v>46099</v>
      </c>
      <c r="AY303">
        <v>46148</v>
      </c>
      <c r="AZ303" t="s">
        <v>1487</v>
      </c>
      <c r="BA303" t="s">
        <v>560</v>
      </c>
      <c r="BB303" t="s">
        <v>1488</v>
      </c>
      <c r="BC303">
        <v>12000</v>
      </c>
      <c r="BD303" t="s">
        <v>521</v>
      </c>
      <c r="BE303">
        <v>10.135</v>
      </c>
      <c r="BF303">
        <v>9.48</v>
      </c>
      <c r="BG303" t="s">
        <v>522</v>
      </c>
      <c r="BH303">
        <v>368</v>
      </c>
      <c r="BI303">
        <v>257</v>
      </c>
      <c r="BJ303">
        <v>136</v>
      </c>
      <c r="BK303">
        <v>6</v>
      </c>
      <c r="BL303" t="s">
        <v>521</v>
      </c>
      <c r="BM303">
        <v>42.22</v>
      </c>
      <c r="BN303">
        <v>31.6</v>
      </c>
      <c r="BO303">
        <v>42.22</v>
      </c>
      <c r="BP303" t="s">
        <v>522</v>
      </c>
      <c r="BQ303">
        <v>800</v>
      </c>
      <c r="BR303">
        <v>300</v>
      </c>
      <c r="BS303">
        <v>565</v>
      </c>
      <c r="BT303">
        <v>0</v>
      </c>
      <c r="BU303">
        <v>1</v>
      </c>
      <c r="BV303">
        <v>1</v>
      </c>
      <c r="BW303">
        <v>3</v>
      </c>
      <c r="BX303">
        <v>1</v>
      </c>
      <c r="BY303">
        <v>4</v>
      </c>
      <c r="BZ303">
        <v>0</v>
      </c>
      <c r="CA303">
        <v>40000</v>
      </c>
      <c r="CB303">
        <v>40000</v>
      </c>
      <c r="CC303">
        <v>31.6</v>
      </c>
      <c r="CD303" t="s">
        <v>1564</v>
      </c>
      <c r="CE303" t="s">
        <v>1565</v>
      </c>
      <c r="CG303" t="s">
        <v>421</v>
      </c>
      <c r="CN303" t="str">
        <v>M19</v>
      </c>
      <c r="CO303" t="str">
        <v>1301-5YY0306EN0093</v>
      </c>
      <c r="CP303" t="str">
        <v>FFAU5865735</v>
      </c>
      <c r="CQ303" s="23">
        <v>986.81255999999996</v>
      </c>
      <c r="CR303" s="25">
        <f t="shared" si="13"/>
        <v>7.141063236653386E-2</v>
      </c>
      <c r="CS303" s="21">
        <f t="shared" si="14"/>
        <v>178.52658091633464</v>
      </c>
    </row>
    <row r="304" spans="2:97" x14ac:dyDescent="0.35">
      <c r="B304" t="s">
        <v>296</v>
      </c>
      <c r="C304" t="s">
        <v>1566</v>
      </c>
      <c r="D304" t="s">
        <v>395</v>
      </c>
      <c r="E304" t="s">
        <v>395</v>
      </c>
      <c r="F304" t="s">
        <v>396</v>
      </c>
      <c r="G304" t="s">
        <v>397</v>
      </c>
      <c r="H304" t="s">
        <v>398</v>
      </c>
      <c r="I304" t="s">
        <v>399</v>
      </c>
      <c r="J304" t="s">
        <v>749</v>
      </c>
      <c r="K304" t="s">
        <v>1142</v>
      </c>
      <c r="L304" t="s">
        <v>787</v>
      </c>
      <c r="M304" t="s">
        <v>403</v>
      </c>
      <c r="N304">
        <v>1</v>
      </c>
      <c r="O304">
        <v>1</v>
      </c>
      <c r="P304" t="s">
        <v>1168</v>
      </c>
      <c r="Q304" t="s">
        <v>430</v>
      </c>
      <c r="R304" t="s">
        <v>1164</v>
      </c>
      <c r="S304" t="s">
        <v>1165</v>
      </c>
      <c r="T304" t="s">
        <v>408</v>
      </c>
      <c r="U304">
        <v>50950081422</v>
      </c>
      <c r="W304">
        <v>22680</v>
      </c>
      <c r="X304" t="s">
        <v>409</v>
      </c>
      <c r="Y304" t="s">
        <v>410</v>
      </c>
      <c r="Z304" t="s">
        <v>410</v>
      </c>
      <c r="AA304" t="s">
        <v>411</v>
      </c>
      <c r="AB304" t="s">
        <v>554</v>
      </c>
      <c r="AC304" t="s">
        <v>411</v>
      </c>
      <c r="AD304">
        <v>46088</v>
      </c>
      <c r="AE304">
        <v>46160</v>
      </c>
      <c r="AF304">
        <v>46099</v>
      </c>
      <c r="AG304" t="s">
        <v>754</v>
      </c>
      <c r="AH304">
        <v>6137692</v>
      </c>
      <c r="AI304">
        <v>46092</v>
      </c>
      <c r="AJ304">
        <v>46093</v>
      </c>
      <c r="AK304">
        <v>22680</v>
      </c>
      <c r="AL304" t="s">
        <v>396</v>
      </c>
      <c r="AM304" t="s">
        <v>1567</v>
      </c>
      <c r="AN304">
        <v>46093</v>
      </c>
      <c r="AO304">
        <v>46093.600787037038</v>
      </c>
      <c r="AP304" t="s">
        <v>51</v>
      </c>
      <c r="AQ304">
        <v>0.12003</v>
      </c>
      <c r="AR304">
        <v>2722.29</v>
      </c>
      <c r="AS304" t="s">
        <v>51</v>
      </c>
      <c r="AT304">
        <v>2722.29</v>
      </c>
      <c r="AU304" t="s">
        <v>415</v>
      </c>
      <c r="AV304" t="s">
        <v>1420</v>
      </c>
      <c r="AW304" t="s">
        <v>1421</v>
      </c>
      <c r="AX304">
        <v>46099</v>
      </c>
      <c r="AY304">
        <v>46148</v>
      </c>
      <c r="AZ304" t="s">
        <v>1487</v>
      </c>
      <c r="BA304" t="s">
        <v>560</v>
      </c>
      <c r="BB304" t="s">
        <v>1488</v>
      </c>
      <c r="BC304">
        <v>7560</v>
      </c>
      <c r="BD304" t="s">
        <v>521</v>
      </c>
      <c r="BE304">
        <v>638.45439999999996</v>
      </c>
      <c r="BF304">
        <v>617.95439999999996</v>
      </c>
      <c r="BG304" t="s">
        <v>522</v>
      </c>
      <c r="BH304">
        <v>1050</v>
      </c>
      <c r="BI304">
        <v>480</v>
      </c>
      <c r="BJ304">
        <v>460</v>
      </c>
      <c r="BK304">
        <v>1</v>
      </c>
      <c r="BL304" t="s">
        <v>521</v>
      </c>
      <c r="BM304">
        <v>638.45450000000005</v>
      </c>
      <c r="BN304">
        <v>617.95439999999996</v>
      </c>
      <c r="BO304">
        <v>1915.3634999999999</v>
      </c>
      <c r="BP304" t="s">
        <v>522</v>
      </c>
      <c r="BQ304">
        <v>1050</v>
      </c>
      <c r="BR304">
        <v>480</v>
      </c>
      <c r="BS304">
        <v>480</v>
      </c>
      <c r="BT304">
        <v>3</v>
      </c>
      <c r="BU304">
        <v>0</v>
      </c>
      <c r="BV304">
        <v>3</v>
      </c>
      <c r="BW304">
        <v>3</v>
      </c>
      <c r="BX304">
        <v>0</v>
      </c>
      <c r="BY304">
        <v>3</v>
      </c>
      <c r="BZ304">
        <v>22680</v>
      </c>
      <c r="CA304">
        <v>0</v>
      </c>
      <c r="CB304">
        <v>22680</v>
      </c>
      <c r="CC304">
        <v>1853.8632</v>
      </c>
      <c r="CD304" t="s">
        <v>641</v>
      </c>
      <c r="CE304" t="s">
        <v>1147</v>
      </c>
      <c r="CG304" t="s">
        <v>421</v>
      </c>
      <c r="CN304" t="str">
        <v>M45</v>
      </c>
      <c r="CO304" t="str">
        <v>1301-12B0010EN</v>
      </c>
      <c r="CP304" t="str">
        <v>FFAU5865735</v>
      </c>
      <c r="CQ304" s="23">
        <v>148.14576</v>
      </c>
      <c r="CR304" s="25">
        <f t="shared" si="13"/>
        <v>1.0720559134371737E-2</v>
      </c>
      <c r="CS304" s="21">
        <f t="shared" si="14"/>
        <v>26.801397835929343</v>
      </c>
    </row>
    <row r="305" spans="2:97" x14ac:dyDescent="0.35">
      <c r="B305" t="s">
        <v>296</v>
      </c>
      <c r="C305" t="s">
        <v>1568</v>
      </c>
      <c r="D305" t="s">
        <v>395</v>
      </c>
      <c r="E305" t="s">
        <v>395</v>
      </c>
      <c r="F305" t="s">
        <v>396</v>
      </c>
      <c r="G305" t="s">
        <v>397</v>
      </c>
      <c r="H305" t="s">
        <v>398</v>
      </c>
      <c r="I305" t="s">
        <v>399</v>
      </c>
      <c r="J305" t="s">
        <v>749</v>
      </c>
      <c r="K305" t="s">
        <v>1142</v>
      </c>
      <c r="L305" t="s">
        <v>787</v>
      </c>
      <c r="M305" t="s">
        <v>403</v>
      </c>
      <c r="N305">
        <v>3</v>
      </c>
      <c r="O305">
        <v>1</v>
      </c>
      <c r="P305" t="s">
        <v>1143</v>
      </c>
      <c r="Q305" t="s">
        <v>424</v>
      </c>
      <c r="R305" t="s">
        <v>1144</v>
      </c>
      <c r="S305" t="s">
        <v>1145</v>
      </c>
      <c r="T305" t="s">
        <v>408</v>
      </c>
      <c r="U305">
        <v>50950081520</v>
      </c>
      <c r="W305">
        <v>18000</v>
      </c>
      <c r="X305" t="s">
        <v>409</v>
      </c>
      <c r="Y305" t="s">
        <v>410</v>
      </c>
      <c r="Z305" t="s">
        <v>410</v>
      </c>
      <c r="AA305" t="s">
        <v>411</v>
      </c>
      <c r="AB305" t="s">
        <v>554</v>
      </c>
      <c r="AC305" t="s">
        <v>411</v>
      </c>
      <c r="AD305">
        <v>46090</v>
      </c>
      <c r="AE305">
        <v>46160</v>
      </c>
      <c r="AF305">
        <v>46099</v>
      </c>
      <c r="AG305" t="s">
        <v>754</v>
      </c>
      <c r="AH305">
        <v>6137693</v>
      </c>
      <c r="AI305">
        <v>46092</v>
      </c>
      <c r="AJ305">
        <v>46093</v>
      </c>
      <c r="AK305">
        <v>18000</v>
      </c>
      <c r="AL305" t="s">
        <v>396</v>
      </c>
      <c r="AM305" t="s">
        <v>1569</v>
      </c>
      <c r="AN305">
        <v>46093</v>
      </c>
      <c r="AO305">
        <v>46093.600787037038</v>
      </c>
      <c r="AP305" t="s">
        <v>51</v>
      </c>
      <c r="AQ305">
        <v>0.15309</v>
      </c>
      <c r="AR305">
        <v>2755.62</v>
      </c>
      <c r="AS305" t="s">
        <v>51</v>
      </c>
      <c r="AT305">
        <v>2755.62</v>
      </c>
      <c r="AU305" t="s">
        <v>415</v>
      </c>
      <c r="AV305" t="s">
        <v>1420</v>
      </c>
      <c r="AW305" t="s">
        <v>1421</v>
      </c>
      <c r="AX305">
        <v>46099</v>
      </c>
      <c r="AY305">
        <v>46148</v>
      </c>
      <c r="AZ305" t="s">
        <v>1487</v>
      </c>
      <c r="BA305" t="s">
        <v>560</v>
      </c>
      <c r="BB305" t="s">
        <v>1488</v>
      </c>
      <c r="BC305">
        <v>9000</v>
      </c>
      <c r="BD305" t="s">
        <v>521</v>
      </c>
      <c r="BE305">
        <v>382.048</v>
      </c>
      <c r="BF305">
        <v>361.548</v>
      </c>
      <c r="BG305" t="s">
        <v>522</v>
      </c>
      <c r="BH305">
        <v>1050</v>
      </c>
      <c r="BI305">
        <v>480</v>
      </c>
      <c r="BJ305">
        <v>460</v>
      </c>
      <c r="BK305">
        <v>1</v>
      </c>
      <c r="BL305" t="s">
        <v>521</v>
      </c>
      <c r="BM305">
        <v>382.04809999999998</v>
      </c>
      <c r="BN305">
        <v>361.548</v>
      </c>
      <c r="BO305">
        <v>764.09619999999995</v>
      </c>
      <c r="BP305" t="s">
        <v>522</v>
      </c>
      <c r="BQ305">
        <v>1050</v>
      </c>
      <c r="BR305">
        <v>480</v>
      </c>
      <c r="BS305">
        <v>480</v>
      </c>
      <c r="BT305">
        <v>2</v>
      </c>
      <c r="BU305">
        <v>0</v>
      </c>
      <c r="BV305">
        <v>2</v>
      </c>
      <c r="BW305">
        <v>2</v>
      </c>
      <c r="BX305">
        <v>0</v>
      </c>
      <c r="BY305">
        <v>2</v>
      </c>
      <c r="BZ305">
        <v>18000</v>
      </c>
      <c r="CA305">
        <v>0</v>
      </c>
      <c r="CB305">
        <v>18000</v>
      </c>
      <c r="CC305">
        <v>723.096</v>
      </c>
      <c r="CD305" t="s">
        <v>641</v>
      </c>
      <c r="CE305" t="s">
        <v>1147</v>
      </c>
      <c r="CG305" t="s">
        <v>421</v>
      </c>
      <c r="CN305" t="str">
        <v>M01</v>
      </c>
      <c r="CO305" t="str">
        <v>1426-1030037EN</v>
      </c>
      <c r="CP305" t="str">
        <v>FFAU5865735</v>
      </c>
      <c r="CQ305" s="23">
        <v>244.66200000000001</v>
      </c>
      <c r="CR305" s="25">
        <f t="shared" si="13"/>
        <v>1.7704951116614191E-2</v>
      </c>
      <c r="CS305" s="21">
        <f t="shared" si="14"/>
        <v>44.262377791535478</v>
      </c>
    </row>
    <row r="306" spans="2:97" x14ac:dyDescent="0.35">
      <c r="B306" t="s">
        <v>295</v>
      </c>
      <c r="C306" t="s">
        <v>1570</v>
      </c>
      <c r="D306" t="s">
        <v>395</v>
      </c>
      <c r="E306" t="s">
        <v>395</v>
      </c>
      <c r="F306" t="s">
        <v>396</v>
      </c>
      <c r="G306" t="s">
        <v>397</v>
      </c>
      <c r="H306" t="s">
        <v>398</v>
      </c>
      <c r="I306" t="s">
        <v>399</v>
      </c>
      <c r="J306" t="s">
        <v>749</v>
      </c>
      <c r="K306" t="s">
        <v>526</v>
      </c>
      <c r="L306" t="s">
        <v>787</v>
      </c>
      <c r="M306" t="s">
        <v>403</v>
      </c>
      <c r="N306">
        <v>1</v>
      </c>
      <c r="O306">
        <v>1</v>
      </c>
      <c r="P306" t="s">
        <v>1041</v>
      </c>
      <c r="Q306" t="s">
        <v>430</v>
      </c>
      <c r="R306" t="s">
        <v>1042</v>
      </c>
      <c r="S306" t="s">
        <v>440</v>
      </c>
      <c r="T306" t="s">
        <v>408</v>
      </c>
      <c r="U306">
        <v>50950081539</v>
      </c>
      <c r="W306">
        <v>24640</v>
      </c>
      <c r="X306" t="s">
        <v>409</v>
      </c>
      <c r="Y306" t="s">
        <v>410</v>
      </c>
      <c r="Z306" t="s">
        <v>410</v>
      </c>
      <c r="AA306" t="s">
        <v>411</v>
      </c>
      <c r="AB306" t="s">
        <v>554</v>
      </c>
      <c r="AC306" t="s">
        <v>411</v>
      </c>
      <c r="AD306">
        <v>46088</v>
      </c>
      <c r="AE306">
        <v>46146</v>
      </c>
      <c r="AF306">
        <v>46099</v>
      </c>
      <c r="AG306" t="s">
        <v>754</v>
      </c>
      <c r="AH306">
        <v>6137344</v>
      </c>
      <c r="AI306">
        <v>46092</v>
      </c>
      <c r="AJ306">
        <v>46093</v>
      </c>
      <c r="AK306">
        <v>24640</v>
      </c>
      <c r="AL306" t="s">
        <v>396</v>
      </c>
      <c r="AM306" t="s">
        <v>1571</v>
      </c>
      <c r="AN306">
        <v>46093</v>
      </c>
      <c r="AO306">
        <v>46093.400011574071</v>
      </c>
      <c r="AP306" t="s">
        <v>51</v>
      </c>
      <c r="AQ306">
        <v>5.0889999999999998E-2</v>
      </c>
      <c r="AR306">
        <v>1253.93</v>
      </c>
      <c r="AS306" t="s">
        <v>51</v>
      </c>
      <c r="AT306">
        <v>1253.93</v>
      </c>
      <c r="AU306" t="s">
        <v>415</v>
      </c>
      <c r="AV306" t="s">
        <v>1420</v>
      </c>
      <c r="AW306" t="s">
        <v>1421</v>
      </c>
      <c r="AX306">
        <v>46099</v>
      </c>
      <c r="AY306">
        <v>46148</v>
      </c>
      <c r="AZ306" t="s">
        <v>1493</v>
      </c>
      <c r="BA306" t="s">
        <v>560</v>
      </c>
      <c r="BB306" t="s">
        <v>1494</v>
      </c>
      <c r="BC306">
        <v>308</v>
      </c>
      <c r="BD306" t="s">
        <v>521</v>
      </c>
      <c r="BE306">
        <v>9.3520000000000003</v>
      </c>
      <c r="BF306">
        <v>9.0489999999999995</v>
      </c>
      <c r="BG306" t="s">
        <v>522</v>
      </c>
      <c r="BH306">
        <v>286</v>
      </c>
      <c r="BI306">
        <v>192</v>
      </c>
      <c r="BJ306">
        <v>87</v>
      </c>
      <c r="BK306">
        <v>80</v>
      </c>
      <c r="BL306" t="s">
        <v>521</v>
      </c>
      <c r="BM306">
        <v>776.16319999999996</v>
      </c>
      <c r="BN306">
        <v>723.92319999999995</v>
      </c>
      <c r="BO306">
        <v>776.16319999999996</v>
      </c>
      <c r="BP306" t="s">
        <v>522</v>
      </c>
      <c r="BQ306">
        <v>1200</v>
      </c>
      <c r="BR306">
        <v>1000</v>
      </c>
      <c r="BS306">
        <v>510</v>
      </c>
      <c r="BT306">
        <v>1</v>
      </c>
      <c r="BU306">
        <v>0</v>
      </c>
      <c r="BV306">
        <v>1</v>
      </c>
      <c r="BW306">
        <v>80</v>
      </c>
      <c r="BX306">
        <v>0</v>
      </c>
      <c r="BY306">
        <v>80</v>
      </c>
      <c r="BZ306">
        <v>24640</v>
      </c>
      <c r="CA306">
        <v>0</v>
      </c>
      <c r="CB306">
        <v>24640</v>
      </c>
      <c r="CC306">
        <v>723.92319999999995</v>
      </c>
      <c r="CD306" t="s">
        <v>1044</v>
      </c>
      <c r="CE306" t="s">
        <v>1045</v>
      </c>
      <c r="CG306" t="s">
        <v>421</v>
      </c>
      <c r="CN306" t="str">
        <v>M23</v>
      </c>
      <c r="CO306" t="str">
        <v>1401-1060029-92EN</v>
      </c>
      <c r="CP306" t="str">
        <v>FFAU5865735</v>
      </c>
      <c r="CQ306" s="23">
        <v>215.08</v>
      </c>
      <c r="CR306" s="25">
        <f t="shared" si="13"/>
        <v>1.5564251441422781E-2</v>
      </c>
      <c r="CS306" s="21">
        <f t="shared" si="14"/>
        <v>38.910628603556951</v>
      </c>
    </row>
    <row r="307" spans="2:97" x14ac:dyDescent="0.35">
      <c r="B307" t="s">
        <v>295</v>
      </c>
      <c r="C307" t="s">
        <v>1572</v>
      </c>
      <c r="D307" t="s">
        <v>395</v>
      </c>
      <c r="E307" t="s">
        <v>395</v>
      </c>
      <c r="F307" t="s">
        <v>396</v>
      </c>
      <c r="G307" t="s">
        <v>397</v>
      </c>
      <c r="H307" t="s">
        <v>398</v>
      </c>
      <c r="I307" t="s">
        <v>399</v>
      </c>
      <c r="J307" t="s">
        <v>749</v>
      </c>
      <c r="K307" t="s">
        <v>526</v>
      </c>
      <c r="L307" t="s">
        <v>787</v>
      </c>
      <c r="M307" t="s">
        <v>403</v>
      </c>
      <c r="N307">
        <v>1</v>
      </c>
      <c r="O307">
        <v>1</v>
      </c>
      <c r="P307" t="s">
        <v>1041</v>
      </c>
      <c r="Q307" t="s">
        <v>430</v>
      </c>
      <c r="R307" t="s">
        <v>1042</v>
      </c>
      <c r="S307" t="s">
        <v>440</v>
      </c>
      <c r="T307" t="s">
        <v>408</v>
      </c>
      <c r="U307">
        <v>50950081551</v>
      </c>
      <c r="W307">
        <v>24640</v>
      </c>
      <c r="X307" t="s">
        <v>409</v>
      </c>
      <c r="Y307" t="s">
        <v>410</v>
      </c>
      <c r="Z307" t="s">
        <v>410</v>
      </c>
      <c r="AA307" t="s">
        <v>411</v>
      </c>
      <c r="AB307" t="s">
        <v>554</v>
      </c>
      <c r="AC307" t="s">
        <v>411</v>
      </c>
      <c r="AD307">
        <v>46095</v>
      </c>
      <c r="AE307">
        <v>46153</v>
      </c>
      <c r="AF307">
        <v>46099</v>
      </c>
      <c r="AG307" t="s">
        <v>754</v>
      </c>
      <c r="AH307">
        <v>6137345</v>
      </c>
      <c r="AI307">
        <v>46092</v>
      </c>
      <c r="AJ307">
        <v>46093</v>
      </c>
      <c r="AK307">
        <v>24640</v>
      </c>
      <c r="AL307" t="s">
        <v>396</v>
      </c>
      <c r="AM307" t="s">
        <v>1573</v>
      </c>
      <c r="AN307">
        <v>46093</v>
      </c>
      <c r="AO307">
        <v>46093.400011574071</v>
      </c>
      <c r="AP307" t="s">
        <v>51</v>
      </c>
      <c r="AQ307">
        <v>5.0889999999999998E-2</v>
      </c>
      <c r="AR307">
        <v>1253.93</v>
      </c>
      <c r="AS307" t="s">
        <v>51</v>
      </c>
      <c r="AT307">
        <v>1253.93</v>
      </c>
      <c r="AU307" t="s">
        <v>415</v>
      </c>
      <c r="AV307" t="s">
        <v>1420</v>
      </c>
      <c r="AW307" t="s">
        <v>1421</v>
      </c>
      <c r="AX307">
        <v>46099</v>
      </c>
      <c r="AY307">
        <v>46148</v>
      </c>
      <c r="AZ307" t="s">
        <v>1493</v>
      </c>
      <c r="BA307" t="s">
        <v>560</v>
      </c>
      <c r="BB307" t="s">
        <v>1494</v>
      </c>
      <c r="BC307">
        <v>308</v>
      </c>
      <c r="BD307" t="s">
        <v>521</v>
      </c>
      <c r="BE307">
        <v>9.3520000000000003</v>
      </c>
      <c r="BF307">
        <v>9.0489999999999995</v>
      </c>
      <c r="BG307" t="s">
        <v>522</v>
      </c>
      <c r="BH307">
        <v>286</v>
      </c>
      <c r="BI307">
        <v>192</v>
      </c>
      <c r="BJ307">
        <v>87</v>
      </c>
      <c r="BK307">
        <v>80</v>
      </c>
      <c r="BL307" t="s">
        <v>521</v>
      </c>
      <c r="BM307">
        <v>776.16319999999996</v>
      </c>
      <c r="BN307">
        <v>723.92319999999995</v>
      </c>
      <c r="BO307">
        <v>776.16319999999996</v>
      </c>
      <c r="BP307" t="s">
        <v>522</v>
      </c>
      <c r="BQ307">
        <v>1200</v>
      </c>
      <c r="BR307">
        <v>1000</v>
      </c>
      <c r="BS307">
        <v>510</v>
      </c>
      <c r="BT307">
        <v>1</v>
      </c>
      <c r="BU307">
        <v>0</v>
      </c>
      <c r="BV307">
        <v>1</v>
      </c>
      <c r="BW307">
        <v>80</v>
      </c>
      <c r="BX307">
        <v>0</v>
      </c>
      <c r="BY307">
        <v>80</v>
      </c>
      <c r="BZ307">
        <v>24640</v>
      </c>
      <c r="CA307">
        <v>0</v>
      </c>
      <c r="CB307">
        <v>24640</v>
      </c>
      <c r="CC307">
        <v>723.92319999999995</v>
      </c>
      <c r="CD307" t="s">
        <v>1044</v>
      </c>
      <c r="CE307" t="s">
        <v>1045</v>
      </c>
      <c r="CG307" t="s">
        <v>421</v>
      </c>
      <c r="CN307" t="str">
        <v>M01</v>
      </c>
      <c r="CO307" t="str">
        <v>1301-1030221EN</v>
      </c>
      <c r="CP307" t="str">
        <v>FFAU5865735</v>
      </c>
      <c r="CQ307" s="23">
        <v>291.88</v>
      </c>
      <c r="CR307" s="25">
        <f t="shared" si="13"/>
        <v>2.1121878885635489E-2</v>
      </c>
      <c r="CS307" s="21">
        <f t="shared" si="14"/>
        <v>52.804697214088719</v>
      </c>
    </row>
    <row r="308" spans="2:97" x14ac:dyDescent="0.35">
      <c r="B308" t="s">
        <v>295</v>
      </c>
      <c r="C308" t="s">
        <v>1574</v>
      </c>
      <c r="D308" t="s">
        <v>395</v>
      </c>
      <c r="E308" t="s">
        <v>395</v>
      </c>
      <c r="F308" t="s">
        <v>396</v>
      </c>
      <c r="G308" t="s">
        <v>397</v>
      </c>
      <c r="H308" t="s">
        <v>398</v>
      </c>
      <c r="I308" t="s">
        <v>399</v>
      </c>
      <c r="J308" t="s">
        <v>749</v>
      </c>
      <c r="K308" t="s">
        <v>845</v>
      </c>
      <c r="L308" t="s">
        <v>750</v>
      </c>
      <c r="M308" t="s">
        <v>403</v>
      </c>
      <c r="N308">
        <v>1</v>
      </c>
      <c r="O308">
        <v>1</v>
      </c>
      <c r="P308" t="s">
        <v>1575</v>
      </c>
      <c r="Q308" t="s">
        <v>645</v>
      </c>
      <c r="R308" t="s">
        <v>1121</v>
      </c>
      <c r="S308" t="s">
        <v>1122</v>
      </c>
      <c r="T308" t="s">
        <v>408</v>
      </c>
      <c r="U308">
        <v>50950081545</v>
      </c>
      <c r="W308">
        <v>10000</v>
      </c>
      <c r="X308" t="s">
        <v>409</v>
      </c>
      <c r="Y308" t="s">
        <v>410</v>
      </c>
      <c r="Z308" t="s">
        <v>410</v>
      </c>
      <c r="AA308" t="s">
        <v>411</v>
      </c>
      <c r="AB308" t="s">
        <v>554</v>
      </c>
      <c r="AC308" t="s">
        <v>411</v>
      </c>
      <c r="AD308">
        <v>46091</v>
      </c>
      <c r="AE308">
        <v>46104</v>
      </c>
      <c r="AF308">
        <v>46099</v>
      </c>
      <c r="AG308" t="s">
        <v>754</v>
      </c>
      <c r="AH308">
        <v>6137346</v>
      </c>
      <c r="AI308">
        <v>46092</v>
      </c>
      <c r="AJ308">
        <v>46093</v>
      </c>
      <c r="AK308">
        <v>10000</v>
      </c>
      <c r="AL308" t="s">
        <v>396</v>
      </c>
      <c r="AM308" t="s">
        <v>1576</v>
      </c>
      <c r="AN308">
        <v>46093</v>
      </c>
      <c r="AO308">
        <v>46093.400011574071</v>
      </c>
      <c r="AP308" t="s">
        <v>51</v>
      </c>
      <c r="AQ308">
        <v>5.6329999999999998E-2</v>
      </c>
      <c r="AR308">
        <v>563.29999999999995</v>
      </c>
      <c r="AS308" t="s">
        <v>51</v>
      </c>
      <c r="AT308">
        <v>563.29999999999995</v>
      </c>
      <c r="AU308" t="s">
        <v>415</v>
      </c>
      <c r="AV308" t="s">
        <v>1420</v>
      </c>
      <c r="AW308" t="s">
        <v>1421</v>
      </c>
      <c r="AX308">
        <v>46099</v>
      </c>
      <c r="AY308">
        <v>46148</v>
      </c>
      <c r="AZ308" t="s">
        <v>1493</v>
      </c>
      <c r="BA308" t="s">
        <v>560</v>
      </c>
      <c r="BB308" t="s">
        <v>1494</v>
      </c>
      <c r="BC308">
        <v>500</v>
      </c>
      <c r="BD308" t="s">
        <v>521</v>
      </c>
      <c r="BE308">
        <v>9.4039999999999999</v>
      </c>
      <c r="BF308">
        <v>8.8439999999999994</v>
      </c>
      <c r="BG308" t="s">
        <v>522</v>
      </c>
      <c r="BH308">
        <v>295</v>
      </c>
      <c r="BI308">
        <v>195</v>
      </c>
      <c r="BJ308">
        <v>138</v>
      </c>
      <c r="BK308">
        <v>100</v>
      </c>
      <c r="BL308" t="s">
        <v>521</v>
      </c>
      <c r="BM308">
        <v>215.08</v>
      </c>
      <c r="BN308">
        <v>176.88</v>
      </c>
      <c r="BO308">
        <v>215.08</v>
      </c>
      <c r="BP308" t="s">
        <v>522</v>
      </c>
      <c r="BQ308">
        <v>1200</v>
      </c>
      <c r="BR308">
        <v>1000</v>
      </c>
      <c r="BS308">
        <v>850</v>
      </c>
      <c r="BT308">
        <v>0</v>
      </c>
      <c r="BU308">
        <v>1</v>
      </c>
      <c r="BV308">
        <v>1</v>
      </c>
      <c r="BW308">
        <v>20</v>
      </c>
      <c r="BX308">
        <v>0</v>
      </c>
      <c r="BY308">
        <v>20</v>
      </c>
      <c r="BZ308">
        <v>0</v>
      </c>
      <c r="CA308">
        <v>10000</v>
      </c>
      <c r="CB308">
        <v>10000</v>
      </c>
      <c r="CC308">
        <v>176.88</v>
      </c>
      <c r="CD308" t="s">
        <v>1124</v>
      </c>
      <c r="CE308" t="s">
        <v>1125</v>
      </c>
      <c r="CG308" t="s">
        <v>421</v>
      </c>
      <c r="CN308" t="str">
        <v>M01</v>
      </c>
      <c r="CO308" t="str">
        <v>1999-1031497EN</v>
      </c>
      <c r="CP308" t="str">
        <v>GAOU7040650</v>
      </c>
      <c r="CQ308" s="23">
        <v>1041.5999999999999</v>
      </c>
      <c r="CR308" s="25">
        <f t="shared" si="13"/>
        <v>5.6850340310034095E-2</v>
      </c>
      <c r="CS308" s="21">
        <f t="shared" si="14"/>
        <v>142.12585077508524</v>
      </c>
    </row>
    <row r="309" spans="2:97" x14ac:dyDescent="0.35">
      <c r="B309" t="s">
        <v>297</v>
      </c>
      <c r="C309" t="s">
        <v>1363</v>
      </c>
      <c r="D309" t="s">
        <v>549</v>
      </c>
      <c r="E309" t="s">
        <v>395</v>
      </c>
      <c r="F309" t="s">
        <v>396</v>
      </c>
      <c r="G309" t="s">
        <v>397</v>
      </c>
      <c r="H309" t="s">
        <v>398</v>
      </c>
      <c r="I309" t="s">
        <v>399</v>
      </c>
      <c r="J309" t="s">
        <v>749</v>
      </c>
      <c r="K309" t="s">
        <v>401</v>
      </c>
      <c r="L309" t="s">
        <v>766</v>
      </c>
      <c r="M309" t="s">
        <v>403</v>
      </c>
      <c r="N309">
        <v>1</v>
      </c>
      <c r="O309">
        <v>3</v>
      </c>
      <c r="P309" t="s">
        <v>767</v>
      </c>
      <c r="Q309" t="s">
        <v>424</v>
      </c>
      <c r="R309" t="s">
        <v>552</v>
      </c>
      <c r="S309" t="s">
        <v>768</v>
      </c>
      <c r="T309" t="s">
        <v>408</v>
      </c>
      <c r="U309">
        <v>50950080815</v>
      </c>
      <c r="W309">
        <v>11520</v>
      </c>
      <c r="X309" t="s">
        <v>409</v>
      </c>
      <c r="Y309" t="s">
        <v>410</v>
      </c>
      <c r="Z309" t="s">
        <v>410</v>
      </c>
      <c r="AA309" t="s">
        <v>411</v>
      </c>
      <c r="AB309" t="s">
        <v>554</v>
      </c>
      <c r="AC309" t="s">
        <v>411</v>
      </c>
      <c r="AD309">
        <v>46088</v>
      </c>
      <c r="AE309">
        <v>46146</v>
      </c>
      <c r="AF309">
        <v>46099</v>
      </c>
      <c r="AG309" t="s">
        <v>770</v>
      </c>
      <c r="AH309">
        <v>6139614</v>
      </c>
      <c r="AI309">
        <v>46093</v>
      </c>
      <c r="AJ309">
        <v>46094</v>
      </c>
      <c r="AK309">
        <v>11520</v>
      </c>
      <c r="AL309" t="s">
        <v>396</v>
      </c>
      <c r="AM309" t="s">
        <v>1577</v>
      </c>
      <c r="AN309">
        <v>46094</v>
      </c>
      <c r="AO309">
        <v>46094.437951388885</v>
      </c>
      <c r="AP309" t="s">
        <v>51</v>
      </c>
      <c r="AQ309">
        <v>0.18359</v>
      </c>
      <c r="AR309">
        <v>2114.96</v>
      </c>
      <c r="AS309" t="s">
        <v>51</v>
      </c>
      <c r="AT309">
        <v>2114.96</v>
      </c>
      <c r="AU309" t="s">
        <v>415</v>
      </c>
      <c r="AV309" t="s">
        <v>1420</v>
      </c>
      <c r="AW309" t="s">
        <v>1421</v>
      </c>
      <c r="AX309">
        <v>46099</v>
      </c>
      <c r="AY309">
        <v>46148</v>
      </c>
      <c r="AZ309" t="s">
        <v>1578</v>
      </c>
      <c r="BA309" t="s">
        <v>560</v>
      </c>
      <c r="BB309" t="s">
        <v>1579</v>
      </c>
      <c r="BC309">
        <v>240</v>
      </c>
      <c r="BD309" t="s">
        <v>521</v>
      </c>
      <c r="BE309">
        <v>2.5634000000000001</v>
      </c>
      <c r="BF309">
        <v>1.2864</v>
      </c>
      <c r="BG309" t="s">
        <v>522</v>
      </c>
      <c r="BH309">
        <v>340</v>
      </c>
      <c r="BI309">
        <v>250</v>
      </c>
      <c r="BJ309">
        <v>230</v>
      </c>
      <c r="BK309">
        <v>48</v>
      </c>
      <c r="BL309" t="s">
        <v>521</v>
      </c>
      <c r="BM309">
        <v>144.04320000000001</v>
      </c>
      <c r="BN309">
        <v>61.747199999999999</v>
      </c>
      <c r="BO309">
        <v>144.04320000000001</v>
      </c>
      <c r="BP309" t="s">
        <v>522</v>
      </c>
      <c r="BQ309">
        <v>1066</v>
      </c>
      <c r="BR309">
        <v>1066</v>
      </c>
      <c r="BS309">
        <v>1080</v>
      </c>
      <c r="BT309">
        <v>1</v>
      </c>
      <c r="BU309">
        <v>0</v>
      </c>
      <c r="BV309">
        <v>1</v>
      </c>
      <c r="BW309">
        <v>48</v>
      </c>
      <c r="BX309">
        <v>0</v>
      </c>
      <c r="BY309">
        <v>48</v>
      </c>
      <c r="BZ309">
        <v>11520</v>
      </c>
      <c r="CA309">
        <v>0</v>
      </c>
      <c r="CB309">
        <v>11520</v>
      </c>
      <c r="CC309">
        <v>61.747199999999999</v>
      </c>
      <c r="CD309" t="s">
        <v>562</v>
      </c>
      <c r="CE309" t="s">
        <v>563</v>
      </c>
      <c r="CG309" t="s">
        <v>421</v>
      </c>
      <c r="CN309" t="str">
        <v>M01</v>
      </c>
      <c r="CO309" t="str">
        <v>1999-1010399E1</v>
      </c>
      <c r="CP309" t="str">
        <v>GAOU7040650</v>
      </c>
      <c r="CQ309" s="23">
        <v>417.88</v>
      </c>
      <c r="CR309" s="25">
        <f t="shared" si="13"/>
        <v>2.2807815100573205E-2</v>
      </c>
      <c r="CS309" s="21">
        <f t="shared" si="14"/>
        <v>57.019537751433013</v>
      </c>
    </row>
    <row r="310" spans="2:97" x14ac:dyDescent="0.35">
      <c r="B310" t="s">
        <v>299</v>
      </c>
      <c r="C310" t="s">
        <v>1580</v>
      </c>
      <c r="D310" t="s">
        <v>395</v>
      </c>
      <c r="E310" t="s">
        <v>395</v>
      </c>
      <c r="F310" t="s">
        <v>396</v>
      </c>
      <c r="G310" t="s">
        <v>397</v>
      </c>
      <c r="H310" t="s">
        <v>398</v>
      </c>
      <c r="I310" t="s">
        <v>399</v>
      </c>
      <c r="J310" t="s">
        <v>749</v>
      </c>
      <c r="K310" t="s">
        <v>777</v>
      </c>
      <c r="L310" t="s">
        <v>778</v>
      </c>
      <c r="M310" t="s">
        <v>403</v>
      </c>
      <c r="N310">
        <v>1</v>
      </c>
      <c r="O310">
        <v>1</v>
      </c>
      <c r="P310" t="s">
        <v>1490</v>
      </c>
      <c r="Q310" t="s">
        <v>637</v>
      </c>
      <c r="R310" t="s">
        <v>536</v>
      </c>
      <c r="S310" t="s">
        <v>1491</v>
      </c>
      <c r="T310" t="s">
        <v>408</v>
      </c>
      <c r="U310">
        <v>50950076720</v>
      </c>
      <c r="W310">
        <v>3024</v>
      </c>
      <c r="X310" t="s">
        <v>409</v>
      </c>
      <c r="Y310" t="s">
        <v>410</v>
      </c>
      <c r="Z310" t="s">
        <v>410</v>
      </c>
      <c r="AA310" t="s">
        <v>411</v>
      </c>
      <c r="AB310" t="s">
        <v>554</v>
      </c>
      <c r="AC310" t="s">
        <v>411</v>
      </c>
      <c r="AD310">
        <v>46097</v>
      </c>
      <c r="AE310">
        <v>46104</v>
      </c>
      <c r="AF310">
        <v>46099</v>
      </c>
      <c r="AG310" t="s">
        <v>781</v>
      </c>
      <c r="AH310">
        <v>6139615</v>
      </c>
      <c r="AI310">
        <v>46093</v>
      </c>
      <c r="AJ310">
        <v>46094</v>
      </c>
      <c r="AK310">
        <v>3024</v>
      </c>
      <c r="AL310" t="s">
        <v>396</v>
      </c>
      <c r="AM310" t="s">
        <v>1581</v>
      </c>
      <c r="AN310">
        <v>46094</v>
      </c>
      <c r="AO310">
        <v>46094.437951388885</v>
      </c>
      <c r="AP310" t="s">
        <v>51</v>
      </c>
      <c r="AQ310">
        <v>3.2103700000000002</v>
      </c>
      <c r="AR310">
        <v>9708.18</v>
      </c>
      <c r="AS310" t="s">
        <v>51</v>
      </c>
      <c r="AT310">
        <v>9708.18</v>
      </c>
      <c r="AU310" t="s">
        <v>415</v>
      </c>
      <c r="AV310" t="s">
        <v>1420</v>
      </c>
      <c r="AW310" t="s">
        <v>1421</v>
      </c>
      <c r="AX310">
        <v>46099</v>
      </c>
      <c r="AY310">
        <v>46148</v>
      </c>
      <c r="AZ310" t="s">
        <v>1578</v>
      </c>
      <c r="BA310" t="s">
        <v>560</v>
      </c>
      <c r="BB310" t="s">
        <v>1579</v>
      </c>
      <c r="BC310">
        <v>28</v>
      </c>
      <c r="BD310" t="s">
        <v>521</v>
      </c>
      <c r="BE310">
        <v>6.0069999999999997</v>
      </c>
      <c r="BF310">
        <v>4.1440000000000001</v>
      </c>
      <c r="BG310" t="s">
        <v>522</v>
      </c>
      <c r="BH310">
        <v>795</v>
      </c>
      <c r="BI310">
        <v>395</v>
      </c>
      <c r="BJ310">
        <v>145</v>
      </c>
      <c r="BK310">
        <v>18</v>
      </c>
      <c r="BL310" t="s">
        <v>521</v>
      </c>
      <c r="BM310">
        <v>133.126</v>
      </c>
      <c r="BN310">
        <v>74.591999999999999</v>
      </c>
      <c r="BO310">
        <v>798.75599999999997</v>
      </c>
      <c r="BP310" t="s">
        <v>522</v>
      </c>
      <c r="BQ310">
        <v>1200</v>
      </c>
      <c r="BR310">
        <v>800</v>
      </c>
      <c r="BS310">
        <v>1030</v>
      </c>
      <c r="BT310">
        <v>6</v>
      </c>
      <c r="BU310">
        <v>0</v>
      </c>
      <c r="BV310">
        <v>6</v>
      </c>
      <c r="BW310">
        <v>108</v>
      </c>
      <c r="BX310">
        <v>0</v>
      </c>
      <c r="BY310">
        <v>108</v>
      </c>
      <c r="BZ310">
        <v>3024</v>
      </c>
      <c r="CA310">
        <v>0</v>
      </c>
      <c r="CB310">
        <v>3024</v>
      </c>
      <c r="CC310">
        <v>447.55200000000002</v>
      </c>
      <c r="CD310" t="s">
        <v>783</v>
      </c>
      <c r="CE310" t="s">
        <v>784</v>
      </c>
      <c r="CG310" t="s">
        <v>421</v>
      </c>
      <c r="CN310" t="str">
        <v>M19</v>
      </c>
      <c r="CO310" t="str">
        <v>1275-5YY0568EN</v>
      </c>
      <c r="CP310" t="str">
        <v>GAOU7040650</v>
      </c>
      <c r="CQ310" s="23">
        <v>108.5308</v>
      </c>
      <c r="CR310" s="25">
        <f t="shared" si="13"/>
        <v>5.9235915074119126E-3</v>
      </c>
      <c r="CS310" s="21">
        <f t="shared" si="14"/>
        <v>14.808978768529782</v>
      </c>
    </row>
    <row r="311" spans="2:97" x14ac:dyDescent="0.35">
      <c r="B311" t="s">
        <v>299</v>
      </c>
      <c r="C311" t="s">
        <v>1489</v>
      </c>
      <c r="D311" t="s">
        <v>395</v>
      </c>
      <c r="E311" t="s">
        <v>395</v>
      </c>
      <c r="F311" t="s">
        <v>396</v>
      </c>
      <c r="G311" t="s">
        <v>397</v>
      </c>
      <c r="H311" t="s">
        <v>398</v>
      </c>
      <c r="I311" t="s">
        <v>399</v>
      </c>
      <c r="J311" t="s">
        <v>749</v>
      </c>
      <c r="K311" t="s">
        <v>777</v>
      </c>
      <c r="L311" t="s">
        <v>778</v>
      </c>
      <c r="M311" t="s">
        <v>403</v>
      </c>
      <c r="N311">
        <v>1</v>
      </c>
      <c r="O311">
        <v>2</v>
      </c>
      <c r="P311" t="s">
        <v>1490</v>
      </c>
      <c r="Q311" t="s">
        <v>637</v>
      </c>
      <c r="R311" t="s">
        <v>536</v>
      </c>
      <c r="S311" t="s">
        <v>1491</v>
      </c>
      <c r="T311" t="s">
        <v>408</v>
      </c>
      <c r="U311">
        <v>50950076754</v>
      </c>
      <c r="W311">
        <v>3024</v>
      </c>
      <c r="X311" t="s">
        <v>409</v>
      </c>
      <c r="Y311" t="s">
        <v>410</v>
      </c>
      <c r="Z311" t="s">
        <v>410</v>
      </c>
      <c r="AA311" t="s">
        <v>411</v>
      </c>
      <c r="AB311" t="s">
        <v>554</v>
      </c>
      <c r="AC311" t="s">
        <v>411</v>
      </c>
      <c r="AD311">
        <v>46090</v>
      </c>
      <c r="AE311">
        <v>46097</v>
      </c>
      <c r="AF311">
        <v>46099</v>
      </c>
      <c r="AG311" t="s">
        <v>781</v>
      </c>
      <c r="AH311">
        <v>6139616</v>
      </c>
      <c r="AI311">
        <v>46093</v>
      </c>
      <c r="AJ311">
        <v>46094</v>
      </c>
      <c r="AK311">
        <v>3024</v>
      </c>
      <c r="AL311" t="s">
        <v>396</v>
      </c>
      <c r="AM311" t="s">
        <v>1582</v>
      </c>
      <c r="AN311">
        <v>46094</v>
      </c>
      <c r="AO311">
        <v>46094.437951388885</v>
      </c>
      <c r="AP311" t="s">
        <v>51</v>
      </c>
      <c r="AQ311">
        <v>3.2103700000000002</v>
      </c>
      <c r="AR311">
        <v>9708.18</v>
      </c>
      <c r="AS311" t="s">
        <v>51</v>
      </c>
      <c r="AT311">
        <v>9708.18</v>
      </c>
      <c r="AU311" t="s">
        <v>415</v>
      </c>
      <c r="AV311" t="s">
        <v>1420</v>
      </c>
      <c r="AW311" t="s">
        <v>1421</v>
      </c>
      <c r="AX311">
        <v>46099</v>
      </c>
      <c r="AY311">
        <v>46148</v>
      </c>
      <c r="AZ311" t="s">
        <v>1578</v>
      </c>
      <c r="BA311" t="s">
        <v>560</v>
      </c>
      <c r="BB311" t="s">
        <v>1579</v>
      </c>
      <c r="BC311">
        <v>28</v>
      </c>
      <c r="BD311" t="s">
        <v>521</v>
      </c>
      <c r="BE311">
        <v>6.0069999999999997</v>
      </c>
      <c r="BF311">
        <v>4.1440000000000001</v>
      </c>
      <c r="BG311" t="s">
        <v>522</v>
      </c>
      <c r="BH311">
        <v>795</v>
      </c>
      <c r="BI311">
        <v>395</v>
      </c>
      <c r="BJ311">
        <v>145</v>
      </c>
      <c r="BK311">
        <v>18</v>
      </c>
      <c r="BL311" t="s">
        <v>521</v>
      </c>
      <c r="BM311">
        <v>133.126</v>
      </c>
      <c r="BN311">
        <v>74.591999999999999</v>
      </c>
      <c r="BO311">
        <v>798.75599999999997</v>
      </c>
      <c r="BP311" t="s">
        <v>522</v>
      </c>
      <c r="BQ311">
        <v>1200</v>
      </c>
      <c r="BR311">
        <v>800</v>
      </c>
      <c r="BS311">
        <v>1030</v>
      </c>
      <c r="BT311">
        <v>6</v>
      </c>
      <c r="BU311">
        <v>0</v>
      </c>
      <c r="BV311">
        <v>6</v>
      </c>
      <c r="BW311">
        <v>108</v>
      </c>
      <c r="BX311">
        <v>0</v>
      </c>
      <c r="BY311">
        <v>108</v>
      </c>
      <c r="BZ311">
        <v>3024</v>
      </c>
      <c r="CA311">
        <v>0</v>
      </c>
      <c r="CB311">
        <v>3024</v>
      </c>
      <c r="CC311">
        <v>447.55200000000002</v>
      </c>
      <c r="CD311" t="s">
        <v>783</v>
      </c>
      <c r="CE311" t="s">
        <v>784</v>
      </c>
      <c r="CG311" t="s">
        <v>421</v>
      </c>
      <c r="CN311" t="str">
        <v>M19</v>
      </c>
      <c r="CO311" t="str">
        <v>1330-5YY0183EN</v>
      </c>
      <c r="CP311" t="str">
        <v>GAOU7040650</v>
      </c>
      <c r="CQ311" s="23">
        <v>773.09280000000001</v>
      </c>
      <c r="CR311" s="25">
        <f t="shared" si="13"/>
        <v>4.2195265717393557E-2</v>
      </c>
      <c r="CS311" s="21">
        <f t="shared" si="14"/>
        <v>105.48816429348389</v>
      </c>
    </row>
    <row r="312" spans="2:97" x14ac:dyDescent="0.35">
      <c r="B312" t="s">
        <v>296</v>
      </c>
      <c r="C312" t="s">
        <v>1378</v>
      </c>
      <c r="D312" t="s">
        <v>395</v>
      </c>
      <c r="E312" t="s">
        <v>395</v>
      </c>
      <c r="F312" t="s">
        <v>396</v>
      </c>
      <c r="G312" t="s">
        <v>397</v>
      </c>
      <c r="H312" t="s">
        <v>398</v>
      </c>
      <c r="I312" t="s">
        <v>399</v>
      </c>
      <c r="J312" t="s">
        <v>749</v>
      </c>
      <c r="K312" t="s">
        <v>629</v>
      </c>
      <c r="L312" t="s">
        <v>787</v>
      </c>
      <c r="M312" t="s">
        <v>403</v>
      </c>
      <c r="N312">
        <v>1</v>
      </c>
      <c r="O312">
        <v>2</v>
      </c>
      <c r="P312" t="s">
        <v>881</v>
      </c>
      <c r="Q312" t="s">
        <v>645</v>
      </c>
      <c r="R312" t="s">
        <v>882</v>
      </c>
      <c r="S312" t="s">
        <v>883</v>
      </c>
      <c r="T312" t="s">
        <v>408</v>
      </c>
      <c r="U312">
        <v>50950078919</v>
      </c>
      <c r="W312">
        <v>19800</v>
      </c>
      <c r="X312" t="s">
        <v>409</v>
      </c>
      <c r="Y312" t="s">
        <v>410</v>
      </c>
      <c r="Z312" t="s">
        <v>410</v>
      </c>
      <c r="AA312" t="s">
        <v>411</v>
      </c>
      <c r="AB312" t="s">
        <v>554</v>
      </c>
      <c r="AC312" t="s">
        <v>411</v>
      </c>
      <c r="AD312">
        <v>46090</v>
      </c>
      <c r="AE312">
        <v>46174</v>
      </c>
      <c r="AF312">
        <v>46099</v>
      </c>
      <c r="AG312" t="s">
        <v>754</v>
      </c>
      <c r="AH312">
        <v>6139617</v>
      </c>
      <c r="AI312">
        <v>46093</v>
      </c>
      <c r="AJ312">
        <v>46094</v>
      </c>
      <c r="AK312">
        <v>19800</v>
      </c>
      <c r="AL312" t="s">
        <v>396</v>
      </c>
      <c r="AM312" t="s">
        <v>1583</v>
      </c>
      <c r="AN312">
        <v>46094</v>
      </c>
      <c r="AO312">
        <v>46094.437951388885</v>
      </c>
      <c r="AP312" t="s">
        <v>51</v>
      </c>
      <c r="AQ312">
        <v>0.19572000000000001</v>
      </c>
      <c r="AR312">
        <v>3875.25</v>
      </c>
      <c r="AS312" t="s">
        <v>51</v>
      </c>
      <c r="AT312">
        <v>3875.25</v>
      </c>
      <c r="AU312" t="s">
        <v>415</v>
      </c>
      <c r="AV312" t="s">
        <v>1420</v>
      </c>
      <c r="AW312" t="s">
        <v>1421</v>
      </c>
      <c r="AX312">
        <v>46099</v>
      </c>
      <c r="AY312">
        <v>46148</v>
      </c>
      <c r="AZ312" t="s">
        <v>1578</v>
      </c>
      <c r="BA312" t="s">
        <v>560</v>
      </c>
      <c r="BB312" t="s">
        <v>1579</v>
      </c>
      <c r="BC312">
        <v>264</v>
      </c>
      <c r="BD312" t="s">
        <v>521</v>
      </c>
      <c r="BE312">
        <v>5.2203999999999997</v>
      </c>
      <c r="BF312">
        <v>3.8304</v>
      </c>
      <c r="BG312" t="s">
        <v>522</v>
      </c>
      <c r="BH312">
        <v>595</v>
      </c>
      <c r="BI312">
        <v>395</v>
      </c>
      <c r="BJ312">
        <v>175</v>
      </c>
      <c r="BK312">
        <v>25</v>
      </c>
      <c r="BL312" t="s">
        <v>521</v>
      </c>
      <c r="BM312">
        <v>157.51</v>
      </c>
      <c r="BN312">
        <v>95.76</v>
      </c>
      <c r="BO312">
        <v>472.52820000000003</v>
      </c>
      <c r="BP312" t="s">
        <v>522</v>
      </c>
      <c r="BQ312">
        <v>1200</v>
      </c>
      <c r="BR312">
        <v>1000</v>
      </c>
      <c r="BS312">
        <v>1035</v>
      </c>
      <c r="BT312">
        <v>3</v>
      </c>
      <c r="BU312">
        <v>0</v>
      </c>
      <c r="BV312">
        <v>3</v>
      </c>
      <c r="BW312">
        <v>75</v>
      </c>
      <c r="BX312">
        <v>0</v>
      </c>
      <c r="BY312">
        <v>75</v>
      </c>
      <c r="BZ312">
        <v>19800</v>
      </c>
      <c r="CA312">
        <v>0</v>
      </c>
      <c r="CB312">
        <v>19800</v>
      </c>
      <c r="CC312">
        <v>287.27820000000003</v>
      </c>
      <c r="CD312" t="s">
        <v>885</v>
      </c>
      <c r="CE312" t="s">
        <v>886</v>
      </c>
      <c r="CG312" t="s">
        <v>421</v>
      </c>
      <c r="CN312" t="str">
        <v>M19</v>
      </c>
      <c r="CO312" t="str">
        <v>1330-5YY0182EN</v>
      </c>
      <c r="CP312" t="str">
        <v>GAOU7040650</v>
      </c>
      <c r="CQ312" s="23">
        <v>2283.2628</v>
      </c>
      <c r="CR312" s="25">
        <f t="shared" si="13"/>
        <v>0.12462007219397209</v>
      </c>
      <c r="CS312" s="21">
        <f t="shared" si="14"/>
        <v>311.55018048493019</v>
      </c>
    </row>
    <row r="313" spans="2:97" x14ac:dyDescent="0.35">
      <c r="B313" t="s">
        <v>299</v>
      </c>
      <c r="C313" t="s">
        <v>964</v>
      </c>
      <c r="D313" t="s">
        <v>965</v>
      </c>
      <c r="E313" t="s">
        <v>395</v>
      </c>
      <c r="F313" t="s">
        <v>396</v>
      </c>
      <c r="G313" t="s">
        <v>397</v>
      </c>
      <c r="H313" t="s">
        <v>398</v>
      </c>
      <c r="I313" t="s">
        <v>399</v>
      </c>
      <c r="J313" t="s">
        <v>749</v>
      </c>
      <c r="K313" t="s">
        <v>526</v>
      </c>
      <c r="L313" t="s">
        <v>787</v>
      </c>
      <c r="M313" t="s">
        <v>403</v>
      </c>
      <c r="N313">
        <v>1</v>
      </c>
      <c r="O313">
        <v>5</v>
      </c>
      <c r="P313" t="s">
        <v>966</v>
      </c>
      <c r="Q313" t="s">
        <v>424</v>
      </c>
      <c r="R313" t="s">
        <v>959</v>
      </c>
      <c r="S313" t="s">
        <v>967</v>
      </c>
      <c r="T313" t="s">
        <v>408</v>
      </c>
      <c r="U313">
        <v>50950079499</v>
      </c>
      <c r="W313">
        <v>199584</v>
      </c>
      <c r="X313" t="s">
        <v>409</v>
      </c>
      <c r="Y313" t="s">
        <v>410</v>
      </c>
      <c r="Z313" t="s">
        <v>410</v>
      </c>
      <c r="AA313" t="s">
        <v>411</v>
      </c>
      <c r="AB313" t="s">
        <v>554</v>
      </c>
      <c r="AC313" t="s">
        <v>411</v>
      </c>
      <c r="AD313">
        <v>46081</v>
      </c>
      <c r="AE313">
        <v>46104</v>
      </c>
      <c r="AF313">
        <v>46099</v>
      </c>
      <c r="AG313" t="s">
        <v>754</v>
      </c>
      <c r="AH313">
        <v>6139618</v>
      </c>
      <c r="AI313">
        <v>46093</v>
      </c>
      <c r="AJ313">
        <v>46094</v>
      </c>
      <c r="AK313">
        <v>199584</v>
      </c>
      <c r="AL313" t="s">
        <v>396</v>
      </c>
      <c r="AM313" t="s">
        <v>1584</v>
      </c>
      <c r="AN313">
        <v>46094</v>
      </c>
      <c r="AO313">
        <v>46094.437951388885</v>
      </c>
      <c r="AP313" t="s">
        <v>51</v>
      </c>
      <c r="AQ313">
        <v>5.5079999999999997E-2</v>
      </c>
      <c r="AR313">
        <v>10993.08</v>
      </c>
      <c r="AS313" t="s">
        <v>51</v>
      </c>
      <c r="AT313">
        <v>10993.08</v>
      </c>
      <c r="AU313" t="s">
        <v>415</v>
      </c>
      <c r="AV313" t="s">
        <v>1420</v>
      </c>
      <c r="AW313" t="s">
        <v>1421</v>
      </c>
      <c r="AX313">
        <v>46099</v>
      </c>
      <c r="AY313">
        <v>46148</v>
      </c>
      <c r="AZ313" t="s">
        <v>1578</v>
      </c>
      <c r="BA313" t="s">
        <v>560</v>
      </c>
      <c r="BB313" t="s">
        <v>1579</v>
      </c>
      <c r="BC313">
        <v>594</v>
      </c>
      <c r="BD313" t="s">
        <v>521</v>
      </c>
      <c r="BE313">
        <v>8.2226999999999997</v>
      </c>
      <c r="BF313">
        <v>7.9726999999999997</v>
      </c>
      <c r="BG313" t="s">
        <v>522</v>
      </c>
      <c r="BH313">
        <v>286</v>
      </c>
      <c r="BI313">
        <v>190</v>
      </c>
      <c r="BJ313">
        <v>72</v>
      </c>
      <c r="BK313">
        <v>48</v>
      </c>
      <c r="BL313" t="s">
        <v>521</v>
      </c>
      <c r="BM313">
        <v>419.68959999999998</v>
      </c>
      <c r="BN313">
        <v>382.68959999999998</v>
      </c>
      <c r="BO313">
        <v>2937.816448</v>
      </c>
      <c r="BP313" t="s">
        <v>522</v>
      </c>
      <c r="BQ313">
        <v>1200</v>
      </c>
      <c r="BR313">
        <v>800</v>
      </c>
      <c r="BS313">
        <v>378</v>
      </c>
      <c r="BT313">
        <v>7</v>
      </c>
      <c r="BU313">
        <v>0</v>
      </c>
      <c r="BV313">
        <v>7</v>
      </c>
      <c r="BW313">
        <v>336</v>
      </c>
      <c r="BX313">
        <v>0</v>
      </c>
      <c r="BY313">
        <v>336</v>
      </c>
      <c r="BZ313">
        <v>199584</v>
      </c>
      <c r="CA313">
        <v>0</v>
      </c>
      <c r="CB313">
        <v>199584</v>
      </c>
      <c r="CC313">
        <v>2678.816448</v>
      </c>
      <c r="CD313" t="s">
        <v>969</v>
      </c>
      <c r="CE313" t="s">
        <v>970</v>
      </c>
      <c r="CG313" t="s">
        <v>421</v>
      </c>
      <c r="CN313" t="str">
        <v>M01</v>
      </c>
      <c r="CO313" t="str">
        <v>1458-1030127EN</v>
      </c>
      <c r="CP313" t="str">
        <v>GAOU7040650</v>
      </c>
      <c r="CQ313" s="23">
        <v>203.89599999999999</v>
      </c>
      <c r="CR313" s="25">
        <f t="shared" si="13"/>
        <v>1.112860693918463E-2</v>
      </c>
      <c r="CS313" s="21">
        <f t="shared" si="14"/>
        <v>27.821517347961574</v>
      </c>
    </row>
    <row r="314" spans="2:97" x14ac:dyDescent="0.35">
      <c r="B314" t="s">
        <v>299</v>
      </c>
      <c r="C314" t="s">
        <v>1585</v>
      </c>
      <c r="D314" t="s">
        <v>395</v>
      </c>
      <c r="E314" t="s">
        <v>395</v>
      </c>
      <c r="F314" t="s">
        <v>396</v>
      </c>
      <c r="G314" t="s">
        <v>397</v>
      </c>
      <c r="H314" t="s">
        <v>398</v>
      </c>
      <c r="I314" t="s">
        <v>399</v>
      </c>
      <c r="J314" t="s">
        <v>749</v>
      </c>
      <c r="K314" t="s">
        <v>526</v>
      </c>
      <c r="L314" t="s">
        <v>787</v>
      </c>
      <c r="M314" t="s">
        <v>403</v>
      </c>
      <c r="N314">
        <v>1</v>
      </c>
      <c r="O314">
        <v>1</v>
      </c>
      <c r="P314" t="s">
        <v>958</v>
      </c>
      <c r="Q314" t="s">
        <v>430</v>
      </c>
      <c r="R314" t="s">
        <v>959</v>
      </c>
      <c r="S314" t="s">
        <v>960</v>
      </c>
      <c r="T314" t="s">
        <v>408</v>
      </c>
      <c r="U314">
        <v>50950079496</v>
      </c>
      <c r="W314">
        <v>62208</v>
      </c>
      <c r="X314" t="s">
        <v>409</v>
      </c>
      <c r="Y314" t="s">
        <v>410</v>
      </c>
      <c r="Z314" t="s">
        <v>410</v>
      </c>
      <c r="AA314" t="s">
        <v>411</v>
      </c>
      <c r="AB314" t="s">
        <v>554</v>
      </c>
      <c r="AC314" t="s">
        <v>411</v>
      </c>
      <c r="AD314">
        <v>46090</v>
      </c>
      <c r="AE314">
        <v>46132</v>
      </c>
      <c r="AF314">
        <v>46099</v>
      </c>
      <c r="AG314" t="s">
        <v>754</v>
      </c>
      <c r="AH314">
        <v>6139619</v>
      </c>
      <c r="AI314">
        <v>46093</v>
      </c>
      <c r="AJ314">
        <v>46094</v>
      </c>
      <c r="AK314">
        <v>62208</v>
      </c>
      <c r="AL314" t="s">
        <v>396</v>
      </c>
      <c r="AM314" t="s">
        <v>1586</v>
      </c>
      <c r="AN314">
        <v>46094</v>
      </c>
      <c r="AO314">
        <v>46094.437951388885</v>
      </c>
      <c r="AP314" t="s">
        <v>51</v>
      </c>
      <c r="AQ314">
        <v>6.0139999999999999E-2</v>
      </c>
      <c r="AR314">
        <v>3741.18</v>
      </c>
      <c r="AS314" t="s">
        <v>51</v>
      </c>
      <c r="AT314">
        <v>3741.18</v>
      </c>
      <c r="AU314" t="s">
        <v>415</v>
      </c>
      <c r="AV314" t="s">
        <v>1420</v>
      </c>
      <c r="AW314" t="s">
        <v>1421</v>
      </c>
      <c r="AX314">
        <v>46099</v>
      </c>
      <c r="AY314">
        <v>46148</v>
      </c>
      <c r="AZ314" t="s">
        <v>1578</v>
      </c>
      <c r="BA314" t="s">
        <v>560</v>
      </c>
      <c r="BB314" t="s">
        <v>1579</v>
      </c>
      <c r="BC314">
        <v>576</v>
      </c>
      <c r="BD314" t="s">
        <v>521</v>
      </c>
      <c r="BE314">
        <v>8.5412999999999997</v>
      </c>
      <c r="BF314">
        <v>8.2673000000000005</v>
      </c>
      <c r="BG314" t="s">
        <v>522</v>
      </c>
      <c r="BH314">
        <v>320</v>
      </c>
      <c r="BI314">
        <v>190</v>
      </c>
      <c r="BJ314">
        <v>65</v>
      </c>
      <c r="BK314">
        <v>54</v>
      </c>
      <c r="BL314" t="s">
        <v>521</v>
      </c>
      <c r="BM314">
        <v>488.23020000000002</v>
      </c>
      <c r="BN314">
        <v>446.43419999999998</v>
      </c>
      <c r="BO314">
        <v>976.46342400000003</v>
      </c>
      <c r="BP314" t="s">
        <v>522</v>
      </c>
      <c r="BQ314">
        <v>1200</v>
      </c>
      <c r="BR314">
        <v>1000</v>
      </c>
      <c r="BS314">
        <v>355</v>
      </c>
      <c r="BT314">
        <v>2</v>
      </c>
      <c r="BU314">
        <v>0</v>
      </c>
      <c r="BV314">
        <v>2</v>
      </c>
      <c r="BW314">
        <v>108</v>
      </c>
      <c r="BX314">
        <v>0</v>
      </c>
      <c r="BY314">
        <v>108</v>
      </c>
      <c r="BZ314">
        <v>62208</v>
      </c>
      <c r="CA314">
        <v>0</v>
      </c>
      <c r="CB314">
        <v>62208</v>
      </c>
      <c r="CC314">
        <v>892.87142400000005</v>
      </c>
      <c r="CD314" t="s">
        <v>962</v>
      </c>
      <c r="CE314" t="s">
        <v>963</v>
      </c>
      <c r="CG314" t="s">
        <v>421</v>
      </c>
      <c r="CN314" t="str">
        <v>M01</v>
      </c>
      <c r="CO314" t="str">
        <v>1458-1030144EN</v>
      </c>
      <c r="CP314" t="str">
        <v>GAOU7040650</v>
      </c>
      <c r="CQ314" s="23">
        <v>404.61759999999998</v>
      </c>
      <c r="CR314" s="25">
        <f t="shared" si="13"/>
        <v>2.2083955698376779E-2</v>
      </c>
      <c r="CS314" s="21">
        <f t="shared" si="14"/>
        <v>55.209889245941945</v>
      </c>
    </row>
    <row r="315" spans="2:97" x14ac:dyDescent="0.35">
      <c r="B315" t="s">
        <v>299</v>
      </c>
      <c r="C315" t="s">
        <v>1380</v>
      </c>
      <c r="D315" t="s">
        <v>965</v>
      </c>
      <c r="E315" t="s">
        <v>395</v>
      </c>
      <c r="F315" t="s">
        <v>396</v>
      </c>
      <c r="G315" t="s">
        <v>397</v>
      </c>
      <c r="H315" t="s">
        <v>398</v>
      </c>
      <c r="I315" t="s">
        <v>399</v>
      </c>
      <c r="J315" t="s">
        <v>749</v>
      </c>
      <c r="K315" t="s">
        <v>809</v>
      </c>
      <c r="L315" t="s">
        <v>787</v>
      </c>
      <c r="M315" t="s">
        <v>403</v>
      </c>
      <c r="N315">
        <v>1</v>
      </c>
      <c r="O315">
        <v>9</v>
      </c>
      <c r="P315" t="s">
        <v>810</v>
      </c>
      <c r="Q315" t="s">
        <v>405</v>
      </c>
      <c r="R315" t="s">
        <v>811</v>
      </c>
      <c r="S315" t="s">
        <v>812</v>
      </c>
      <c r="T315" t="s">
        <v>408</v>
      </c>
      <c r="U315">
        <v>50950080270</v>
      </c>
      <c r="W315">
        <v>1440</v>
      </c>
      <c r="X315" t="s">
        <v>409</v>
      </c>
      <c r="Y315" t="s">
        <v>410</v>
      </c>
      <c r="Z315" t="s">
        <v>410</v>
      </c>
      <c r="AA315" t="s">
        <v>411</v>
      </c>
      <c r="AB315" t="s">
        <v>554</v>
      </c>
      <c r="AC315" t="s">
        <v>411</v>
      </c>
      <c r="AD315">
        <v>46088</v>
      </c>
      <c r="AE315">
        <v>46125</v>
      </c>
      <c r="AF315">
        <v>46099</v>
      </c>
      <c r="AG315" t="s">
        <v>754</v>
      </c>
      <c r="AH315">
        <v>6139620</v>
      </c>
      <c r="AI315">
        <v>46093</v>
      </c>
      <c r="AJ315">
        <v>46094</v>
      </c>
      <c r="AK315">
        <v>1440</v>
      </c>
      <c r="AL315" t="s">
        <v>396</v>
      </c>
      <c r="AM315" t="s">
        <v>1587</v>
      </c>
      <c r="AN315">
        <v>46094</v>
      </c>
      <c r="AO315">
        <v>46094.437951388885</v>
      </c>
      <c r="AP315" t="s">
        <v>51</v>
      </c>
      <c r="AQ315">
        <v>1.96204</v>
      </c>
      <c r="AR315">
        <v>2825.34</v>
      </c>
      <c r="AS315" t="s">
        <v>51</v>
      </c>
      <c r="AT315">
        <v>2825.34</v>
      </c>
      <c r="AU315" t="s">
        <v>415</v>
      </c>
      <c r="AV315" t="s">
        <v>1420</v>
      </c>
      <c r="AW315" t="s">
        <v>1421</v>
      </c>
      <c r="AX315">
        <v>46099</v>
      </c>
      <c r="AY315">
        <v>46148</v>
      </c>
      <c r="AZ315" t="s">
        <v>1578</v>
      </c>
      <c r="BA315" t="s">
        <v>560</v>
      </c>
      <c r="BB315" t="s">
        <v>1579</v>
      </c>
      <c r="BC315">
        <v>16</v>
      </c>
      <c r="BD315" t="s">
        <v>521</v>
      </c>
      <c r="BE315">
        <v>4.9545000000000003</v>
      </c>
      <c r="BF315">
        <v>3.7555000000000001</v>
      </c>
      <c r="BG315" t="s">
        <v>522</v>
      </c>
      <c r="BH315">
        <v>495</v>
      </c>
      <c r="BI315">
        <v>395</v>
      </c>
      <c r="BJ315">
        <v>190</v>
      </c>
      <c r="BK315">
        <v>30</v>
      </c>
      <c r="BL315" t="s">
        <v>521</v>
      </c>
      <c r="BM315">
        <v>175.63499999999999</v>
      </c>
      <c r="BN315">
        <v>112.66500000000001</v>
      </c>
      <c r="BO315">
        <v>526.90679999999998</v>
      </c>
      <c r="BP315" t="s">
        <v>522</v>
      </c>
      <c r="BQ315">
        <v>1200</v>
      </c>
      <c r="BR315">
        <v>1000</v>
      </c>
      <c r="BS315">
        <v>1120</v>
      </c>
      <c r="BT315">
        <v>3</v>
      </c>
      <c r="BU315">
        <v>0</v>
      </c>
      <c r="BV315">
        <v>3</v>
      </c>
      <c r="BW315">
        <v>90</v>
      </c>
      <c r="BX315">
        <v>0</v>
      </c>
      <c r="BY315">
        <v>90</v>
      </c>
      <c r="BZ315">
        <v>1440</v>
      </c>
      <c r="CA315">
        <v>0</v>
      </c>
      <c r="CB315">
        <v>1440</v>
      </c>
      <c r="CC315">
        <v>337.99680000000001</v>
      </c>
      <c r="CD315" t="s">
        <v>806</v>
      </c>
      <c r="CE315" t="s">
        <v>816</v>
      </c>
      <c r="CG315" t="s">
        <v>421</v>
      </c>
      <c r="CN315" t="str">
        <v>M19</v>
      </c>
      <c r="CO315" t="str">
        <v>1271-5YY0100EN</v>
      </c>
      <c r="CP315" t="str">
        <v>GAOU7040650</v>
      </c>
      <c r="CQ315" s="23">
        <v>942</v>
      </c>
      <c r="CR315" s="25">
        <f t="shared" si="13"/>
        <v>5.1414190257346504E-2</v>
      </c>
      <c r="CS315" s="21">
        <f t="shared" si="14"/>
        <v>128.53547564336625</v>
      </c>
    </row>
    <row r="316" spans="2:97" x14ac:dyDescent="0.35">
      <c r="B316" t="s">
        <v>297</v>
      </c>
      <c r="C316" t="s">
        <v>1588</v>
      </c>
      <c r="D316" t="s">
        <v>395</v>
      </c>
      <c r="E316" t="s">
        <v>395</v>
      </c>
      <c r="F316" t="s">
        <v>396</v>
      </c>
      <c r="G316" t="s">
        <v>397</v>
      </c>
      <c r="H316" t="s">
        <v>398</v>
      </c>
      <c r="I316" t="s">
        <v>399</v>
      </c>
      <c r="J316" t="s">
        <v>749</v>
      </c>
      <c r="K316" t="s">
        <v>629</v>
      </c>
      <c r="L316" t="s">
        <v>787</v>
      </c>
      <c r="M316" t="s">
        <v>403</v>
      </c>
      <c r="N316">
        <v>1</v>
      </c>
      <c r="O316">
        <v>1</v>
      </c>
      <c r="P316" t="s">
        <v>1589</v>
      </c>
      <c r="Q316" t="s">
        <v>637</v>
      </c>
      <c r="R316" t="s">
        <v>1483</v>
      </c>
      <c r="S316" t="s">
        <v>1484</v>
      </c>
      <c r="T316" t="s">
        <v>408</v>
      </c>
      <c r="U316">
        <v>50950080481</v>
      </c>
      <c r="W316">
        <v>18000</v>
      </c>
      <c r="X316" t="s">
        <v>409</v>
      </c>
      <c r="Y316" t="s">
        <v>410</v>
      </c>
      <c r="Z316" t="s">
        <v>410</v>
      </c>
      <c r="AA316" t="s">
        <v>411</v>
      </c>
      <c r="AB316" t="s">
        <v>554</v>
      </c>
      <c r="AC316" t="s">
        <v>411</v>
      </c>
      <c r="AD316">
        <v>46088</v>
      </c>
      <c r="AE316">
        <v>46146</v>
      </c>
      <c r="AF316">
        <v>46099</v>
      </c>
      <c r="AG316" t="s">
        <v>754</v>
      </c>
      <c r="AH316">
        <v>6139621</v>
      </c>
      <c r="AI316">
        <v>46093</v>
      </c>
      <c r="AJ316">
        <v>46094</v>
      </c>
      <c r="AK316">
        <v>18000</v>
      </c>
      <c r="AL316" t="s">
        <v>396</v>
      </c>
      <c r="AM316" t="s">
        <v>1590</v>
      </c>
      <c r="AN316">
        <v>46094</v>
      </c>
      <c r="AO316">
        <v>46094.437951388885</v>
      </c>
      <c r="AP316" t="s">
        <v>51</v>
      </c>
      <c r="AQ316">
        <v>3.8539999999999998E-2</v>
      </c>
      <c r="AR316">
        <v>693.72</v>
      </c>
      <c r="AS316" t="s">
        <v>51</v>
      </c>
      <c r="AT316">
        <v>693.72</v>
      </c>
      <c r="AU316" t="s">
        <v>415</v>
      </c>
      <c r="AV316" t="s">
        <v>1420</v>
      </c>
      <c r="AW316" t="s">
        <v>1421</v>
      </c>
      <c r="AX316">
        <v>46099</v>
      </c>
      <c r="AY316">
        <v>46148</v>
      </c>
      <c r="AZ316" t="s">
        <v>1578</v>
      </c>
      <c r="BA316" t="s">
        <v>560</v>
      </c>
      <c r="BB316" t="s">
        <v>1579</v>
      </c>
      <c r="BC316">
        <v>900</v>
      </c>
      <c r="BD316" t="s">
        <v>521</v>
      </c>
      <c r="BE316">
        <v>4.2458</v>
      </c>
      <c r="BF316">
        <v>3.5388000000000002</v>
      </c>
      <c r="BG316" t="s">
        <v>522</v>
      </c>
      <c r="BH316">
        <v>395</v>
      </c>
      <c r="BI316">
        <v>295</v>
      </c>
      <c r="BJ316">
        <v>150</v>
      </c>
      <c r="BK316">
        <v>60</v>
      </c>
      <c r="BL316" t="s">
        <v>521</v>
      </c>
      <c r="BM316">
        <v>111.916</v>
      </c>
      <c r="BN316">
        <v>70.775999999999996</v>
      </c>
      <c r="BO316">
        <v>111.916</v>
      </c>
      <c r="BP316" t="s">
        <v>522</v>
      </c>
      <c r="BQ316">
        <v>1200</v>
      </c>
      <c r="BR316">
        <v>1000</v>
      </c>
      <c r="BS316">
        <v>1058</v>
      </c>
      <c r="BT316">
        <v>0</v>
      </c>
      <c r="BU316">
        <v>1</v>
      </c>
      <c r="BV316">
        <v>1</v>
      </c>
      <c r="BW316">
        <v>20</v>
      </c>
      <c r="BX316">
        <v>0</v>
      </c>
      <c r="BY316">
        <v>20</v>
      </c>
      <c r="BZ316">
        <v>0</v>
      </c>
      <c r="CA316">
        <v>18000</v>
      </c>
      <c r="CB316">
        <v>18000</v>
      </c>
      <c r="CC316">
        <v>70.775999999999996</v>
      </c>
      <c r="CD316" t="s">
        <v>799</v>
      </c>
      <c r="CE316" t="s">
        <v>1591</v>
      </c>
      <c r="CG316" t="s">
        <v>421</v>
      </c>
      <c r="CN316" t="str">
        <v>M19</v>
      </c>
      <c r="CO316" t="str">
        <v>1330-5YY0176EN</v>
      </c>
      <c r="CP316" t="str">
        <v>GAOU7040650</v>
      </c>
      <c r="CQ316" s="23">
        <v>821.26080000000002</v>
      </c>
      <c r="CR316" s="25">
        <f t="shared" si="13"/>
        <v>4.4824266477813797E-2</v>
      </c>
      <c r="CS316" s="21">
        <f t="shared" si="14"/>
        <v>112.06066619453449</v>
      </c>
    </row>
    <row r="317" spans="2:97" x14ac:dyDescent="0.35">
      <c r="B317" t="s">
        <v>297</v>
      </c>
      <c r="C317" t="s">
        <v>1592</v>
      </c>
      <c r="D317" t="s">
        <v>395</v>
      </c>
      <c r="E317" t="s">
        <v>395</v>
      </c>
      <c r="F317" t="s">
        <v>396</v>
      </c>
      <c r="G317" t="s">
        <v>397</v>
      </c>
      <c r="H317" t="s">
        <v>398</v>
      </c>
      <c r="I317" t="s">
        <v>399</v>
      </c>
      <c r="J317" t="s">
        <v>749</v>
      </c>
      <c r="K317" t="s">
        <v>629</v>
      </c>
      <c r="L317" t="s">
        <v>787</v>
      </c>
      <c r="M317" t="s">
        <v>403</v>
      </c>
      <c r="N317">
        <v>1</v>
      </c>
      <c r="O317">
        <v>1</v>
      </c>
      <c r="P317" t="s">
        <v>1593</v>
      </c>
      <c r="Q317" t="s">
        <v>430</v>
      </c>
      <c r="R317" t="s">
        <v>905</v>
      </c>
      <c r="S317" t="s">
        <v>906</v>
      </c>
      <c r="T317" t="s">
        <v>408</v>
      </c>
      <c r="U317">
        <v>50950080592</v>
      </c>
      <c r="W317">
        <v>12000</v>
      </c>
      <c r="X317" t="s">
        <v>409</v>
      </c>
      <c r="Y317" t="s">
        <v>410</v>
      </c>
      <c r="Z317" t="s">
        <v>410</v>
      </c>
      <c r="AA317" t="s">
        <v>411</v>
      </c>
      <c r="AB317" t="s">
        <v>554</v>
      </c>
      <c r="AC317" t="s">
        <v>411</v>
      </c>
      <c r="AD317">
        <v>46088</v>
      </c>
      <c r="AE317">
        <v>46146</v>
      </c>
      <c r="AF317">
        <v>46099</v>
      </c>
      <c r="AG317" t="s">
        <v>754</v>
      </c>
      <c r="AH317">
        <v>6139622</v>
      </c>
      <c r="AI317">
        <v>46093</v>
      </c>
      <c r="AJ317">
        <v>46094</v>
      </c>
      <c r="AK317">
        <v>12000</v>
      </c>
      <c r="AL317" t="s">
        <v>396</v>
      </c>
      <c r="AM317" t="s">
        <v>1594</v>
      </c>
      <c r="AN317">
        <v>46094</v>
      </c>
      <c r="AO317">
        <v>46094.437951388885</v>
      </c>
      <c r="AP317" t="s">
        <v>51</v>
      </c>
      <c r="AQ317">
        <v>0.10894</v>
      </c>
      <c r="AR317">
        <v>1307.28</v>
      </c>
      <c r="AS317" t="s">
        <v>51</v>
      </c>
      <c r="AT317">
        <v>1307.28</v>
      </c>
      <c r="AU317" t="s">
        <v>415</v>
      </c>
      <c r="AV317" t="s">
        <v>1420</v>
      </c>
      <c r="AW317" t="s">
        <v>1421</v>
      </c>
      <c r="AX317">
        <v>46099</v>
      </c>
      <c r="AY317">
        <v>46148</v>
      </c>
      <c r="AZ317" t="s">
        <v>1578</v>
      </c>
      <c r="BA317" t="s">
        <v>560</v>
      </c>
      <c r="BB317" t="s">
        <v>1579</v>
      </c>
      <c r="BC317">
        <v>1200</v>
      </c>
      <c r="BD317" t="s">
        <v>521</v>
      </c>
      <c r="BE317">
        <v>7.4042000000000003</v>
      </c>
      <c r="BF317">
        <v>6.4931999999999999</v>
      </c>
      <c r="BG317" t="s">
        <v>522</v>
      </c>
      <c r="BH317">
        <v>395</v>
      </c>
      <c r="BI317">
        <v>295</v>
      </c>
      <c r="BJ317">
        <v>270</v>
      </c>
      <c r="BK317">
        <v>30</v>
      </c>
      <c r="BL317" t="s">
        <v>521</v>
      </c>
      <c r="BM317">
        <v>101.042</v>
      </c>
      <c r="BN317">
        <v>64.932000000000002</v>
      </c>
      <c r="BO317">
        <v>101.042</v>
      </c>
      <c r="BP317" t="s">
        <v>522</v>
      </c>
      <c r="BQ317">
        <v>1200</v>
      </c>
      <c r="BR317">
        <v>1000</v>
      </c>
      <c r="BS317">
        <v>984</v>
      </c>
      <c r="BT317">
        <v>0</v>
      </c>
      <c r="BU317">
        <v>1</v>
      </c>
      <c r="BV317">
        <v>1</v>
      </c>
      <c r="BW317">
        <v>10</v>
      </c>
      <c r="BX317">
        <v>0</v>
      </c>
      <c r="BY317">
        <v>10</v>
      </c>
      <c r="BZ317">
        <v>0</v>
      </c>
      <c r="CA317">
        <v>12000</v>
      </c>
      <c r="CB317">
        <v>12000</v>
      </c>
      <c r="CC317">
        <v>64.932000000000002</v>
      </c>
      <c r="CD317" t="s">
        <v>908</v>
      </c>
      <c r="CE317" t="s">
        <v>909</v>
      </c>
      <c r="CG317" t="s">
        <v>421</v>
      </c>
      <c r="CN317" t="str">
        <v>M19</v>
      </c>
      <c r="CO317" t="str">
        <v>1330-5YY0112EN</v>
      </c>
      <c r="CP317" t="str">
        <v>GAOU7040650</v>
      </c>
      <c r="CQ317" s="23">
        <v>888.63408000000004</v>
      </c>
      <c r="CR317" s="25">
        <f t="shared" si="13"/>
        <v>4.850148795995974E-2</v>
      </c>
      <c r="CS317" s="21">
        <f t="shared" si="14"/>
        <v>121.25371989989935</v>
      </c>
    </row>
    <row r="318" spans="2:97" x14ac:dyDescent="0.35">
      <c r="B318" t="s">
        <v>297</v>
      </c>
      <c r="C318" t="s">
        <v>831</v>
      </c>
      <c r="D318" t="s">
        <v>395</v>
      </c>
      <c r="E318" t="s">
        <v>395</v>
      </c>
      <c r="F318" t="s">
        <v>396</v>
      </c>
      <c r="G318" t="s">
        <v>397</v>
      </c>
      <c r="H318" t="s">
        <v>398</v>
      </c>
      <c r="I318" t="s">
        <v>399</v>
      </c>
      <c r="J318" t="s">
        <v>749</v>
      </c>
      <c r="K318" t="s">
        <v>629</v>
      </c>
      <c r="L318" t="s">
        <v>787</v>
      </c>
      <c r="M318" t="s">
        <v>403</v>
      </c>
      <c r="N318">
        <v>6</v>
      </c>
      <c r="O318">
        <v>1</v>
      </c>
      <c r="P318" t="s">
        <v>832</v>
      </c>
      <c r="Q318" t="s">
        <v>645</v>
      </c>
      <c r="R318" t="s">
        <v>833</v>
      </c>
      <c r="S318" t="s">
        <v>834</v>
      </c>
      <c r="T318" t="s">
        <v>408</v>
      </c>
      <c r="U318">
        <v>50950080792</v>
      </c>
      <c r="W318">
        <v>19200</v>
      </c>
      <c r="X318" t="s">
        <v>409</v>
      </c>
      <c r="Y318" t="s">
        <v>410</v>
      </c>
      <c r="Z318" t="s">
        <v>410</v>
      </c>
      <c r="AA318" t="s">
        <v>411</v>
      </c>
      <c r="AB318" t="s">
        <v>554</v>
      </c>
      <c r="AC318" t="s">
        <v>411</v>
      </c>
      <c r="AD318">
        <v>46088</v>
      </c>
      <c r="AE318">
        <v>46139</v>
      </c>
      <c r="AF318">
        <v>46099</v>
      </c>
      <c r="AG318" t="s">
        <v>754</v>
      </c>
      <c r="AH318">
        <v>6139623</v>
      </c>
      <c r="AI318">
        <v>46093</v>
      </c>
      <c r="AJ318">
        <v>46094</v>
      </c>
      <c r="AK318">
        <v>19200</v>
      </c>
      <c r="AL318" t="s">
        <v>396</v>
      </c>
      <c r="AM318" t="s">
        <v>1595</v>
      </c>
      <c r="AN318">
        <v>46094</v>
      </c>
      <c r="AO318">
        <v>46094.437951388885</v>
      </c>
      <c r="AP318" t="s">
        <v>51</v>
      </c>
      <c r="AQ318">
        <v>0.11833</v>
      </c>
      <c r="AR318">
        <v>2271.94</v>
      </c>
      <c r="AS318" t="s">
        <v>51</v>
      </c>
      <c r="AT318">
        <v>2271.94</v>
      </c>
      <c r="AU318" t="s">
        <v>415</v>
      </c>
      <c r="AV318" t="s">
        <v>1420</v>
      </c>
      <c r="AW318" t="s">
        <v>1421</v>
      </c>
      <c r="AX318">
        <v>46099</v>
      </c>
      <c r="AY318">
        <v>46148</v>
      </c>
      <c r="AZ318" t="s">
        <v>1578</v>
      </c>
      <c r="BA318" t="s">
        <v>560</v>
      </c>
      <c r="BB318" t="s">
        <v>1579</v>
      </c>
      <c r="BC318">
        <v>320</v>
      </c>
      <c r="BD318" t="s">
        <v>521</v>
      </c>
      <c r="BE318">
        <v>4.1859999999999999</v>
      </c>
      <c r="BF318">
        <v>3.6160000000000001</v>
      </c>
      <c r="BG318" t="s">
        <v>522</v>
      </c>
      <c r="BH318">
        <v>395</v>
      </c>
      <c r="BI318">
        <v>295</v>
      </c>
      <c r="BJ318">
        <v>255</v>
      </c>
      <c r="BK318">
        <v>30</v>
      </c>
      <c r="BL318" t="s">
        <v>521</v>
      </c>
      <c r="BM318">
        <v>152.58000000000001</v>
      </c>
      <c r="BN318">
        <v>108.48</v>
      </c>
      <c r="BO318">
        <v>305.16000000000003</v>
      </c>
      <c r="BP318" t="s">
        <v>522</v>
      </c>
      <c r="BQ318">
        <v>1200</v>
      </c>
      <c r="BR318">
        <v>1000</v>
      </c>
      <c r="BS318">
        <v>918</v>
      </c>
      <c r="BT318">
        <v>2</v>
      </c>
      <c r="BU318">
        <v>0</v>
      </c>
      <c r="BV318">
        <v>2</v>
      </c>
      <c r="BW318">
        <v>60</v>
      </c>
      <c r="BX318">
        <v>0</v>
      </c>
      <c r="BY318">
        <v>60</v>
      </c>
      <c r="BZ318">
        <v>19200</v>
      </c>
      <c r="CA318">
        <v>0</v>
      </c>
      <c r="CB318">
        <v>19200</v>
      </c>
      <c r="CC318">
        <v>216.96</v>
      </c>
      <c r="CD318" t="s">
        <v>633</v>
      </c>
      <c r="CE318" t="s">
        <v>836</v>
      </c>
      <c r="CG318" t="s">
        <v>421</v>
      </c>
      <c r="CN318" t="str">
        <v>M45</v>
      </c>
      <c r="CO318" t="str">
        <v>AYSP61BS362EN</v>
      </c>
      <c r="CP318" t="str">
        <v>GAOU7040650</v>
      </c>
      <c r="CQ318" s="23">
        <v>764.09619999999995</v>
      </c>
      <c r="CR318" s="25">
        <f t="shared" si="13"/>
        <v>4.1704232910525989E-2</v>
      </c>
      <c r="CS318" s="21">
        <f t="shared" si="14"/>
        <v>104.26058227631498</v>
      </c>
    </row>
    <row r="319" spans="2:97" x14ac:dyDescent="0.35">
      <c r="B319" t="s">
        <v>297</v>
      </c>
      <c r="C319" t="s">
        <v>1382</v>
      </c>
      <c r="D319" t="s">
        <v>395</v>
      </c>
      <c r="E319" t="s">
        <v>395</v>
      </c>
      <c r="F319" t="s">
        <v>396</v>
      </c>
      <c r="G319" t="s">
        <v>397</v>
      </c>
      <c r="H319" t="s">
        <v>398</v>
      </c>
      <c r="I319" t="s">
        <v>399</v>
      </c>
      <c r="J319" t="s">
        <v>749</v>
      </c>
      <c r="K319" t="s">
        <v>1142</v>
      </c>
      <c r="L319" t="s">
        <v>787</v>
      </c>
      <c r="M319" t="s">
        <v>403</v>
      </c>
      <c r="N319">
        <v>3</v>
      </c>
      <c r="O319">
        <v>1</v>
      </c>
      <c r="P319" t="s">
        <v>1383</v>
      </c>
      <c r="Q319" t="s">
        <v>430</v>
      </c>
      <c r="R319" t="s">
        <v>1384</v>
      </c>
      <c r="S319" t="s">
        <v>1385</v>
      </c>
      <c r="T319" t="s">
        <v>408</v>
      </c>
      <c r="U319">
        <v>50950080797</v>
      </c>
      <c r="W319">
        <v>2280000</v>
      </c>
      <c r="X319" t="s">
        <v>448</v>
      </c>
      <c r="Y319" t="s">
        <v>410</v>
      </c>
      <c r="Z319" t="s">
        <v>410</v>
      </c>
      <c r="AA319" t="s">
        <v>411</v>
      </c>
      <c r="AB319" t="s">
        <v>412</v>
      </c>
      <c r="AC319" t="s">
        <v>411</v>
      </c>
      <c r="AD319">
        <v>46093</v>
      </c>
      <c r="AE319">
        <v>46153</v>
      </c>
      <c r="AF319">
        <v>46097</v>
      </c>
      <c r="AG319" t="s">
        <v>754</v>
      </c>
      <c r="AH319">
        <v>6140341</v>
      </c>
      <c r="AI319">
        <v>46093</v>
      </c>
      <c r="AJ319">
        <v>46094</v>
      </c>
      <c r="AK319">
        <v>2280000</v>
      </c>
      <c r="AL319" t="s">
        <v>396</v>
      </c>
      <c r="AM319" t="s">
        <v>1596</v>
      </c>
      <c r="AN319">
        <v>46094</v>
      </c>
      <c r="AO319">
        <v>46094.473182870373</v>
      </c>
      <c r="AP319" t="s">
        <v>51</v>
      </c>
      <c r="AQ319">
        <v>1.17E-3</v>
      </c>
      <c r="AR319">
        <v>2667.6</v>
      </c>
      <c r="AS319" t="s">
        <v>51</v>
      </c>
      <c r="AT319">
        <v>2667.6</v>
      </c>
      <c r="AU319" t="s">
        <v>450</v>
      </c>
      <c r="AV319" t="s">
        <v>1597</v>
      </c>
      <c r="AW319" t="s">
        <v>1598</v>
      </c>
      <c r="AX319">
        <v>46098</v>
      </c>
      <c r="AY319">
        <v>46104</v>
      </c>
      <c r="BA319" t="s">
        <v>448</v>
      </c>
      <c r="BB319" t="s">
        <v>1599</v>
      </c>
      <c r="BC319">
        <v>760000</v>
      </c>
      <c r="BD319" t="s">
        <v>521</v>
      </c>
      <c r="BE319">
        <v>382.68</v>
      </c>
      <c r="BF319">
        <v>317.68</v>
      </c>
      <c r="BG319" t="s">
        <v>522</v>
      </c>
      <c r="BH319">
        <v>1050</v>
      </c>
      <c r="BI319">
        <v>480</v>
      </c>
      <c r="BJ319">
        <v>460</v>
      </c>
      <c r="BK319">
        <v>1</v>
      </c>
      <c r="BL319" t="s">
        <v>521</v>
      </c>
      <c r="BM319">
        <v>399.08</v>
      </c>
      <c r="BN319">
        <v>317.68</v>
      </c>
      <c r="BO319">
        <v>1197.24</v>
      </c>
      <c r="BP319" t="s">
        <v>522</v>
      </c>
      <c r="BQ319">
        <v>1050</v>
      </c>
      <c r="BR319">
        <v>480</v>
      </c>
      <c r="BS319">
        <v>480</v>
      </c>
      <c r="BT319">
        <v>3</v>
      </c>
      <c r="BU319">
        <v>0</v>
      </c>
      <c r="BV319">
        <v>3</v>
      </c>
      <c r="BW319">
        <v>3</v>
      </c>
      <c r="BX319">
        <v>0</v>
      </c>
      <c r="BY319">
        <v>3</v>
      </c>
      <c r="BZ319">
        <v>2280000</v>
      </c>
      <c r="CA319">
        <v>0</v>
      </c>
      <c r="CB319">
        <v>2280000</v>
      </c>
      <c r="CC319">
        <v>953.04</v>
      </c>
      <c r="CD319" t="s">
        <v>1387</v>
      </c>
      <c r="CE319" t="s">
        <v>1388</v>
      </c>
      <c r="CG319" t="s">
        <v>421</v>
      </c>
      <c r="CN319" t="str">
        <v>M01</v>
      </c>
      <c r="CO319" t="str">
        <v>1458-1030121EN</v>
      </c>
      <c r="CP319" t="str">
        <v>GAOU7040650</v>
      </c>
      <c r="CQ319" s="23">
        <v>311.44080000000002</v>
      </c>
      <c r="CR319" s="25">
        <f t="shared" si="13"/>
        <v>1.699838274426773E-2</v>
      </c>
      <c r="CS319" s="21">
        <f t="shared" si="14"/>
        <v>42.495956860669324</v>
      </c>
    </row>
    <row r="320" spans="2:97" x14ac:dyDescent="0.35">
      <c r="B320" t="s">
        <v>297</v>
      </c>
      <c r="C320" t="s">
        <v>1382</v>
      </c>
      <c r="D320" t="s">
        <v>395</v>
      </c>
      <c r="E320" t="s">
        <v>395</v>
      </c>
      <c r="F320" t="s">
        <v>396</v>
      </c>
      <c r="G320" t="s">
        <v>397</v>
      </c>
      <c r="H320" t="s">
        <v>398</v>
      </c>
      <c r="I320" t="s">
        <v>399</v>
      </c>
      <c r="J320" t="s">
        <v>749</v>
      </c>
      <c r="K320" t="s">
        <v>1142</v>
      </c>
      <c r="L320" t="s">
        <v>787</v>
      </c>
      <c r="M320" t="s">
        <v>403</v>
      </c>
      <c r="N320">
        <v>1</v>
      </c>
      <c r="O320">
        <v>1</v>
      </c>
      <c r="P320" t="s">
        <v>1383</v>
      </c>
      <c r="Q320" t="s">
        <v>430</v>
      </c>
      <c r="R320" t="s">
        <v>1384</v>
      </c>
      <c r="S320" t="s">
        <v>1385</v>
      </c>
      <c r="T320" t="s">
        <v>408</v>
      </c>
      <c r="U320">
        <v>50950080797</v>
      </c>
      <c r="W320">
        <v>2280000</v>
      </c>
      <c r="X320" t="s">
        <v>448</v>
      </c>
      <c r="Y320" t="s">
        <v>410</v>
      </c>
      <c r="Z320" t="s">
        <v>410</v>
      </c>
      <c r="AA320" t="s">
        <v>411</v>
      </c>
      <c r="AB320" t="s">
        <v>412</v>
      </c>
      <c r="AC320" t="s">
        <v>411</v>
      </c>
      <c r="AD320">
        <v>46093</v>
      </c>
      <c r="AE320">
        <v>46097</v>
      </c>
      <c r="AF320">
        <v>46097</v>
      </c>
      <c r="AG320" t="s">
        <v>754</v>
      </c>
      <c r="AH320">
        <v>6140341</v>
      </c>
      <c r="AI320">
        <v>46093</v>
      </c>
      <c r="AJ320">
        <v>46094</v>
      </c>
      <c r="AK320">
        <v>2280000</v>
      </c>
      <c r="AL320" t="s">
        <v>396</v>
      </c>
      <c r="AM320" t="s">
        <v>1596</v>
      </c>
      <c r="AN320">
        <v>46094</v>
      </c>
      <c r="AO320">
        <v>46094.473182870373</v>
      </c>
      <c r="AP320" t="s">
        <v>51</v>
      </c>
      <c r="AQ320">
        <v>1.17E-3</v>
      </c>
      <c r="AR320">
        <v>2667.6</v>
      </c>
      <c r="AS320" t="s">
        <v>51</v>
      </c>
      <c r="AT320">
        <v>2667.6</v>
      </c>
      <c r="AU320" t="s">
        <v>450</v>
      </c>
      <c r="AV320" t="s">
        <v>1597</v>
      </c>
      <c r="AW320" t="s">
        <v>1598</v>
      </c>
      <c r="AX320">
        <v>46098</v>
      </c>
      <c r="AY320">
        <v>46104</v>
      </c>
      <c r="BA320" t="s">
        <v>448</v>
      </c>
      <c r="BB320" t="s">
        <v>1599</v>
      </c>
      <c r="BC320">
        <v>760000</v>
      </c>
      <c r="BD320" t="s">
        <v>521</v>
      </c>
      <c r="BE320">
        <v>382.68</v>
      </c>
      <c r="BF320">
        <v>317.68</v>
      </c>
      <c r="BG320" t="s">
        <v>522</v>
      </c>
      <c r="BH320">
        <v>1050</v>
      </c>
      <c r="BI320">
        <v>480</v>
      </c>
      <c r="BJ320">
        <v>460</v>
      </c>
      <c r="BK320">
        <v>1</v>
      </c>
      <c r="BL320" t="s">
        <v>521</v>
      </c>
      <c r="BM320">
        <v>399.08</v>
      </c>
      <c r="BN320">
        <v>317.68</v>
      </c>
      <c r="BO320">
        <v>1197.24</v>
      </c>
      <c r="BP320" t="s">
        <v>522</v>
      </c>
      <c r="BQ320">
        <v>1050</v>
      </c>
      <c r="BR320">
        <v>480</v>
      </c>
      <c r="BS320">
        <v>480</v>
      </c>
      <c r="BT320">
        <v>3</v>
      </c>
      <c r="BU320">
        <v>0</v>
      </c>
      <c r="BV320">
        <v>3</v>
      </c>
      <c r="BW320">
        <v>3</v>
      </c>
      <c r="BX320">
        <v>0</v>
      </c>
      <c r="BY320">
        <v>3</v>
      </c>
      <c r="BZ320">
        <v>2280000</v>
      </c>
      <c r="CA320">
        <v>0</v>
      </c>
      <c r="CB320">
        <v>2280000</v>
      </c>
      <c r="CC320">
        <v>953.04</v>
      </c>
      <c r="CD320" t="s">
        <v>1387</v>
      </c>
      <c r="CE320" t="s">
        <v>1388</v>
      </c>
      <c r="CG320" t="s">
        <v>421</v>
      </c>
      <c r="CN320" t="str">
        <v>M45</v>
      </c>
      <c r="CO320" t="str">
        <v>1201-12B0002EN</v>
      </c>
      <c r="CP320" t="str">
        <v>GAOU7040650</v>
      </c>
      <c r="CQ320" s="23">
        <v>352.464</v>
      </c>
      <c r="CR320" s="25">
        <f t="shared" si="13"/>
        <v>1.9237421608137344E-2</v>
      </c>
      <c r="CS320" s="21">
        <f t="shared" si="14"/>
        <v>48.093554020343362</v>
      </c>
    </row>
    <row r="321" spans="2:97" x14ac:dyDescent="0.35">
      <c r="B321" t="s">
        <v>297</v>
      </c>
      <c r="C321" t="s">
        <v>1600</v>
      </c>
      <c r="D321" t="s">
        <v>395</v>
      </c>
      <c r="E321" t="s">
        <v>395</v>
      </c>
      <c r="F321" t="s">
        <v>396</v>
      </c>
      <c r="G321" t="s">
        <v>397</v>
      </c>
      <c r="H321" t="s">
        <v>398</v>
      </c>
      <c r="I321" t="s">
        <v>399</v>
      </c>
      <c r="J321" t="s">
        <v>749</v>
      </c>
      <c r="K321" t="s">
        <v>629</v>
      </c>
      <c r="L321" t="s">
        <v>787</v>
      </c>
      <c r="M321" t="s">
        <v>403</v>
      </c>
      <c r="N321">
        <v>1</v>
      </c>
      <c r="O321">
        <v>1</v>
      </c>
      <c r="P321" t="s">
        <v>896</v>
      </c>
      <c r="Q321" t="s">
        <v>424</v>
      </c>
      <c r="R321" t="s">
        <v>833</v>
      </c>
      <c r="S321" t="s">
        <v>834</v>
      </c>
      <c r="T321" t="s">
        <v>408</v>
      </c>
      <c r="U321">
        <v>50950080803</v>
      </c>
      <c r="W321">
        <v>7000</v>
      </c>
      <c r="X321" t="s">
        <v>409</v>
      </c>
      <c r="Y321" t="s">
        <v>410</v>
      </c>
      <c r="Z321" t="s">
        <v>410</v>
      </c>
      <c r="AA321" t="s">
        <v>411</v>
      </c>
      <c r="AB321" t="s">
        <v>554</v>
      </c>
      <c r="AC321" t="s">
        <v>411</v>
      </c>
      <c r="AD321">
        <v>46088</v>
      </c>
      <c r="AE321">
        <v>46146</v>
      </c>
      <c r="AF321">
        <v>46099</v>
      </c>
      <c r="AG321" t="s">
        <v>754</v>
      </c>
      <c r="AH321">
        <v>6139624</v>
      </c>
      <c r="AI321">
        <v>46093</v>
      </c>
      <c r="AJ321">
        <v>46094</v>
      </c>
      <c r="AK321">
        <v>7000</v>
      </c>
      <c r="AL321" t="s">
        <v>396</v>
      </c>
      <c r="AM321" t="s">
        <v>1601</v>
      </c>
      <c r="AN321">
        <v>46094</v>
      </c>
      <c r="AO321">
        <v>46094.437951388885</v>
      </c>
      <c r="AP321" t="s">
        <v>51</v>
      </c>
      <c r="AQ321">
        <v>0.11308</v>
      </c>
      <c r="AR321">
        <v>791.56</v>
      </c>
      <c r="AS321" t="s">
        <v>51</v>
      </c>
      <c r="AT321">
        <v>791.56</v>
      </c>
      <c r="AU321" t="s">
        <v>415</v>
      </c>
      <c r="AV321" t="s">
        <v>1420</v>
      </c>
      <c r="AW321" t="s">
        <v>1421</v>
      </c>
      <c r="AX321">
        <v>46099</v>
      </c>
      <c r="AY321">
        <v>46148</v>
      </c>
      <c r="AZ321" t="s">
        <v>1578</v>
      </c>
      <c r="BA321" t="s">
        <v>560</v>
      </c>
      <c r="BB321" t="s">
        <v>1579</v>
      </c>
      <c r="BC321">
        <v>1400</v>
      </c>
      <c r="BD321" t="s">
        <v>521</v>
      </c>
      <c r="BE321">
        <v>10.201000000000001</v>
      </c>
      <c r="BF321">
        <v>9.3309999999999995</v>
      </c>
      <c r="BG321" t="s">
        <v>522</v>
      </c>
      <c r="BH321">
        <v>595</v>
      </c>
      <c r="BI321">
        <v>395</v>
      </c>
      <c r="BJ321">
        <v>190</v>
      </c>
      <c r="BK321">
        <v>25</v>
      </c>
      <c r="BL321" t="s">
        <v>521</v>
      </c>
      <c r="BM321">
        <v>78.004999999999995</v>
      </c>
      <c r="BN321">
        <v>46.655000000000001</v>
      </c>
      <c r="BO321">
        <v>78.004999999999995</v>
      </c>
      <c r="BP321" t="s">
        <v>522</v>
      </c>
      <c r="BQ321">
        <v>1200</v>
      </c>
      <c r="BR321">
        <v>1000</v>
      </c>
      <c r="BS321">
        <v>1088</v>
      </c>
      <c r="BT321">
        <v>0</v>
      </c>
      <c r="BU321">
        <v>1</v>
      </c>
      <c r="BV321">
        <v>1</v>
      </c>
      <c r="BW321">
        <v>5</v>
      </c>
      <c r="BX321">
        <v>0</v>
      </c>
      <c r="BY321">
        <v>5</v>
      </c>
      <c r="BZ321">
        <v>0</v>
      </c>
      <c r="CA321">
        <v>7000</v>
      </c>
      <c r="CB321">
        <v>7000</v>
      </c>
      <c r="CC321">
        <v>46.655000000000001</v>
      </c>
      <c r="CD321" t="s">
        <v>842</v>
      </c>
      <c r="CE321" t="s">
        <v>898</v>
      </c>
      <c r="CG321" t="s">
        <v>421</v>
      </c>
      <c r="CN321" t="str">
        <v>M45</v>
      </c>
      <c r="CO321" t="str">
        <v>1404-12C0002EN</v>
      </c>
      <c r="CP321" t="str">
        <v>GAOU7040650</v>
      </c>
      <c r="CQ321" s="23">
        <v>1977.5066999999999</v>
      </c>
      <c r="CR321" s="25">
        <f t="shared" si="13"/>
        <v>0.10793195935135609</v>
      </c>
      <c r="CS321" s="21">
        <f t="shared" si="14"/>
        <v>269.82989837839023</v>
      </c>
    </row>
    <row r="322" spans="2:97" x14ac:dyDescent="0.35">
      <c r="B322" t="s">
        <v>299</v>
      </c>
      <c r="C322" t="s">
        <v>1392</v>
      </c>
      <c r="D322" t="s">
        <v>395</v>
      </c>
      <c r="E322" t="s">
        <v>395</v>
      </c>
      <c r="F322" t="s">
        <v>396</v>
      </c>
      <c r="G322" t="s">
        <v>397</v>
      </c>
      <c r="H322" t="s">
        <v>398</v>
      </c>
      <c r="I322" t="s">
        <v>399</v>
      </c>
      <c r="J322" t="s">
        <v>749</v>
      </c>
      <c r="K322" t="s">
        <v>809</v>
      </c>
      <c r="L322" t="s">
        <v>787</v>
      </c>
      <c r="M322" t="s">
        <v>403</v>
      </c>
      <c r="N322">
        <v>1</v>
      </c>
      <c r="O322">
        <v>3</v>
      </c>
      <c r="P322" t="s">
        <v>828</v>
      </c>
      <c r="Q322" t="s">
        <v>587</v>
      </c>
      <c r="R322" t="s">
        <v>811</v>
      </c>
      <c r="S322" t="s">
        <v>829</v>
      </c>
      <c r="T322" t="s">
        <v>408</v>
      </c>
      <c r="U322">
        <v>50950081255</v>
      </c>
      <c r="W322">
        <v>3840</v>
      </c>
      <c r="X322" t="s">
        <v>409</v>
      </c>
      <c r="Y322" t="s">
        <v>410</v>
      </c>
      <c r="Z322" t="s">
        <v>410</v>
      </c>
      <c r="AA322" t="s">
        <v>411</v>
      </c>
      <c r="AB322" t="s">
        <v>554</v>
      </c>
      <c r="AC322" t="s">
        <v>411</v>
      </c>
      <c r="AD322">
        <v>46088</v>
      </c>
      <c r="AE322">
        <v>46146</v>
      </c>
      <c r="AF322">
        <v>46099</v>
      </c>
      <c r="AG322" t="s">
        <v>754</v>
      </c>
      <c r="AH322">
        <v>6139625</v>
      </c>
      <c r="AI322">
        <v>46093</v>
      </c>
      <c r="AJ322">
        <v>46094</v>
      </c>
      <c r="AK322">
        <v>3840</v>
      </c>
      <c r="AL322" t="s">
        <v>396</v>
      </c>
      <c r="AM322" t="s">
        <v>1602</v>
      </c>
      <c r="AN322">
        <v>46094</v>
      </c>
      <c r="AO322">
        <v>46094.437951388885</v>
      </c>
      <c r="AP322" t="s">
        <v>51</v>
      </c>
      <c r="AQ322">
        <v>1.8924799999999999</v>
      </c>
      <c r="AR322">
        <v>7267.12</v>
      </c>
      <c r="AS322" t="s">
        <v>51</v>
      </c>
      <c r="AT322">
        <v>7267.12</v>
      </c>
      <c r="AU322" t="s">
        <v>415</v>
      </c>
      <c r="AV322" t="s">
        <v>1420</v>
      </c>
      <c r="AW322" t="s">
        <v>1421</v>
      </c>
      <c r="AX322">
        <v>46099</v>
      </c>
      <c r="AY322">
        <v>46148</v>
      </c>
      <c r="AZ322" t="s">
        <v>1578</v>
      </c>
      <c r="BA322" t="s">
        <v>560</v>
      </c>
      <c r="BB322" t="s">
        <v>1579</v>
      </c>
      <c r="BC322">
        <v>16</v>
      </c>
      <c r="BD322" t="s">
        <v>521</v>
      </c>
      <c r="BE322">
        <v>4.9409000000000001</v>
      </c>
      <c r="BF322">
        <v>3.7418999999999998</v>
      </c>
      <c r="BG322" t="s">
        <v>522</v>
      </c>
      <c r="BH322">
        <v>495</v>
      </c>
      <c r="BI322">
        <v>395</v>
      </c>
      <c r="BJ322">
        <v>190</v>
      </c>
      <c r="BK322">
        <v>30</v>
      </c>
      <c r="BL322" t="s">
        <v>521</v>
      </c>
      <c r="BM322">
        <v>175.227</v>
      </c>
      <c r="BN322">
        <v>112.25700000000001</v>
      </c>
      <c r="BO322">
        <v>1401.8208</v>
      </c>
      <c r="BP322" t="s">
        <v>522</v>
      </c>
      <c r="BQ322">
        <v>1200</v>
      </c>
      <c r="BR322">
        <v>1000</v>
      </c>
      <c r="BS322">
        <v>1120</v>
      </c>
      <c r="BT322">
        <v>8</v>
      </c>
      <c r="BU322">
        <v>0</v>
      </c>
      <c r="BV322">
        <v>8</v>
      </c>
      <c r="BW322">
        <v>240</v>
      </c>
      <c r="BX322">
        <v>0</v>
      </c>
      <c r="BY322">
        <v>240</v>
      </c>
      <c r="BZ322">
        <v>3840</v>
      </c>
      <c r="CA322">
        <v>0</v>
      </c>
      <c r="CB322">
        <v>3840</v>
      </c>
      <c r="CC322">
        <v>898.06079999999997</v>
      </c>
      <c r="CD322" t="s">
        <v>806</v>
      </c>
      <c r="CE322" t="s">
        <v>816</v>
      </c>
      <c r="CG322" t="s">
        <v>421</v>
      </c>
      <c r="CN322" t="str">
        <v>M45</v>
      </c>
      <c r="CO322" t="str">
        <v>1339-12C0007EN</v>
      </c>
      <c r="CP322" t="str">
        <v>GAOU7040650</v>
      </c>
      <c r="CQ322" s="23">
        <v>3186.2244999999998</v>
      </c>
      <c r="CR322" s="25">
        <f t="shared" si="13"/>
        <v>0.17390355907178209</v>
      </c>
      <c r="CS322" s="21">
        <f t="shared" si="14"/>
        <v>434.75889767945523</v>
      </c>
    </row>
    <row r="323" spans="2:97" x14ac:dyDescent="0.35">
      <c r="B323" t="s">
        <v>299</v>
      </c>
      <c r="C323" t="s">
        <v>1072</v>
      </c>
      <c r="D323" t="s">
        <v>395</v>
      </c>
      <c r="E323" t="s">
        <v>823</v>
      </c>
      <c r="F323" t="s">
        <v>396</v>
      </c>
      <c r="G323" t="s">
        <v>397</v>
      </c>
      <c r="H323" t="s">
        <v>398</v>
      </c>
      <c r="I323" t="s">
        <v>399</v>
      </c>
      <c r="J323" t="s">
        <v>749</v>
      </c>
      <c r="K323" t="s">
        <v>809</v>
      </c>
      <c r="L323" t="s">
        <v>787</v>
      </c>
      <c r="M323" t="s">
        <v>403</v>
      </c>
      <c r="N323">
        <v>1</v>
      </c>
      <c r="O323">
        <v>3</v>
      </c>
      <c r="P323" t="s">
        <v>1073</v>
      </c>
      <c r="Q323" t="s">
        <v>637</v>
      </c>
      <c r="R323" t="s">
        <v>811</v>
      </c>
      <c r="S323" t="s">
        <v>1074</v>
      </c>
      <c r="T323" t="s">
        <v>408</v>
      </c>
      <c r="U323">
        <v>50950081288</v>
      </c>
      <c r="W323">
        <v>480</v>
      </c>
      <c r="X323" t="s">
        <v>409</v>
      </c>
      <c r="Y323" t="s">
        <v>410</v>
      </c>
      <c r="Z323" t="s">
        <v>410</v>
      </c>
      <c r="AA323" t="s">
        <v>411</v>
      </c>
      <c r="AB323" t="s">
        <v>554</v>
      </c>
      <c r="AC323" t="s">
        <v>411</v>
      </c>
      <c r="AD323">
        <v>46088</v>
      </c>
      <c r="AE323">
        <v>46139</v>
      </c>
      <c r="AF323">
        <v>46099</v>
      </c>
      <c r="AG323" t="s">
        <v>754</v>
      </c>
      <c r="AH323">
        <v>6139626</v>
      </c>
      <c r="AI323">
        <v>46093</v>
      </c>
      <c r="AJ323">
        <v>46094</v>
      </c>
      <c r="AK323">
        <v>480</v>
      </c>
      <c r="AL323" t="s">
        <v>396</v>
      </c>
      <c r="AM323" t="s">
        <v>1603</v>
      </c>
      <c r="AN323">
        <v>46094</v>
      </c>
      <c r="AO323">
        <v>46094.437951388885</v>
      </c>
      <c r="AP323" t="s">
        <v>51</v>
      </c>
      <c r="AQ323">
        <v>2.0480299999999998</v>
      </c>
      <c r="AR323">
        <v>983.05</v>
      </c>
      <c r="AS323" t="s">
        <v>51</v>
      </c>
      <c r="AT323">
        <v>983.05</v>
      </c>
      <c r="AU323" t="s">
        <v>415</v>
      </c>
      <c r="AV323" t="s">
        <v>1420</v>
      </c>
      <c r="AW323" t="s">
        <v>1421</v>
      </c>
      <c r="AX323">
        <v>46099</v>
      </c>
      <c r="AY323">
        <v>46148</v>
      </c>
      <c r="AZ323" t="s">
        <v>1578</v>
      </c>
      <c r="BA323" t="s">
        <v>560</v>
      </c>
      <c r="BB323" t="s">
        <v>1579</v>
      </c>
      <c r="BC323">
        <v>16</v>
      </c>
      <c r="BD323" t="s">
        <v>521</v>
      </c>
      <c r="BE323">
        <v>5.8639999999999999</v>
      </c>
      <c r="BF323">
        <v>4.665</v>
      </c>
      <c r="BG323" t="s">
        <v>522</v>
      </c>
      <c r="BH323">
        <v>495</v>
      </c>
      <c r="BI323">
        <v>395</v>
      </c>
      <c r="BJ323">
        <v>190</v>
      </c>
      <c r="BK323">
        <v>30</v>
      </c>
      <c r="BL323" t="s">
        <v>521</v>
      </c>
      <c r="BM323">
        <v>202.9188</v>
      </c>
      <c r="BN323">
        <v>139.94880000000001</v>
      </c>
      <c r="BO323">
        <v>202.9188</v>
      </c>
      <c r="BP323" t="s">
        <v>522</v>
      </c>
      <c r="BQ323">
        <v>1200</v>
      </c>
      <c r="BR323">
        <v>1000</v>
      </c>
      <c r="BS323">
        <v>1120</v>
      </c>
      <c r="BT323">
        <v>1</v>
      </c>
      <c r="BU323">
        <v>0</v>
      </c>
      <c r="BV323">
        <v>1</v>
      </c>
      <c r="BW323">
        <v>30</v>
      </c>
      <c r="BX323">
        <v>0</v>
      </c>
      <c r="BY323">
        <v>30</v>
      </c>
      <c r="BZ323">
        <v>480</v>
      </c>
      <c r="CA323">
        <v>0</v>
      </c>
      <c r="CB323">
        <v>480</v>
      </c>
      <c r="CC323">
        <v>139.94880000000001</v>
      </c>
      <c r="CD323" t="s">
        <v>806</v>
      </c>
      <c r="CE323" t="s">
        <v>816</v>
      </c>
      <c r="CG323" t="s">
        <v>421</v>
      </c>
      <c r="CN323" t="str">
        <v>M45</v>
      </c>
      <c r="CO323" t="str">
        <v>1339-12C0008EN</v>
      </c>
      <c r="CP323" t="str">
        <v>GAOU7040650</v>
      </c>
      <c r="CQ323" s="23">
        <v>3192.2725</v>
      </c>
      <c r="CR323" s="25">
        <f t="shared" si="13"/>
        <v>0.1742336578219694</v>
      </c>
      <c r="CS323" s="21">
        <f t="shared" si="14"/>
        <v>435.58414455492351</v>
      </c>
    </row>
    <row r="324" spans="2:97" x14ac:dyDescent="0.35">
      <c r="B324" t="s">
        <v>299</v>
      </c>
      <c r="C324" t="s">
        <v>1403</v>
      </c>
      <c r="D324" t="s">
        <v>395</v>
      </c>
      <c r="E324" t="s">
        <v>395</v>
      </c>
      <c r="F324" t="s">
        <v>396</v>
      </c>
      <c r="G324" t="s">
        <v>397</v>
      </c>
      <c r="H324" t="s">
        <v>398</v>
      </c>
      <c r="I324" t="s">
        <v>399</v>
      </c>
      <c r="J324" t="s">
        <v>749</v>
      </c>
      <c r="K324" t="s">
        <v>809</v>
      </c>
      <c r="L324" t="s">
        <v>787</v>
      </c>
      <c r="M324" t="s">
        <v>403</v>
      </c>
      <c r="N324">
        <v>1</v>
      </c>
      <c r="O324">
        <v>3</v>
      </c>
      <c r="P324" t="s">
        <v>1171</v>
      </c>
      <c r="Q324" t="s">
        <v>424</v>
      </c>
      <c r="R324" t="s">
        <v>811</v>
      </c>
      <c r="S324" t="s">
        <v>1172</v>
      </c>
      <c r="T324" t="s">
        <v>408</v>
      </c>
      <c r="U324">
        <v>50950081404</v>
      </c>
      <c r="W324">
        <v>3840</v>
      </c>
      <c r="X324" t="s">
        <v>409</v>
      </c>
      <c r="Y324" t="s">
        <v>410</v>
      </c>
      <c r="Z324" t="s">
        <v>410</v>
      </c>
      <c r="AA324" t="s">
        <v>411</v>
      </c>
      <c r="AB324" t="s">
        <v>554</v>
      </c>
      <c r="AC324" t="s">
        <v>411</v>
      </c>
      <c r="AD324">
        <v>46081</v>
      </c>
      <c r="AE324">
        <v>46132</v>
      </c>
      <c r="AF324">
        <v>46099</v>
      </c>
      <c r="AG324" t="s">
        <v>754</v>
      </c>
      <c r="AH324">
        <v>6139627</v>
      </c>
      <c r="AI324">
        <v>46093</v>
      </c>
      <c r="AJ324">
        <v>46094</v>
      </c>
      <c r="AK324">
        <v>3840</v>
      </c>
      <c r="AL324" t="s">
        <v>396</v>
      </c>
      <c r="AM324" t="s">
        <v>1604</v>
      </c>
      <c r="AN324">
        <v>46094</v>
      </c>
      <c r="AO324">
        <v>46094.437951388885</v>
      </c>
      <c r="AP324" t="s">
        <v>51</v>
      </c>
      <c r="AQ324">
        <v>2.2482600000000001</v>
      </c>
      <c r="AR324">
        <v>8633.2800000000007</v>
      </c>
      <c r="AS324" t="s">
        <v>51</v>
      </c>
      <c r="AT324">
        <v>8633.2800000000007</v>
      </c>
      <c r="AU324" t="s">
        <v>415</v>
      </c>
      <c r="AV324" t="s">
        <v>1420</v>
      </c>
      <c r="AW324" t="s">
        <v>1421</v>
      </c>
      <c r="AX324">
        <v>46099</v>
      </c>
      <c r="AY324">
        <v>46148</v>
      </c>
      <c r="AZ324" t="s">
        <v>1578</v>
      </c>
      <c r="BA324" t="s">
        <v>560</v>
      </c>
      <c r="BB324" t="s">
        <v>1579</v>
      </c>
      <c r="BC324">
        <v>16</v>
      </c>
      <c r="BD324" t="s">
        <v>521</v>
      </c>
      <c r="BE324">
        <v>6.3556999999999997</v>
      </c>
      <c r="BF324">
        <v>5.1566999999999998</v>
      </c>
      <c r="BG324" t="s">
        <v>522</v>
      </c>
      <c r="BH324">
        <v>495</v>
      </c>
      <c r="BI324">
        <v>395</v>
      </c>
      <c r="BJ324">
        <v>190</v>
      </c>
      <c r="BK324">
        <v>30</v>
      </c>
      <c r="BL324" t="s">
        <v>521</v>
      </c>
      <c r="BM324">
        <v>217.67099999999999</v>
      </c>
      <c r="BN324">
        <v>154.70099999999999</v>
      </c>
      <c r="BO324">
        <v>1741.3612800000001</v>
      </c>
      <c r="BP324" t="s">
        <v>522</v>
      </c>
      <c r="BQ324">
        <v>1200</v>
      </c>
      <c r="BR324">
        <v>1000</v>
      </c>
      <c r="BS324">
        <v>1120</v>
      </c>
      <c r="BT324">
        <v>8</v>
      </c>
      <c r="BU324">
        <v>0</v>
      </c>
      <c r="BV324">
        <v>8</v>
      </c>
      <c r="BW324">
        <v>240</v>
      </c>
      <c r="BX324">
        <v>0</v>
      </c>
      <c r="BY324">
        <v>240</v>
      </c>
      <c r="BZ324">
        <v>3840</v>
      </c>
      <c r="CA324">
        <v>0</v>
      </c>
      <c r="CB324">
        <v>3840</v>
      </c>
      <c r="CC324">
        <v>1237.6012800000001</v>
      </c>
      <c r="CD324" t="s">
        <v>806</v>
      </c>
      <c r="CE324" t="s">
        <v>816</v>
      </c>
      <c r="CG324" t="s">
        <v>421</v>
      </c>
      <c r="CN324" t="str">
        <v>M19</v>
      </c>
      <c r="CO324" t="str">
        <v>1330-5YY0251EN</v>
      </c>
      <c r="CP324" t="str">
        <v>GAOU7040650</v>
      </c>
      <c r="CQ324" s="23">
        <v>653.01048000000003</v>
      </c>
      <c r="CR324" s="25">
        <f t="shared" si="13"/>
        <v>3.5641194329895078E-2</v>
      </c>
      <c r="CS324" s="21">
        <f t="shared" si="14"/>
        <v>89.102985824737701</v>
      </c>
    </row>
    <row r="325" spans="2:97" x14ac:dyDescent="0.35">
      <c r="B325" t="s">
        <v>299</v>
      </c>
      <c r="C325" t="s">
        <v>1553</v>
      </c>
      <c r="D325" t="s">
        <v>395</v>
      </c>
      <c r="E325" t="s">
        <v>395</v>
      </c>
      <c r="F325" t="s">
        <v>396</v>
      </c>
      <c r="G325" t="s">
        <v>397</v>
      </c>
      <c r="H325" t="s">
        <v>398</v>
      </c>
      <c r="I325" t="s">
        <v>399</v>
      </c>
      <c r="J325" t="s">
        <v>749</v>
      </c>
      <c r="K325" t="s">
        <v>809</v>
      </c>
      <c r="L325" t="s">
        <v>787</v>
      </c>
      <c r="M325" t="s">
        <v>403</v>
      </c>
      <c r="N325">
        <v>1</v>
      </c>
      <c r="O325">
        <v>2</v>
      </c>
      <c r="P325" t="s">
        <v>1171</v>
      </c>
      <c r="Q325" t="s">
        <v>424</v>
      </c>
      <c r="R325" t="s">
        <v>811</v>
      </c>
      <c r="S325" t="s">
        <v>1172</v>
      </c>
      <c r="T325" t="s">
        <v>408</v>
      </c>
      <c r="U325">
        <v>50950081407</v>
      </c>
      <c r="W325">
        <v>1920</v>
      </c>
      <c r="X325" t="s">
        <v>409</v>
      </c>
      <c r="Y325" t="s">
        <v>410</v>
      </c>
      <c r="Z325" t="s">
        <v>410</v>
      </c>
      <c r="AA325" t="s">
        <v>411</v>
      </c>
      <c r="AB325" t="s">
        <v>554</v>
      </c>
      <c r="AC325" t="s">
        <v>411</v>
      </c>
      <c r="AD325">
        <v>46088</v>
      </c>
      <c r="AE325">
        <v>46146</v>
      </c>
      <c r="AF325">
        <v>46099</v>
      </c>
      <c r="AG325" t="s">
        <v>754</v>
      </c>
      <c r="AH325">
        <v>6139628</v>
      </c>
      <c r="AI325">
        <v>46093</v>
      </c>
      <c r="AJ325">
        <v>46094</v>
      </c>
      <c r="AK325">
        <v>1920</v>
      </c>
      <c r="AL325" t="s">
        <v>396</v>
      </c>
      <c r="AM325" t="s">
        <v>1605</v>
      </c>
      <c r="AN325">
        <v>46094</v>
      </c>
      <c r="AO325">
        <v>46094.437951388885</v>
      </c>
      <c r="AP325" t="s">
        <v>51</v>
      </c>
      <c r="AQ325">
        <v>2.2482600000000001</v>
      </c>
      <c r="AR325">
        <v>4316.6400000000003</v>
      </c>
      <c r="AS325" t="s">
        <v>51</v>
      </c>
      <c r="AT325">
        <v>4316.6400000000003</v>
      </c>
      <c r="AU325" t="s">
        <v>415</v>
      </c>
      <c r="AV325" t="s">
        <v>1420</v>
      </c>
      <c r="AW325" t="s">
        <v>1421</v>
      </c>
      <c r="AX325">
        <v>46099</v>
      </c>
      <c r="AY325">
        <v>46148</v>
      </c>
      <c r="AZ325" t="s">
        <v>1578</v>
      </c>
      <c r="BA325" t="s">
        <v>560</v>
      </c>
      <c r="BB325" t="s">
        <v>1579</v>
      </c>
      <c r="BC325">
        <v>16</v>
      </c>
      <c r="BD325" t="s">
        <v>521</v>
      </c>
      <c r="BE325">
        <v>6.3556999999999997</v>
      </c>
      <c r="BF325">
        <v>5.1566999999999998</v>
      </c>
      <c r="BG325" t="s">
        <v>522</v>
      </c>
      <c r="BH325">
        <v>495</v>
      </c>
      <c r="BI325">
        <v>395</v>
      </c>
      <c r="BJ325">
        <v>190</v>
      </c>
      <c r="BK325">
        <v>30</v>
      </c>
      <c r="BL325" t="s">
        <v>521</v>
      </c>
      <c r="BM325">
        <v>217.67099999999999</v>
      </c>
      <c r="BN325">
        <v>154.70099999999999</v>
      </c>
      <c r="BO325">
        <v>870.68064000000004</v>
      </c>
      <c r="BP325" t="s">
        <v>522</v>
      </c>
      <c r="BQ325">
        <v>1200</v>
      </c>
      <c r="BR325">
        <v>1000</v>
      </c>
      <c r="BS325">
        <v>1120</v>
      </c>
      <c r="BT325">
        <v>4</v>
      </c>
      <c r="BU325">
        <v>0</v>
      </c>
      <c r="BV325">
        <v>4</v>
      </c>
      <c r="BW325">
        <v>120</v>
      </c>
      <c r="BX325">
        <v>0</v>
      </c>
      <c r="BY325">
        <v>120</v>
      </c>
      <c r="BZ325">
        <v>1920</v>
      </c>
      <c r="CA325">
        <v>0</v>
      </c>
      <c r="CB325">
        <v>1920</v>
      </c>
      <c r="CC325">
        <v>618.80064000000004</v>
      </c>
      <c r="CD325" t="s">
        <v>806</v>
      </c>
      <c r="CE325" t="s">
        <v>816</v>
      </c>
      <c r="CG325" t="s">
        <v>421</v>
      </c>
      <c r="CN325" t="str">
        <v>M23</v>
      </c>
      <c r="CO325" t="str">
        <v>1346-1120062EN</v>
      </c>
      <c r="CP325" t="str">
        <v>JXLU4392928</v>
      </c>
      <c r="CQ325" s="23">
        <v>185.67</v>
      </c>
      <c r="CR325" s="25">
        <f t="shared" si="13"/>
        <v>1.8209834205711924E-2</v>
      </c>
      <c r="CS325" s="21">
        <f t="shared" si="14"/>
        <v>45.524585514279813</v>
      </c>
    </row>
    <row r="326" spans="2:97" x14ac:dyDescent="0.35">
      <c r="B326" t="s">
        <v>296</v>
      </c>
      <c r="C326" t="s">
        <v>1557</v>
      </c>
      <c r="D326" t="s">
        <v>395</v>
      </c>
      <c r="E326" t="s">
        <v>395</v>
      </c>
      <c r="F326" t="s">
        <v>396</v>
      </c>
      <c r="G326" t="s">
        <v>397</v>
      </c>
      <c r="H326" t="s">
        <v>398</v>
      </c>
      <c r="I326" t="s">
        <v>399</v>
      </c>
      <c r="J326" t="s">
        <v>749</v>
      </c>
      <c r="K326" t="s">
        <v>1142</v>
      </c>
      <c r="L326" t="s">
        <v>787</v>
      </c>
      <c r="M326" t="s">
        <v>403</v>
      </c>
      <c r="N326">
        <v>1</v>
      </c>
      <c r="O326">
        <v>2</v>
      </c>
      <c r="P326" t="s">
        <v>1163</v>
      </c>
      <c r="Q326" t="s">
        <v>430</v>
      </c>
      <c r="R326" t="s">
        <v>1164</v>
      </c>
      <c r="S326" t="s">
        <v>1165</v>
      </c>
      <c r="T326" t="s">
        <v>408</v>
      </c>
      <c r="U326">
        <v>50950081429</v>
      </c>
      <c r="W326">
        <v>7560</v>
      </c>
      <c r="X326" t="s">
        <v>409</v>
      </c>
      <c r="Y326" t="s">
        <v>410</v>
      </c>
      <c r="Z326" t="s">
        <v>410</v>
      </c>
      <c r="AA326" t="s">
        <v>411</v>
      </c>
      <c r="AB326" t="s">
        <v>554</v>
      </c>
      <c r="AC326" t="s">
        <v>411</v>
      </c>
      <c r="AD326">
        <v>46088</v>
      </c>
      <c r="AE326">
        <v>46160</v>
      </c>
      <c r="AF326">
        <v>46099</v>
      </c>
      <c r="AG326" t="s">
        <v>754</v>
      </c>
      <c r="AH326">
        <v>6139629</v>
      </c>
      <c r="AI326">
        <v>46093</v>
      </c>
      <c r="AJ326">
        <v>46094</v>
      </c>
      <c r="AK326">
        <v>7560</v>
      </c>
      <c r="AL326" t="s">
        <v>396</v>
      </c>
      <c r="AM326" t="s">
        <v>1606</v>
      </c>
      <c r="AN326">
        <v>46094</v>
      </c>
      <c r="AO326">
        <v>46094.437951388885</v>
      </c>
      <c r="AP326" t="s">
        <v>51</v>
      </c>
      <c r="AQ326">
        <v>0.11984</v>
      </c>
      <c r="AR326">
        <v>905.99</v>
      </c>
      <c r="AS326" t="s">
        <v>51</v>
      </c>
      <c r="AT326">
        <v>905.99</v>
      </c>
      <c r="AU326" t="s">
        <v>415</v>
      </c>
      <c r="AV326" t="s">
        <v>1420</v>
      </c>
      <c r="AW326" t="s">
        <v>1421</v>
      </c>
      <c r="AX326">
        <v>46099</v>
      </c>
      <c r="AY326">
        <v>46148</v>
      </c>
      <c r="AZ326" t="s">
        <v>1578</v>
      </c>
      <c r="BA326" t="s">
        <v>560</v>
      </c>
      <c r="BB326" t="s">
        <v>1579</v>
      </c>
      <c r="BC326">
        <v>7560</v>
      </c>
      <c r="BD326" t="s">
        <v>521</v>
      </c>
      <c r="BE326">
        <v>637.24480000000005</v>
      </c>
      <c r="BF326">
        <v>616.74480000000005</v>
      </c>
      <c r="BG326" t="s">
        <v>522</v>
      </c>
      <c r="BH326">
        <v>1050</v>
      </c>
      <c r="BI326">
        <v>480</v>
      </c>
      <c r="BJ326">
        <v>460</v>
      </c>
      <c r="BK326">
        <v>1</v>
      </c>
      <c r="BL326" t="s">
        <v>521</v>
      </c>
      <c r="BM326">
        <v>637.24490000000003</v>
      </c>
      <c r="BN326">
        <v>616.74480000000005</v>
      </c>
      <c r="BO326">
        <v>637.24490000000003</v>
      </c>
      <c r="BP326" t="s">
        <v>522</v>
      </c>
      <c r="BQ326">
        <v>1050</v>
      </c>
      <c r="BR326">
        <v>480</v>
      </c>
      <c r="BS326">
        <v>480</v>
      </c>
      <c r="BT326">
        <v>1</v>
      </c>
      <c r="BU326">
        <v>0</v>
      </c>
      <c r="BV326">
        <v>1</v>
      </c>
      <c r="BW326">
        <v>1</v>
      </c>
      <c r="BX326">
        <v>0</v>
      </c>
      <c r="BY326">
        <v>1</v>
      </c>
      <c r="BZ326">
        <v>7560</v>
      </c>
      <c r="CA326">
        <v>0</v>
      </c>
      <c r="CB326">
        <v>7560</v>
      </c>
      <c r="CC326">
        <v>616.74480000000005</v>
      </c>
      <c r="CD326" t="s">
        <v>641</v>
      </c>
      <c r="CE326" t="s">
        <v>1147</v>
      </c>
      <c r="CG326" t="s">
        <v>421</v>
      </c>
      <c r="CN326" t="str">
        <v>M23</v>
      </c>
      <c r="CO326" t="str">
        <v>1301-1120169EN</v>
      </c>
      <c r="CP326" t="str">
        <v>JXLU4392928</v>
      </c>
      <c r="CQ326" s="23">
        <v>161.55359999999999</v>
      </c>
      <c r="CR326" s="25">
        <f t="shared" ref="CR326:CR389" si="15">IFERROR(CQ326/(SUMIFS(CQ:CQ,CP:CP,CP326)),100%)</f>
        <v>1.584458593922498E-2</v>
      </c>
      <c r="CS326" s="21">
        <f t="shared" si="14"/>
        <v>39.611464848062454</v>
      </c>
    </row>
    <row r="327" spans="2:97" x14ac:dyDescent="0.35">
      <c r="B327" t="s">
        <v>296</v>
      </c>
      <c r="C327" t="s">
        <v>1409</v>
      </c>
      <c r="D327" t="s">
        <v>395</v>
      </c>
      <c r="E327" t="s">
        <v>395</v>
      </c>
      <c r="F327" t="s">
        <v>396</v>
      </c>
      <c r="G327" t="s">
        <v>397</v>
      </c>
      <c r="H327" t="s">
        <v>398</v>
      </c>
      <c r="I327" t="s">
        <v>399</v>
      </c>
      <c r="J327" t="s">
        <v>749</v>
      </c>
      <c r="K327" t="s">
        <v>1142</v>
      </c>
      <c r="L327" t="s">
        <v>787</v>
      </c>
      <c r="M327" t="s">
        <v>403</v>
      </c>
      <c r="N327">
        <v>1</v>
      </c>
      <c r="O327">
        <v>2</v>
      </c>
      <c r="P327" t="s">
        <v>1158</v>
      </c>
      <c r="Q327" t="s">
        <v>405</v>
      </c>
      <c r="R327" t="s">
        <v>1159</v>
      </c>
      <c r="S327" t="s">
        <v>1160</v>
      </c>
      <c r="T327" t="s">
        <v>408</v>
      </c>
      <c r="U327">
        <v>50950081482</v>
      </c>
      <c r="W327">
        <v>45360</v>
      </c>
      <c r="X327" t="s">
        <v>409</v>
      </c>
      <c r="Y327" t="s">
        <v>410</v>
      </c>
      <c r="Z327" t="s">
        <v>410</v>
      </c>
      <c r="AA327" t="s">
        <v>411</v>
      </c>
      <c r="AB327" t="s">
        <v>554</v>
      </c>
      <c r="AC327" t="s">
        <v>411</v>
      </c>
      <c r="AD327">
        <v>46088</v>
      </c>
      <c r="AE327">
        <v>46160</v>
      </c>
      <c r="AF327">
        <v>46099</v>
      </c>
      <c r="AG327" t="s">
        <v>754</v>
      </c>
      <c r="AH327">
        <v>6139630</v>
      </c>
      <c r="AI327">
        <v>46093</v>
      </c>
      <c r="AJ327">
        <v>46094</v>
      </c>
      <c r="AK327">
        <v>45360</v>
      </c>
      <c r="AL327" t="s">
        <v>396</v>
      </c>
      <c r="AM327" t="s">
        <v>1607</v>
      </c>
      <c r="AN327">
        <v>46094</v>
      </c>
      <c r="AO327">
        <v>46094.437951388885</v>
      </c>
      <c r="AP327" t="s">
        <v>51</v>
      </c>
      <c r="AQ327">
        <v>7.1290000000000006E-2</v>
      </c>
      <c r="AR327">
        <v>3233.7</v>
      </c>
      <c r="AS327" t="s">
        <v>51</v>
      </c>
      <c r="AT327">
        <v>3233.7</v>
      </c>
      <c r="AU327" t="s">
        <v>415</v>
      </c>
      <c r="AV327" t="s">
        <v>1420</v>
      </c>
      <c r="AW327" t="s">
        <v>1421</v>
      </c>
      <c r="AX327">
        <v>46099</v>
      </c>
      <c r="AY327">
        <v>46148</v>
      </c>
      <c r="AZ327" t="s">
        <v>1578</v>
      </c>
      <c r="BA327" t="s">
        <v>560</v>
      </c>
      <c r="BB327" t="s">
        <v>1579</v>
      </c>
      <c r="BC327">
        <v>15120</v>
      </c>
      <c r="BD327" t="s">
        <v>521</v>
      </c>
      <c r="BE327">
        <v>659.16880000000003</v>
      </c>
      <c r="BF327">
        <v>638.66880000000003</v>
      </c>
      <c r="BG327" t="s">
        <v>522</v>
      </c>
      <c r="BH327">
        <v>1050</v>
      </c>
      <c r="BI327">
        <v>480</v>
      </c>
      <c r="BJ327">
        <v>460</v>
      </c>
      <c r="BK327">
        <v>1</v>
      </c>
      <c r="BL327" t="s">
        <v>521</v>
      </c>
      <c r="BM327">
        <v>659.16890000000001</v>
      </c>
      <c r="BN327">
        <v>638.66880000000003</v>
      </c>
      <c r="BO327">
        <v>1977.5066999999999</v>
      </c>
      <c r="BP327" t="s">
        <v>522</v>
      </c>
      <c r="BQ327">
        <v>1050</v>
      </c>
      <c r="BR327">
        <v>480</v>
      </c>
      <c r="BS327">
        <v>480</v>
      </c>
      <c r="BT327">
        <v>3</v>
      </c>
      <c r="BU327">
        <v>0</v>
      </c>
      <c r="BV327">
        <v>3</v>
      </c>
      <c r="BW327">
        <v>3</v>
      </c>
      <c r="BX327">
        <v>0</v>
      </c>
      <c r="BY327">
        <v>3</v>
      </c>
      <c r="BZ327">
        <v>45360</v>
      </c>
      <c r="CA327">
        <v>0</v>
      </c>
      <c r="CB327">
        <v>45360</v>
      </c>
      <c r="CC327">
        <v>1916.0064</v>
      </c>
      <c r="CD327" t="s">
        <v>641</v>
      </c>
      <c r="CE327" t="s">
        <v>1147</v>
      </c>
      <c r="CG327" t="s">
        <v>421</v>
      </c>
      <c r="CN327" t="str">
        <v>M23</v>
      </c>
      <c r="CO327" t="str">
        <v>1301-1120169EN</v>
      </c>
      <c r="CP327" t="str">
        <v>JXLU4392928</v>
      </c>
      <c r="CQ327" s="23">
        <v>646.21439999999996</v>
      </c>
      <c r="CR327" s="25">
        <f t="shared" si="15"/>
        <v>6.3378343756899921E-2</v>
      </c>
      <c r="CS327" s="21">
        <f t="shared" ref="CS327:CS390" si="16">CR327*$CS$2</f>
        <v>158.44585939224982</v>
      </c>
    </row>
    <row r="328" spans="2:97" x14ac:dyDescent="0.35">
      <c r="B328" t="s">
        <v>299</v>
      </c>
      <c r="C328" t="s">
        <v>1608</v>
      </c>
      <c r="D328" t="s">
        <v>395</v>
      </c>
      <c r="E328" t="s">
        <v>395</v>
      </c>
      <c r="F328" t="s">
        <v>396</v>
      </c>
      <c r="G328" t="s">
        <v>397</v>
      </c>
      <c r="H328" t="s">
        <v>398</v>
      </c>
      <c r="I328" t="s">
        <v>399</v>
      </c>
      <c r="J328" t="s">
        <v>749</v>
      </c>
      <c r="K328" t="s">
        <v>809</v>
      </c>
      <c r="L328" t="s">
        <v>750</v>
      </c>
      <c r="M328" t="s">
        <v>751</v>
      </c>
      <c r="N328">
        <v>1</v>
      </c>
      <c r="O328">
        <v>1</v>
      </c>
      <c r="P328" t="s">
        <v>1609</v>
      </c>
      <c r="Q328" t="s">
        <v>1610</v>
      </c>
      <c r="R328" t="s">
        <v>1509</v>
      </c>
      <c r="S328" t="s">
        <v>1611</v>
      </c>
      <c r="T328" t="s">
        <v>408</v>
      </c>
      <c r="U328">
        <v>50950082368</v>
      </c>
      <c r="W328">
        <v>1008</v>
      </c>
      <c r="X328" t="s">
        <v>448</v>
      </c>
      <c r="Y328" t="s">
        <v>410</v>
      </c>
      <c r="Z328" t="s">
        <v>410</v>
      </c>
      <c r="AA328" t="s">
        <v>411</v>
      </c>
      <c r="AB328" t="s">
        <v>412</v>
      </c>
      <c r="AC328" t="s">
        <v>411</v>
      </c>
      <c r="AD328">
        <v>46087</v>
      </c>
      <c r="AE328">
        <v>46160</v>
      </c>
      <c r="AF328">
        <v>46097</v>
      </c>
      <c r="AG328" t="s">
        <v>754</v>
      </c>
      <c r="AH328">
        <v>6139165</v>
      </c>
      <c r="AI328">
        <v>46093</v>
      </c>
      <c r="AJ328">
        <v>46094</v>
      </c>
      <c r="AK328">
        <v>1008</v>
      </c>
      <c r="AL328" t="s">
        <v>396</v>
      </c>
      <c r="AM328" t="s">
        <v>1612</v>
      </c>
      <c r="AN328">
        <v>46094</v>
      </c>
      <c r="AO328">
        <v>46094.402442129627</v>
      </c>
      <c r="AP328" t="s">
        <v>51</v>
      </c>
      <c r="AQ328">
        <v>1.0408900000000001</v>
      </c>
      <c r="AR328">
        <v>1049.22</v>
      </c>
      <c r="AS328" t="s">
        <v>51</v>
      </c>
      <c r="AT328">
        <v>1049.22</v>
      </c>
      <c r="AU328" t="s">
        <v>450</v>
      </c>
      <c r="AV328" t="s">
        <v>1597</v>
      </c>
      <c r="AW328" t="s">
        <v>1613</v>
      </c>
      <c r="AX328">
        <v>46097</v>
      </c>
      <c r="AY328">
        <v>46104</v>
      </c>
      <c r="BA328" t="s">
        <v>448</v>
      </c>
      <c r="BB328" t="s">
        <v>1614</v>
      </c>
      <c r="BC328">
        <v>24</v>
      </c>
      <c r="BD328" t="s">
        <v>521</v>
      </c>
      <c r="BE328">
        <v>4.6843000000000004</v>
      </c>
      <c r="BF328">
        <v>3.2242999999999999</v>
      </c>
      <c r="BG328" t="s">
        <v>522</v>
      </c>
      <c r="BH328">
        <v>495</v>
      </c>
      <c r="BI328">
        <v>395</v>
      </c>
      <c r="BJ328">
        <v>190</v>
      </c>
      <c r="BK328">
        <v>30</v>
      </c>
      <c r="BL328" t="s">
        <v>521</v>
      </c>
      <c r="BM328">
        <v>167.529</v>
      </c>
      <c r="BN328">
        <v>96.728999999999999</v>
      </c>
      <c r="BO328">
        <v>250.73975999999999</v>
      </c>
      <c r="BP328" t="s">
        <v>522</v>
      </c>
      <c r="BQ328">
        <v>1200</v>
      </c>
      <c r="BR328">
        <v>1000</v>
      </c>
      <c r="BS328">
        <v>1120</v>
      </c>
      <c r="BT328">
        <v>1</v>
      </c>
      <c r="BU328">
        <v>1</v>
      </c>
      <c r="BV328">
        <v>2</v>
      </c>
      <c r="BW328">
        <v>42</v>
      </c>
      <c r="BX328">
        <v>0</v>
      </c>
      <c r="BY328">
        <v>42</v>
      </c>
      <c r="BZ328">
        <v>720</v>
      </c>
      <c r="CA328">
        <v>288</v>
      </c>
      <c r="CB328">
        <v>1008</v>
      </c>
      <c r="CC328">
        <v>135.41976</v>
      </c>
      <c r="CD328" t="s">
        <v>806</v>
      </c>
      <c r="CE328" t="s">
        <v>821</v>
      </c>
      <c r="CG328" t="s">
        <v>421</v>
      </c>
      <c r="CN328" t="str">
        <v>M45</v>
      </c>
      <c r="CO328" t="str">
        <v>1301-12C0022EN</v>
      </c>
      <c r="CP328" t="str">
        <v>JXLU4392928</v>
      </c>
      <c r="CQ328" s="23">
        <v>1692.944</v>
      </c>
      <c r="CR328" s="25">
        <f t="shared" si="15"/>
        <v>0.16603775278480515</v>
      </c>
      <c r="CS328" s="21">
        <f t="shared" si="16"/>
        <v>415.09438196201285</v>
      </c>
    </row>
    <row r="329" spans="2:97" x14ac:dyDescent="0.35">
      <c r="B329" s="34" t="s">
        <v>3496</v>
      </c>
      <c r="C329" t="s">
        <v>1615</v>
      </c>
      <c r="D329" t="s">
        <v>1616</v>
      </c>
      <c r="E329" t="s">
        <v>395</v>
      </c>
      <c r="F329" t="s">
        <v>396</v>
      </c>
      <c r="G329" t="s">
        <v>397</v>
      </c>
      <c r="H329" t="s">
        <v>1617</v>
      </c>
      <c r="I329" t="s">
        <v>399</v>
      </c>
      <c r="J329" t="s">
        <v>749</v>
      </c>
      <c r="K329" t="s">
        <v>471</v>
      </c>
      <c r="L329" t="s">
        <v>1618</v>
      </c>
      <c r="M329" t="s">
        <v>1619</v>
      </c>
      <c r="N329">
        <v>1</v>
      </c>
      <c r="O329">
        <v>1</v>
      </c>
      <c r="P329" t="s">
        <v>1620</v>
      </c>
      <c r="R329" t="s">
        <v>528</v>
      </c>
      <c r="S329" t="s">
        <v>1621</v>
      </c>
      <c r="T329" t="s">
        <v>408</v>
      </c>
      <c r="U329" t="s">
        <v>1622</v>
      </c>
      <c r="V329" t="s">
        <v>1623</v>
      </c>
      <c r="W329">
        <v>1</v>
      </c>
      <c r="X329" t="s">
        <v>409</v>
      </c>
      <c r="Y329" t="s">
        <v>410</v>
      </c>
      <c r="Z329" t="s">
        <v>410</v>
      </c>
      <c r="AB329" t="s">
        <v>554</v>
      </c>
      <c r="AC329" t="s">
        <v>411</v>
      </c>
      <c r="AD329">
        <v>46108</v>
      </c>
      <c r="AE329">
        <v>46108</v>
      </c>
      <c r="AF329">
        <v>46108</v>
      </c>
      <c r="AH329" t="s">
        <v>1624</v>
      </c>
      <c r="AI329">
        <v>46094</v>
      </c>
      <c r="AJ329">
        <v>46094</v>
      </c>
      <c r="AK329">
        <v>1</v>
      </c>
      <c r="AL329" t="s">
        <v>396</v>
      </c>
      <c r="AM329" t="s">
        <v>1625</v>
      </c>
      <c r="AN329">
        <v>46094</v>
      </c>
      <c r="AO329">
        <v>46094.626296296294</v>
      </c>
      <c r="AP329" t="s">
        <v>51</v>
      </c>
      <c r="AQ329">
        <v>200906.17</v>
      </c>
      <c r="AR329">
        <v>200906.17</v>
      </c>
      <c r="AS329" t="s">
        <v>51</v>
      </c>
      <c r="AT329">
        <v>200906.17</v>
      </c>
      <c r="AU329" t="s">
        <v>415</v>
      </c>
      <c r="AV329" t="s">
        <v>772</v>
      </c>
      <c r="AW329" t="s">
        <v>1626</v>
      </c>
      <c r="AX329">
        <v>46091</v>
      </c>
      <c r="AZ329" t="s">
        <v>1627</v>
      </c>
      <c r="BA329" t="s">
        <v>419</v>
      </c>
      <c r="BB329">
        <v>22145288</v>
      </c>
      <c r="CG329" t="s">
        <v>421</v>
      </c>
      <c r="CN329" t="str">
        <v>M45</v>
      </c>
      <c r="CO329" t="str">
        <v>1346-12C0011EN</v>
      </c>
      <c r="CP329" t="str">
        <v>JXLU4392928</v>
      </c>
      <c r="CQ329" s="23">
        <v>315.0188</v>
      </c>
      <c r="CR329" s="25">
        <f t="shared" si="15"/>
        <v>3.0895891203114798E-2</v>
      </c>
      <c r="CS329" s="21">
        <f t="shared" si="16"/>
        <v>77.239728007786994</v>
      </c>
    </row>
    <row r="330" spans="2:97" x14ac:dyDescent="0.35">
      <c r="B330" s="34" t="s">
        <v>3496</v>
      </c>
      <c r="C330" t="s">
        <v>1615</v>
      </c>
      <c r="D330" t="s">
        <v>1616</v>
      </c>
      <c r="E330" t="s">
        <v>395</v>
      </c>
      <c r="F330" t="s">
        <v>396</v>
      </c>
      <c r="G330" t="s">
        <v>397</v>
      </c>
      <c r="H330" t="s">
        <v>1617</v>
      </c>
      <c r="I330" t="s">
        <v>399</v>
      </c>
      <c r="J330" t="s">
        <v>749</v>
      </c>
      <c r="K330" t="s">
        <v>471</v>
      </c>
      <c r="L330" t="s">
        <v>1618</v>
      </c>
      <c r="M330" t="s">
        <v>1619</v>
      </c>
      <c r="N330">
        <v>2</v>
      </c>
      <c r="O330">
        <v>1</v>
      </c>
      <c r="P330" t="s">
        <v>1620</v>
      </c>
      <c r="R330" t="s">
        <v>528</v>
      </c>
      <c r="S330" t="s">
        <v>1621</v>
      </c>
      <c r="T330" t="s">
        <v>408</v>
      </c>
      <c r="U330" t="s">
        <v>1628</v>
      </c>
      <c r="V330" t="s">
        <v>1623</v>
      </c>
      <c r="W330">
        <v>1</v>
      </c>
      <c r="X330" t="s">
        <v>409</v>
      </c>
      <c r="Y330" t="s">
        <v>410</v>
      </c>
      <c r="Z330" t="s">
        <v>410</v>
      </c>
      <c r="AB330" t="s">
        <v>554</v>
      </c>
      <c r="AC330" t="s">
        <v>411</v>
      </c>
      <c r="AD330">
        <v>46108</v>
      </c>
      <c r="AE330">
        <v>46108</v>
      </c>
      <c r="AF330">
        <v>46108</v>
      </c>
      <c r="AH330" t="s">
        <v>1629</v>
      </c>
      <c r="AI330">
        <v>46094</v>
      </c>
      <c r="AJ330">
        <v>46094</v>
      </c>
      <c r="AK330">
        <v>1</v>
      </c>
      <c r="AL330" t="s">
        <v>396</v>
      </c>
      <c r="AM330" t="s">
        <v>1630</v>
      </c>
      <c r="AN330">
        <v>46094</v>
      </c>
      <c r="AO330">
        <v>46094.626296296294</v>
      </c>
      <c r="AP330" t="s">
        <v>51</v>
      </c>
      <c r="AQ330">
        <v>75023.22</v>
      </c>
      <c r="AR330">
        <v>75023.22</v>
      </c>
      <c r="AS330" t="s">
        <v>51</v>
      </c>
      <c r="AT330">
        <v>75023.22</v>
      </c>
      <c r="AU330" t="s">
        <v>415</v>
      </c>
      <c r="AV330" t="s">
        <v>772</v>
      </c>
      <c r="AW330" t="s">
        <v>1626</v>
      </c>
      <c r="AX330">
        <v>46091</v>
      </c>
      <c r="AZ330" t="s">
        <v>1631</v>
      </c>
      <c r="BA330" t="s">
        <v>419</v>
      </c>
      <c r="BB330">
        <v>22145339</v>
      </c>
      <c r="CG330" t="s">
        <v>421</v>
      </c>
      <c r="CN330" t="str">
        <v>M19</v>
      </c>
      <c r="CO330" t="str">
        <v>1330-5YY0183EN</v>
      </c>
      <c r="CP330" t="str">
        <v>JXLU4392928</v>
      </c>
      <c r="CQ330" s="23">
        <v>1030.7904000000001</v>
      </c>
      <c r="CR330" s="25">
        <f t="shared" si="15"/>
        <v>0.10109615061582097</v>
      </c>
      <c r="CS330" s="21">
        <f t="shared" si="16"/>
        <v>252.74037653955244</v>
      </c>
    </row>
    <row r="331" spans="2:97" x14ac:dyDescent="0.35">
      <c r="B331" s="34" t="s">
        <v>3496</v>
      </c>
      <c r="C331" t="s">
        <v>1615</v>
      </c>
      <c r="D331" t="s">
        <v>1616</v>
      </c>
      <c r="E331" t="s">
        <v>395</v>
      </c>
      <c r="F331" t="s">
        <v>396</v>
      </c>
      <c r="G331" t="s">
        <v>397</v>
      </c>
      <c r="H331" t="s">
        <v>1617</v>
      </c>
      <c r="I331" t="s">
        <v>399</v>
      </c>
      <c r="J331" t="s">
        <v>749</v>
      </c>
      <c r="K331" t="s">
        <v>471</v>
      </c>
      <c r="L331" t="s">
        <v>1618</v>
      </c>
      <c r="M331" t="s">
        <v>1619</v>
      </c>
      <c r="N331">
        <v>3</v>
      </c>
      <c r="O331">
        <v>1</v>
      </c>
      <c r="P331" t="s">
        <v>1620</v>
      </c>
      <c r="R331" t="s">
        <v>528</v>
      </c>
      <c r="S331" t="s">
        <v>1621</v>
      </c>
      <c r="T331" t="s">
        <v>408</v>
      </c>
      <c r="U331" t="s">
        <v>1632</v>
      </c>
      <c r="V331" t="s">
        <v>1623</v>
      </c>
      <c r="W331">
        <v>1</v>
      </c>
      <c r="X331" t="s">
        <v>409</v>
      </c>
      <c r="Y331" t="s">
        <v>410</v>
      </c>
      <c r="Z331" t="s">
        <v>410</v>
      </c>
      <c r="AB331" t="s">
        <v>554</v>
      </c>
      <c r="AC331" t="s">
        <v>411</v>
      </c>
      <c r="AD331">
        <v>46108</v>
      </c>
      <c r="AE331">
        <v>46108</v>
      </c>
      <c r="AF331">
        <v>46108</v>
      </c>
      <c r="AH331" t="s">
        <v>1633</v>
      </c>
      <c r="AI331">
        <v>46094</v>
      </c>
      <c r="AJ331">
        <v>46094</v>
      </c>
      <c r="AK331">
        <v>1</v>
      </c>
      <c r="AL331" t="s">
        <v>396</v>
      </c>
      <c r="AM331" t="s">
        <v>1634</v>
      </c>
      <c r="AN331">
        <v>46094</v>
      </c>
      <c r="AO331">
        <v>46094.626296296294</v>
      </c>
      <c r="AP331" t="s">
        <v>51</v>
      </c>
      <c r="AQ331">
        <v>129814.2</v>
      </c>
      <c r="AR331">
        <v>129814.2</v>
      </c>
      <c r="AS331" t="s">
        <v>51</v>
      </c>
      <c r="AT331">
        <v>129814.2</v>
      </c>
      <c r="AU331" t="s">
        <v>415</v>
      </c>
      <c r="AV331" t="s">
        <v>772</v>
      </c>
      <c r="AW331" t="s">
        <v>1626</v>
      </c>
      <c r="AX331">
        <v>46091</v>
      </c>
      <c r="AZ331" t="s">
        <v>1627</v>
      </c>
      <c r="BA331" t="s">
        <v>419</v>
      </c>
      <c r="BB331">
        <v>22145288</v>
      </c>
      <c r="CG331" t="s">
        <v>421</v>
      </c>
      <c r="CN331" t="str">
        <v>M19</v>
      </c>
      <c r="CO331" t="str">
        <v>1330-5YY0176EN</v>
      </c>
      <c r="CP331" t="str">
        <v>JXLU4392928</v>
      </c>
      <c r="CQ331" s="23">
        <v>273.75360000000001</v>
      </c>
      <c r="CR331" s="25">
        <f t="shared" si="15"/>
        <v>2.6848751382650835E-2</v>
      </c>
      <c r="CS331" s="21">
        <f t="shared" si="16"/>
        <v>67.121878456627087</v>
      </c>
    </row>
    <row r="332" spans="2:97" x14ac:dyDescent="0.35">
      <c r="B332" s="34" t="s">
        <v>297</v>
      </c>
      <c r="C332" t="s">
        <v>921</v>
      </c>
      <c r="D332" t="s">
        <v>549</v>
      </c>
      <c r="E332" t="s">
        <v>395</v>
      </c>
      <c r="F332" t="s">
        <v>396</v>
      </c>
      <c r="G332" t="s">
        <v>397</v>
      </c>
      <c r="H332" t="s">
        <v>398</v>
      </c>
      <c r="I332" t="s">
        <v>399</v>
      </c>
      <c r="J332" t="s">
        <v>749</v>
      </c>
      <c r="K332" t="s">
        <v>922</v>
      </c>
      <c r="L332" t="s">
        <v>766</v>
      </c>
      <c r="M332" t="s">
        <v>403</v>
      </c>
      <c r="N332">
        <v>7</v>
      </c>
      <c r="O332">
        <v>1</v>
      </c>
      <c r="P332" t="s">
        <v>923</v>
      </c>
      <c r="Q332" t="s">
        <v>645</v>
      </c>
      <c r="R332" t="s">
        <v>924</v>
      </c>
      <c r="S332" t="s">
        <v>925</v>
      </c>
      <c r="T332" t="s">
        <v>408</v>
      </c>
      <c r="U332">
        <v>50950080751</v>
      </c>
      <c r="W332">
        <v>11520</v>
      </c>
      <c r="X332" t="s">
        <v>409</v>
      </c>
      <c r="Y332" t="s">
        <v>410</v>
      </c>
      <c r="Z332" t="s">
        <v>410</v>
      </c>
      <c r="AA332" t="s">
        <v>411</v>
      </c>
      <c r="AB332" t="s">
        <v>554</v>
      </c>
      <c r="AC332" t="s">
        <v>411</v>
      </c>
      <c r="AD332">
        <v>46094</v>
      </c>
      <c r="AE332">
        <v>46139</v>
      </c>
      <c r="AF332">
        <v>46099</v>
      </c>
      <c r="AG332" t="s">
        <v>926</v>
      </c>
      <c r="AH332">
        <v>6141444</v>
      </c>
      <c r="AI332">
        <v>46094</v>
      </c>
      <c r="AJ332">
        <v>46095</v>
      </c>
      <c r="AK332">
        <v>11520</v>
      </c>
      <c r="AL332" t="s">
        <v>396</v>
      </c>
      <c r="AM332" t="s">
        <v>1635</v>
      </c>
      <c r="AN332">
        <v>46095</v>
      </c>
      <c r="AO332">
        <v>46095.389189814814</v>
      </c>
      <c r="AP332" t="s">
        <v>51</v>
      </c>
      <c r="AQ332">
        <v>0.59975999999999996</v>
      </c>
      <c r="AR332">
        <v>6909.21</v>
      </c>
      <c r="AS332" t="s">
        <v>51</v>
      </c>
      <c r="AT332">
        <v>6909.21</v>
      </c>
      <c r="AU332" t="s">
        <v>415</v>
      </c>
      <c r="AV332" t="s">
        <v>557</v>
      </c>
      <c r="AW332" t="s">
        <v>1272</v>
      </c>
      <c r="AX332">
        <v>46099</v>
      </c>
      <c r="AY332">
        <v>46148</v>
      </c>
      <c r="AZ332" t="s">
        <v>1636</v>
      </c>
      <c r="BA332" t="s">
        <v>560</v>
      </c>
      <c r="BB332" t="s">
        <v>1637</v>
      </c>
      <c r="BC332">
        <v>288</v>
      </c>
      <c r="BD332" t="s">
        <v>521</v>
      </c>
      <c r="BE332">
        <v>9.8219999999999992</v>
      </c>
      <c r="BF332">
        <v>8.3520000000000003</v>
      </c>
      <c r="BG332" t="s">
        <v>522</v>
      </c>
      <c r="BH332">
        <v>400</v>
      </c>
      <c r="BI332">
        <v>300</v>
      </c>
      <c r="BJ332">
        <v>160</v>
      </c>
      <c r="BK332">
        <v>40</v>
      </c>
      <c r="BL332" t="s">
        <v>521</v>
      </c>
      <c r="BM332">
        <v>417.88</v>
      </c>
      <c r="BN332">
        <v>334.08</v>
      </c>
      <c r="BO332">
        <v>417.88</v>
      </c>
      <c r="BP332" t="s">
        <v>522</v>
      </c>
      <c r="BQ332">
        <v>1200</v>
      </c>
      <c r="BR332">
        <v>800</v>
      </c>
      <c r="BS332">
        <v>970</v>
      </c>
      <c r="BT332">
        <v>1</v>
      </c>
      <c r="BU332">
        <v>0</v>
      </c>
      <c r="BV332">
        <v>1</v>
      </c>
      <c r="BW332">
        <v>40</v>
      </c>
      <c r="BX332">
        <v>0</v>
      </c>
      <c r="BY332">
        <v>40</v>
      </c>
      <c r="BZ332">
        <v>11520</v>
      </c>
      <c r="CA332">
        <v>0</v>
      </c>
      <c r="CB332">
        <v>11520</v>
      </c>
      <c r="CC332">
        <v>334.08</v>
      </c>
      <c r="CD332" t="s">
        <v>930</v>
      </c>
      <c r="CE332" t="s">
        <v>931</v>
      </c>
      <c r="CG332" t="s">
        <v>421</v>
      </c>
      <c r="CN332" t="str">
        <v>M19</v>
      </c>
      <c r="CO332" t="str">
        <v>1330-5YY0182EN</v>
      </c>
      <c r="CP332" t="str">
        <v>JXLU4392928</v>
      </c>
      <c r="CQ332" s="23">
        <v>175.63560000000001</v>
      </c>
      <c r="CR332" s="25">
        <f t="shared" si="15"/>
        <v>1.7225696971081693E-2</v>
      </c>
      <c r="CS332" s="21">
        <f t="shared" si="16"/>
        <v>43.064242427704229</v>
      </c>
    </row>
    <row r="333" spans="2:97" x14ac:dyDescent="0.35">
      <c r="B333" t="s">
        <v>299</v>
      </c>
      <c r="C333" t="s">
        <v>1638</v>
      </c>
      <c r="D333" t="s">
        <v>395</v>
      </c>
      <c r="E333" t="s">
        <v>395</v>
      </c>
      <c r="F333" t="s">
        <v>396</v>
      </c>
      <c r="G333" t="s">
        <v>397</v>
      </c>
      <c r="H333" t="s">
        <v>398</v>
      </c>
      <c r="I333" t="s">
        <v>399</v>
      </c>
      <c r="J333" t="s">
        <v>749</v>
      </c>
      <c r="K333" t="s">
        <v>777</v>
      </c>
      <c r="L333" t="s">
        <v>778</v>
      </c>
      <c r="M333" t="s">
        <v>403</v>
      </c>
      <c r="N333">
        <v>1</v>
      </c>
      <c r="O333">
        <v>1</v>
      </c>
      <c r="P333" t="s">
        <v>779</v>
      </c>
      <c r="Q333" t="s">
        <v>587</v>
      </c>
      <c r="R333" t="s">
        <v>536</v>
      </c>
      <c r="S333" t="s">
        <v>780</v>
      </c>
      <c r="T333" t="s">
        <v>408</v>
      </c>
      <c r="U333">
        <v>50950076724</v>
      </c>
      <c r="W333">
        <v>5040</v>
      </c>
      <c r="X333" t="s">
        <v>409</v>
      </c>
      <c r="Y333" t="s">
        <v>410</v>
      </c>
      <c r="Z333" t="s">
        <v>410</v>
      </c>
      <c r="AA333" t="s">
        <v>411</v>
      </c>
      <c r="AB333" t="s">
        <v>554</v>
      </c>
      <c r="AC333" t="s">
        <v>411</v>
      </c>
      <c r="AD333">
        <v>46090</v>
      </c>
      <c r="AE333">
        <v>46146</v>
      </c>
      <c r="AF333">
        <v>46099</v>
      </c>
      <c r="AG333" t="s">
        <v>781</v>
      </c>
      <c r="AH333">
        <v>6141445</v>
      </c>
      <c r="AI333">
        <v>46094</v>
      </c>
      <c r="AJ333">
        <v>46095</v>
      </c>
      <c r="AK333">
        <v>5040</v>
      </c>
      <c r="AL333" t="s">
        <v>396</v>
      </c>
      <c r="AM333" t="s">
        <v>1639</v>
      </c>
      <c r="AN333">
        <v>46095</v>
      </c>
      <c r="AO333">
        <v>46095.389189814814</v>
      </c>
      <c r="AP333" t="s">
        <v>51</v>
      </c>
      <c r="AQ333">
        <v>2.1913299999999998</v>
      </c>
      <c r="AR333">
        <v>11044.3</v>
      </c>
      <c r="AS333" t="s">
        <v>51</v>
      </c>
      <c r="AT333">
        <v>11044.3</v>
      </c>
      <c r="AU333" t="s">
        <v>415</v>
      </c>
      <c r="AV333" t="s">
        <v>557</v>
      </c>
      <c r="AW333" t="s">
        <v>1272</v>
      </c>
      <c r="AX333">
        <v>46099</v>
      </c>
      <c r="AY333">
        <v>46148</v>
      </c>
      <c r="AZ333" t="s">
        <v>1636</v>
      </c>
      <c r="BA333" t="s">
        <v>560</v>
      </c>
      <c r="BB333" t="s">
        <v>1637</v>
      </c>
      <c r="BC333">
        <v>28</v>
      </c>
      <c r="BD333" t="s">
        <v>521</v>
      </c>
      <c r="BE333">
        <v>4.1197999999999997</v>
      </c>
      <c r="BF333">
        <v>2.2568000000000001</v>
      </c>
      <c r="BG333" t="s">
        <v>522</v>
      </c>
      <c r="BH333">
        <v>795</v>
      </c>
      <c r="BI333">
        <v>395</v>
      </c>
      <c r="BJ333">
        <v>145</v>
      </c>
      <c r="BK333">
        <v>18</v>
      </c>
      <c r="BL333" t="s">
        <v>521</v>
      </c>
      <c r="BM333">
        <v>99.156400000000005</v>
      </c>
      <c r="BN333">
        <v>40.622399999999999</v>
      </c>
      <c r="BO333">
        <v>991.56399999999996</v>
      </c>
      <c r="BP333" t="s">
        <v>522</v>
      </c>
      <c r="BQ333">
        <v>1200</v>
      </c>
      <c r="BR333">
        <v>800</v>
      </c>
      <c r="BS333">
        <v>1030</v>
      </c>
      <c r="BT333">
        <v>10</v>
      </c>
      <c r="BU333">
        <v>0</v>
      </c>
      <c r="BV333">
        <v>10</v>
      </c>
      <c r="BW333">
        <v>180</v>
      </c>
      <c r="BX333">
        <v>0</v>
      </c>
      <c r="BY333">
        <v>180</v>
      </c>
      <c r="BZ333">
        <v>5040</v>
      </c>
      <c r="CA333">
        <v>0</v>
      </c>
      <c r="CB333">
        <v>5040</v>
      </c>
      <c r="CC333">
        <v>406.22399999999999</v>
      </c>
      <c r="CD333" t="s">
        <v>783</v>
      </c>
      <c r="CE333" t="s">
        <v>784</v>
      </c>
      <c r="CG333" t="s">
        <v>421</v>
      </c>
      <c r="CN333" t="str">
        <v>M19</v>
      </c>
      <c r="CO333" t="str">
        <v>1330-5YY0168EN</v>
      </c>
      <c r="CP333" t="str">
        <v>JXLU4392928</v>
      </c>
      <c r="CQ333" s="23">
        <v>1027.9680000000001</v>
      </c>
      <c r="CR333" s="25">
        <f t="shared" si="15"/>
        <v>0.10081933995140453</v>
      </c>
      <c r="CS333" s="21">
        <f t="shared" si="16"/>
        <v>252.04834987851132</v>
      </c>
    </row>
    <row r="334" spans="2:97" x14ac:dyDescent="0.35">
      <c r="B334" t="s">
        <v>299</v>
      </c>
      <c r="C334" t="s">
        <v>1495</v>
      </c>
      <c r="D334" t="s">
        <v>395</v>
      </c>
      <c r="E334" t="s">
        <v>395</v>
      </c>
      <c r="F334" t="s">
        <v>396</v>
      </c>
      <c r="G334" t="s">
        <v>397</v>
      </c>
      <c r="H334" t="s">
        <v>398</v>
      </c>
      <c r="I334" t="s">
        <v>399</v>
      </c>
      <c r="J334" t="s">
        <v>749</v>
      </c>
      <c r="K334" t="s">
        <v>777</v>
      </c>
      <c r="L334" t="s">
        <v>778</v>
      </c>
      <c r="M334" t="s">
        <v>403</v>
      </c>
      <c r="N334">
        <v>1</v>
      </c>
      <c r="O334">
        <v>2</v>
      </c>
      <c r="P334" t="s">
        <v>1367</v>
      </c>
      <c r="Q334" t="s">
        <v>645</v>
      </c>
      <c r="R334" t="s">
        <v>536</v>
      </c>
      <c r="S334" t="s">
        <v>1368</v>
      </c>
      <c r="T334" t="s">
        <v>408</v>
      </c>
      <c r="U334">
        <v>50950077714</v>
      </c>
      <c r="W334">
        <v>336</v>
      </c>
      <c r="X334" t="s">
        <v>409</v>
      </c>
      <c r="Y334" t="s">
        <v>410</v>
      </c>
      <c r="Z334" t="s">
        <v>410</v>
      </c>
      <c r="AA334" t="s">
        <v>411</v>
      </c>
      <c r="AB334" t="s">
        <v>554</v>
      </c>
      <c r="AC334" t="s">
        <v>411</v>
      </c>
      <c r="AD334">
        <v>46095</v>
      </c>
      <c r="AE334">
        <v>46153</v>
      </c>
      <c r="AF334">
        <v>46099</v>
      </c>
      <c r="AG334" t="s">
        <v>781</v>
      </c>
      <c r="AH334">
        <v>6141446</v>
      </c>
      <c r="AI334">
        <v>46094</v>
      </c>
      <c r="AJ334">
        <v>46095</v>
      </c>
      <c r="AK334">
        <v>336</v>
      </c>
      <c r="AL334" t="s">
        <v>396</v>
      </c>
      <c r="AM334" t="s">
        <v>1640</v>
      </c>
      <c r="AN334">
        <v>46095</v>
      </c>
      <c r="AO334">
        <v>46095.389189814814</v>
      </c>
      <c r="AP334" t="s">
        <v>51</v>
      </c>
      <c r="AQ334">
        <v>2.85012</v>
      </c>
      <c r="AR334">
        <v>957.64</v>
      </c>
      <c r="AS334" t="s">
        <v>51</v>
      </c>
      <c r="AT334">
        <v>957.64</v>
      </c>
      <c r="AU334" t="s">
        <v>415</v>
      </c>
      <c r="AV334" t="s">
        <v>557</v>
      </c>
      <c r="AW334" t="s">
        <v>1272</v>
      </c>
      <c r="AX334">
        <v>46099</v>
      </c>
      <c r="AY334">
        <v>46148</v>
      </c>
      <c r="AZ334" t="s">
        <v>1636</v>
      </c>
      <c r="BA334" t="s">
        <v>560</v>
      </c>
      <c r="BB334" t="s">
        <v>1637</v>
      </c>
      <c r="BC334">
        <v>14</v>
      </c>
      <c r="BD334" t="s">
        <v>521</v>
      </c>
      <c r="BE334">
        <v>3.2919999999999998</v>
      </c>
      <c r="BF334">
        <v>1.792</v>
      </c>
      <c r="BG334" t="s">
        <v>522</v>
      </c>
      <c r="BH334">
        <v>595</v>
      </c>
      <c r="BI334">
        <v>395</v>
      </c>
      <c r="BJ334">
        <v>145</v>
      </c>
      <c r="BK334">
        <v>24</v>
      </c>
      <c r="BL334" t="s">
        <v>521</v>
      </c>
      <c r="BM334">
        <v>104.008</v>
      </c>
      <c r="BN334">
        <v>43.008000000000003</v>
      </c>
      <c r="BO334">
        <v>104.008</v>
      </c>
      <c r="BP334" t="s">
        <v>522</v>
      </c>
      <c r="BQ334">
        <v>1200</v>
      </c>
      <c r="BR334">
        <v>800</v>
      </c>
      <c r="BS334">
        <v>1030</v>
      </c>
      <c r="BT334">
        <v>1</v>
      </c>
      <c r="BU334">
        <v>0</v>
      </c>
      <c r="BV334">
        <v>1</v>
      </c>
      <c r="BW334">
        <v>24</v>
      </c>
      <c r="BX334">
        <v>0</v>
      </c>
      <c r="BY334">
        <v>24</v>
      </c>
      <c r="BZ334">
        <v>336</v>
      </c>
      <c r="CA334">
        <v>0</v>
      </c>
      <c r="CB334">
        <v>336</v>
      </c>
      <c r="CC334">
        <v>43.008000000000003</v>
      </c>
      <c r="CD334" t="s">
        <v>783</v>
      </c>
      <c r="CE334" t="s">
        <v>1370</v>
      </c>
      <c r="CG334" t="s">
        <v>421</v>
      </c>
      <c r="CN334" t="str">
        <v>M01</v>
      </c>
      <c r="CO334" t="str">
        <v>1277-1030115EN</v>
      </c>
      <c r="CP334" t="str">
        <v>JXLU4392928</v>
      </c>
      <c r="CQ334" s="23">
        <v>78.004999999999995</v>
      </c>
      <c r="CR334" s="25">
        <f t="shared" si="15"/>
        <v>7.6504449680430808E-3</v>
      </c>
      <c r="CS334" s="21">
        <f t="shared" si="16"/>
        <v>19.126112420107702</v>
      </c>
    </row>
    <row r="335" spans="2:97" x14ac:dyDescent="0.35">
      <c r="B335" t="s">
        <v>296</v>
      </c>
      <c r="C335" t="s">
        <v>1641</v>
      </c>
      <c r="D335" t="s">
        <v>395</v>
      </c>
      <c r="E335" t="s">
        <v>395</v>
      </c>
      <c r="F335" t="s">
        <v>396</v>
      </c>
      <c r="G335" t="s">
        <v>397</v>
      </c>
      <c r="H335" t="s">
        <v>398</v>
      </c>
      <c r="I335" t="s">
        <v>399</v>
      </c>
      <c r="J335" t="s">
        <v>749</v>
      </c>
      <c r="K335" t="s">
        <v>629</v>
      </c>
      <c r="L335" t="s">
        <v>787</v>
      </c>
      <c r="M335" t="s">
        <v>403</v>
      </c>
      <c r="N335">
        <v>1</v>
      </c>
      <c r="O335">
        <v>1</v>
      </c>
      <c r="P335" t="s">
        <v>881</v>
      </c>
      <c r="Q335" t="s">
        <v>645</v>
      </c>
      <c r="R335" t="s">
        <v>882</v>
      </c>
      <c r="S335" t="s">
        <v>883</v>
      </c>
      <c r="T335" t="s">
        <v>408</v>
      </c>
      <c r="U335">
        <v>50950078918</v>
      </c>
      <c r="W335">
        <v>6600</v>
      </c>
      <c r="X335" t="s">
        <v>409</v>
      </c>
      <c r="Y335" t="s">
        <v>410</v>
      </c>
      <c r="Z335" t="s">
        <v>410</v>
      </c>
      <c r="AA335" t="s">
        <v>411</v>
      </c>
      <c r="AB335" t="s">
        <v>554</v>
      </c>
      <c r="AC335" t="s">
        <v>411</v>
      </c>
      <c r="AD335">
        <v>46097</v>
      </c>
      <c r="AE335">
        <v>46181</v>
      </c>
      <c r="AF335">
        <v>46099</v>
      </c>
      <c r="AG335" t="s">
        <v>754</v>
      </c>
      <c r="AH335">
        <v>6141447</v>
      </c>
      <c r="AI335">
        <v>46094</v>
      </c>
      <c r="AJ335">
        <v>46095</v>
      </c>
      <c r="AK335">
        <v>6600</v>
      </c>
      <c r="AL335" t="s">
        <v>396</v>
      </c>
      <c r="AM335" t="s">
        <v>1642</v>
      </c>
      <c r="AN335">
        <v>46095</v>
      </c>
      <c r="AO335">
        <v>46095.389189814814</v>
      </c>
      <c r="AP335" t="s">
        <v>51</v>
      </c>
      <c r="AQ335">
        <v>0.19572000000000001</v>
      </c>
      <c r="AR335">
        <v>1291.75</v>
      </c>
      <c r="AS335" t="s">
        <v>51</v>
      </c>
      <c r="AT335">
        <v>1291.75</v>
      </c>
      <c r="AU335" t="s">
        <v>415</v>
      </c>
      <c r="AV335" t="s">
        <v>557</v>
      </c>
      <c r="AW335" t="s">
        <v>1272</v>
      </c>
      <c r="AX335">
        <v>46099</v>
      </c>
      <c r="AY335">
        <v>46148</v>
      </c>
      <c r="AZ335" t="s">
        <v>1636</v>
      </c>
      <c r="BA335" t="s">
        <v>560</v>
      </c>
      <c r="BB335" t="s">
        <v>1637</v>
      </c>
      <c r="BC335">
        <v>264</v>
      </c>
      <c r="BD335" t="s">
        <v>521</v>
      </c>
      <c r="BE335">
        <v>5.2203999999999997</v>
      </c>
      <c r="BF335">
        <v>3.8304</v>
      </c>
      <c r="BG335" t="s">
        <v>522</v>
      </c>
      <c r="BH335">
        <v>595</v>
      </c>
      <c r="BI335">
        <v>395</v>
      </c>
      <c r="BJ335">
        <v>175</v>
      </c>
      <c r="BK335">
        <v>25</v>
      </c>
      <c r="BL335" t="s">
        <v>521</v>
      </c>
      <c r="BM335">
        <v>157.5094</v>
      </c>
      <c r="BN335">
        <v>95.759399999999999</v>
      </c>
      <c r="BO335">
        <v>157.5094</v>
      </c>
      <c r="BP335" t="s">
        <v>522</v>
      </c>
      <c r="BQ335">
        <v>1200</v>
      </c>
      <c r="BR335">
        <v>1000</v>
      </c>
      <c r="BS335">
        <v>1035</v>
      </c>
      <c r="BT335">
        <v>1</v>
      </c>
      <c r="BU335">
        <v>0</v>
      </c>
      <c r="BV335">
        <v>1</v>
      </c>
      <c r="BW335">
        <v>25</v>
      </c>
      <c r="BX335">
        <v>0</v>
      </c>
      <c r="BY335">
        <v>25</v>
      </c>
      <c r="BZ335">
        <v>6600</v>
      </c>
      <c r="CA335">
        <v>0</v>
      </c>
      <c r="CB335">
        <v>6600</v>
      </c>
      <c r="CC335">
        <v>95.759399999999999</v>
      </c>
      <c r="CD335" t="s">
        <v>885</v>
      </c>
      <c r="CE335" t="s">
        <v>886</v>
      </c>
      <c r="CG335" t="s">
        <v>421</v>
      </c>
      <c r="CN335" t="str">
        <v>M01</v>
      </c>
      <c r="CO335" t="str">
        <v>1201-1030400EN</v>
      </c>
      <c r="CP335" t="str">
        <v>JXLU4392928</v>
      </c>
      <c r="CQ335" s="23">
        <v>224.244</v>
      </c>
      <c r="CR335" s="25">
        <f t="shared" si="15"/>
        <v>2.1993030977679028E-2</v>
      </c>
      <c r="CS335" s="21">
        <f t="shared" si="16"/>
        <v>54.982577444197574</v>
      </c>
    </row>
    <row r="336" spans="2:97" x14ac:dyDescent="0.35">
      <c r="B336" t="s">
        <v>296</v>
      </c>
      <c r="C336" t="s">
        <v>1378</v>
      </c>
      <c r="D336" t="s">
        <v>395</v>
      </c>
      <c r="E336" t="s">
        <v>395</v>
      </c>
      <c r="F336" t="s">
        <v>396</v>
      </c>
      <c r="G336" t="s">
        <v>397</v>
      </c>
      <c r="H336" t="s">
        <v>398</v>
      </c>
      <c r="I336" t="s">
        <v>399</v>
      </c>
      <c r="J336" t="s">
        <v>749</v>
      </c>
      <c r="K336" t="s">
        <v>629</v>
      </c>
      <c r="L336" t="s">
        <v>787</v>
      </c>
      <c r="M336" t="s">
        <v>403</v>
      </c>
      <c r="N336">
        <v>1</v>
      </c>
      <c r="O336">
        <v>3</v>
      </c>
      <c r="P336" t="s">
        <v>881</v>
      </c>
      <c r="Q336" t="s">
        <v>645</v>
      </c>
      <c r="R336" t="s">
        <v>882</v>
      </c>
      <c r="S336" t="s">
        <v>883</v>
      </c>
      <c r="T336" t="s">
        <v>408</v>
      </c>
      <c r="U336">
        <v>50950078919</v>
      </c>
      <c r="W336">
        <v>6600</v>
      </c>
      <c r="X336" t="s">
        <v>409</v>
      </c>
      <c r="Y336" t="s">
        <v>410</v>
      </c>
      <c r="Z336" t="s">
        <v>410</v>
      </c>
      <c r="AA336" t="s">
        <v>411</v>
      </c>
      <c r="AB336" t="s">
        <v>554</v>
      </c>
      <c r="AC336" t="s">
        <v>411</v>
      </c>
      <c r="AD336">
        <v>46090</v>
      </c>
      <c r="AE336">
        <v>46174</v>
      </c>
      <c r="AF336">
        <v>46099</v>
      </c>
      <c r="AG336" t="s">
        <v>754</v>
      </c>
      <c r="AH336">
        <v>6141448</v>
      </c>
      <c r="AI336">
        <v>46094</v>
      </c>
      <c r="AJ336">
        <v>46095</v>
      </c>
      <c r="AK336">
        <v>6600</v>
      </c>
      <c r="AL336" t="s">
        <v>396</v>
      </c>
      <c r="AM336" t="s">
        <v>1643</v>
      </c>
      <c r="AN336">
        <v>46095</v>
      </c>
      <c r="AO336">
        <v>46095.389189814814</v>
      </c>
      <c r="AP336" t="s">
        <v>51</v>
      </c>
      <c r="AQ336">
        <v>0.19572000000000001</v>
      </c>
      <c r="AR336">
        <v>1291.75</v>
      </c>
      <c r="AS336" t="s">
        <v>51</v>
      </c>
      <c r="AT336">
        <v>1291.75</v>
      </c>
      <c r="AU336" t="s">
        <v>415</v>
      </c>
      <c r="AV336" t="s">
        <v>557</v>
      </c>
      <c r="AW336" t="s">
        <v>1272</v>
      </c>
      <c r="AX336">
        <v>46099</v>
      </c>
      <c r="AY336">
        <v>46148</v>
      </c>
      <c r="AZ336" t="s">
        <v>1636</v>
      </c>
      <c r="BA336" t="s">
        <v>560</v>
      </c>
      <c r="BB336" t="s">
        <v>1637</v>
      </c>
      <c r="BC336">
        <v>264</v>
      </c>
      <c r="BD336" t="s">
        <v>521</v>
      </c>
      <c r="BE336">
        <v>5.2203999999999997</v>
      </c>
      <c r="BF336">
        <v>3.8304</v>
      </c>
      <c r="BG336" t="s">
        <v>522</v>
      </c>
      <c r="BH336">
        <v>595</v>
      </c>
      <c r="BI336">
        <v>395</v>
      </c>
      <c r="BJ336">
        <v>175</v>
      </c>
      <c r="BK336">
        <v>25</v>
      </c>
      <c r="BL336" t="s">
        <v>521</v>
      </c>
      <c r="BM336">
        <v>157.5094</v>
      </c>
      <c r="BN336">
        <v>95.759399999999999</v>
      </c>
      <c r="BO336">
        <v>157.5094</v>
      </c>
      <c r="BP336" t="s">
        <v>522</v>
      </c>
      <c r="BQ336">
        <v>1200</v>
      </c>
      <c r="BR336">
        <v>1000</v>
      </c>
      <c r="BS336">
        <v>1035</v>
      </c>
      <c r="BT336">
        <v>1</v>
      </c>
      <c r="BU336">
        <v>0</v>
      </c>
      <c r="BV336">
        <v>1</v>
      </c>
      <c r="BW336">
        <v>25</v>
      </c>
      <c r="BX336">
        <v>0</v>
      </c>
      <c r="BY336">
        <v>25</v>
      </c>
      <c r="BZ336">
        <v>6600</v>
      </c>
      <c r="CA336">
        <v>0</v>
      </c>
      <c r="CB336">
        <v>6600</v>
      </c>
      <c r="CC336">
        <v>95.759399999999999</v>
      </c>
      <c r="CD336" t="s">
        <v>885</v>
      </c>
      <c r="CE336" t="s">
        <v>886</v>
      </c>
      <c r="CG336" t="s">
        <v>421</v>
      </c>
      <c r="CN336" t="str">
        <v>M01</v>
      </c>
      <c r="CO336" t="str">
        <v>1426-1030015EN</v>
      </c>
      <c r="CP336" t="str">
        <v>JXLU4392928</v>
      </c>
      <c r="CQ336" s="23">
        <v>249.34399999999999</v>
      </c>
      <c r="CR336" s="25">
        <f t="shared" si="15"/>
        <v>2.4454747133026523E-2</v>
      </c>
      <c r="CS336" s="21">
        <f t="shared" si="16"/>
        <v>61.13686783256631</v>
      </c>
    </row>
    <row r="337" spans="2:97" x14ac:dyDescent="0.35">
      <c r="B337" t="s">
        <v>299</v>
      </c>
      <c r="C337" t="s">
        <v>1380</v>
      </c>
      <c r="D337" t="s">
        <v>965</v>
      </c>
      <c r="E337" t="s">
        <v>395</v>
      </c>
      <c r="F337" t="s">
        <v>396</v>
      </c>
      <c r="G337" t="s">
        <v>397</v>
      </c>
      <c r="H337" t="s">
        <v>398</v>
      </c>
      <c r="I337" t="s">
        <v>399</v>
      </c>
      <c r="J337" t="s">
        <v>749</v>
      </c>
      <c r="K337" t="s">
        <v>809</v>
      </c>
      <c r="L337" t="s">
        <v>787</v>
      </c>
      <c r="M337" t="s">
        <v>403</v>
      </c>
      <c r="N337">
        <v>1</v>
      </c>
      <c r="O337">
        <v>10</v>
      </c>
      <c r="P337" t="s">
        <v>810</v>
      </c>
      <c r="Q337" t="s">
        <v>405</v>
      </c>
      <c r="R337" t="s">
        <v>811</v>
      </c>
      <c r="S337" t="s">
        <v>812</v>
      </c>
      <c r="T337" t="s">
        <v>408</v>
      </c>
      <c r="U337">
        <v>50950080270</v>
      </c>
      <c r="W337">
        <v>3840</v>
      </c>
      <c r="X337" t="s">
        <v>409</v>
      </c>
      <c r="Y337" t="s">
        <v>410</v>
      </c>
      <c r="Z337" t="s">
        <v>410</v>
      </c>
      <c r="AA337" t="s">
        <v>411</v>
      </c>
      <c r="AB337" t="s">
        <v>554</v>
      </c>
      <c r="AC337" t="s">
        <v>411</v>
      </c>
      <c r="AD337">
        <v>46088</v>
      </c>
      <c r="AE337">
        <v>46125</v>
      </c>
      <c r="AF337">
        <v>46099</v>
      </c>
      <c r="AG337" t="s">
        <v>754</v>
      </c>
      <c r="AH337">
        <v>6141449</v>
      </c>
      <c r="AI337">
        <v>46094</v>
      </c>
      <c r="AJ337">
        <v>46095</v>
      </c>
      <c r="AK337">
        <v>3840</v>
      </c>
      <c r="AL337" t="s">
        <v>396</v>
      </c>
      <c r="AM337" t="s">
        <v>1644</v>
      </c>
      <c r="AN337">
        <v>46095</v>
      </c>
      <c r="AO337">
        <v>46095.389189814814</v>
      </c>
      <c r="AP337" t="s">
        <v>51</v>
      </c>
      <c r="AQ337">
        <v>1.96204</v>
      </c>
      <c r="AR337">
        <v>7534.24</v>
      </c>
      <c r="AS337" t="s">
        <v>51</v>
      </c>
      <c r="AT337">
        <v>7534.24</v>
      </c>
      <c r="AU337" t="s">
        <v>415</v>
      </c>
      <c r="AV337" t="s">
        <v>557</v>
      </c>
      <c r="AW337" t="s">
        <v>1272</v>
      </c>
      <c r="AX337">
        <v>46099</v>
      </c>
      <c r="AY337">
        <v>46148</v>
      </c>
      <c r="AZ337" t="s">
        <v>1636</v>
      </c>
      <c r="BA337" t="s">
        <v>560</v>
      </c>
      <c r="BB337" t="s">
        <v>1637</v>
      </c>
      <c r="BC337">
        <v>16</v>
      </c>
      <c r="BD337" t="s">
        <v>521</v>
      </c>
      <c r="BE337">
        <v>4.9545000000000003</v>
      </c>
      <c r="BF337">
        <v>3.7555000000000001</v>
      </c>
      <c r="BG337" t="s">
        <v>522</v>
      </c>
      <c r="BH337">
        <v>495</v>
      </c>
      <c r="BI337">
        <v>395</v>
      </c>
      <c r="BJ337">
        <v>190</v>
      </c>
      <c r="BK337">
        <v>30</v>
      </c>
      <c r="BL337" t="s">
        <v>521</v>
      </c>
      <c r="BM337">
        <v>175.63499999999999</v>
      </c>
      <c r="BN337">
        <v>112.66500000000001</v>
      </c>
      <c r="BO337">
        <v>1405.0848000000001</v>
      </c>
      <c r="BP337" t="s">
        <v>522</v>
      </c>
      <c r="BQ337">
        <v>1200</v>
      </c>
      <c r="BR337">
        <v>1000</v>
      </c>
      <c r="BS337">
        <v>1120</v>
      </c>
      <c r="BT337">
        <v>8</v>
      </c>
      <c r="BU337">
        <v>0</v>
      </c>
      <c r="BV337">
        <v>8</v>
      </c>
      <c r="BW337">
        <v>240</v>
      </c>
      <c r="BX337">
        <v>0</v>
      </c>
      <c r="BY337">
        <v>240</v>
      </c>
      <c r="BZ337">
        <v>3840</v>
      </c>
      <c r="CA337">
        <v>0</v>
      </c>
      <c r="CB337">
        <v>3840</v>
      </c>
      <c r="CC337">
        <v>901.32479999999998</v>
      </c>
      <c r="CD337" t="s">
        <v>806</v>
      </c>
      <c r="CE337" t="s">
        <v>816</v>
      </c>
      <c r="CG337" t="s">
        <v>421</v>
      </c>
      <c r="CN337" t="str">
        <v>M45</v>
      </c>
      <c r="CO337" t="str">
        <v>1484-12C0012EN</v>
      </c>
      <c r="CP337" t="str">
        <v>JXLU4392928</v>
      </c>
      <c r="CQ337" s="23">
        <v>407.4</v>
      </c>
      <c r="CR337" s="25">
        <f t="shared" si="15"/>
        <v>3.9956301262492805E-2</v>
      </c>
      <c r="CS337" s="21">
        <f t="shared" si="16"/>
        <v>99.890753156232009</v>
      </c>
    </row>
    <row r="338" spans="2:97" x14ac:dyDescent="0.35">
      <c r="B338" t="s">
        <v>299</v>
      </c>
      <c r="C338" t="s">
        <v>1441</v>
      </c>
      <c r="D338" t="s">
        <v>965</v>
      </c>
      <c r="E338" t="s">
        <v>395</v>
      </c>
      <c r="F338" t="s">
        <v>396</v>
      </c>
      <c r="G338" t="s">
        <v>397</v>
      </c>
      <c r="H338" t="s">
        <v>398</v>
      </c>
      <c r="I338" t="s">
        <v>399</v>
      </c>
      <c r="J338" t="s">
        <v>749</v>
      </c>
      <c r="K338" t="s">
        <v>809</v>
      </c>
      <c r="L338" t="s">
        <v>787</v>
      </c>
      <c r="M338" t="s">
        <v>403</v>
      </c>
      <c r="N338">
        <v>1</v>
      </c>
      <c r="O338">
        <v>3</v>
      </c>
      <c r="P338" t="s">
        <v>818</v>
      </c>
      <c r="Q338" t="s">
        <v>430</v>
      </c>
      <c r="R338" t="s">
        <v>811</v>
      </c>
      <c r="S338" t="s">
        <v>819</v>
      </c>
      <c r="T338" t="s">
        <v>408</v>
      </c>
      <c r="U338">
        <v>50950080392</v>
      </c>
      <c r="W338">
        <v>8640</v>
      </c>
      <c r="X338" t="s">
        <v>409</v>
      </c>
      <c r="Y338" t="s">
        <v>410</v>
      </c>
      <c r="Z338" t="s">
        <v>410</v>
      </c>
      <c r="AA338" t="s">
        <v>411</v>
      </c>
      <c r="AB338" t="s">
        <v>554</v>
      </c>
      <c r="AC338" t="s">
        <v>411</v>
      </c>
      <c r="AD338">
        <v>46088</v>
      </c>
      <c r="AE338">
        <v>46125</v>
      </c>
      <c r="AF338">
        <v>46099</v>
      </c>
      <c r="AG338" t="s">
        <v>754</v>
      </c>
      <c r="AH338">
        <v>6141450</v>
      </c>
      <c r="AI338">
        <v>46094</v>
      </c>
      <c r="AJ338">
        <v>46095</v>
      </c>
      <c r="AK338">
        <v>8640</v>
      </c>
      <c r="AL338" t="s">
        <v>396</v>
      </c>
      <c r="AM338" t="s">
        <v>1645</v>
      </c>
      <c r="AN338">
        <v>46095</v>
      </c>
      <c r="AO338">
        <v>46095.389189814814</v>
      </c>
      <c r="AP338" t="s">
        <v>51</v>
      </c>
      <c r="AQ338">
        <v>1.20448</v>
      </c>
      <c r="AR338">
        <v>10406.700000000001</v>
      </c>
      <c r="AS338" t="s">
        <v>51</v>
      </c>
      <c r="AT338">
        <v>10406.700000000001</v>
      </c>
      <c r="AU338" t="s">
        <v>415</v>
      </c>
      <c r="AV338" t="s">
        <v>557</v>
      </c>
      <c r="AW338" t="s">
        <v>1272</v>
      </c>
      <c r="AX338">
        <v>46099</v>
      </c>
      <c r="AY338">
        <v>46148</v>
      </c>
      <c r="AZ338" t="s">
        <v>1636</v>
      </c>
      <c r="BA338" t="s">
        <v>560</v>
      </c>
      <c r="BB338" t="s">
        <v>1637</v>
      </c>
      <c r="BC338">
        <v>48</v>
      </c>
      <c r="BD338" t="s">
        <v>521</v>
      </c>
      <c r="BE338">
        <v>7.6898999999999997</v>
      </c>
      <c r="BF338">
        <v>6.2298999999999998</v>
      </c>
      <c r="BG338" t="s">
        <v>522</v>
      </c>
      <c r="BH338">
        <v>495</v>
      </c>
      <c r="BI338">
        <v>395</v>
      </c>
      <c r="BJ338">
        <v>190</v>
      </c>
      <c r="BK338">
        <v>30</v>
      </c>
      <c r="BL338" t="s">
        <v>521</v>
      </c>
      <c r="BM338">
        <v>257.697</v>
      </c>
      <c r="BN338">
        <v>186.89699999999999</v>
      </c>
      <c r="BO338">
        <v>1546.1856</v>
      </c>
      <c r="BP338" t="s">
        <v>522</v>
      </c>
      <c r="BQ338">
        <v>1200</v>
      </c>
      <c r="BR338">
        <v>1000</v>
      </c>
      <c r="BS338">
        <v>1120</v>
      </c>
      <c r="BT338">
        <v>6</v>
      </c>
      <c r="BU338">
        <v>0</v>
      </c>
      <c r="BV338">
        <v>6</v>
      </c>
      <c r="BW338">
        <v>180</v>
      </c>
      <c r="BX338">
        <v>0</v>
      </c>
      <c r="BY338">
        <v>180</v>
      </c>
      <c r="BZ338">
        <v>8640</v>
      </c>
      <c r="CA338">
        <v>0</v>
      </c>
      <c r="CB338">
        <v>8640</v>
      </c>
      <c r="CC338">
        <v>1121.3856000000001</v>
      </c>
      <c r="CD338" t="s">
        <v>806</v>
      </c>
      <c r="CE338" t="s">
        <v>821</v>
      </c>
      <c r="CG338" t="s">
        <v>421</v>
      </c>
      <c r="CN338" t="str">
        <v>M19</v>
      </c>
      <c r="CO338" t="str">
        <v>1301-5YY0306EN0093</v>
      </c>
      <c r="CP338" t="str">
        <v>JXLU4392928</v>
      </c>
      <c r="CQ338" s="23">
        <v>3453.8439600000002</v>
      </c>
      <c r="CR338" s="25">
        <f t="shared" si="15"/>
        <v>0.33874037746539309</v>
      </c>
      <c r="CS338" s="21">
        <f t="shared" si="16"/>
        <v>846.85094366348278</v>
      </c>
    </row>
    <row r="339" spans="2:97" x14ac:dyDescent="0.35">
      <c r="B339" t="s">
        <v>299</v>
      </c>
      <c r="C339" t="s">
        <v>1535</v>
      </c>
      <c r="D339" t="s">
        <v>395</v>
      </c>
      <c r="E339" t="s">
        <v>823</v>
      </c>
      <c r="F339" t="s">
        <v>396</v>
      </c>
      <c r="G339" t="s">
        <v>397</v>
      </c>
      <c r="H339" t="s">
        <v>398</v>
      </c>
      <c r="I339" t="s">
        <v>399</v>
      </c>
      <c r="J339" t="s">
        <v>749</v>
      </c>
      <c r="K339" t="s">
        <v>809</v>
      </c>
      <c r="L339" t="s">
        <v>787</v>
      </c>
      <c r="M339" t="s">
        <v>403</v>
      </c>
      <c r="N339">
        <v>1</v>
      </c>
      <c r="O339">
        <v>2</v>
      </c>
      <c r="P339" t="s">
        <v>824</v>
      </c>
      <c r="Q339" t="s">
        <v>424</v>
      </c>
      <c r="R339" t="s">
        <v>811</v>
      </c>
      <c r="S339" t="s">
        <v>825</v>
      </c>
      <c r="T339" t="s">
        <v>408</v>
      </c>
      <c r="U339">
        <v>50950081235</v>
      </c>
      <c r="W339">
        <v>1440</v>
      </c>
      <c r="X339" t="s">
        <v>409</v>
      </c>
      <c r="Y339" t="s">
        <v>410</v>
      </c>
      <c r="Z339" t="s">
        <v>410</v>
      </c>
      <c r="AA339" t="s">
        <v>411</v>
      </c>
      <c r="AB339" t="s">
        <v>554</v>
      </c>
      <c r="AC339" t="s">
        <v>411</v>
      </c>
      <c r="AD339">
        <v>46088</v>
      </c>
      <c r="AE339">
        <v>46146</v>
      </c>
      <c r="AF339">
        <v>46099</v>
      </c>
      <c r="AG339" t="s">
        <v>754</v>
      </c>
      <c r="AH339">
        <v>6141451</v>
      </c>
      <c r="AI339">
        <v>46094</v>
      </c>
      <c r="AJ339">
        <v>46095</v>
      </c>
      <c r="AK339">
        <v>1440</v>
      </c>
      <c r="AL339" t="s">
        <v>396</v>
      </c>
      <c r="AM339" t="s">
        <v>1646</v>
      </c>
      <c r="AN339">
        <v>46095</v>
      </c>
      <c r="AO339">
        <v>46095.389189814814</v>
      </c>
      <c r="AP339" t="s">
        <v>51</v>
      </c>
      <c r="AQ339">
        <v>1.15734</v>
      </c>
      <c r="AR339">
        <v>1666.57</v>
      </c>
      <c r="AS339" t="s">
        <v>51</v>
      </c>
      <c r="AT339">
        <v>1666.57</v>
      </c>
      <c r="AU339" t="s">
        <v>415</v>
      </c>
      <c r="AV339" t="s">
        <v>557</v>
      </c>
      <c r="AW339" t="s">
        <v>1272</v>
      </c>
      <c r="AX339">
        <v>46099</v>
      </c>
      <c r="AY339">
        <v>46148</v>
      </c>
      <c r="AZ339" t="s">
        <v>1636</v>
      </c>
      <c r="BA339" t="s">
        <v>560</v>
      </c>
      <c r="BB339" t="s">
        <v>1637</v>
      </c>
      <c r="BC339">
        <v>48</v>
      </c>
      <c r="BD339" t="s">
        <v>521</v>
      </c>
      <c r="BE339">
        <v>8.2250999999999994</v>
      </c>
      <c r="BF339">
        <v>6.7651000000000003</v>
      </c>
      <c r="BG339" t="s">
        <v>522</v>
      </c>
      <c r="BH339">
        <v>495</v>
      </c>
      <c r="BI339">
        <v>395</v>
      </c>
      <c r="BJ339">
        <v>190</v>
      </c>
      <c r="BK339">
        <v>30</v>
      </c>
      <c r="BL339" t="s">
        <v>521</v>
      </c>
      <c r="BM339">
        <v>273.75360000000001</v>
      </c>
      <c r="BN339">
        <v>202.95359999999999</v>
      </c>
      <c r="BO339">
        <v>273.75360000000001</v>
      </c>
      <c r="BP339" t="s">
        <v>522</v>
      </c>
      <c r="BQ339">
        <v>1200</v>
      </c>
      <c r="BR339">
        <v>1000</v>
      </c>
      <c r="BS339">
        <v>1120</v>
      </c>
      <c r="BT339">
        <v>1</v>
      </c>
      <c r="BU339">
        <v>0</v>
      </c>
      <c r="BV339">
        <v>1</v>
      </c>
      <c r="BW339">
        <v>30</v>
      </c>
      <c r="BX339">
        <v>0</v>
      </c>
      <c r="BY339">
        <v>30</v>
      </c>
      <c r="BZ339">
        <v>1440</v>
      </c>
      <c r="CA339">
        <v>0</v>
      </c>
      <c r="CB339">
        <v>1440</v>
      </c>
      <c r="CC339">
        <v>202.95359999999999</v>
      </c>
      <c r="CD339" t="s">
        <v>806</v>
      </c>
      <c r="CE339" t="s">
        <v>821</v>
      </c>
      <c r="CG339" t="s">
        <v>421</v>
      </c>
      <c r="CN339" t="str">
        <v>M19</v>
      </c>
      <c r="CO339" t="str">
        <v>1330-5YY0176EN</v>
      </c>
      <c r="CP339" t="str">
        <v>JXLU4392928</v>
      </c>
      <c r="CQ339" s="23">
        <v>273.75360000000001</v>
      </c>
      <c r="CR339" s="25">
        <f t="shared" si="15"/>
        <v>2.6848751382650835E-2</v>
      </c>
      <c r="CS339" s="21">
        <f t="shared" si="16"/>
        <v>67.121878456627087</v>
      </c>
    </row>
    <row r="340" spans="2:97" x14ac:dyDescent="0.35">
      <c r="B340" t="s">
        <v>299</v>
      </c>
      <c r="C340" t="s">
        <v>1137</v>
      </c>
      <c r="D340" t="s">
        <v>395</v>
      </c>
      <c r="E340" t="s">
        <v>395</v>
      </c>
      <c r="F340" t="s">
        <v>396</v>
      </c>
      <c r="G340" t="s">
        <v>397</v>
      </c>
      <c r="H340" t="s">
        <v>398</v>
      </c>
      <c r="I340" t="s">
        <v>399</v>
      </c>
      <c r="J340" t="s">
        <v>749</v>
      </c>
      <c r="K340" t="s">
        <v>809</v>
      </c>
      <c r="L340" t="s">
        <v>787</v>
      </c>
      <c r="M340" t="s">
        <v>403</v>
      </c>
      <c r="N340">
        <v>1</v>
      </c>
      <c r="O340">
        <v>4</v>
      </c>
      <c r="P340" t="s">
        <v>1138</v>
      </c>
      <c r="Q340" t="s">
        <v>943</v>
      </c>
      <c r="R340" t="s">
        <v>811</v>
      </c>
      <c r="S340" t="s">
        <v>1139</v>
      </c>
      <c r="T340" t="s">
        <v>408</v>
      </c>
      <c r="U340">
        <v>50950081276</v>
      </c>
      <c r="W340">
        <v>2880</v>
      </c>
      <c r="X340" t="s">
        <v>409</v>
      </c>
      <c r="Y340" t="s">
        <v>410</v>
      </c>
      <c r="Z340" t="s">
        <v>410</v>
      </c>
      <c r="AA340" t="s">
        <v>411</v>
      </c>
      <c r="AB340" t="s">
        <v>554</v>
      </c>
      <c r="AC340" t="s">
        <v>411</v>
      </c>
      <c r="AD340">
        <v>46088</v>
      </c>
      <c r="AE340">
        <v>46146</v>
      </c>
      <c r="AF340">
        <v>46099</v>
      </c>
      <c r="AG340" t="s">
        <v>754</v>
      </c>
      <c r="AH340">
        <v>6141452</v>
      </c>
      <c r="AI340">
        <v>46094</v>
      </c>
      <c r="AJ340">
        <v>46095</v>
      </c>
      <c r="AK340">
        <v>2880</v>
      </c>
      <c r="AL340" t="s">
        <v>396</v>
      </c>
      <c r="AM340" t="s">
        <v>1647</v>
      </c>
      <c r="AN340">
        <v>46095</v>
      </c>
      <c r="AO340">
        <v>46095.389189814814</v>
      </c>
      <c r="AP340" t="s">
        <v>51</v>
      </c>
      <c r="AQ340">
        <v>1.50905</v>
      </c>
      <c r="AR340">
        <v>4346.04</v>
      </c>
      <c r="AS340" t="s">
        <v>51</v>
      </c>
      <c r="AT340">
        <v>4346.04</v>
      </c>
      <c r="AU340" t="s">
        <v>415</v>
      </c>
      <c r="AV340" t="s">
        <v>557</v>
      </c>
      <c r="AW340" t="s">
        <v>1272</v>
      </c>
      <c r="AX340">
        <v>46099</v>
      </c>
      <c r="AY340">
        <v>46148</v>
      </c>
      <c r="AZ340" t="s">
        <v>1636</v>
      </c>
      <c r="BA340" t="s">
        <v>560</v>
      </c>
      <c r="BB340" t="s">
        <v>1637</v>
      </c>
      <c r="BC340">
        <v>16</v>
      </c>
      <c r="BD340" t="s">
        <v>521</v>
      </c>
      <c r="BE340">
        <v>4.0369000000000002</v>
      </c>
      <c r="BF340">
        <v>2.8378999999999999</v>
      </c>
      <c r="BG340" t="s">
        <v>522</v>
      </c>
      <c r="BH340">
        <v>495</v>
      </c>
      <c r="BI340">
        <v>395</v>
      </c>
      <c r="BJ340">
        <v>190</v>
      </c>
      <c r="BK340">
        <v>30</v>
      </c>
      <c r="BL340" t="s">
        <v>521</v>
      </c>
      <c r="BM340">
        <v>148.107</v>
      </c>
      <c r="BN340">
        <v>85.137</v>
      </c>
      <c r="BO340">
        <v>888.63408000000004</v>
      </c>
      <c r="BP340" t="s">
        <v>522</v>
      </c>
      <c r="BQ340">
        <v>1200</v>
      </c>
      <c r="BR340">
        <v>1000</v>
      </c>
      <c r="BS340">
        <v>1120</v>
      </c>
      <c r="BT340">
        <v>6</v>
      </c>
      <c r="BU340">
        <v>0</v>
      </c>
      <c r="BV340">
        <v>6</v>
      </c>
      <c r="BW340">
        <v>180</v>
      </c>
      <c r="BX340">
        <v>0</v>
      </c>
      <c r="BY340">
        <v>180</v>
      </c>
      <c r="BZ340">
        <v>2880</v>
      </c>
      <c r="CA340">
        <v>0</v>
      </c>
      <c r="CB340">
        <v>2880</v>
      </c>
      <c r="CC340">
        <v>510.81407999999999</v>
      </c>
      <c r="CD340" t="s">
        <v>806</v>
      </c>
      <c r="CE340" t="s">
        <v>816</v>
      </c>
      <c r="CG340" t="s">
        <v>421</v>
      </c>
      <c r="CN340" t="str">
        <v>Capex</v>
      </c>
      <c r="CO340" t="str">
        <v>CAPEX-08</v>
      </c>
      <c r="CP340" t="str">
        <v>JXLU6016257</v>
      </c>
      <c r="CQ340" s="23">
        <v>0</v>
      </c>
      <c r="CR340" s="25">
        <f t="shared" si="15"/>
        <v>1</v>
      </c>
      <c r="CS340" s="21">
        <f t="shared" si="16"/>
        <v>2500</v>
      </c>
    </row>
    <row r="341" spans="2:97" x14ac:dyDescent="0.35">
      <c r="B341" t="s">
        <v>299</v>
      </c>
      <c r="C341" t="s">
        <v>1072</v>
      </c>
      <c r="D341" t="s">
        <v>395</v>
      </c>
      <c r="E341" t="s">
        <v>823</v>
      </c>
      <c r="F341" t="s">
        <v>396</v>
      </c>
      <c r="G341" t="s">
        <v>397</v>
      </c>
      <c r="H341" t="s">
        <v>398</v>
      </c>
      <c r="I341" t="s">
        <v>399</v>
      </c>
      <c r="J341" t="s">
        <v>749</v>
      </c>
      <c r="K341" t="s">
        <v>809</v>
      </c>
      <c r="L341" t="s">
        <v>787</v>
      </c>
      <c r="M341" t="s">
        <v>403</v>
      </c>
      <c r="N341">
        <v>1</v>
      </c>
      <c r="O341">
        <v>4</v>
      </c>
      <c r="P341" t="s">
        <v>1073</v>
      </c>
      <c r="Q341" t="s">
        <v>637</v>
      </c>
      <c r="R341" t="s">
        <v>811</v>
      </c>
      <c r="S341" t="s">
        <v>1074</v>
      </c>
      <c r="T341" t="s">
        <v>408</v>
      </c>
      <c r="U341">
        <v>50950081288</v>
      </c>
      <c r="W341">
        <v>2400</v>
      </c>
      <c r="X341" t="s">
        <v>409</v>
      </c>
      <c r="Y341" t="s">
        <v>410</v>
      </c>
      <c r="Z341" t="s">
        <v>410</v>
      </c>
      <c r="AA341" t="s">
        <v>411</v>
      </c>
      <c r="AB341" t="s">
        <v>554</v>
      </c>
      <c r="AC341" t="s">
        <v>411</v>
      </c>
      <c r="AD341">
        <v>46088</v>
      </c>
      <c r="AE341">
        <v>46139</v>
      </c>
      <c r="AF341">
        <v>46099</v>
      </c>
      <c r="AG341" t="s">
        <v>754</v>
      </c>
      <c r="AH341">
        <v>6141453</v>
      </c>
      <c r="AI341">
        <v>46094</v>
      </c>
      <c r="AJ341">
        <v>46095</v>
      </c>
      <c r="AK341">
        <v>2400</v>
      </c>
      <c r="AL341" t="s">
        <v>396</v>
      </c>
      <c r="AM341" t="s">
        <v>1648</v>
      </c>
      <c r="AN341">
        <v>46095</v>
      </c>
      <c r="AO341">
        <v>46095.389189814814</v>
      </c>
      <c r="AP341" t="s">
        <v>51</v>
      </c>
      <c r="AQ341">
        <v>2.0480299999999998</v>
      </c>
      <c r="AR341">
        <v>4915.25</v>
      </c>
      <c r="AS341" t="s">
        <v>51</v>
      </c>
      <c r="AT341">
        <v>4915.25</v>
      </c>
      <c r="AU341" t="s">
        <v>415</v>
      </c>
      <c r="AV341" t="s">
        <v>557</v>
      </c>
      <c r="AW341" t="s">
        <v>1272</v>
      </c>
      <c r="AX341">
        <v>46099</v>
      </c>
      <c r="AY341">
        <v>46148</v>
      </c>
      <c r="AZ341" t="s">
        <v>1636</v>
      </c>
      <c r="BA341" t="s">
        <v>560</v>
      </c>
      <c r="BB341" t="s">
        <v>1637</v>
      </c>
      <c r="BC341">
        <v>16</v>
      </c>
      <c r="BD341" t="s">
        <v>521</v>
      </c>
      <c r="BE341">
        <v>5.8639999999999999</v>
      </c>
      <c r="BF341">
        <v>4.665</v>
      </c>
      <c r="BG341" t="s">
        <v>522</v>
      </c>
      <c r="BH341">
        <v>495</v>
      </c>
      <c r="BI341">
        <v>395</v>
      </c>
      <c r="BJ341">
        <v>190</v>
      </c>
      <c r="BK341">
        <v>30</v>
      </c>
      <c r="BL341" t="s">
        <v>521</v>
      </c>
      <c r="BM341">
        <v>202.92</v>
      </c>
      <c r="BN341">
        <v>139.94999999999999</v>
      </c>
      <c r="BO341">
        <v>1014.5940000000001</v>
      </c>
      <c r="BP341" t="s">
        <v>522</v>
      </c>
      <c r="BQ341">
        <v>1200</v>
      </c>
      <c r="BR341">
        <v>1000</v>
      </c>
      <c r="BS341">
        <v>1120</v>
      </c>
      <c r="BT341">
        <v>5</v>
      </c>
      <c r="BU341">
        <v>0</v>
      </c>
      <c r="BV341">
        <v>5</v>
      </c>
      <c r="BW341">
        <v>150</v>
      </c>
      <c r="BX341">
        <v>0</v>
      </c>
      <c r="BY341">
        <v>150</v>
      </c>
      <c r="BZ341">
        <v>2400</v>
      </c>
      <c r="CA341">
        <v>0</v>
      </c>
      <c r="CB341">
        <v>2400</v>
      </c>
      <c r="CC341">
        <v>699.74400000000003</v>
      </c>
      <c r="CD341" t="s">
        <v>806</v>
      </c>
      <c r="CE341" t="s">
        <v>816</v>
      </c>
      <c r="CG341" t="s">
        <v>421</v>
      </c>
      <c r="CN341" t="str">
        <v>M01</v>
      </c>
      <c r="CO341" t="str">
        <v>1999-1010399E1</v>
      </c>
      <c r="CP341" t="str">
        <v>MEDU4556686</v>
      </c>
      <c r="CQ341" s="23">
        <v>417.88</v>
      </c>
      <c r="CR341" s="25">
        <f t="shared" si="15"/>
        <v>2.7733703553542766E-2</v>
      </c>
      <c r="CS341" s="21">
        <f t="shared" si="16"/>
        <v>69.334258883856918</v>
      </c>
    </row>
    <row r="342" spans="2:97" x14ac:dyDescent="0.35">
      <c r="B342" t="s">
        <v>299</v>
      </c>
      <c r="C342" t="s">
        <v>1403</v>
      </c>
      <c r="D342" t="s">
        <v>395</v>
      </c>
      <c r="E342" t="s">
        <v>395</v>
      </c>
      <c r="F342" t="s">
        <v>396</v>
      </c>
      <c r="G342" t="s">
        <v>397</v>
      </c>
      <c r="H342" t="s">
        <v>398</v>
      </c>
      <c r="I342" t="s">
        <v>399</v>
      </c>
      <c r="J342" t="s">
        <v>749</v>
      </c>
      <c r="K342" t="s">
        <v>809</v>
      </c>
      <c r="L342" t="s">
        <v>787</v>
      </c>
      <c r="M342" t="s">
        <v>403</v>
      </c>
      <c r="N342">
        <v>1</v>
      </c>
      <c r="O342">
        <v>4</v>
      </c>
      <c r="P342" t="s">
        <v>1171</v>
      </c>
      <c r="Q342" t="s">
        <v>424</v>
      </c>
      <c r="R342" t="s">
        <v>811</v>
      </c>
      <c r="S342" t="s">
        <v>1172</v>
      </c>
      <c r="T342" t="s">
        <v>408</v>
      </c>
      <c r="U342">
        <v>50950081404</v>
      </c>
      <c r="W342">
        <v>480</v>
      </c>
      <c r="X342" t="s">
        <v>409</v>
      </c>
      <c r="Y342" t="s">
        <v>410</v>
      </c>
      <c r="Z342" t="s">
        <v>410</v>
      </c>
      <c r="AA342" t="s">
        <v>411</v>
      </c>
      <c r="AB342" t="s">
        <v>554</v>
      </c>
      <c r="AC342" t="s">
        <v>411</v>
      </c>
      <c r="AD342">
        <v>46081</v>
      </c>
      <c r="AE342">
        <v>46132</v>
      </c>
      <c r="AF342">
        <v>46099</v>
      </c>
      <c r="AG342" t="s">
        <v>754</v>
      </c>
      <c r="AH342">
        <v>6141454</v>
      </c>
      <c r="AI342">
        <v>46094</v>
      </c>
      <c r="AJ342">
        <v>46095</v>
      </c>
      <c r="AK342">
        <v>480</v>
      </c>
      <c r="AL342" t="s">
        <v>396</v>
      </c>
      <c r="AM342" t="s">
        <v>1649</v>
      </c>
      <c r="AN342">
        <v>46095</v>
      </c>
      <c r="AO342">
        <v>46095.389189814814</v>
      </c>
      <c r="AP342" t="s">
        <v>51</v>
      </c>
      <c r="AQ342">
        <v>2.2482600000000001</v>
      </c>
      <c r="AR342">
        <v>1079.1600000000001</v>
      </c>
      <c r="AS342" t="s">
        <v>51</v>
      </c>
      <c r="AT342">
        <v>1079.1600000000001</v>
      </c>
      <c r="AU342" t="s">
        <v>415</v>
      </c>
      <c r="AV342" t="s">
        <v>557</v>
      </c>
      <c r="AW342" t="s">
        <v>1272</v>
      </c>
      <c r="AX342">
        <v>46099</v>
      </c>
      <c r="AY342">
        <v>46148</v>
      </c>
      <c r="AZ342" t="s">
        <v>1636</v>
      </c>
      <c r="BA342" t="s">
        <v>560</v>
      </c>
      <c r="BB342" t="s">
        <v>1637</v>
      </c>
      <c r="BC342">
        <v>16</v>
      </c>
      <c r="BD342" t="s">
        <v>521</v>
      </c>
      <c r="BE342">
        <v>6.3556999999999997</v>
      </c>
      <c r="BF342">
        <v>5.1566999999999998</v>
      </c>
      <c r="BG342" t="s">
        <v>522</v>
      </c>
      <c r="BH342">
        <v>495</v>
      </c>
      <c r="BI342">
        <v>395</v>
      </c>
      <c r="BJ342">
        <v>190</v>
      </c>
      <c r="BK342">
        <v>30</v>
      </c>
      <c r="BL342" t="s">
        <v>521</v>
      </c>
      <c r="BM342">
        <v>217.67016000000001</v>
      </c>
      <c r="BN342">
        <v>154.70016000000001</v>
      </c>
      <c r="BO342">
        <v>217.67016000000001</v>
      </c>
      <c r="BP342" t="s">
        <v>522</v>
      </c>
      <c r="BQ342">
        <v>1200</v>
      </c>
      <c r="BR342">
        <v>1000</v>
      </c>
      <c r="BS342">
        <v>1120</v>
      </c>
      <c r="BT342">
        <v>1</v>
      </c>
      <c r="BU342">
        <v>0</v>
      </c>
      <c r="BV342">
        <v>1</v>
      </c>
      <c r="BW342">
        <v>30</v>
      </c>
      <c r="BX342">
        <v>0</v>
      </c>
      <c r="BY342">
        <v>30</v>
      </c>
      <c r="BZ342">
        <v>480</v>
      </c>
      <c r="CA342">
        <v>0</v>
      </c>
      <c r="CB342">
        <v>480</v>
      </c>
      <c r="CC342">
        <v>154.70016000000001</v>
      </c>
      <c r="CD342" t="s">
        <v>806</v>
      </c>
      <c r="CE342" t="s">
        <v>816</v>
      </c>
      <c r="CG342" t="s">
        <v>421</v>
      </c>
      <c r="CN342" t="str">
        <v>M19</v>
      </c>
      <c r="CO342" t="str">
        <v>1275-5YY0687EN</v>
      </c>
      <c r="CP342" t="str">
        <v>MEDU4556686</v>
      </c>
      <c r="CQ342" s="23">
        <v>324.32159999999999</v>
      </c>
      <c r="CR342" s="25">
        <f t="shared" si="15"/>
        <v>2.1524454653035981E-2</v>
      </c>
      <c r="CS342" s="21">
        <f t="shared" si="16"/>
        <v>53.811136632589957</v>
      </c>
    </row>
    <row r="343" spans="2:97" x14ac:dyDescent="0.35">
      <c r="B343" t="s">
        <v>296</v>
      </c>
      <c r="C343" t="s">
        <v>1557</v>
      </c>
      <c r="D343" t="s">
        <v>395</v>
      </c>
      <c r="E343" t="s">
        <v>395</v>
      </c>
      <c r="F343" t="s">
        <v>396</v>
      </c>
      <c r="G343" t="s">
        <v>397</v>
      </c>
      <c r="H343" t="s">
        <v>398</v>
      </c>
      <c r="I343" t="s">
        <v>399</v>
      </c>
      <c r="J343" t="s">
        <v>749</v>
      </c>
      <c r="K343" t="s">
        <v>1142</v>
      </c>
      <c r="L343" t="s">
        <v>787</v>
      </c>
      <c r="M343" t="s">
        <v>403</v>
      </c>
      <c r="N343">
        <v>1</v>
      </c>
      <c r="O343">
        <v>3</v>
      </c>
      <c r="P343" t="s">
        <v>1163</v>
      </c>
      <c r="Q343" t="s">
        <v>430</v>
      </c>
      <c r="R343" t="s">
        <v>1164</v>
      </c>
      <c r="S343" t="s">
        <v>1165</v>
      </c>
      <c r="T343" t="s">
        <v>408</v>
      </c>
      <c r="U343">
        <v>50950081429</v>
      </c>
      <c r="W343">
        <v>30240</v>
      </c>
      <c r="X343" t="s">
        <v>409</v>
      </c>
      <c r="Y343" t="s">
        <v>410</v>
      </c>
      <c r="Z343" t="s">
        <v>410</v>
      </c>
      <c r="AA343" t="s">
        <v>411</v>
      </c>
      <c r="AB343" t="s">
        <v>554</v>
      </c>
      <c r="AC343" t="s">
        <v>411</v>
      </c>
      <c r="AD343">
        <v>46088</v>
      </c>
      <c r="AE343">
        <v>46160</v>
      </c>
      <c r="AF343">
        <v>46099</v>
      </c>
      <c r="AG343" t="s">
        <v>754</v>
      </c>
      <c r="AH343">
        <v>6141455</v>
      </c>
      <c r="AI343">
        <v>46094</v>
      </c>
      <c r="AJ343">
        <v>46095</v>
      </c>
      <c r="AK343">
        <v>30240</v>
      </c>
      <c r="AL343" t="s">
        <v>396</v>
      </c>
      <c r="AM343" t="s">
        <v>1650</v>
      </c>
      <c r="AN343">
        <v>46095</v>
      </c>
      <c r="AO343">
        <v>46095.389189814814</v>
      </c>
      <c r="AP343" t="s">
        <v>51</v>
      </c>
      <c r="AQ343">
        <v>0.11984</v>
      </c>
      <c r="AR343">
        <v>3623.96</v>
      </c>
      <c r="AS343" t="s">
        <v>51</v>
      </c>
      <c r="AT343">
        <v>3623.96</v>
      </c>
      <c r="AU343" t="s">
        <v>415</v>
      </c>
      <c r="AV343" t="s">
        <v>557</v>
      </c>
      <c r="AW343" t="s">
        <v>1272</v>
      </c>
      <c r="AX343">
        <v>46099</v>
      </c>
      <c r="AY343">
        <v>46148</v>
      </c>
      <c r="AZ343" t="s">
        <v>1636</v>
      </c>
      <c r="BA343" t="s">
        <v>560</v>
      </c>
      <c r="BB343" t="s">
        <v>1637</v>
      </c>
      <c r="BC343">
        <v>7560</v>
      </c>
      <c r="BD343" t="s">
        <v>521</v>
      </c>
      <c r="BE343">
        <v>637.24480000000005</v>
      </c>
      <c r="BF343">
        <v>616.74480000000005</v>
      </c>
      <c r="BG343" t="s">
        <v>522</v>
      </c>
      <c r="BH343">
        <v>1050</v>
      </c>
      <c r="BI343">
        <v>480</v>
      </c>
      <c r="BJ343">
        <v>460</v>
      </c>
      <c r="BK343">
        <v>1</v>
      </c>
      <c r="BL343" t="s">
        <v>521</v>
      </c>
      <c r="BM343">
        <v>637.24490000000003</v>
      </c>
      <c r="BN343">
        <v>616.74480000000005</v>
      </c>
      <c r="BO343">
        <v>2548.9796000000001</v>
      </c>
      <c r="BP343" t="s">
        <v>522</v>
      </c>
      <c r="BQ343">
        <v>1050</v>
      </c>
      <c r="BR343">
        <v>480</v>
      </c>
      <c r="BS343">
        <v>480</v>
      </c>
      <c r="BT343">
        <v>4</v>
      </c>
      <c r="BU343">
        <v>0</v>
      </c>
      <c r="BV343">
        <v>4</v>
      </c>
      <c r="BW343">
        <v>4</v>
      </c>
      <c r="BX343">
        <v>0</v>
      </c>
      <c r="BY343">
        <v>4</v>
      </c>
      <c r="BZ343">
        <v>30240</v>
      </c>
      <c r="CA343">
        <v>0</v>
      </c>
      <c r="CB343">
        <v>30240</v>
      </c>
      <c r="CC343">
        <v>2466.9792000000002</v>
      </c>
      <c r="CD343" t="s">
        <v>641</v>
      </c>
      <c r="CE343" t="s">
        <v>1147</v>
      </c>
      <c r="CG343" t="s">
        <v>421</v>
      </c>
      <c r="CN343" t="str">
        <v>M23</v>
      </c>
      <c r="CO343" t="str">
        <v>1301-1120169EN</v>
      </c>
      <c r="CP343" t="str">
        <v>MEDU4556686</v>
      </c>
      <c r="CQ343" s="23">
        <v>323.10719999999998</v>
      </c>
      <c r="CR343" s="25">
        <f t="shared" si="15"/>
        <v>2.1443857808019655E-2</v>
      </c>
      <c r="CS343" s="21">
        <f t="shared" si="16"/>
        <v>53.609644520049137</v>
      </c>
    </row>
    <row r="344" spans="2:97" x14ac:dyDescent="0.35">
      <c r="B344" t="s">
        <v>296</v>
      </c>
      <c r="C344" t="s">
        <v>1566</v>
      </c>
      <c r="D344" t="s">
        <v>395</v>
      </c>
      <c r="E344" t="s">
        <v>395</v>
      </c>
      <c r="F344" t="s">
        <v>396</v>
      </c>
      <c r="G344" t="s">
        <v>397</v>
      </c>
      <c r="H344" t="s">
        <v>398</v>
      </c>
      <c r="I344" t="s">
        <v>399</v>
      </c>
      <c r="J344" t="s">
        <v>749</v>
      </c>
      <c r="K344" t="s">
        <v>1142</v>
      </c>
      <c r="L344" t="s">
        <v>787</v>
      </c>
      <c r="M344" t="s">
        <v>403</v>
      </c>
      <c r="N344">
        <v>1</v>
      </c>
      <c r="O344">
        <v>2</v>
      </c>
      <c r="P344" t="s">
        <v>1168</v>
      </c>
      <c r="Q344" t="s">
        <v>430</v>
      </c>
      <c r="R344" t="s">
        <v>1164</v>
      </c>
      <c r="S344" t="s">
        <v>1165</v>
      </c>
      <c r="T344" t="s">
        <v>408</v>
      </c>
      <c r="U344">
        <v>50950081422</v>
      </c>
      <c r="W344">
        <v>37800</v>
      </c>
      <c r="X344" t="s">
        <v>409</v>
      </c>
      <c r="Y344" t="s">
        <v>410</v>
      </c>
      <c r="Z344" t="s">
        <v>410</v>
      </c>
      <c r="AA344" t="s">
        <v>411</v>
      </c>
      <c r="AB344" t="s">
        <v>554</v>
      </c>
      <c r="AC344" t="s">
        <v>411</v>
      </c>
      <c r="AD344">
        <v>46088</v>
      </c>
      <c r="AE344">
        <v>46160</v>
      </c>
      <c r="AF344">
        <v>46099</v>
      </c>
      <c r="AG344" t="s">
        <v>754</v>
      </c>
      <c r="AH344">
        <v>6141456</v>
      </c>
      <c r="AI344">
        <v>46094</v>
      </c>
      <c r="AJ344">
        <v>46095</v>
      </c>
      <c r="AK344">
        <v>37800</v>
      </c>
      <c r="AL344" t="s">
        <v>396</v>
      </c>
      <c r="AM344" t="s">
        <v>1651</v>
      </c>
      <c r="AN344">
        <v>46095</v>
      </c>
      <c r="AO344">
        <v>46095.389189814814</v>
      </c>
      <c r="AP344" t="s">
        <v>51</v>
      </c>
      <c r="AQ344">
        <v>0.12003</v>
      </c>
      <c r="AR344">
        <v>4537.1499999999996</v>
      </c>
      <c r="AS344" t="s">
        <v>51</v>
      </c>
      <c r="AT344">
        <v>4537.1499999999996</v>
      </c>
      <c r="AU344" t="s">
        <v>415</v>
      </c>
      <c r="AV344" t="s">
        <v>557</v>
      </c>
      <c r="AW344" t="s">
        <v>1272</v>
      </c>
      <c r="AX344">
        <v>46099</v>
      </c>
      <c r="AY344">
        <v>46148</v>
      </c>
      <c r="AZ344" t="s">
        <v>1636</v>
      </c>
      <c r="BA344" t="s">
        <v>560</v>
      </c>
      <c r="BB344" t="s">
        <v>1637</v>
      </c>
      <c r="BC344">
        <v>7560</v>
      </c>
      <c r="BD344" t="s">
        <v>521</v>
      </c>
      <c r="BE344">
        <v>638.45439999999996</v>
      </c>
      <c r="BF344">
        <v>617.95439999999996</v>
      </c>
      <c r="BG344" t="s">
        <v>522</v>
      </c>
      <c r="BH344">
        <v>1050</v>
      </c>
      <c r="BI344">
        <v>480</v>
      </c>
      <c r="BJ344">
        <v>460</v>
      </c>
      <c r="BK344">
        <v>1</v>
      </c>
      <c r="BL344" t="s">
        <v>521</v>
      </c>
      <c r="BM344">
        <v>638.45450000000005</v>
      </c>
      <c r="BN344">
        <v>617.95439999999996</v>
      </c>
      <c r="BO344">
        <v>3192.2725</v>
      </c>
      <c r="BP344" t="s">
        <v>522</v>
      </c>
      <c r="BQ344">
        <v>1050</v>
      </c>
      <c r="BR344">
        <v>480</v>
      </c>
      <c r="BS344">
        <v>480</v>
      </c>
      <c r="BT344">
        <v>5</v>
      </c>
      <c r="BU344">
        <v>0</v>
      </c>
      <c r="BV344">
        <v>5</v>
      </c>
      <c r="BW344">
        <v>5</v>
      </c>
      <c r="BX344">
        <v>0</v>
      </c>
      <c r="BY344">
        <v>5</v>
      </c>
      <c r="BZ344">
        <v>37800</v>
      </c>
      <c r="CA344">
        <v>0</v>
      </c>
      <c r="CB344">
        <v>37800</v>
      </c>
      <c r="CC344">
        <v>3089.7719999999999</v>
      </c>
      <c r="CD344" t="s">
        <v>641</v>
      </c>
      <c r="CE344" t="s">
        <v>1147</v>
      </c>
      <c r="CG344" t="s">
        <v>421</v>
      </c>
      <c r="CN344" t="str">
        <v>M45</v>
      </c>
      <c r="CO344" t="str">
        <v>1301-12C0022EN</v>
      </c>
      <c r="CP344" t="str">
        <v>MEDU4556686</v>
      </c>
      <c r="CQ344" s="23">
        <v>461.71199999999999</v>
      </c>
      <c r="CR344" s="25">
        <f t="shared" si="15"/>
        <v>3.0642729336444286E-2</v>
      </c>
      <c r="CS344" s="21">
        <f t="shared" si="16"/>
        <v>76.606823341110712</v>
      </c>
    </row>
    <row r="345" spans="2:97" x14ac:dyDescent="0.35">
      <c r="B345" t="s">
        <v>296</v>
      </c>
      <c r="C345" t="s">
        <v>1652</v>
      </c>
      <c r="D345" t="s">
        <v>395</v>
      </c>
      <c r="E345" t="s">
        <v>395</v>
      </c>
      <c r="F345" t="s">
        <v>396</v>
      </c>
      <c r="G345" t="s">
        <v>397</v>
      </c>
      <c r="H345" t="s">
        <v>398</v>
      </c>
      <c r="I345" t="s">
        <v>399</v>
      </c>
      <c r="J345" t="s">
        <v>749</v>
      </c>
      <c r="K345" t="s">
        <v>1142</v>
      </c>
      <c r="L345" t="s">
        <v>787</v>
      </c>
      <c r="M345" t="s">
        <v>403</v>
      </c>
      <c r="N345">
        <v>2</v>
      </c>
      <c r="O345">
        <v>2</v>
      </c>
      <c r="P345" t="s">
        <v>1653</v>
      </c>
      <c r="Q345" t="s">
        <v>430</v>
      </c>
      <c r="R345" t="s">
        <v>1654</v>
      </c>
      <c r="S345" t="s">
        <v>1655</v>
      </c>
      <c r="T345" t="s">
        <v>408</v>
      </c>
      <c r="U345">
        <v>50950081518</v>
      </c>
      <c r="W345">
        <v>18000</v>
      </c>
      <c r="X345" t="s">
        <v>409</v>
      </c>
      <c r="Y345" t="s">
        <v>410</v>
      </c>
      <c r="Z345" t="s">
        <v>410</v>
      </c>
      <c r="AA345" t="s">
        <v>411</v>
      </c>
      <c r="AB345" t="s">
        <v>554</v>
      </c>
      <c r="AC345" t="s">
        <v>411</v>
      </c>
      <c r="AD345">
        <v>46097</v>
      </c>
      <c r="AE345">
        <v>46167</v>
      </c>
      <c r="AF345">
        <v>46099</v>
      </c>
      <c r="AG345" t="s">
        <v>754</v>
      </c>
      <c r="AH345">
        <v>6141457</v>
      </c>
      <c r="AI345">
        <v>46094</v>
      </c>
      <c r="AJ345">
        <v>46095</v>
      </c>
      <c r="AK345">
        <v>18000</v>
      </c>
      <c r="AL345" t="s">
        <v>396</v>
      </c>
      <c r="AM345" t="s">
        <v>1656</v>
      </c>
      <c r="AN345">
        <v>46095</v>
      </c>
      <c r="AO345">
        <v>46095.389189814814</v>
      </c>
      <c r="AP345" t="s">
        <v>51</v>
      </c>
      <c r="AQ345">
        <v>4.6609999999999999E-2</v>
      </c>
      <c r="AR345">
        <v>838.98</v>
      </c>
      <c r="AS345" t="s">
        <v>51</v>
      </c>
      <c r="AT345">
        <v>838.98</v>
      </c>
      <c r="AU345" t="s">
        <v>415</v>
      </c>
      <c r="AV345" t="s">
        <v>557</v>
      </c>
      <c r="AW345" t="s">
        <v>1272</v>
      </c>
      <c r="AX345">
        <v>46099</v>
      </c>
      <c r="AY345">
        <v>46148</v>
      </c>
      <c r="AZ345" t="s">
        <v>1636</v>
      </c>
      <c r="BA345" t="s">
        <v>560</v>
      </c>
      <c r="BB345" t="s">
        <v>1637</v>
      </c>
      <c r="BC345">
        <v>9000</v>
      </c>
      <c r="BD345" t="s">
        <v>521</v>
      </c>
      <c r="BE345">
        <v>473.2</v>
      </c>
      <c r="BF345">
        <v>452.7</v>
      </c>
      <c r="BG345" t="s">
        <v>522</v>
      </c>
      <c r="BH345">
        <v>1050</v>
      </c>
      <c r="BI345">
        <v>480</v>
      </c>
      <c r="BJ345">
        <v>460</v>
      </c>
      <c r="BK345">
        <v>1</v>
      </c>
      <c r="BL345" t="s">
        <v>521</v>
      </c>
      <c r="BM345">
        <v>473.20010000000002</v>
      </c>
      <c r="BN345">
        <v>452.7</v>
      </c>
      <c r="BO345">
        <v>946.40020000000004</v>
      </c>
      <c r="BP345" t="s">
        <v>522</v>
      </c>
      <c r="BQ345">
        <v>1050</v>
      </c>
      <c r="BR345">
        <v>480</v>
      </c>
      <c r="BS345">
        <v>480</v>
      </c>
      <c r="BT345">
        <v>2</v>
      </c>
      <c r="BU345">
        <v>0</v>
      </c>
      <c r="BV345">
        <v>2</v>
      </c>
      <c r="BW345">
        <v>2</v>
      </c>
      <c r="BX345">
        <v>0</v>
      </c>
      <c r="BY345">
        <v>2</v>
      </c>
      <c r="BZ345">
        <v>18000</v>
      </c>
      <c r="CA345">
        <v>0</v>
      </c>
      <c r="CB345">
        <v>18000</v>
      </c>
      <c r="CC345">
        <v>905.4</v>
      </c>
      <c r="CD345" t="s">
        <v>641</v>
      </c>
      <c r="CE345" t="s">
        <v>1147</v>
      </c>
      <c r="CG345" t="s">
        <v>421</v>
      </c>
      <c r="CN345" t="str">
        <v>M45</v>
      </c>
      <c r="CO345" t="str">
        <v>1100-12B0008EN</v>
      </c>
      <c r="CP345" t="str">
        <v>MEDU4556686</v>
      </c>
      <c r="CQ345" s="23">
        <v>905.65920000000006</v>
      </c>
      <c r="CR345" s="25">
        <f t="shared" si="15"/>
        <v>6.0106451070495601E-2</v>
      </c>
      <c r="CS345" s="21">
        <f t="shared" si="16"/>
        <v>150.26612767623899</v>
      </c>
    </row>
    <row r="346" spans="2:97" x14ac:dyDescent="0.35">
      <c r="B346" t="s">
        <v>296</v>
      </c>
      <c r="C346" t="s">
        <v>1568</v>
      </c>
      <c r="D346" t="s">
        <v>395</v>
      </c>
      <c r="E346" t="s">
        <v>395</v>
      </c>
      <c r="F346" t="s">
        <v>396</v>
      </c>
      <c r="G346" t="s">
        <v>397</v>
      </c>
      <c r="H346" t="s">
        <v>398</v>
      </c>
      <c r="I346" t="s">
        <v>399</v>
      </c>
      <c r="J346" t="s">
        <v>749</v>
      </c>
      <c r="K346" t="s">
        <v>1142</v>
      </c>
      <c r="L346" t="s">
        <v>787</v>
      </c>
      <c r="M346" t="s">
        <v>403</v>
      </c>
      <c r="N346">
        <v>5</v>
      </c>
      <c r="O346">
        <v>1</v>
      </c>
      <c r="P346" t="s">
        <v>1143</v>
      </c>
      <c r="Q346" t="s">
        <v>424</v>
      </c>
      <c r="R346" t="s">
        <v>1144</v>
      </c>
      <c r="S346" t="s">
        <v>1145</v>
      </c>
      <c r="T346" t="s">
        <v>408</v>
      </c>
      <c r="U346">
        <v>50950081520</v>
      </c>
      <c r="W346">
        <v>9000</v>
      </c>
      <c r="X346" t="s">
        <v>409</v>
      </c>
      <c r="Y346" t="s">
        <v>410</v>
      </c>
      <c r="Z346" t="s">
        <v>410</v>
      </c>
      <c r="AA346" t="s">
        <v>411</v>
      </c>
      <c r="AB346" t="s">
        <v>554</v>
      </c>
      <c r="AC346" t="s">
        <v>411</v>
      </c>
      <c r="AD346">
        <v>46097</v>
      </c>
      <c r="AE346">
        <v>46167</v>
      </c>
      <c r="AF346">
        <v>46099</v>
      </c>
      <c r="AG346" t="s">
        <v>754</v>
      </c>
      <c r="AH346">
        <v>6141458</v>
      </c>
      <c r="AI346">
        <v>46094</v>
      </c>
      <c r="AJ346">
        <v>46095</v>
      </c>
      <c r="AK346">
        <v>9000</v>
      </c>
      <c r="AL346" t="s">
        <v>396</v>
      </c>
      <c r="AM346" t="s">
        <v>1657</v>
      </c>
      <c r="AN346">
        <v>46095</v>
      </c>
      <c r="AO346">
        <v>46095.389189814814</v>
      </c>
      <c r="AP346" t="s">
        <v>51</v>
      </c>
      <c r="AQ346">
        <v>0.15309</v>
      </c>
      <c r="AR346">
        <v>1377.81</v>
      </c>
      <c r="AS346" t="s">
        <v>51</v>
      </c>
      <c r="AT346">
        <v>1377.81</v>
      </c>
      <c r="AU346" t="s">
        <v>415</v>
      </c>
      <c r="AV346" t="s">
        <v>557</v>
      </c>
      <c r="AW346" t="s">
        <v>1272</v>
      </c>
      <c r="AX346">
        <v>46099</v>
      </c>
      <c r="AY346">
        <v>46148</v>
      </c>
      <c r="AZ346" t="s">
        <v>1636</v>
      </c>
      <c r="BA346" t="s">
        <v>560</v>
      </c>
      <c r="BB346" t="s">
        <v>1637</v>
      </c>
      <c r="BC346">
        <v>9000</v>
      </c>
      <c r="BD346" t="s">
        <v>521</v>
      </c>
      <c r="BE346">
        <v>382.048</v>
      </c>
      <c r="BF346">
        <v>361.548</v>
      </c>
      <c r="BG346" t="s">
        <v>522</v>
      </c>
      <c r="BH346">
        <v>1050</v>
      </c>
      <c r="BI346">
        <v>480</v>
      </c>
      <c r="BJ346">
        <v>460</v>
      </c>
      <c r="BK346">
        <v>1</v>
      </c>
      <c r="BL346" t="s">
        <v>521</v>
      </c>
      <c r="BM346">
        <v>382.04809999999998</v>
      </c>
      <c r="BN346">
        <v>361.548</v>
      </c>
      <c r="BO346">
        <v>382.04809999999998</v>
      </c>
      <c r="BP346" t="s">
        <v>522</v>
      </c>
      <c r="BQ346">
        <v>1050</v>
      </c>
      <c r="BR346">
        <v>480</v>
      </c>
      <c r="BS346">
        <v>480</v>
      </c>
      <c r="BT346">
        <v>1</v>
      </c>
      <c r="BU346">
        <v>0</v>
      </c>
      <c r="BV346">
        <v>1</v>
      </c>
      <c r="BW346">
        <v>1</v>
      </c>
      <c r="BX346">
        <v>0</v>
      </c>
      <c r="BY346">
        <v>1</v>
      </c>
      <c r="BZ346">
        <v>9000</v>
      </c>
      <c r="CA346">
        <v>0</v>
      </c>
      <c r="CB346">
        <v>9000</v>
      </c>
      <c r="CC346">
        <v>361.548</v>
      </c>
      <c r="CD346" t="s">
        <v>641</v>
      </c>
      <c r="CE346" t="s">
        <v>1147</v>
      </c>
      <c r="CG346" t="s">
        <v>421</v>
      </c>
      <c r="CN346" t="str">
        <v>M45</v>
      </c>
      <c r="CO346" t="str">
        <v>1346-12C0011EN</v>
      </c>
      <c r="CP346" t="str">
        <v>MEDU4556686</v>
      </c>
      <c r="CQ346" s="23">
        <v>787.54700000000003</v>
      </c>
      <c r="CR346" s="25">
        <f t="shared" si="15"/>
        <v>5.2267624754671067E-2</v>
      </c>
      <c r="CS346" s="21">
        <f t="shared" si="16"/>
        <v>130.66906188667767</v>
      </c>
    </row>
    <row r="347" spans="2:97" x14ac:dyDescent="0.35">
      <c r="B347" t="s">
        <v>298</v>
      </c>
      <c r="C347" t="s">
        <v>1658</v>
      </c>
      <c r="D347" t="s">
        <v>395</v>
      </c>
      <c r="E347" t="s">
        <v>395</v>
      </c>
      <c r="F347" t="s">
        <v>396</v>
      </c>
      <c r="G347" t="s">
        <v>397</v>
      </c>
      <c r="H347" t="s">
        <v>398</v>
      </c>
      <c r="I347" t="s">
        <v>399</v>
      </c>
      <c r="J347" t="s">
        <v>749</v>
      </c>
      <c r="K347" t="s">
        <v>845</v>
      </c>
      <c r="L347" t="s">
        <v>787</v>
      </c>
      <c r="M347" t="s">
        <v>403</v>
      </c>
      <c r="N347">
        <v>1</v>
      </c>
      <c r="O347">
        <v>1</v>
      </c>
      <c r="P347" t="s">
        <v>1659</v>
      </c>
      <c r="Q347" t="s">
        <v>645</v>
      </c>
      <c r="R347" t="s">
        <v>1660</v>
      </c>
      <c r="S347" t="s">
        <v>1661</v>
      </c>
      <c r="T347" t="s">
        <v>408</v>
      </c>
      <c r="U347">
        <v>50950081570</v>
      </c>
      <c r="W347">
        <v>6720</v>
      </c>
      <c r="X347" t="s">
        <v>409</v>
      </c>
      <c r="Y347" t="s">
        <v>410</v>
      </c>
      <c r="Z347" t="s">
        <v>410</v>
      </c>
      <c r="AA347" t="s">
        <v>411</v>
      </c>
      <c r="AB347" t="s">
        <v>554</v>
      </c>
      <c r="AC347" t="s">
        <v>411</v>
      </c>
      <c r="AD347">
        <v>46088</v>
      </c>
      <c r="AE347">
        <v>46146</v>
      </c>
      <c r="AF347">
        <v>46099</v>
      </c>
      <c r="AG347" t="s">
        <v>754</v>
      </c>
      <c r="AH347">
        <v>6141459</v>
      </c>
      <c r="AI347">
        <v>46094</v>
      </c>
      <c r="AJ347">
        <v>46095</v>
      </c>
      <c r="AK347">
        <v>6720</v>
      </c>
      <c r="AL347" t="s">
        <v>396</v>
      </c>
      <c r="AM347" t="s">
        <v>1662</v>
      </c>
      <c r="AN347">
        <v>46095</v>
      </c>
      <c r="AO347">
        <v>46095.389189814814</v>
      </c>
      <c r="AP347" t="s">
        <v>51</v>
      </c>
      <c r="AQ347">
        <v>0.14412</v>
      </c>
      <c r="AR347">
        <v>968.49</v>
      </c>
      <c r="AS347" t="s">
        <v>51</v>
      </c>
      <c r="AT347">
        <v>968.49</v>
      </c>
      <c r="AU347" t="s">
        <v>415</v>
      </c>
      <c r="AV347" t="s">
        <v>557</v>
      </c>
      <c r="AW347" t="s">
        <v>1272</v>
      </c>
      <c r="AX347">
        <v>46099</v>
      </c>
      <c r="AY347">
        <v>46148</v>
      </c>
      <c r="AZ347" t="s">
        <v>1636</v>
      </c>
      <c r="BA347" t="s">
        <v>560</v>
      </c>
      <c r="BB347" t="s">
        <v>1637</v>
      </c>
      <c r="BC347">
        <v>120</v>
      </c>
      <c r="BD347" t="s">
        <v>521</v>
      </c>
      <c r="BE347">
        <v>10.915699999999999</v>
      </c>
      <c r="BF347">
        <v>9.0157000000000007</v>
      </c>
      <c r="BG347" t="s">
        <v>522</v>
      </c>
      <c r="BH347">
        <v>395</v>
      </c>
      <c r="BI347">
        <v>295</v>
      </c>
      <c r="BJ347">
        <v>220</v>
      </c>
      <c r="BK347">
        <v>32</v>
      </c>
      <c r="BL347" t="s">
        <v>521</v>
      </c>
      <c r="BM347">
        <v>374.30239999999998</v>
      </c>
      <c r="BN347">
        <v>288.50240000000002</v>
      </c>
      <c r="BO347">
        <v>661.28031999999996</v>
      </c>
      <c r="BP347" t="s">
        <v>522</v>
      </c>
      <c r="BQ347">
        <v>1200</v>
      </c>
      <c r="BR347">
        <v>800</v>
      </c>
      <c r="BS347">
        <v>1040</v>
      </c>
      <c r="BT347">
        <v>1</v>
      </c>
      <c r="BU347">
        <v>1</v>
      </c>
      <c r="BV347">
        <v>2</v>
      </c>
      <c r="BW347">
        <v>56</v>
      </c>
      <c r="BX347">
        <v>0</v>
      </c>
      <c r="BY347">
        <v>56</v>
      </c>
      <c r="BZ347">
        <v>3840</v>
      </c>
      <c r="CA347">
        <v>2880</v>
      </c>
      <c r="CB347">
        <v>6720</v>
      </c>
      <c r="CC347">
        <v>504.88031999999998</v>
      </c>
      <c r="CD347" t="s">
        <v>1000</v>
      </c>
      <c r="CE347" t="s">
        <v>1663</v>
      </c>
      <c r="CG347" t="s">
        <v>421</v>
      </c>
      <c r="CN347" t="str">
        <v>M19</v>
      </c>
      <c r="CO347" t="str">
        <v>1330-5YY0182EN</v>
      </c>
      <c r="CP347" t="str">
        <v>MEDU4556686</v>
      </c>
      <c r="CQ347" s="23">
        <v>1405.0848000000001</v>
      </c>
      <c r="CR347" s="25">
        <f t="shared" si="15"/>
        <v>9.3252142506913299E-2</v>
      </c>
      <c r="CS347" s="21">
        <f t="shared" si="16"/>
        <v>233.13035626728325</v>
      </c>
    </row>
    <row r="348" spans="2:97" x14ac:dyDescent="0.35">
      <c r="B348" t="s">
        <v>297</v>
      </c>
      <c r="C348" t="s">
        <v>1182</v>
      </c>
      <c r="D348" t="s">
        <v>395</v>
      </c>
      <c r="E348" t="s">
        <v>395</v>
      </c>
      <c r="F348" t="s">
        <v>396</v>
      </c>
      <c r="G348" t="s">
        <v>397</v>
      </c>
      <c r="H348" t="s">
        <v>398</v>
      </c>
      <c r="I348" t="s">
        <v>399</v>
      </c>
      <c r="J348" t="s">
        <v>400</v>
      </c>
      <c r="K348" t="s">
        <v>401</v>
      </c>
      <c r="L348" t="s">
        <v>402</v>
      </c>
      <c r="M348" t="s">
        <v>403</v>
      </c>
      <c r="N348">
        <v>1</v>
      </c>
      <c r="O348">
        <v>1</v>
      </c>
      <c r="P348" t="s">
        <v>1183</v>
      </c>
      <c r="Q348" t="s">
        <v>637</v>
      </c>
      <c r="R348" t="s">
        <v>1184</v>
      </c>
      <c r="S348" t="s">
        <v>1185</v>
      </c>
      <c r="T348" t="s">
        <v>408</v>
      </c>
      <c r="U348">
        <v>50950080804</v>
      </c>
      <c r="W348">
        <v>201600</v>
      </c>
      <c r="X348" t="s">
        <v>409</v>
      </c>
      <c r="Y348" t="s">
        <v>410</v>
      </c>
      <c r="Z348" t="s">
        <v>410</v>
      </c>
      <c r="AA348" t="s">
        <v>411</v>
      </c>
      <c r="AB348" t="s">
        <v>412</v>
      </c>
      <c r="AC348" t="s">
        <v>411</v>
      </c>
      <c r="AD348">
        <v>46097</v>
      </c>
      <c r="AE348">
        <v>46153</v>
      </c>
      <c r="AF348">
        <v>46104</v>
      </c>
      <c r="AG348" t="s">
        <v>413</v>
      </c>
      <c r="AH348">
        <v>6145651</v>
      </c>
      <c r="AI348">
        <v>46097</v>
      </c>
      <c r="AJ348">
        <v>46097</v>
      </c>
      <c r="AK348">
        <v>201600</v>
      </c>
      <c r="AL348" t="s">
        <v>396</v>
      </c>
      <c r="AM348" t="s">
        <v>1664</v>
      </c>
      <c r="AN348">
        <v>46097</v>
      </c>
      <c r="AO348">
        <v>46097.676527777781</v>
      </c>
      <c r="AP348" t="s">
        <v>51</v>
      </c>
      <c r="AQ348">
        <v>6.0920000000000002E-2</v>
      </c>
      <c r="AR348">
        <v>12281.47</v>
      </c>
      <c r="AS348" t="s">
        <v>51</v>
      </c>
      <c r="AT348">
        <v>12281.47</v>
      </c>
      <c r="AU348" t="s">
        <v>415</v>
      </c>
      <c r="AV348" t="s">
        <v>772</v>
      </c>
      <c r="AW348" t="s">
        <v>1665</v>
      </c>
      <c r="AX348">
        <v>46107</v>
      </c>
      <c r="AY348">
        <v>46156</v>
      </c>
      <c r="AZ348" t="s">
        <v>1666</v>
      </c>
      <c r="BA348" t="s">
        <v>419</v>
      </c>
      <c r="BB348" t="s">
        <v>1667</v>
      </c>
      <c r="BE348">
        <v>0</v>
      </c>
      <c r="BF348">
        <v>0</v>
      </c>
      <c r="BM348">
        <v>0</v>
      </c>
      <c r="BN348">
        <v>0</v>
      </c>
      <c r="BO348">
        <v>20.159996717005907</v>
      </c>
      <c r="CG348" t="s">
        <v>421</v>
      </c>
      <c r="CN348" t="str">
        <v>M19</v>
      </c>
      <c r="CO348" t="str">
        <v>1330-5YY0176EN</v>
      </c>
      <c r="CP348" t="str">
        <v>MEDU4556686</v>
      </c>
      <c r="CQ348" s="23">
        <v>547.50720000000001</v>
      </c>
      <c r="CR348" s="25">
        <f t="shared" si="15"/>
        <v>3.6336753082775557E-2</v>
      </c>
      <c r="CS348" s="21">
        <f t="shared" si="16"/>
        <v>90.84188270693889</v>
      </c>
    </row>
    <row r="349" spans="2:97" x14ac:dyDescent="0.35">
      <c r="B349" t="s">
        <v>297</v>
      </c>
      <c r="C349" t="s">
        <v>422</v>
      </c>
      <c r="D349" t="s">
        <v>395</v>
      </c>
      <c r="E349" t="s">
        <v>395</v>
      </c>
      <c r="F349" t="s">
        <v>396</v>
      </c>
      <c r="G349" t="s">
        <v>397</v>
      </c>
      <c r="H349" t="s">
        <v>398</v>
      </c>
      <c r="I349" t="s">
        <v>399</v>
      </c>
      <c r="J349" t="s">
        <v>400</v>
      </c>
      <c r="K349" t="s">
        <v>401</v>
      </c>
      <c r="L349" t="s">
        <v>402</v>
      </c>
      <c r="M349" t="s">
        <v>403</v>
      </c>
      <c r="N349">
        <v>2</v>
      </c>
      <c r="O349">
        <v>1</v>
      </c>
      <c r="P349" t="s">
        <v>423</v>
      </c>
      <c r="Q349" t="s">
        <v>424</v>
      </c>
      <c r="R349" t="s">
        <v>425</v>
      </c>
      <c r="S349" t="s">
        <v>426</v>
      </c>
      <c r="T349" t="s">
        <v>408</v>
      </c>
      <c r="U349">
        <v>50950080808</v>
      </c>
      <c r="W349">
        <v>50000</v>
      </c>
      <c r="X349" t="s">
        <v>409</v>
      </c>
      <c r="Y349" t="s">
        <v>410</v>
      </c>
      <c r="Z349" t="s">
        <v>410</v>
      </c>
      <c r="AA349" t="s">
        <v>411</v>
      </c>
      <c r="AB349" t="s">
        <v>412</v>
      </c>
      <c r="AC349" t="s">
        <v>411</v>
      </c>
      <c r="AD349">
        <v>46097</v>
      </c>
      <c r="AE349">
        <v>46153</v>
      </c>
      <c r="AF349">
        <v>46104</v>
      </c>
      <c r="AG349" t="s">
        <v>413</v>
      </c>
      <c r="AH349">
        <v>6145649</v>
      </c>
      <c r="AI349">
        <v>46097</v>
      </c>
      <c r="AJ349">
        <v>46097</v>
      </c>
      <c r="AK349">
        <v>50000</v>
      </c>
      <c r="AL349" t="s">
        <v>396</v>
      </c>
      <c r="AM349" t="s">
        <v>1668</v>
      </c>
      <c r="AN349">
        <v>46097</v>
      </c>
      <c r="AO349">
        <v>46097.676527777781</v>
      </c>
      <c r="AP349" t="s">
        <v>51</v>
      </c>
      <c r="AQ349">
        <v>2.018E-2</v>
      </c>
      <c r="AR349">
        <v>1009</v>
      </c>
      <c r="AS349" t="s">
        <v>51</v>
      </c>
      <c r="AT349">
        <v>1009</v>
      </c>
      <c r="AU349" t="s">
        <v>415</v>
      </c>
      <c r="AV349" t="s">
        <v>772</v>
      </c>
      <c r="AW349" t="s">
        <v>1665</v>
      </c>
      <c r="AX349">
        <v>46107</v>
      </c>
      <c r="AY349">
        <v>46156</v>
      </c>
      <c r="AZ349" t="s">
        <v>1666</v>
      </c>
      <c r="BA349" t="s">
        <v>419</v>
      </c>
      <c r="BB349" t="s">
        <v>1667</v>
      </c>
      <c r="BE349">
        <v>0</v>
      </c>
      <c r="BF349">
        <v>0</v>
      </c>
      <c r="BM349">
        <v>0</v>
      </c>
      <c r="BN349">
        <v>0</v>
      </c>
      <c r="BO349">
        <v>20</v>
      </c>
      <c r="CG349" t="s">
        <v>421</v>
      </c>
      <c r="CN349" t="str">
        <v>M45</v>
      </c>
      <c r="CO349" t="str">
        <v>AYSP61AS981EN</v>
      </c>
      <c r="CP349" t="str">
        <v>MEDU4556686</v>
      </c>
      <c r="CQ349" s="23">
        <v>788.60019999999997</v>
      </c>
      <c r="CR349" s="25">
        <f t="shared" si="15"/>
        <v>5.2337523138375933E-2</v>
      </c>
      <c r="CS349" s="21">
        <f t="shared" si="16"/>
        <v>130.84380784593984</v>
      </c>
    </row>
    <row r="350" spans="2:97" x14ac:dyDescent="0.35">
      <c r="B350" t="s">
        <v>297</v>
      </c>
      <c r="C350" t="s">
        <v>1669</v>
      </c>
      <c r="D350" t="s">
        <v>395</v>
      </c>
      <c r="E350" t="s">
        <v>395</v>
      </c>
      <c r="F350" t="s">
        <v>396</v>
      </c>
      <c r="G350" t="s">
        <v>397</v>
      </c>
      <c r="H350" t="s">
        <v>398</v>
      </c>
      <c r="I350" t="s">
        <v>399</v>
      </c>
      <c r="J350" t="s">
        <v>400</v>
      </c>
      <c r="K350" t="s">
        <v>401</v>
      </c>
      <c r="L350" t="s">
        <v>402</v>
      </c>
      <c r="M350" t="s">
        <v>403</v>
      </c>
      <c r="N350">
        <v>2</v>
      </c>
      <c r="O350">
        <v>1</v>
      </c>
      <c r="P350" t="s">
        <v>1670</v>
      </c>
      <c r="Q350" t="s">
        <v>645</v>
      </c>
      <c r="R350" t="s">
        <v>1671</v>
      </c>
      <c r="S350" t="s">
        <v>440</v>
      </c>
      <c r="T350" t="s">
        <v>408</v>
      </c>
      <c r="U350">
        <v>50950080809</v>
      </c>
      <c r="W350">
        <v>117450</v>
      </c>
      <c r="X350" t="s">
        <v>409</v>
      </c>
      <c r="Y350" t="s">
        <v>410</v>
      </c>
      <c r="Z350" t="s">
        <v>410</v>
      </c>
      <c r="AA350" t="s">
        <v>411</v>
      </c>
      <c r="AB350" t="s">
        <v>412</v>
      </c>
      <c r="AC350" t="s">
        <v>411</v>
      </c>
      <c r="AD350">
        <v>46097</v>
      </c>
      <c r="AE350">
        <v>46153</v>
      </c>
      <c r="AF350">
        <v>46104</v>
      </c>
      <c r="AG350" t="s">
        <v>413</v>
      </c>
      <c r="AH350">
        <v>6145652</v>
      </c>
      <c r="AI350">
        <v>46097</v>
      </c>
      <c r="AJ350">
        <v>46097</v>
      </c>
      <c r="AK350">
        <v>117450</v>
      </c>
      <c r="AL350" t="s">
        <v>396</v>
      </c>
      <c r="AM350" t="s">
        <v>1672</v>
      </c>
      <c r="AN350">
        <v>46097</v>
      </c>
      <c r="AO350">
        <v>46097.676527777781</v>
      </c>
      <c r="AP350" t="s">
        <v>51</v>
      </c>
      <c r="AQ350">
        <v>3.073E-2</v>
      </c>
      <c r="AR350">
        <v>3609.24</v>
      </c>
      <c r="AS350" t="s">
        <v>51</v>
      </c>
      <c r="AT350">
        <v>3609.24</v>
      </c>
      <c r="AU350" t="s">
        <v>415</v>
      </c>
      <c r="AV350" t="s">
        <v>772</v>
      </c>
      <c r="AW350" t="s">
        <v>1665</v>
      </c>
      <c r="AX350">
        <v>46107</v>
      </c>
      <c r="AY350">
        <v>46156</v>
      </c>
      <c r="AZ350" t="s">
        <v>1666</v>
      </c>
      <c r="BA350" t="s">
        <v>419</v>
      </c>
      <c r="BB350" t="s">
        <v>1667</v>
      </c>
      <c r="BE350">
        <v>0</v>
      </c>
      <c r="BF350">
        <v>0</v>
      </c>
      <c r="BM350">
        <v>0</v>
      </c>
      <c r="BN350">
        <v>0</v>
      </c>
      <c r="BO350">
        <v>1500</v>
      </c>
      <c r="CG350" t="s">
        <v>421</v>
      </c>
      <c r="CN350" t="str">
        <v>M01</v>
      </c>
      <c r="CO350" t="str">
        <v>1277-1030086EN</v>
      </c>
      <c r="CP350" t="str">
        <v>MEDU4556686</v>
      </c>
      <c r="CQ350" s="23">
        <v>153.06</v>
      </c>
      <c r="CR350" s="25">
        <f t="shared" si="15"/>
        <v>1.0158228835802757E-2</v>
      </c>
      <c r="CS350" s="21">
        <f t="shared" si="16"/>
        <v>25.395572089506892</v>
      </c>
    </row>
    <row r="351" spans="2:97" x14ac:dyDescent="0.35">
      <c r="B351" t="s">
        <v>297</v>
      </c>
      <c r="C351" t="s">
        <v>434</v>
      </c>
      <c r="D351" t="s">
        <v>395</v>
      </c>
      <c r="E351" t="s">
        <v>395</v>
      </c>
      <c r="F351" t="s">
        <v>396</v>
      </c>
      <c r="G351" t="s">
        <v>397</v>
      </c>
      <c r="H351" t="s">
        <v>398</v>
      </c>
      <c r="I351" t="s">
        <v>399</v>
      </c>
      <c r="J351" t="s">
        <v>400</v>
      </c>
      <c r="K351" t="s">
        <v>401</v>
      </c>
      <c r="L351" t="s">
        <v>402</v>
      </c>
      <c r="M351" t="s">
        <v>403</v>
      </c>
      <c r="N351">
        <v>2</v>
      </c>
      <c r="O351">
        <v>1</v>
      </c>
      <c r="P351" t="s">
        <v>435</v>
      </c>
      <c r="Q351" t="s">
        <v>424</v>
      </c>
      <c r="R351" t="s">
        <v>431</v>
      </c>
      <c r="S351" t="s">
        <v>432</v>
      </c>
      <c r="T351" t="s">
        <v>408</v>
      </c>
      <c r="U351">
        <v>50950080817</v>
      </c>
      <c r="W351">
        <v>40000</v>
      </c>
      <c r="X351" t="s">
        <v>409</v>
      </c>
      <c r="Y351" t="s">
        <v>410</v>
      </c>
      <c r="Z351" t="s">
        <v>410</v>
      </c>
      <c r="AA351" t="s">
        <v>411</v>
      </c>
      <c r="AB351" t="s">
        <v>412</v>
      </c>
      <c r="AC351" t="s">
        <v>411</v>
      </c>
      <c r="AD351">
        <v>46097</v>
      </c>
      <c r="AE351">
        <v>46153</v>
      </c>
      <c r="AF351">
        <v>46104</v>
      </c>
      <c r="AG351" t="s">
        <v>413</v>
      </c>
      <c r="AH351">
        <v>6145646</v>
      </c>
      <c r="AI351">
        <v>46097</v>
      </c>
      <c r="AJ351">
        <v>46097</v>
      </c>
      <c r="AK351">
        <v>40000</v>
      </c>
      <c r="AL351" t="s">
        <v>396</v>
      </c>
      <c r="AM351" t="s">
        <v>1673</v>
      </c>
      <c r="AN351">
        <v>46097</v>
      </c>
      <c r="AO351">
        <v>46097.676527777781</v>
      </c>
      <c r="AP351" t="s">
        <v>51</v>
      </c>
      <c r="AQ351">
        <v>5.2150000000000002E-2</v>
      </c>
      <c r="AR351">
        <v>2086</v>
      </c>
      <c r="AS351" t="s">
        <v>51</v>
      </c>
      <c r="AT351">
        <v>2086</v>
      </c>
      <c r="AU351" t="s">
        <v>415</v>
      </c>
      <c r="AV351" t="s">
        <v>772</v>
      </c>
      <c r="AW351" t="s">
        <v>1665</v>
      </c>
      <c r="AX351">
        <v>46107</v>
      </c>
      <c r="AY351">
        <v>46156</v>
      </c>
      <c r="AZ351" t="s">
        <v>1666</v>
      </c>
      <c r="BA351" t="s">
        <v>419</v>
      </c>
      <c r="BB351" t="s">
        <v>1667</v>
      </c>
      <c r="BE351">
        <v>0</v>
      </c>
      <c r="BF351">
        <v>0</v>
      </c>
      <c r="BM351">
        <v>0</v>
      </c>
      <c r="BN351">
        <v>0</v>
      </c>
      <c r="BO351">
        <v>10</v>
      </c>
      <c r="CG351" t="s">
        <v>421</v>
      </c>
      <c r="CN351" t="str">
        <v>M01</v>
      </c>
      <c r="CO351" t="str">
        <v>1301-1030221EN</v>
      </c>
      <c r="CP351" t="str">
        <v>MEDU4556686</v>
      </c>
      <c r="CQ351" s="23">
        <v>291.88</v>
      </c>
      <c r="CR351" s="25">
        <f t="shared" si="15"/>
        <v>1.9371382677342928E-2</v>
      </c>
      <c r="CS351" s="21">
        <f t="shared" si="16"/>
        <v>48.428456693357319</v>
      </c>
    </row>
    <row r="352" spans="2:97" x14ac:dyDescent="0.35">
      <c r="B352" t="s">
        <v>297</v>
      </c>
      <c r="C352" t="s">
        <v>437</v>
      </c>
      <c r="D352" t="s">
        <v>395</v>
      </c>
      <c r="E352" t="s">
        <v>395</v>
      </c>
      <c r="F352" t="s">
        <v>396</v>
      </c>
      <c r="G352" t="s">
        <v>397</v>
      </c>
      <c r="H352" t="s">
        <v>398</v>
      </c>
      <c r="I352" t="s">
        <v>399</v>
      </c>
      <c r="J352" t="s">
        <v>400</v>
      </c>
      <c r="K352" t="s">
        <v>401</v>
      </c>
      <c r="L352" t="s">
        <v>402</v>
      </c>
      <c r="M352" t="s">
        <v>403</v>
      </c>
      <c r="N352">
        <v>6</v>
      </c>
      <c r="O352">
        <v>1</v>
      </c>
      <c r="P352" t="s">
        <v>438</v>
      </c>
      <c r="Q352" t="s">
        <v>424</v>
      </c>
      <c r="R352" t="s">
        <v>439</v>
      </c>
      <c r="S352" t="s">
        <v>440</v>
      </c>
      <c r="T352" t="s">
        <v>408</v>
      </c>
      <c r="U352">
        <v>50950080814</v>
      </c>
      <c r="W352">
        <v>185600</v>
      </c>
      <c r="X352" t="s">
        <v>409</v>
      </c>
      <c r="Y352" t="s">
        <v>410</v>
      </c>
      <c r="Z352" t="s">
        <v>410</v>
      </c>
      <c r="AA352" t="s">
        <v>411</v>
      </c>
      <c r="AB352" t="s">
        <v>412</v>
      </c>
      <c r="AC352" t="s">
        <v>411</v>
      </c>
      <c r="AD352">
        <v>46097</v>
      </c>
      <c r="AE352">
        <v>46153</v>
      </c>
      <c r="AF352">
        <v>46104</v>
      </c>
      <c r="AG352" t="s">
        <v>413</v>
      </c>
      <c r="AH352">
        <v>6145650</v>
      </c>
      <c r="AI352">
        <v>46097</v>
      </c>
      <c r="AJ352">
        <v>46097</v>
      </c>
      <c r="AK352">
        <v>185600</v>
      </c>
      <c r="AL352" t="s">
        <v>396</v>
      </c>
      <c r="AM352" t="s">
        <v>1674</v>
      </c>
      <c r="AN352">
        <v>46097</v>
      </c>
      <c r="AO352">
        <v>46097.676527777781</v>
      </c>
      <c r="AP352" t="s">
        <v>51</v>
      </c>
      <c r="AQ352">
        <v>2.512E-2</v>
      </c>
      <c r="AR352">
        <v>4662.28</v>
      </c>
      <c r="AS352" t="s">
        <v>51</v>
      </c>
      <c r="AT352">
        <v>4662.28</v>
      </c>
      <c r="AU352" t="s">
        <v>415</v>
      </c>
      <c r="AV352" t="s">
        <v>772</v>
      </c>
      <c r="AW352" t="s">
        <v>1665</v>
      </c>
      <c r="AX352">
        <v>46107</v>
      </c>
      <c r="AY352">
        <v>46156</v>
      </c>
      <c r="AZ352" t="s">
        <v>1666</v>
      </c>
      <c r="BA352" t="s">
        <v>419</v>
      </c>
      <c r="BB352" t="s">
        <v>1667</v>
      </c>
      <c r="BE352">
        <v>0</v>
      </c>
      <c r="BF352">
        <v>0</v>
      </c>
      <c r="BM352">
        <v>0</v>
      </c>
      <c r="BN352">
        <v>0</v>
      </c>
      <c r="BO352">
        <v>1500</v>
      </c>
      <c r="CG352" t="s">
        <v>421</v>
      </c>
      <c r="CN352" t="str">
        <v>M01</v>
      </c>
      <c r="CO352" t="str">
        <v>1458-1030121EN</v>
      </c>
      <c r="CP352" t="str">
        <v>MEDU4556686</v>
      </c>
      <c r="CQ352" s="23">
        <v>311.44080000000002</v>
      </c>
      <c r="CR352" s="25">
        <f t="shared" si="15"/>
        <v>2.0669586536034755E-2</v>
      </c>
      <c r="CS352" s="21">
        <f t="shared" si="16"/>
        <v>51.673966340086885</v>
      </c>
    </row>
    <row r="353" spans="2:97" x14ac:dyDescent="0.35">
      <c r="B353" t="s">
        <v>297</v>
      </c>
      <c r="C353" t="s">
        <v>1675</v>
      </c>
      <c r="D353" t="s">
        <v>395</v>
      </c>
      <c r="E353" t="s">
        <v>395</v>
      </c>
      <c r="F353" t="s">
        <v>396</v>
      </c>
      <c r="G353" t="s">
        <v>397</v>
      </c>
      <c r="H353" t="s">
        <v>398</v>
      </c>
      <c r="I353" t="s">
        <v>399</v>
      </c>
      <c r="J353" t="s">
        <v>400</v>
      </c>
      <c r="K353" t="s">
        <v>401</v>
      </c>
      <c r="L353" t="s">
        <v>402</v>
      </c>
      <c r="M353" t="s">
        <v>403</v>
      </c>
      <c r="N353">
        <v>1</v>
      </c>
      <c r="O353">
        <v>1</v>
      </c>
      <c r="P353" t="s">
        <v>1676</v>
      </c>
      <c r="Q353" t="s">
        <v>430</v>
      </c>
      <c r="R353" t="s">
        <v>431</v>
      </c>
      <c r="S353" t="s">
        <v>432</v>
      </c>
      <c r="T353" t="s">
        <v>408</v>
      </c>
      <c r="U353">
        <v>50950081513</v>
      </c>
      <c r="W353">
        <v>50000</v>
      </c>
      <c r="X353" t="s">
        <v>409</v>
      </c>
      <c r="Y353" t="s">
        <v>410</v>
      </c>
      <c r="Z353" t="s">
        <v>410</v>
      </c>
      <c r="AA353" t="s">
        <v>411</v>
      </c>
      <c r="AB353" t="s">
        <v>412</v>
      </c>
      <c r="AC353" t="s">
        <v>411</v>
      </c>
      <c r="AD353">
        <v>46098</v>
      </c>
      <c r="AE353">
        <v>46153</v>
      </c>
      <c r="AF353">
        <v>46104</v>
      </c>
      <c r="AG353" t="s">
        <v>413</v>
      </c>
      <c r="AH353">
        <v>6145648</v>
      </c>
      <c r="AI353">
        <v>46097</v>
      </c>
      <c r="AJ353">
        <v>46097</v>
      </c>
      <c r="AK353">
        <v>50000</v>
      </c>
      <c r="AL353" t="s">
        <v>396</v>
      </c>
      <c r="AM353" t="s">
        <v>1677</v>
      </c>
      <c r="AN353">
        <v>46097</v>
      </c>
      <c r="AO353">
        <v>46097.676527777781</v>
      </c>
      <c r="AP353" t="s">
        <v>51</v>
      </c>
      <c r="AQ353">
        <v>3.9410000000000001E-2</v>
      </c>
      <c r="AR353">
        <v>1970.5</v>
      </c>
      <c r="AS353" t="s">
        <v>51</v>
      </c>
      <c r="AT353">
        <v>1970.5</v>
      </c>
      <c r="AU353" t="s">
        <v>415</v>
      </c>
      <c r="AV353" t="s">
        <v>772</v>
      </c>
      <c r="AW353" t="s">
        <v>1665</v>
      </c>
      <c r="AX353">
        <v>46107</v>
      </c>
      <c r="AY353">
        <v>46156</v>
      </c>
      <c r="AZ353" t="s">
        <v>1666</v>
      </c>
      <c r="BA353" t="s">
        <v>419</v>
      </c>
      <c r="BB353" t="s">
        <v>1667</v>
      </c>
      <c r="BE353">
        <v>0</v>
      </c>
      <c r="BF353">
        <v>0</v>
      </c>
      <c r="BM353">
        <v>0</v>
      </c>
      <c r="BN353">
        <v>0</v>
      </c>
      <c r="BO353">
        <v>10</v>
      </c>
      <c r="CG353" t="s">
        <v>421</v>
      </c>
      <c r="CN353" t="str">
        <v>M01</v>
      </c>
      <c r="CO353" t="str">
        <v>1277-1030069EN</v>
      </c>
      <c r="CP353" t="str">
        <v>MEDU4556686</v>
      </c>
      <c r="CQ353" s="23">
        <v>152.58000000000001</v>
      </c>
      <c r="CR353" s="25">
        <f t="shared" si="15"/>
        <v>1.0126372375321996E-2</v>
      </c>
      <c r="CS353" s="21">
        <f t="shared" si="16"/>
        <v>25.315930938304987</v>
      </c>
    </row>
    <row r="354" spans="2:97" x14ac:dyDescent="0.35">
      <c r="B354" t="s">
        <v>297</v>
      </c>
      <c r="C354" t="s">
        <v>1675</v>
      </c>
      <c r="D354" t="s">
        <v>395</v>
      </c>
      <c r="E354" t="s">
        <v>395</v>
      </c>
      <c r="F354" t="s">
        <v>396</v>
      </c>
      <c r="G354" t="s">
        <v>397</v>
      </c>
      <c r="H354" t="s">
        <v>398</v>
      </c>
      <c r="I354" t="s">
        <v>399</v>
      </c>
      <c r="J354" t="s">
        <v>400</v>
      </c>
      <c r="K354" t="s">
        <v>401</v>
      </c>
      <c r="L354" t="s">
        <v>402</v>
      </c>
      <c r="M354" t="s">
        <v>403</v>
      </c>
      <c r="N354">
        <v>2</v>
      </c>
      <c r="O354">
        <v>1</v>
      </c>
      <c r="P354" t="s">
        <v>1676</v>
      </c>
      <c r="Q354" t="s">
        <v>430</v>
      </c>
      <c r="R354" t="s">
        <v>431</v>
      </c>
      <c r="S354" t="s">
        <v>432</v>
      </c>
      <c r="T354" t="s">
        <v>408</v>
      </c>
      <c r="U354">
        <v>50950081513</v>
      </c>
      <c r="W354">
        <v>50000</v>
      </c>
      <c r="X354" t="s">
        <v>409</v>
      </c>
      <c r="Y354" t="s">
        <v>410</v>
      </c>
      <c r="Z354" t="s">
        <v>410</v>
      </c>
      <c r="AA354" t="s">
        <v>411</v>
      </c>
      <c r="AB354" t="s">
        <v>412</v>
      </c>
      <c r="AC354" t="s">
        <v>411</v>
      </c>
      <c r="AD354">
        <v>46098</v>
      </c>
      <c r="AE354">
        <v>46160</v>
      </c>
      <c r="AF354">
        <v>46104</v>
      </c>
      <c r="AG354" t="s">
        <v>413</v>
      </c>
      <c r="AH354">
        <v>6145648</v>
      </c>
      <c r="AI354">
        <v>46097</v>
      </c>
      <c r="AJ354">
        <v>46097</v>
      </c>
      <c r="AK354">
        <v>50000</v>
      </c>
      <c r="AL354" t="s">
        <v>396</v>
      </c>
      <c r="AM354" t="s">
        <v>1677</v>
      </c>
      <c r="AN354">
        <v>46097</v>
      </c>
      <c r="AO354">
        <v>46097.676527777781</v>
      </c>
      <c r="AP354" t="s">
        <v>51</v>
      </c>
      <c r="AQ354">
        <v>3.9410000000000001E-2</v>
      </c>
      <c r="AR354">
        <v>1970.5</v>
      </c>
      <c r="AS354" t="s">
        <v>51</v>
      </c>
      <c r="AT354">
        <v>1970.5</v>
      </c>
      <c r="AU354" t="s">
        <v>415</v>
      </c>
      <c r="AV354" t="s">
        <v>772</v>
      </c>
      <c r="AW354" t="s">
        <v>1665</v>
      </c>
      <c r="AX354">
        <v>46107</v>
      </c>
      <c r="AY354">
        <v>46156</v>
      </c>
      <c r="AZ354" t="s">
        <v>1666</v>
      </c>
      <c r="BA354" t="s">
        <v>419</v>
      </c>
      <c r="BB354" t="s">
        <v>1667</v>
      </c>
      <c r="BE354">
        <v>0</v>
      </c>
      <c r="BF354">
        <v>0</v>
      </c>
      <c r="BM354">
        <v>0</v>
      </c>
      <c r="BN354">
        <v>0</v>
      </c>
      <c r="BO354">
        <v>10</v>
      </c>
      <c r="CG354" t="s">
        <v>421</v>
      </c>
      <c r="CN354" t="str">
        <v>M45</v>
      </c>
      <c r="CO354" t="str">
        <v>AYSP61AS871EN</v>
      </c>
      <c r="CP354" t="str">
        <v>MEDU4556686</v>
      </c>
      <c r="CQ354" s="23">
        <v>473.20010000000002</v>
      </c>
      <c r="CR354" s="25">
        <f t="shared" si="15"/>
        <v>3.1405167260713109E-2</v>
      </c>
      <c r="CS354" s="21">
        <f t="shared" si="16"/>
        <v>78.51291815178277</v>
      </c>
    </row>
    <row r="355" spans="2:97" x14ac:dyDescent="0.35">
      <c r="B355" t="s">
        <v>297</v>
      </c>
      <c r="C355" t="s">
        <v>1678</v>
      </c>
      <c r="D355" t="s">
        <v>395</v>
      </c>
      <c r="E355" t="s">
        <v>395</v>
      </c>
      <c r="F355" t="s">
        <v>396</v>
      </c>
      <c r="G355" t="s">
        <v>397</v>
      </c>
      <c r="H355" t="s">
        <v>398</v>
      </c>
      <c r="I355" t="s">
        <v>399</v>
      </c>
      <c r="J355" t="s">
        <v>400</v>
      </c>
      <c r="K355" t="s">
        <v>401</v>
      </c>
      <c r="L355" t="s">
        <v>402</v>
      </c>
      <c r="M355" t="s">
        <v>403</v>
      </c>
      <c r="N355">
        <v>1</v>
      </c>
      <c r="O355">
        <v>1</v>
      </c>
      <c r="P355" t="s">
        <v>429</v>
      </c>
      <c r="Q355" t="s">
        <v>430</v>
      </c>
      <c r="R355" t="s">
        <v>431</v>
      </c>
      <c r="S355" t="s">
        <v>432</v>
      </c>
      <c r="T355" t="s">
        <v>408</v>
      </c>
      <c r="U355">
        <v>50950081531</v>
      </c>
      <c r="W355">
        <v>50000</v>
      </c>
      <c r="X355" t="s">
        <v>409</v>
      </c>
      <c r="Y355" t="s">
        <v>410</v>
      </c>
      <c r="Z355" t="s">
        <v>410</v>
      </c>
      <c r="AA355" t="s">
        <v>411</v>
      </c>
      <c r="AB355" t="s">
        <v>412</v>
      </c>
      <c r="AC355" t="s">
        <v>411</v>
      </c>
      <c r="AD355">
        <v>46097</v>
      </c>
      <c r="AE355">
        <v>46139</v>
      </c>
      <c r="AF355">
        <v>46104</v>
      </c>
      <c r="AG355" t="s">
        <v>413</v>
      </c>
      <c r="AH355">
        <v>6145647</v>
      </c>
      <c r="AI355">
        <v>46097</v>
      </c>
      <c r="AJ355">
        <v>46097</v>
      </c>
      <c r="AK355">
        <v>50000</v>
      </c>
      <c r="AL355" t="s">
        <v>396</v>
      </c>
      <c r="AM355" t="s">
        <v>1679</v>
      </c>
      <c r="AN355">
        <v>46097</v>
      </c>
      <c r="AO355">
        <v>46097.676527777781</v>
      </c>
      <c r="AP355" t="s">
        <v>51</v>
      </c>
      <c r="AQ355">
        <v>9.4119999999999995E-2</v>
      </c>
      <c r="AR355">
        <v>4706</v>
      </c>
      <c r="AS355" t="s">
        <v>51</v>
      </c>
      <c r="AT355">
        <v>4706</v>
      </c>
      <c r="AU355" t="s">
        <v>415</v>
      </c>
      <c r="AV355" t="s">
        <v>772</v>
      </c>
      <c r="AW355" t="s">
        <v>1665</v>
      </c>
      <c r="AX355">
        <v>46107</v>
      </c>
      <c r="AY355">
        <v>46156</v>
      </c>
      <c r="AZ355" t="s">
        <v>1666</v>
      </c>
      <c r="BA355" t="s">
        <v>419</v>
      </c>
      <c r="BB355" t="s">
        <v>1667</v>
      </c>
      <c r="BE355">
        <v>0</v>
      </c>
      <c r="BF355">
        <v>0</v>
      </c>
      <c r="BM355">
        <v>0</v>
      </c>
      <c r="BN355">
        <v>0</v>
      </c>
      <c r="BO355">
        <v>10</v>
      </c>
      <c r="CG355" t="s">
        <v>421</v>
      </c>
      <c r="CN355" t="str">
        <v>M45</v>
      </c>
      <c r="CO355" t="str">
        <v>1339-12B0009EN</v>
      </c>
      <c r="CP355" t="str">
        <v>MEDU4556686</v>
      </c>
      <c r="CQ355" s="23">
        <v>2553.5037600000001</v>
      </c>
      <c r="CR355" s="25">
        <f t="shared" si="15"/>
        <v>0.16946998253732368</v>
      </c>
      <c r="CS355" s="21">
        <f t="shared" si="16"/>
        <v>423.67495634330919</v>
      </c>
    </row>
    <row r="356" spans="2:97" x14ac:dyDescent="0.35">
      <c r="B356" t="s">
        <v>299</v>
      </c>
      <c r="C356" t="s">
        <v>1680</v>
      </c>
      <c r="D356" t="s">
        <v>395</v>
      </c>
      <c r="E356" t="s">
        <v>395</v>
      </c>
      <c r="F356" t="s">
        <v>396</v>
      </c>
      <c r="G356" t="s">
        <v>397</v>
      </c>
      <c r="H356" t="s">
        <v>454</v>
      </c>
      <c r="I356" t="s">
        <v>399</v>
      </c>
      <c r="J356" t="s">
        <v>400</v>
      </c>
      <c r="K356" t="s">
        <v>455</v>
      </c>
      <c r="L356" t="s">
        <v>456</v>
      </c>
      <c r="M356" t="s">
        <v>403</v>
      </c>
      <c r="N356">
        <v>1</v>
      </c>
      <c r="O356">
        <v>1</v>
      </c>
      <c r="P356" t="s">
        <v>1681</v>
      </c>
      <c r="Q356" t="s">
        <v>424</v>
      </c>
      <c r="R356" t="s">
        <v>458</v>
      </c>
      <c r="S356" t="s">
        <v>1682</v>
      </c>
      <c r="T356" t="s">
        <v>408</v>
      </c>
      <c r="U356">
        <v>50950079516</v>
      </c>
      <c r="W356">
        <v>10000</v>
      </c>
      <c r="X356" t="s">
        <v>409</v>
      </c>
      <c r="Y356" t="s">
        <v>410</v>
      </c>
      <c r="Z356" t="s">
        <v>410</v>
      </c>
      <c r="AA356" t="s">
        <v>411</v>
      </c>
      <c r="AB356" t="s">
        <v>412</v>
      </c>
      <c r="AC356" t="s">
        <v>411</v>
      </c>
      <c r="AD356">
        <v>46097</v>
      </c>
      <c r="AE356">
        <v>46153</v>
      </c>
      <c r="AF356">
        <v>46104</v>
      </c>
      <c r="AG356" t="s">
        <v>460</v>
      </c>
      <c r="AH356">
        <v>6145634</v>
      </c>
      <c r="AI356">
        <v>46097</v>
      </c>
      <c r="AJ356">
        <v>46097</v>
      </c>
      <c r="AK356">
        <v>10000</v>
      </c>
      <c r="AL356" t="s">
        <v>396</v>
      </c>
      <c r="AM356" t="s">
        <v>1683</v>
      </c>
      <c r="AN356">
        <v>46097</v>
      </c>
      <c r="AO356">
        <v>46097.657233796293</v>
      </c>
      <c r="AP356" t="s">
        <v>51</v>
      </c>
      <c r="AQ356">
        <v>3.5150000000000001E-2</v>
      </c>
      <c r="AR356">
        <v>351.5</v>
      </c>
      <c r="AS356" t="s">
        <v>51</v>
      </c>
      <c r="AT356">
        <v>351.5</v>
      </c>
      <c r="AU356" t="s">
        <v>415</v>
      </c>
      <c r="AV356" t="s">
        <v>772</v>
      </c>
      <c r="AW356" t="s">
        <v>1665</v>
      </c>
      <c r="AX356">
        <v>46107</v>
      </c>
      <c r="AY356">
        <v>46156</v>
      </c>
      <c r="AZ356" t="s">
        <v>1666</v>
      </c>
      <c r="BA356" t="s">
        <v>419</v>
      </c>
      <c r="BB356" t="s">
        <v>1667</v>
      </c>
      <c r="BE356">
        <v>0</v>
      </c>
      <c r="BF356">
        <v>0</v>
      </c>
      <c r="BM356">
        <v>0</v>
      </c>
      <c r="BN356">
        <v>0</v>
      </c>
      <c r="BO356">
        <v>100</v>
      </c>
      <c r="CG356" t="s">
        <v>421</v>
      </c>
      <c r="CN356" t="str">
        <v>M45</v>
      </c>
      <c r="CO356" t="str">
        <v>1339-12B0007EN</v>
      </c>
      <c r="CP356" t="str">
        <v>MEDU4556686</v>
      </c>
      <c r="CQ356" s="23">
        <v>3231.1053000000002</v>
      </c>
      <c r="CR356" s="25">
        <f t="shared" si="15"/>
        <v>0.21444078812214243</v>
      </c>
      <c r="CS356" s="21">
        <f t="shared" si="16"/>
        <v>536.10197030535608</v>
      </c>
    </row>
    <row r="357" spans="2:97" x14ac:dyDescent="0.35">
      <c r="B357" t="s">
        <v>299</v>
      </c>
      <c r="C357" t="s">
        <v>1684</v>
      </c>
      <c r="D357" t="s">
        <v>395</v>
      </c>
      <c r="E357" t="s">
        <v>395</v>
      </c>
      <c r="F357" t="s">
        <v>396</v>
      </c>
      <c r="G357" t="s">
        <v>397</v>
      </c>
      <c r="H357" t="s">
        <v>454</v>
      </c>
      <c r="I357" t="s">
        <v>399</v>
      </c>
      <c r="J357" t="s">
        <v>400</v>
      </c>
      <c r="K357" t="s">
        <v>455</v>
      </c>
      <c r="L357" t="s">
        <v>456</v>
      </c>
      <c r="M357" t="s">
        <v>403</v>
      </c>
      <c r="N357">
        <v>1</v>
      </c>
      <c r="O357">
        <v>1</v>
      </c>
      <c r="P357" t="s">
        <v>1685</v>
      </c>
      <c r="Q357" t="s">
        <v>430</v>
      </c>
      <c r="R357" t="s">
        <v>1686</v>
      </c>
      <c r="S357" t="s">
        <v>440</v>
      </c>
      <c r="T357" t="s">
        <v>408</v>
      </c>
      <c r="U357">
        <v>50950080351</v>
      </c>
      <c r="W357">
        <v>28800</v>
      </c>
      <c r="X357" t="s">
        <v>409</v>
      </c>
      <c r="Y357" t="s">
        <v>410</v>
      </c>
      <c r="Z357" t="s">
        <v>410</v>
      </c>
      <c r="AA357" t="s">
        <v>411</v>
      </c>
      <c r="AB357" t="s">
        <v>412</v>
      </c>
      <c r="AC357" t="s">
        <v>411</v>
      </c>
      <c r="AD357">
        <v>46099</v>
      </c>
      <c r="AE357">
        <v>46160</v>
      </c>
      <c r="AF357">
        <v>46104</v>
      </c>
      <c r="AG357" t="s">
        <v>460</v>
      </c>
      <c r="AH357">
        <v>6145641</v>
      </c>
      <c r="AI357">
        <v>46097</v>
      </c>
      <c r="AJ357">
        <v>46097</v>
      </c>
      <c r="AK357">
        <v>28800</v>
      </c>
      <c r="AL357" t="s">
        <v>396</v>
      </c>
      <c r="AM357" t="s">
        <v>1687</v>
      </c>
      <c r="AN357">
        <v>46097</v>
      </c>
      <c r="AO357">
        <v>46097.657233796293</v>
      </c>
      <c r="AP357" t="s">
        <v>51</v>
      </c>
      <c r="AQ357">
        <v>0.10245</v>
      </c>
      <c r="AR357">
        <v>2950.56</v>
      </c>
      <c r="AS357" t="s">
        <v>51</v>
      </c>
      <c r="AT357">
        <v>2950.56</v>
      </c>
      <c r="AU357" t="s">
        <v>415</v>
      </c>
      <c r="AV357" t="s">
        <v>772</v>
      </c>
      <c r="AW357" t="s">
        <v>1665</v>
      </c>
      <c r="AX357">
        <v>46107</v>
      </c>
      <c r="AY357">
        <v>46156</v>
      </c>
      <c r="AZ357" t="s">
        <v>1666</v>
      </c>
      <c r="BA357" t="s">
        <v>419</v>
      </c>
      <c r="BB357" t="s">
        <v>1667</v>
      </c>
      <c r="BE357">
        <v>0</v>
      </c>
      <c r="BF357">
        <v>0</v>
      </c>
      <c r="BM357">
        <v>0</v>
      </c>
      <c r="BN357">
        <v>0</v>
      </c>
      <c r="BO357">
        <v>1500</v>
      </c>
      <c r="CG357" t="s">
        <v>421</v>
      </c>
      <c r="CN357" t="str">
        <v>M19</v>
      </c>
      <c r="CO357" t="str">
        <v>1330-5YY0112EN</v>
      </c>
      <c r="CP357" t="str">
        <v>MEDU4556686</v>
      </c>
      <c r="CQ357" s="23">
        <v>1332.9511199999999</v>
      </c>
      <c r="CR357" s="25">
        <f t="shared" si="15"/>
        <v>8.8464801410555211E-2</v>
      </c>
      <c r="CS357" s="21">
        <f t="shared" si="16"/>
        <v>221.16200352638802</v>
      </c>
    </row>
    <row r="358" spans="2:97" x14ac:dyDescent="0.35">
      <c r="B358" t="s">
        <v>299</v>
      </c>
      <c r="C358" t="s">
        <v>1688</v>
      </c>
      <c r="D358" t="s">
        <v>395</v>
      </c>
      <c r="E358" t="s">
        <v>395</v>
      </c>
      <c r="F358" t="s">
        <v>396</v>
      </c>
      <c r="G358" t="s">
        <v>397</v>
      </c>
      <c r="H358" t="s">
        <v>454</v>
      </c>
      <c r="I358" t="s">
        <v>399</v>
      </c>
      <c r="J358" t="s">
        <v>400</v>
      </c>
      <c r="K358" t="s">
        <v>455</v>
      </c>
      <c r="L358" t="s">
        <v>456</v>
      </c>
      <c r="M358" t="s">
        <v>403</v>
      </c>
      <c r="N358">
        <v>1</v>
      </c>
      <c r="O358">
        <v>1</v>
      </c>
      <c r="P358" t="s">
        <v>1689</v>
      </c>
      <c r="Q358" t="s">
        <v>424</v>
      </c>
      <c r="R358" t="s">
        <v>493</v>
      </c>
      <c r="S358" t="s">
        <v>1690</v>
      </c>
      <c r="T358" t="s">
        <v>408</v>
      </c>
      <c r="U358">
        <v>50950081227</v>
      </c>
      <c r="W358">
        <v>50000</v>
      </c>
      <c r="X358" t="s">
        <v>409</v>
      </c>
      <c r="Y358" t="s">
        <v>410</v>
      </c>
      <c r="Z358" t="s">
        <v>410</v>
      </c>
      <c r="AA358" t="s">
        <v>411</v>
      </c>
      <c r="AB358" t="s">
        <v>412</v>
      </c>
      <c r="AC358" t="s">
        <v>411</v>
      </c>
      <c r="AD358">
        <v>46098</v>
      </c>
      <c r="AE358">
        <v>46153</v>
      </c>
      <c r="AF358">
        <v>46104</v>
      </c>
      <c r="AG358" t="s">
        <v>460</v>
      </c>
      <c r="AH358">
        <v>6145635</v>
      </c>
      <c r="AI358">
        <v>46097</v>
      </c>
      <c r="AJ358">
        <v>46097</v>
      </c>
      <c r="AK358">
        <v>50000</v>
      </c>
      <c r="AL358" t="s">
        <v>396</v>
      </c>
      <c r="AM358" t="s">
        <v>1691</v>
      </c>
      <c r="AN358">
        <v>46097</v>
      </c>
      <c r="AO358">
        <v>46097.657233796293</v>
      </c>
      <c r="AP358" t="s">
        <v>51</v>
      </c>
      <c r="AQ358">
        <v>6.3270000000000007E-2</v>
      </c>
      <c r="AR358">
        <v>3163.5</v>
      </c>
      <c r="AS358" t="s">
        <v>51</v>
      </c>
      <c r="AT358">
        <v>3163.5</v>
      </c>
      <c r="AU358" t="s">
        <v>415</v>
      </c>
      <c r="AV358" t="s">
        <v>772</v>
      </c>
      <c r="AW358" t="s">
        <v>1665</v>
      </c>
      <c r="AX358">
        <v>46107</v>
      </c>
      <c r="AY358">
        <v>46156</v>
      </c>
      <c r="AZ358" t="s">
        <v>1666</v>
      </c>
      <c r="BA358" t="s">
        <v>419</v>
      </c>
      <c r="BB358" t="s">
        <v>1667</v>
      </c>
      <c r="BE358">
        <v>0</v>
      </c>
      <c r="BF358">
        <v>0</v>
      </c>
      <c r="BM358">
        <v>0</v>
      </c>
      <c r="BN358">
        <v>0</v>
      </c>
      <c r="BO358">
        <v>50</v>
      </c>
      <c r="CG358" t="s">
        <v>421</v>
      </c>
      <c r="CN358" t="str">
        <v>M19</v>
      </c>
      <c r="CO358" t="str">
        <v>1108-1YY0106EN</v>
      </c>
      <c r="CP358" t="str">
        <v>MEDU4556686</v>
      </c>
      <c r="CQ358" s="23">
        <v>533.08704</v>
      </c>
      <c r="CR358" s="25">
        <f t="shared" si="15"/>
        <v>3.5379721297012529E-2</v>
      </c>
      <c r="CS358" s="21">
        <f t="shared" si="16"/>
        <v>88.449303242531315</v>
      </c>
    </row>
    <row r="359" spans="2:97" x14ac:dyDescent="0.35">
      <c r="B359" t="s">
        <v>299</v>
      </c>
      <c r="C359" t="s">
        <v>1692</v>
      </c>
      <c r="D359" t="s">
        <v>395</v>
      </c>
      <c r="E359" t="s">
        <v>395</v>
      </c>
      <c r="F359" t="s">
        <v>396</v>
      </c>
      <c r="G359" t="s">
        <v>397</v>
      </c>
      <c r="H359" t="s">
        <v>454</v>
      </c>
      <c r="I359" t="s">
        <v>399</v>
      </c>
      <c r="J359" t="s">
        <v>400</v>
      </c>
      <c r="K359" t="s">
        <v>455</v>
      </c>
      <c r="L359" t="s">
        <v>456</v>
      </c>
      <c r="M359" t="s">
        <v>403</v>
      </c>
      <c r="N359">
        <v>1</v>
      </c>
      <c r="O359">
        <v>1</v>
      </c>
      <c r="P359" t="s">
        <v>1689</v>
      </c>
      <c r="Q359" t="s">
        <v>424</v>
      </c>
      <c r="R359" t="s">
        <v>493</v>
      </c>
      <c r="S359" t="s">
        <v>1690</v>
      </c>
      <c r="T359" t="s">
        <v>408</v>
      </c>
      <c r="U359">
        <v>50950081228</v>
      </c>
      <c r="W359">
        <v>50000</v>
      </c>
      <c r="X359" t="s">
        <v>409</v>
      </c>
      <c r="Y359" t="s">
        <v>410</v>
      </c>
      <c r="Z359" t="s">
        <v>410</v>
      </c>
      <c r="AA359" t="s">
        <v>411</v>
      </c>
      <c r="AB359" t="s">
        <v>412</v>
      </c>
      <c r="AC359" t="s">
        <v>411</v>
      </c>
      <c r="AD359">
        <v>46098</v>
      </c>
      <c r="AE359">
        <v>46146</v>
      </c>
      <c r="AF359">
        <v>46104</v>
      </c>
      <c r="AG359" t="s">
        <v>460</v>
      </c>
      <c r="AH359">
        <v>6145636</v>
      </c>
      <c r="AI359">
        <v>46097</v>
      </c>
      <c r="AJ359">
        <v>46097</v>
      </c>
      <c r="AK359">
        <v>50000</v>
      </c>
      <c r="AL359" t="s">
        <v>396</v>
      </c>
      <c r="AM359" t="s">
        <v>1693</v>
      </c>
      <c r="AN359">
        <v>46097</v>
      </c>
      <c r="AO359">
        <v>46097.657233796293</v>
      </c>
      <c r="AP359" t="s">
        <v>51</v>
      </c>
      <c r="AQ359">
        <v>6.3270000000000007E-2</v>
      </c>
      <c r="AR359">
        <v>3163.5</v>
      </c>
      <c r="AS359" t="s">
        <v>51</v>
      </c>
      <c r="AT359">
        <v>3163.5</v>
      </c>
      <c r="AU359" t="s">
        <v>415</v>
      </c>
      <c r="AV359" t="s">
        <v>772</v>
      </c>
      <c r="AW359" t="s">
        <v>1665</v>
      </c>
      <c r="AX359">
        <v>46107</v>
      </c>
      <c r="AY359">
        <v>46156</v>
      </c>
      <c r="AZ359" t="s">
        <v>1666</v>
      </c>
      <c r="BA359" t="s">
        <v>419</v>
      </c>
      <c r="BB359" t="s">
        <v>1667</v>
      </c>
      <c r="BE359">
        <v>0</v>
      </c>
      <c r="BF359">
        <v>0</v>
      </c>
      <c r="BM359">
        <v>0</v>
      </c>
      <c r="BN359">
        <v>0</v>
      </c>
      <c r="BO359">
        <v>50</v>
      </c>
      <c r="CG359" t="s">
        <v>421</v>
      </c>
      <c r="CN359" t="str">
        <v>M45</v>
      </c>
      <c r="CO359" t="str">
        <v>1459-12C0011EN</v>
      </c>
      <c r="CP359" t="str">
        <v>MEDU4556686</v>
      </c>
      <c r="CQ359" s="23">
        <v>73.36</v>
      </c>
      <c r="CR359" s="25">
        <f t="shared" si="15"/>
        <v>4.8687290434763506E-3</v>
      </c>
      <c r="CS359" s="21">
        <f t="shared" si="16"/>
        <v>12.171822608690876</v>
      </c>
    </row>
    <row r="360" spans="2:97" x14ac:dyDescent="0.35">
      <c r="B360" t="s">
        <v>299</v>
      </c>
      <c r="C360" t="s">
        <v>1694</v>
      </c>
      <c r="D360" t="s">
        <v>395</v>
      </c>
      <c r="E360" t="s">
        <v>395</v>
      </c>
      <c r="F360" t="s">
        <v>396</v>
      </c>
      <c r="G360" t="s">
        <v>397</v>
      </c>
      <c r="H360" t="s">
        <v>454</v>
      </c>
      <c r="I360" t="s">
        <v>399</v>
      </c>
      <c r="J360" t="s">
        <v>400</v>
      </c>
      <c r="K360" t="s">
        <v>455</v>
      </c>
      <c r="L360" t="s">
        <v>456</v>
      </c>
      <c r="M360" t="s">
        <v>403</v>
      </c>
      <c r="N360">
        <v>1</v>
      </c>
      <c r="O360">
        <v>1</v>
      </c>
      <c r="P360" t="s">
        <v>1689</v>
      </c>
      <c r="Q360" t="s">
        <v>424</v>
      </c>
      <c r="R360" t="s">
        <v>493</v>
      </c>
      <c r="S360" t="s">
        <v>1690</v>
      </c>
      <c r="T360" t="s">
        <v>408</v>
      </c>
      <c r="U360">
        <v>50950081236</v>
      </c>
      <c r="W360">
        <v>50000</v>
      </c>
      <c r="X360" t="s">
        <v>409</v>
      </c>
      <c r="Y360" t="s">
        <v>410</v>
      </c>
      <c r="Z360" t="s">
        <v>410</v>
      </c>
      <c r="AA360" t="s">
        <v>411</v>
      </c>
      <c r="AB360" t="s">
        <v>412</v>
      </c>
      <c r="AC360" t="s">
        <v>411</v>
      </c>
      <c r="AD360">
        <v>46098</v>
      </c>
      <c r="AE360">
        <v>46174</v>
      </c>
      <c r="AF360">
        <v>46104</v>
      </c>
      <c r="AG360" t="s">
        <v>460</v>
      </c>
      <c r="AH360">
        <v>6145637</v>
      </c>
      <c r="AI360">
        <v>46097</v>
      </c>
      <c r="AJ360">
        <v>46097</v>
      </c>
      <c r="AK360">
        <v>50000</v>
      </c>
      <c r="AL360" t="s">
        <v>396</v>
      </c>
      <c r="AM360" t="s">
        <v>1695</v>
      </c>
      <c r="AN360">
        <v>46097</v>
      </c>
      <c r="AO360">
        <v>46097.657233796293</v>
      </c>
      <c r="AP360" t="s">
        <v>51</v>
      </c>
      <c r="AQ360">
        <v>6.3270000000000007E-2</v>
      </c>
      <c r="AR360">
        <v>3163.5</v>
      </c>
      <c r="AS360" t="s">
        <v>51</v>
      </c>
      <c r="AT360">
        <v>3163.5</v>
      </c>
      <c r="AU360" t="s">
        <v>415</v>
      </c>
      <c r="AV360" t="s">
        <v>772</v>
      </c>
      <c r="AW360" t="s">
        <v>1665</v>
      </c>
      <c r="AX360">
        <v>46107</v>
      </c>
      <c r="AY360">
        <v>46156</v>
      </c>
      <c r="AZ360" t="s">
        <v>1666</v>
      </c>
      <c r="BA360" t="s">
        <v>419</v>
      </c>
      <c r="BB360" t="s">
        <v>1667</v>
      </c>
      <c r="BE360">
        <v>0</v>
      </c>
      <c r="BF360">
        <v>0</v>
      </c>
      <c r="BM360">
        <v>0</v>
      </c>
      <c r="BN360">
        <v>0</v>
      </c>
      <c r="BO360">
        <v>50</v>
      </c>
      <c r="CG360" t="s">
        <v>421</v>
      </c>
      <c r="CN360" t="str">
        <v>M19</v>
      </c>
      <c r="CO360" t="str">
        <v>1275-5YY0352EN</v>
      </c>
      <c r="CP360" t="str">
        <v>MEDU4622772</v>
      </c>
      <c r="CQ360" s="23">
        <v>476.41500000000002</v>
      </c>
      <c r="CR360" s="25">
        <f t="shared" si="15"/>
        <v>4.1038961205068135E-2</v>
      </c>
      <c r="CS360" s="21">
        <f t="shared" si="16"/>
        <v>102.59740301267034</v>
      </c>
    </row>
    <row r="361" spans="2:97" x14ac:dyDescent="0.35">
      <c r="B361" t="s">
        <v>299</v>
      </c>
      <c r="C361" t="s">
        <v>1696</v>
      </c>
      <c r="D361" t="s">
        <v>395</v>
      </c>
      <c r="E361" t="s">
        <v>395</v>
      </c>
      <c r="F361" t="s">
        <v>396</v>
      </c>
      <c r="G361" t="s">
        <v>397</v>
      </c>
      <c r="H361" t="s">
        <v>454</v>
      </c>
      <c r="I361" t="s">
        <v>399</v>
      </c>
      <c r="J361" t="s">
        <v>400</v>
      </c>
      <c r="K361" t="s">
        <v>455</v>
      </c>
      <c r="L361" t="s">
        <v>456</v>
      </c>
      <c r="M361" t="s">
        <v>403</v>
      </c>
      <c r="N361">
        <v>1</v>
      </c>
      <c r="O361">
        <v>1</v>
      </c>
      <c r="P361" t="s">
        <v>1689</v>
      </c>
      <c r="Q361" t="s">
        <v>424</v>
      </c>
      <c r="R361" t="s">
        <v>493</v>
      </c>
      <c r="S361" t="s">
        <v>1690</v>
      </c>
      <c r="T361" t="s">
        <v>408</v>
      </c>
      <c r="U361">
        <v>50950081245</v>
      </c>
      <c r="W361">
        <v>100000</v>
      </c>
      <c r="X361" t="s">
        <v>409</v>
      </c>
      <c r="Y361" t="s">
        <v>410</v>
      </c>
      <c r="Z361" t="s">
        <v>410</v>
      </c>
      <c r="AA361" t="s">
        <v>411</v>
      </c>
      <c r="AB361" t="s">
        <v>412</v>
      </c>
      <c r="AC361" t="s">
        <v>411</v>
      </c>
      <c r="AD361">
        <v>46098</v>
      </c>
      <c r="AE361">
        <v>46160</v>
      </c>
      <c r="AF361">
        <v>46104</v>
      </c>
      <c r="AG361" t="s">
        <v>460</v>
      </c>
      <c r="AH361">
        <v>6145638</v>
      </c>
      <c r="AI361">
        <v>46097</v>
      </c>
      <c r="AJ361">
        <v>46097</v>
      </c>
      <c r="AK361">
        <v>100000</v>
      </c>
      <c r="AL361" t="s">
        <v>396</v>
      </c>
      <c r="AM361" t="s">
        <v>1697</v>
      </c>
      <c r="AN361">
        <v>46097</v>
      </c>
      <c r="AO361">
        <v>46097.657233796293</v>
      </c>
      <c r="AP361" t="s">
        <v>51</v>
      </c>
      <c r="AQ361">
        <v>6.3270000000000007E-2</v>
      </c>
      <c r="AR361">
        <v>6327</v>
      </c>
      <c r="AS361" t="s">
        <v>51</v>
      </c>
      <c r="AT361">
        <v>6327</v>
      </c>
      <c r="AU361" t="s">
        <v>415</v>
      </c>
      <c r="AV361" t="s">
        <v>772</v>
      </c>
      <c r="AW361" t="s">
        <v>1665</v>
      </c>
      <c r="AX361">
        <v>46107</v>
      </c>
      <c r="AY361">
        <v>46156</v>
      </c>
      <c r="AZ361" t="s">
        <v>1666</v>
      </c>
      <c r="BA361" t="s">
        <v>419</v>
      </c>
      <c r="BB361" t="s">
        <v>1667</v>
      </c>
      <c r="BE361">
        <v>0</v>
      </c>
      <c r="BF361">
        <v>0</v>
      </c>
      <c r="BM361">
        <v>0</v>
      </c>
      <c r="BN361">
        <v>0</v>
      </c>
      <c r="BO361">
        <v>50</v>
      </c>
      <c r="CG361" t="s">
        <v>421</v>
      </c>
      <c r="CN361" t="str">
        <v>M19</v>
      </c>
      <c r="CO361" t="str">
        <v>1275-5YY0352EN</v>
      </c>
      <c r="CP361" t="str">
        <v>MEDU4622772</v>
      </c>
      <c r="CQ361" s="23">
        <v>158.80500000000001</v>
      </c>
      <c r="CR361" s="25">
        <f t="shared" si="15"/>
        <v>1.3679653735022711E-2</v>
      </c>
      <c r="CS361" s="21">
        <f t="shared" si="16"/>
        <v>34.199134337556778</v>
      </c>
    </row>
    <row r="362" spans="2:97" x14ac:dyDescent="0.35">
      <c r="B362" t="s">
        <v>299</v>
      </c>
      <c r="C362" t="s">
        <v>1698</v>
      </c>
      <c r="D362" t="s">
        <v>395</v>
      </c>
      <c r="E362" t="s">
        <v>395</v>
      </c>
      <c r="F362" t="s">
        <v>396</v>
      </c>
      <c r="G362" t="s">
        <v>397</v>
      </c>
      <c r="H362" t="s">
        <v>454</v>
      </c>
      <c r="I362" t="s">
        <v>399</v>
      </c>
      <c r="J362" t="s">
        <v>400</v>
      </c>
      <c r="K362" t="s">
        <v>455</v>
      </c>
      <c r="L362" t="s">
        <v>456</v>
      </c>
      <c r="M362" t="s">
        <v>403</v>
      </c>
      <c r="N362">
        <v>1</v>
      </c>
      <c r="O362">
        <v>1</v>
      </c>
      <c r="P362" t="s">
        <v>1689</v>
      </c>
      <c r="Q362" t="s">
        <v>424</v>
      </c>
      <c r="R362" t="s">
        <v>493</v>
      </c>
      <c r="S362" t="s">
        <v>1690</v>
      </c>
      <c r="T362" t="s">
        <v>408</v>
      </c>
      <c r="U362">
        <v>50950081246</v>
      </c>
      <c r="W362">
        <v>100000</v>
      </c>
      <c r="X362" t="s">
        <v>409</v>
      </c>
      <c r="Y362" t="s">
        <v>410</v>
      </c>
      <c r="Z362" t="s">
        <v>410</v>
      </c>
      <c r="AA362" t="s">
        <v>411</v>
      </c>
      <c r="AB362" t="s">
        <v>412</v>
      </c>
      <c r="AC362" t="s">
        <v>411</v>
      </c>
      <c r="AD362">
        <v>46098</v>
      </c>
      <c r="AE362">
        <v>46139</v>
      </c>
      <c r="AF362">
        <v>46104</v>
      </c>
      <c r="AG362" t="s">
        <v>460</v>
      </c>
      <c r="AH362">
        <v>6145639</v>
      </c>
      <c r="AI362">
        <v>46097</v>
      </c>
      <c r="AJ362">
        <v>46097</v>
      </c>
      <c r="AK362">
        <v>100000</v>
      </c>
      <c r="AL362" t="s">
        <v>396</v>
      </c>
      <c r="AM362" t="s">
        <v>1699</v>
      </c>
      <c r="AN362">
        <v>46097</v>
      </c>
      <c r="AO362">
        <v>46097.657233796293</v>
      </c>
      <c r="AP362" t="s">
        <v>51</v>
      </c>
      <c r="AQ362">
        <v>6.3270000000000007E-2</v>
      </c>
      <c r="AR362">
        <v>6327</v>
      </c>
      <c r="AS362" t="s">
        <v>51</v>
      </c>
      <c r="AT362">
        <v>6327</v>
      </c>
      <c r="AU362" t="s">
        <v>415</v>
      </c>
      <c r="AV362" t="s">
        <v>772</v>
      </c>
      <c r="AW362" t="s">
        <v>1665</v>
      </c>
      <c r="AX362">
        <v>46107</v>
      </c>
      <c r="AY362">
        <v>46156</v>
      </c>
      <c r="AZ362" t="s">
        <v>1666</v>
      </c>
      <c r="BA362" t="s">
        <v>419</v>
      </c>
      <c r="BB362" t="s">
        <v>1667</v>
      </c>
      <c r="BE362">
        <v>0</v>
      </c>
      <c r="BF362">
        <v>0</v>
      </c>
      <c r="BM362">
        <v>0</v>
      </c>
      <c r="BN362">
        <v>0</v>
      </c>
      <c r="BO362">
        <v>50</v>
      </c>
      <c r="CG362" t="s">
        <v>421</v>
      </c>
      <c r="CN362" t="str">
        <v>M01</v>
      </c>
      <c r="CO362" t="str">
        <v>1438-1010107EN</v>
      </c>
      <c r="CP362" t="str">
        <v>MEDU4622772</v>
      </c>
      <c r="CQ362" s="23">
        <v>428.4384</v>
      </c>
      <c r="CR362" s="25">
        <f t="shared" si="15"/>
        <v>3.6906199167451616E-2</v>
      </c>
      <c r="CS362" s="21">
        <f t="shared" si="16"/>
        <v>92.265497918629038</v>
      </c>
    </row>
    <row r="363" spans="2:97" x14ac:dyDescent="0.35">
      <c r="B363" t="s">
        <v>299</v>
      </c>
      <c r="C363" t="s">
        <v>1700</v>
      </c>
      <c r="D363" t="s">
        <v>395</v>
      </c>
      <c r="E363" t="s">
        <v>395</v>
      </c>
      <c r="F363" t="s">
        <v>396</v>
      </c>
      <c r="G363" t="s">
        <v>397</v>
      </c>
      <c r="H363" t="s">
        <v>454</v>
      </c>
      <c r="I363" t="s">
        <v>399</v>
      </c>
      <c r="J363" t="s">
        <v>400</v>
      </c>
      <c r="K363" t="s">
        <v>455</v>
      </c>
      <c r="L363" t="s">
        <v>456</v>
      </c>
      <c r="M363" t="s">
        <v>403</v>
      </c>
      <c r="N363">
        <v>1</v>
      </c>
      <c r="O363">
        <v>1</v>
      </c>
      <c r="P363" t="s">
        <v>1689</v>
      </c>
      <c r="Q363" t="s">
        <v>424</v>
      </c>
      <c r="R363" t="s">
        <v>493</v>
      </c>
      <c r="S363" t="s">
        <v>1690</v>
      </c>
      <c r="T363" t="s">
        <v>408</v>
      </c>
      <c r="U363">
        <v>50950082069</v>
      </c>
      <c r="W363">
        <v>50000</v>
      </c>
      <c r="X363" t="s">
        <v>409</v>
      </c>
      <c r="Y363" t="s">
        <v>410</v>
      </c>
      <c r="Z363" t="s">
        <v>410</v>
      </c>
      <c r="AA363" t="s">
        <v>411</v>
      </c>
      <c r="AB363" t="s">
        <v>412</v>
      </c>
      <c r="AC363" t="s">
        <v>411</v>
      </c>
      <c r="AD363">
        <v>46098</v>
      </c>
      <c r="AE363">
        <v>46174</v>
      </c>
      <c r="AF363">
        <v>46104</v>
      </c>
      <c r="AG363" t="s">
        <v>460</v>
      </c>
      <c r="AH363">
        <v>6145640</v>
      </c>
      <c r="AI363">
        <v>46097</v>
      </c>
      <c r="AJ363">
        <v>46097</v>
      </c>
      <c r="AK363">
        <v>50000</v>
      </c>
      <c r="AL363" t="s">
        <v>396</v>
      </c>
      <c r="AM363" t="s">
        <v>1701</v>
      </c>
      <c r="AN363">
        <v>46097</v>
      </c>
      <c r="AO363">
        <v>46097.657233796293</v>
      </c>
      <c r="AP363" t="s">
        <v>51</v>
      </c>
      <c r="AQ363">
        <v>6.3270000000000007E-2</v>
      </c>
      <c r="AR363">
        <v>3163.5</v>
      </c>
      <c r="AS363" t="s">
        <v>51</v>
      </c>
      <c r="AT363">
        <v>3163.5</v>
      </c>
      <c r="AU363" t="s">
        <v>415</v>
      </c>
      <c r="AV363" t="s">
        <v>772</v>
      </c>
      <c r="AW363" t="s">
        <v>1665</v>
      </c>
      <c r="AX363">
        <v>46107</v>
      </c>
      <c r="AY363">
        <v>46156</v>
      </c>
      <c r="AZ363" t="s">
        <v>1666</v>
      </c>
      <c r="BA363" t="s">
        <v>419</v>
      </c>
      <c r="BB363" t="s">
        <v>1667</v>
      </c>
      <c r="BE363">
        <v>0</v>
      </c>
      <c r="BF363">
        <v>0</v>
      </c>
      <c r="BM363">
        <v>0</v>
      </c>
      <c r="BN363">
        <v>0</v>
      </c>
      <c r="BO363">
        <v>50</v>
      </c>
      <c r="CG363" t="s">
        <v>421</v>
      </c>
      <c r="CN363" t="str">
        <v>M01</v>
      </c>
      <c r="CO363" t="str">
        <v>1438-1010107EN</v>
      </c>
      <c r="CP363" t="str">
        <v>MEDU4622772</v>
      </c>
      <c r="CQ363" s="23">
        <v>285.62560000000002</v>
      </c>
      <c r="CR363" s="25">
        <f t="shared" si="15"/>
        <v>2.4604132778301081E-2</v>
      </c>
      <c r="CS363" s="21">
        <f t="shared" si="16"/>
        <v>61.510331945752704</v>
      </c>
    </row>
    <row r="364" spans="2:97" x14ac:dyDescent="0.35">
      <c r="B364" t="s">
        <v>295</v>
      </c>
      <c r="C364" t="s">
        <v>1702</v>
      </c>
      <c r="D364" t="s">
        <v>395</v>
      </c>
      <c r="E364" t="s">
        <v>395</v>
      </c>
      <c r="F364" t="s">
        <v>396</v>
      </c>
      <c r="G364" t="s">
        <v>397</v>
      </c>
      <c r="H364" t="s">
        <v>398</v>
      </c>
      <c r="I364" t="s">
        <v>399</v>
      </c>
      <c r="J364" t="s">
        <v>400</v>
      </c>
      <c r="K364" t="s">
        <v>566</v>
      </c>
      <c r="L364" t="s">
        <v>1215</v>
      </c>
      <c r="M364" t="s">
        <v>403</v>
      </c>
      <c r="N364">
        <v>1</v>
      </c>
      <c r="O364">
        <v>1</v>
      </c>
      <c r="P364" t="s">
        <v>1703</v>
      </c>
      <c r="Q364" t="s">
        <v>405</v>
      </c>
      <c r="R364" t="s">
        <v>1704</v>
      </c>
      <c r="S364" t="s">
        <v>732</v>
      </c>
      <c r="T364" t="s">
        <v>408</v>
      </c>
      <c r="U364">
        <v>50950081653</v>
      </c>
      <c r="W364">
        <v>11000</v>
      </c>
      <c r="X364" t="s">
        <v>409</v>
      </c>
      <c r="Y364" t="s">
        <v>410</v>
      </c>
      <c r="Z364" t="s">
        <v>410</v>
      </c>
      <c r="AA364" t="s">
        <v>411</v>
      </c>
      <c r="AB364" t="s">
        <v>412</v>
      </c>
      <c r="AC364" t="s">
        <v>411</v>
      </c>
      <c r="AD364">
        <v>46098</v>
      </c>
      <c r="AE364">
        <v>46146</v>
      </c>
      <c r="AF364">
        <v>46104</v>
      </c>
      <c r="AG364" t="s">
        <v>413</v>
      </c>
      <c r="AH364">
        <v>6145653</v>
      </c>
      <c r="AI364">
        <v>46097</v>
      </c>
      <c r="AJ364">
        <v>46097</v>
      </c>
      <c r="AK364">
        <v>11000</v>
      </c>
      <c r="AL364" t="s">
        <v>396</v>
      </c>
      <c r="AM364" t="s">
        <v>1705</v>
      </c>
      <c r="AN364">
        <v>46097</v>
      </c>
      <c r="AO364">
        <v>46097.676527777781</v>
      </c>
      <c r="AP364" t="s">
        <v>51</v>
      </c>
      <c r="AQ364">
        <v>0.18361</v>
      </c>
      <c r="AR364">
        <v>2019.71</v>
      </c>
      <c r="AS364" t="s">
        <v>51</v>
      </c>
      <c r="AT364">
        <v>2019.71</v>
      </c>
      <c r="AU364" t="s">
        <v>415</v>
      </c>
      <c r="AV364" t="s">
        <v>772</v>
      </c>
      <c r="AW364" t="s">
        <v>1665</v>
      </c>
      <c r="AX364">
        <v>46107</v>
      </c>
      <c r="AY364">
        <v>46156</v>
      </c>
      <c r="AZ364" t="s">
        <v>1666</v>
      </c>
      <c r="BA364" t="s">
        <v>419</v>
      </c>
      <c r="BB364" t="s">
        <v>1667</v>
      </c>
      <c r="BE364">
        <v>0</v>
      </c>
      <c r="BF364">
        <v>0</v>
      </c>
      <c r="BM364">
        <v>0</v>
      </c>
      <c r="BN364">
        <v>0</v>
      </c>
      <c r="BO364">
        <v>50</v>
      </c>
      <c r="CG364" t="s">
        <v>421</v>
      </c>
      <c r="CN364" t="str">
        <v>M45</v>
      </c>
      <c r="CO364" t="str">
        <v>1438-12C0005EN</v>
      </c>
      <c r="CP364" t="str">
        <v>MEDU4622772</v>
      </c>
      <c r="CQ364" s="23">
        <v>159.63999999999999</v>
      </c>
      <c r="CR364" s="25">
        <f t="shared" si="15"/>
        <v>1.3751581639488839E-2</v>
      </c>
      <c r="CS364" s="21">
        <f t="shared" si="16"/>
        <v>34.378954098722097</v>
      </c>
    </row>
    <row r="365" spans="2:97" x14ac:dyDescent="0.35">
      <c r="B365" t="s">
        <v>3497</v>
      </c>
      <c r="C365" t="s">
        <v>1706</v>
      </c>
      <c r="D365" t="s">
        <v>395</v>
      </c>
      <c r="E365" t="s">
        <v>395</v>
      </c>
      <c r="F365" t="s">
        <v>396</v>
      </c>
      <c r="G365" t="s">
        <v>397</v>
      </c>
      <c r="H365" t="s">
        <v>470</v>
      </c>
      <c r="I365" t="s">
        <v>399</v>
      </c>
      <c r="J365" t="s">
        <v>400</v>
      </c>
      <c r="K365" t="s">
        <v>471</v>
      </c>
      <c r="L365" t="s">
        <v>472</v>
      </c>
      <c r="M365" t="s">
        <v>403</v>
      </c>
      <c r="N365">
        <v>1</v>
      </c>
      <c r="O365">
        <v>1</v>
      </c>
      <c r="P365" t="s">
        <v>1707</v>
      </c>
      <c r="Q365" t="s">
        <v>424</v>
      </c>
      <c r="R365" t="s">
        <v>474</v>
      </c>
      <c r="S365" t="s">
        <v>1708</v>
      </c>
      <c r="T365" t="s">
        <v>408</v>
      </c>
      <c r="U365">
        <v>50950080780</v>
      </c>
      <c r="W365">
        <v>750</v>
      </c>
      <c r="X365" t="s">
        <v>409</v>
      </c>
      <c r="Y365" t="s">
        <v>410</v>
      </c>
      <c r="Z365" t="s">
        <v>410</v>
      </c>
      <c r="AA365" t="s">
        <v>411</v>
      </c>
      <c r="AB365" t="s">
        <v>412</v>
      </c>
      <c r="AC365" t="s">
        <v>411</v>
      </c>
      <c r="AD365">
        <v>46097</v>
      </c>
      <c r="AE365">
        <v>46153</v>
      </c>
      <c r="AF365">
        <v>46104</v>
      </c>
      <c r="AG365" t="s">
        <v>476</v>
      </c>
      <c r="AH365">
        <v>6144782</v>
      </c>
      <c r="AI365">
        <v>46097</v>
      </c>
      <c r="AJ365">
        <v>46097</v>
      </c>
      <c r="AK365">
        <v>750</v>
      </c>
      <c r="AL365" t="s">
        <v>396</v>
      </c>
      <c r="AM365" t="s">
        <v>1709</v>
      </c>
      <c r="AN365">
        <v>46097</v>
      </c>
      <c r="AO365">
        <v>46097.42560185185</v>
      </c>
      <c r="AP365" t="s">
        <v>51</v>
      </c>
      <c r="AQ365">
        <v>4.1378300000000001</v>
      </c>
      <c r="AR365">
        <v>3103.37</v>
      </c>
      <c r="AS365" t="s">
        <v>51</v>
      </c>
      <c r="AT365">
        <v>3103.37</v>
      </c>
      <c r="AU365" t="s">
        <v>415</v>
      </c>
      <c r="AV365" t="s">
        <v>772</v>
      </c>
      <c r="AW365" t="s">
        <v>1665</v>
      </c>
      <c r="AX365">
        <v>46107</v>
      </c>
      <c r="AY365">
        <v>46156</v>
      </c>
      <c r="AZ365" t="s">
        <v>1666</v>
      </c>
      <c r="BA365" t="s">
        <v>419</v>
      </c>
      <c r="BB365" t="s">
        <v>1667</v>
      </c>
      <c r="BE365">
        <v>0</v>
      </c>
      <c r="BF365">
        <v>0</v>
      </c>
      <c r="BM365">
        <v>0</v>
      </c>
      <c r="BN365">
        <v>0</v>
      </c>
      <c r="BO365">
        <f>AT365/AQ365</f>
        <v>749.99939581858121</v>
      </c>
      <c r="CG365" t="s">
        <v>421</v>
      </c>
      <c r="CN365" t="str">
        <v>M01</v>
      </c>
      <c r="CO365" t="str">
        <v>1438-1010133EN</v>
      </c>
      <c r="CP365" t="str">
        <v>MEDU4622772</v>
      </c>
      <c r="CQ365" s="23">
        <v>256.24639999999999</v>
      </c>
      <c r="CR365" s="25">
        <f t="shared" si="15"/>
        <v>2.2073373148491063E-2</v>
      </c>
      <c r="CS365" s="21">
        <f t="shared" si="16"/>
        <v>55.183432871227659</v>
      </c>
    </row>
    <row r="366" spans="2:97" x14ac:dyDescent="0.35">
      <c r="B366" t="s">
        <v>3497</v>
      </c>
      <c r="C366" t="s">
        <v>1710</v>
      </c>
      <c r="D366" t="s">
        <v>395</v>
      </c>
      <c r="E366" t="s">
        <v>395</v>
      </c>
      <c r="F366" t="s">
        <v>396</v>
      </c>
      <c r="G366" t="s">
        <v>397</v>
      </c>
      <c r="H366" t="s">
        <v>470</v>
      </c>
      <c r="I366" t="s">
        <v>399</v>
      </c>
      <c r="J366" t="s">
        <v>400</v>
      </c>
      <c r="K366" t="s">
        <v>471</v>
      </c>
      <c r="L366" t="s">
        <v>472</v>
      </c>
      <c r="M366" t="s">
        <v>403</v>
      </c>
      <c r="N366">
        <v>1</v>
      </c>
      <c r="O366">
        <v>1</v>
      </c>
      <c r="P366" t="s">
        <v>479</v>
      </c>
      <c r="Q366" t="s">
        <v>424</v>
      </c>
      <c r="R366" t="s">
        <v>480</v>
      </c>
      <c r="S366" t="s">
        <v>481</v>
      </c>
      <c r="T366" t="s">
        <v>408</v>
      </c>
      <c r="U366">
        <v>50950081146</v>
      </c>
      <c r="W366">
        <v>4000</v>
      </c>
      <c r="X366" t="s">
        <v>409</v>
      </c>
      <c r="Y366" t="s">
        <v>410</v>
      </c>
      <c r="Z366" t="s">
        <v>410</v>
      </c>
      <c r="AA366" t="s">
        <v>411</v>
      </c>
      <c r="AB366" t="s">
        <v>412</v>
      </c>
      <c r="AC366" t="s">
        <v>411</v>
      </c>
      <c r="AD366">
        <v>46097</v>
      </c>
      <c r="AE366">
        <v>46153</v>
      </c>
      <c r="AF366">
        <v>46104</v>
      </c>
      <c r="AG366" t="s">
        <v>476</v>
      </c>
      <c r="AH366">
        <v>6144784</v>
      </c>
      <c r="AI366">
        <v>46097</v>
      </c>
      <c r="AJ366">
        <v>46097</v>
      </c>
      <c r="AK366">
        <v>4000</v>
      </c>
      <c r="AL366" t="s">
        <v>396</v>
      </c>
      <c r="AM366" t="s">
        <v>1711</v>
      </c>
      <c r="AN366">
        <v>46097</v>
      </c>
      <c r="AO366">
        <v>46097.42560185185</v>
      </c>
      <c r="AP366" t="s">
        <v>51</v>
      </c>
      <c r="AQ366">
        <v>3.04074</v>
      </c>
      <c r="AR366">
        <v>12162.96</v>
      </c>
      <c r="AS366" t="s">
        <v>51</v>
      </c>
      <c r="AT366">
        <v>12162.96</v>
      </c>
      <c r="AU366" t="s">
        <v>415</v>
      </c>
      <c r="AV366" t="s">
        <v>772</v>
      </c>
      <c r="AW366" t="s">
        <v>1665</v>
      </c>
      <c r="AX366">
        <v>46107</v>
      </c>
      <c r="AY366">
        <v>46156</v>
      </c>
      <c r="AZ366" t="s">
        <v>1666</v>
      </c>
      <c r="BA366" t="s">
        <v>419</v>
      </c>
      <c r="BB366" t="s">
        <v>1667</v>
      </c>
      <c r="BE366">
        <v>0</v>
      </c>
      <c r="BF366">
        <v>0</v>
      </c>
      <c r="BM366">
        <v>0</v>
      </c>
      <c r="BN366">
        <v>0</v>
      </c>
      <c r="BO366" s="23">
        <v>1500</v>
      </c>
      <c r="CG366" t="s">
        <v>421</v>
      </c>
      <c r="CN366" t="str">
        <v>M45</v>
      </c>
      <c r="CO366" t="str">
        <v>1346-12B0010EN</v>
      </c>
      <c r="CP366" t="str">
        <v>MEDU4622772</v>
      </c>
      <c r="CQ366" s="23">
        <v>1425.3</v>
      </c>
      <c r="CR366" s="25">
        <f t="shared" si="15"/>
        <v>0.12277705656955303</v>
      </c>
      <c r="CS366" s="21">
        <f t="shared" si="16"/>
        <v>306.94264142388255</v>
      </c>
    </row>
    <row r="367" spans="2:97" x14ac:dyDescent="0.35">
      <c r="B367" t="s">
        <v>3497</v>
      </c>
      <c r="C367" t="s">
        <v>1226</v>
      </c>
      <c r="D367" t="s">
        <v>395</v>
      </c>
      <c r="E367" t="s">
        <v>395</v>
      </c>
      <c r="F367" t="s">
        <v>396</v>
      </c>
      <c r="G367" t="s">
        <v>397</v>
      </c>
      <c r="H367" t="s">
        <v>470</v>
      </c>
      <c r="I367" t="s">
        <v>399</v>
      </c>
      <c r="J367" t="s">
        <v>400</v>
      </c>
      <c r="K367" t="s">
        <v>471</v>
      </c>
      <c r="L367" t="s">
        <v>472</v>
      </c>
      <c r="M367" t="s">
        <v>403</v>
      </c>
      <c r="N367">
        <v>2</v>
      </c>
      <c r="O367">
        <v>1</v>
      </c>
      <c r="P367" t="s">
        <v>1221</v>
      </c>
      <c r="Q367" t="s">
        <v>424</v>
      </c>
      <c r="R367" t="s">
        <v>474</v>
      </c>
      <c r="S367" t="s">
        <v>1222</v>
      </c>
      <c r="T367" t="s">
        <v>408</v>
      </c>
      <c r="U367">
        <v>50950081499</v>
      </c>
      <c r="W367">
        <v>3000</v>
      </c>
      <c r="X367" t="s">
        <v>409</v>
      </c>
      <c r="Y367" t="s">
        <v>410</v>
      </c>
      <c r="Z367" t="s">
        <v>410</v>
      </c>
      <c r="AA367" t="s">
        <v>411</v>
      </c>
      <c r="AB367" t="s">
        <v>412</v>
      </c>
      <c r="AC367" t="s">
        <v>411</v>
      </c>
      <c r="AD367">
        <v>46098</v>
      </c>
      <c r="AE367">
        <v>46167</v>
      </c>
      <c r="AF367">
        <v>46104</v>
      </c>
      <c r="AG367" t="s">
        <v>476</v>
      </c>
      <c r="AH367">
        <v>6144783</v>
      </c>
      <c r="AI367">
        <v>46097</v>
      </c>
      <c r="AJ367">
        <v>46097</v>
      </c>
      <c r="AK367">
        <v>3000</v>
      </c>
      <c r="AL367" t="s">
        <v>396</v>
      </c>
      <c r="AM367" t="s">
        <v>1712</v>
      </c>
      <c r="AN367">
        <v>46097</v>
      </c>
      <c r="AO367">
        <v>46097.42560185185</v>
      </c>
      <c r="AP367" t="s">
        <v>51</v>
      </c>
      <c r="AQ367">
        <v>2.1007400000000001</v>
      </c>
      <c r="AR367">
        <v>6302.22</v>
      </c>
      <c r="AS367" t="s">
        <v>51</v>
      </c>
      <c r="AT367">
        <v>6302.22</v>
      </c>
      <c r="AU367" t="s">
        <v>415</v>
      </c>
      <c r="AV367" t="s">
        <v>772</v>
      </c>
      <c r="AW367" t="s">
        <v>1665</v>
      </c>
      <c r="AX367">
        <v>46107</v>
      </c>
      <c r="AY367">
        <v>46156</v>
      </c>
      <c r="AZ367" t="s">
        <v>1666</v>
      </c>
      <c r="BA367" t="s">
        <v>419</v>
      </c>
      <c r="BB367" t="s">
        <v>1667</v>
      </c>
      <c r="BE367">
        <v>0</v>
      </c>
      <c r="BF367">
        <v>0</v>
      </c>
      <c r="BM367">
        <v>0</v>
      </c>
      <c r="BN367">
        <v>0</v>
      </c>
      <c r="BO367" s="23">
        <v>1500</v>
      </c>
      <c r="CG367" t="s">
        <v>421</v>
      </c>
      <c r="CN367" t="str">
        <v>M19</v>
      </c>
      <c r="CO367" t="str">
        <v>1307-5YY0182EN</v>
      </c>
      <c r="CP367" t="str">
        <v>MEDU4622772</v>
      </c>
      <c r="CQ367" s="23">
        <v>1259.064192</v>
      </c>
      <c r="CR367" s="25">
        <f t="shared" si="15"/>
        <v>0.10845730409449419</v>
      </c>
      <c r="CS367" s="21">
        <f t="shared" si="16"/>
        <v>271.14326023623551</v>
      </c>
    </row>
    <row r="368" spans="2:97" x14ac:dyDescent="0.35">
      <c r="B368" t="s">
        <v>3497</v>
      </c>
      <c r="C368" t="s">
        <v>1713</v>
      </c>
      <c r="D368" t="s">
        <v>395</v>
      </c>
      <c r="E368" t="s">
        <v>395</v>
      </c>
      <c r="F368" t="s">
        <v>396</v>
      </c>
      <c r="G368" t="s">
        <v>397</v>
      </c>
      <c r="H368" t="s">
        <v>470</v>
      </c>
      <c r="I368" t="s">
        <v>399</v>
      </c>
      <c r="J368" t="s">
        <v>400</v>
      </c>
      <c r="K368" t="s">
        <v>471</v>
      </c>
      <c r="L368" t="s">
        <v>472</v>
      </c>
      <c r="M368" t="s">
        <v>403</v>
      </c>
      <c r="N368">
        <v>1</v>
      </c>
      <c r="O368">
        <v>1</v>
      </c>
      <c r="P368" t="s">
        <v>545</v>
      </c>
      <c r="Q368" t="s">
        <v>424</v>
      </c>
      <c r="R368" t="s">
        <v>528</v>
      </c>
      <c r="S368" t="s">
        <v>546</v>
      </c>
      <c r="T368" t="s">
        <v>408</v>
      </c>
      <c r="U368">
        <v>50950081902</v>
      </c>
      <c r="W368">
        <v>1000</v>
      </c>
      <c r="X368" t="s">
        <v>409</v>
      </c>
      <c r="Y368" t="s">
        <v>410</v>
      </c>
      <c r="Z368" t="s">
        <v>410</v>
      </c>
      <c r="AA368" t="s">
        <v>411</v>
      </c>
      <c r="AB368" t="s">
        <v>412</v>
      </c>
      <c r="AC368" t="s">
        <v>411</v>
      </c>
      <c r="AD368">
        <v>46097</v>
      </c>
      <c r="AE368">
        <v>46188</v>
      </c>
      <c r="AF368">
        <v>46104</v>
      </c>
      <c r="AG368" t="s">
        <v>476</v>
      </c>
      <c r="AH368">
        <v>6144785</v>
      </c>
      <c r="AI368">
        <v>46097</v>
      </c>
      <c r="AJ368">
        <v>46097</v>
      </c>
      <c r="AK368">
        <v>1000</v>
      </c>
      <c r="AL368" t="s">
        <v>396</v>
      </c>
      <c r="AM368" t="s">
        <v>1714</v>
      </c>
      <c r="AN368">
        <v>46097</v>
      </c>
      <c r="AO368">
        <v>46097.42560185185</v>
      </c>
      <c r="AP368" t="s">
        <v>51</v>
      </c>
      <c r="AQ368">
        <v>6.2474999999999996</v>
      </c>
      <c r="AR368">
        <v>6247.5</v>
      </c>
      <c r="AS368" t="s">
        <v>51</v>
      </c>
      <c r="AT368">
        <v>6247.5</v>
      </c>
      <c r="AU368" t="s">
        <v>415</v>
      </c>
      <c r="AV368" t="s">
        <v>772</v>
      </c>
      <c r="AW368" t="s">
        <v>1665</v>
      </c>
      <c r="AX368">
        <v>46107</v>
      </c>
      <c r="AY368">
        <v>46156</v>
      </c>
      <c r="AZ368" t="s">
        <v>1666</v>
      </c>
      <c r="BA368" t="s">
        <v>419</v>
      </c>
      <c r="BB368" t="s">
        <v>1667</v>
      </c>
      <c r="BO368" s="23">
        <f t="shared" ref="BO368" si="17">AR368/AQ368</f>
        <v>1000.0000000000001</v>
      </c>
      <c r="CG368" t="s">
        <v>421</v>
      </c>
      <c r="CN368" t="str">
        <v>M45</v>
      </c>
      <c r="CO368" t="str">
        <v>1100-12C0005EN</v>
      </c>
      <c r="CP368" t="str">
        <v>MEDU4622772</v>
      </c>
      <c r="CQ368" s="23">
        <v>820.86383999999998</v>
      </c>
      <c r="CR368" s="25">
        <f t="shared" si="15"/>
        <v>7.0710198638588739E-2</v>
      </c>
      <c r="CS368" s="21">
        <f t="shared" si="16"/>
        <v>176.77549659647184</v>
      </c>
    </row>
    <row r="369" spans="2:97" x14ac:dyDescent="0.35">
      <c r="B369" t="s">
        <v>296</v>
      </c>
      <c r="C369" t="s">
        <v>1715</v>
      </c>
      <c r="D369" t="s">
        <v>395</v>
      </c>
      <c r="E369" t="s">
        <v>395</v>
      </c>
      <c r="F369" t="s">
        <v>396</v>
      </c>
      <c r="G369" t="s">
        <v>397</v>
      </c>
      <c r="H369" t="s">
        <v>398</v>
      </c>
      <c r="I369" t="s">
        <v>399</v>
      </c>
      <c r="J369" t="s">
        <v>400</v>
      </c>
      <c r="K369" t="s">
        <v>484</v>
      </c>
      <c r="L369" t="s">
        <v>1716</v>
      </c>
      <c r="M369" t="s">
        <v>403</v>
      </c>
      <c r="N369">
        <v>1</v>
      </c>
      <c r="O369">
        <v>1</v>
      </c>
      <c r="P369" t="s">
        <v>1717</v>
      </c>
      <c r="Q369" t="s">
        <v>424</v>
      </c>
      <c r="R369" t="s">
        <v>1718</v>
      </c>
      <c r="S369" t="s">
        <v>1719</v>
      </c>
      <c r="T369" t="s">
        <v>408</v>
      </c>
      <c r="U369">
        <v>50950081637</v>
      </c>
      <c r="W369">
        <v>18000</v>
      </c>
      <c r="X369" t="s">
        <v>409</v>
      </c>
      <c r="Y369" t="s">
        <v>410</v>
      </c>
      <c r="Z369" t="s">
        <v>410</v>
      </c>
      <c r="AA369" t="s">
        <v>411</v>
      </c>
      <c r="AB369" t="s">
        <v>412</v>
      </c>
      <c r="AC369" t="s">
        <v>411</v>
      </c>
      <c r="AD369">
        <v>46097</v>
      </c>
      <c r="AE369">
        <v>46153</v>
      </c>
      <c r="AF369">
        <v>46104</v>
      </c>
      <c r="AG369" t="s">
        <v>489</v>
      </c>
      <c r="AH369">
        <v>6145657</v>
      </c>
      <c r="AI369">
        <v>46097</v>
      </c>
      <c r="AJ369">
        <v>46097</v>
      </c>
      <c r="AK369">
        <v>18000</v>
      </c>
      <c r="AL369" t="s">
        <v>396</v>
      </c>
      <c r="AM369" t="s">
        <v>1720</v>
      </c>
      <c r="AN369">
        <v>46097</v>
      </c>
      <c r="AO369">
        <v>46097.676527777781</v>
      </c>
      <c r="AP369" t="s">
        <v>51</v>
      </c>
      <c r="AQ369">
        <v>0.14984</v>
      </c>
      <c r="AR369">
        <v>2697.12</v>
      </c>
      <c r="AS369" t="s">
        <v>51</v>
      </c>
      <c r="AT369">
        <v>2697.12</v>
      </c>
      <c r="AU369" t="s">
        <v>415</v>
      </c>
      <c r="AV369" t="s">
        <v>772</v>
      </c>
      <c r="AW369" t="s">
        <v>1665</v>
      </c>
      <c r="AX369">
        <v>46107</v>
      </c>
      <c r="AY369">
        <v>46156</v>
      </c>
      <c r="AZ369" t="s">
        <v>1666</v>
      </c>
      <c r="BA369" t="s">
        <v>419</v>
      </c>
      <c r="BB369" t="s">
        <v>1667</v>
      </c>
      <c r="BE369">
        <v>0</v>
      </c>
      <c r="BF369">
        <v>0</v>
      </c>
      <c r="BM369">
        <v>0</v>
      </c>
      <c r="BN369">
        <v>0</v>
      </c>
      <c r="BO369">
        <v>200</v>
      </c>
      <c r="CG369" t="s">
        <v>421</v>
      </c>
      <c r="CN369" t="str">
        <v>M45</v>
      </c>
      <c r="CO369" t="str">
        <v>1301-12C0022EN</v>
      </c>
      <c r="CP369" t="str">
        <v>MEDU4622772</v>
      </c>
      <c r="CQ369" s="23">
        <v>1231.232</v>
      </c>
      <c r="CR369" s="25">
        <f t="shared" si="15"/>
        <v>0.10605980559478279</v>
      </c>
      <c r="CS369" s="21">
        <f t="shared" si="16"/>
        <v>265.14951398695695</v>
      </c>
    </row>
    <row r="370" spans="2:97" x14ac:dyDescent="0.35">
      <c r="B370" t="s">
        <v>296</v>
      </c>
      <c r="C370" t="s">
        <v>1715</v>
      </c>
      <c r="D370" t="s">
        <v>395</v>
      </c>
      <c r="E370" t="s">
        <v>395</v>
      </c>
      <c r="F370" t="s">
        <v>396</v>
      </c>
      <c r="G370" t="s">
        <v>397</v>
      </c>
      <c r="H370" t="s">
        <v>398</v>
      </c>
      <c r="I370" t="s">
        <v>399</v>
      </c>
      <c r="J370" t="s">
        <v>400</v>
      </c>
      <c r="K370" t="s">
        <v>484</v>
      </c>
      <c r="L370" t="s">
        <v>1716</v>
      </c>
      <c r="M370" t="s">
        <v>403</v>
      </c>
      <c r="N370">
        <v>3</v>
      </c>
      <c r="O370">
        <v>1</v>
      </c>
      <c r="P370" t="s">
        <v>1717</v>
      </c>
      <c r="Q370" t="s">
        <v>424</v>
      </c>
      <c r="R370" t="s">
        <v>1718</v>
      </c>
      <c r="S370" t="s">
        <v>1719</v>
      </c>
      <c r="T370" t="s">
        <v>408</v>
      </c>
      <c r="U370">
        <v>50950081637</v>
      </c>
      <c r="W370">
        <v>36000</v>
      </c>
      <c r="X370" t="s">
        <v>409</v>
      </c>
      <c r="Y370" t="s">
        <v>410</v>
      </c>
      <c r="Z370" t="s">
        <v>410</v>
      </c>
      <c r="AA370" t="s">
        <v>411</v>
      </c>
      <c r="AB370" t="s">
        <v>412</v>
      </c>
      <c r="AC370" t="s">
        <v>411</v>
      </c>
      <c r="AD370">
        <v>46097</v>
      </c>
      <c r="AE370">
        <v>46167</v>
      </c>
      <c r="AF370">
        <v>46104</v>
      </c>
      <c r="AG370" t="s">
        <v>489</v>
      </c>
      <c r="AH370">
        <v>6145657</v>
      </c>
      <c r="AI370">
        <v>46097</v>
      </c>
      <c r="AJ370">
        <v>46097</v>
      </c>
      <c r="AK370">
        <v>36000</v>
      </c>
      <c r="AL370" t="s">
        <v>396</v>
      </c>
      <c r="AM370" t="s">
        <v>1720</v>
      </c>
      <c r="AN370">
        <v>46097</v>
      </c>
      <c r="AO370">
        <v>46097.676527777781</v>
      </c>
      <c r="AP370" t="s">
        <v>51</v>
      </c>
      <c r="AQ370">
        <v>0.14984</v>
      </c>
      <c r="AR370">
        <v>5394.24</v>
      </c>
      <c r="AS370" t="s">
        <v>51</v>
      </c>
      <c r="AT370">
        <v>5394.24</v>
      </c>
      <c r="AU370" t="s">
        <v>415</v>
      </c>
      <c r="AV370" t="s">
        <v>772</v>
      </c>
      <c r="AW370" t="s">
        <v>1665</v>
      </c>
      <c r="AX370">
        <v>46107</v>
      </c>
      <c r="AY370">
        <v>46156</v>
      </c>
      <c r="AZ370" t="s">
        <v>1666</v>
      </c>
      <c r="BA370" t="s">
        <v>419</v>
      </c>
      <c r="BB370" t="s">
        <v>1667</v>
      </c>
      <c r="BE370">
        <v>0</v>
      </c>
      <c r="BF370">
        <v>0</v>
      </c>
      <c r="BM370">
        <v>0</v>
      </c>
      <c r="BN370">
        <v>0</v>
      </c>
      <c r="BO370">
        <v>200</v>
      </c>
      <c r="CG370" t="s">
        <v>421</v>
      </c>
      <c r="CN370" t="str">
        <v>M23</v>
      </c>
      <c r="CO370" t="str">
        <v>1401-1060059-92EN</v>
      </c>
      <c r="CP370" t="str">
        <v>MEDU4622772</v>
      </c>
      <c r="CQ370" s="23">
        <v>214.04</v>
      </c>
      <c r="CR370" s="25">
        <f t="shared" si="15"/>
        <v>1.8437663080156548E-2</v>
      </c>
      <c r="CS370" s="21">
        <f t="shared" si="16"/>
        <v>46.094157700391371</v>
      </c>
    </row>
    <row r="371" spans="2:97" x14ac:dyDescent="0.35">
      <c r="B371" t="s">
        <v>298</v>
      </c>
      <c r="C371" t="s">
        <v>1721</v>
      </c>
      <c r="D371" t="s">
        <v>395</v>
      </c>
      <c r="E371" t="s">
        <v>395</v>
      </c>
      <c r="F371" t="s">
        <v>396</v>
      </c>
      <c r="G371" t="s">
        <v>397</v>
      </c>
      <c r="H371" t="s">
        <v>398</v>
      </c>
      <c r="I371" t="s">
        <v>399</v>
      </c>
      <c r="J371" t="s">
        <v>400</v>
      </c>
      <c r="K371" t="s">
        <v>1722</v>
      </c>
      <c r="L371" t="s">
        <v>1723</v>
      </c>
      <c r="M371" t="s">
        <v>403</v>
      </c>
      <c r="N371">
        <v>1</v>
      </c>
      <c r="O371">
        <v>1</v>
      </c>
      <c r="P371" t="s">
        <v>1724</v>
      </c>
      <c r="Q371" t="s">
        <v>424</v>
      </c>
      <c r="R371" t="s">
        <v>1725</v>
      </c>
      <c r="S371" t="s">
        <v>440</v>
      </c>
      <c r="T371" t="s">
        <v>408</v>
      </c>
      <c r="U371">
        <v>50950079484</v>
      </c>
      <c r="W371">
        <v>30450</v>
      </c>
      <c r="X371" t="s">
        <v>409</v>
      </c>
      <c r="Y371" t="s">
        <v>410</v>
      </c>
      <c r="Z371" t="s">
        <v>410</v>
      </c>
      <c r="AA371" t="s">
        <v>411</v>
      </c>
      <c r="AB371" t="s">
        <v>412</v>
      </c>
      <c r="AC371" t="s">
        <v>411</v>
      </c>
      <c r="AD371">
        <v>46097</v>
      </c>
      <c r="AE371">
        <v>46153</v>
      </c>
      <c r="AF371">
        <v>46104</v>
      </c>
      <c r="AG371" t="s">
        <v>1726</v>
      </c>
      <c r="AH371">
        <v>6145643</v>
      </c>
      <c r="AI371">
        <v>46097</v>
      </c>
      <c r="AJ371">
        <v>46097</v>
      </c>
      <c r="AK371">
        <v>30450</v>
      </c>
      <c r="AL371" t="s">
        <v>396</v>
      </c>
      <c r="AM371" t="s">
        <v>1727</v>
      </c>
      <c r="AN371">
        <v>46097</v>
      </c>
      <c r="AO371">
        <v>46097.676527777781</v>
      </c>
      <c r="AP371" t="s">
        <v>51</v>
      </c>
      <c r="AQ371">
        <v>0.21260000000000001</v>
      </c>
      <c r="AR371">
        <v>6473.67</v>
      </c>
      <c r="AS371" t="s">
        <v>51</v>
      </c>
      <c r="AT371">
        <v>6473.67</v>
      </c>
      <c r="AU371" t="s">
        <v>415</v>
      </c>
      <c r="AV371" t="s">
        <v>772</v>
      </c>
      <c r="AW371" t="s">
        <v>1665</v>
      </c>
      <c r="AX371">
        <v>46107</v>
      </c>
      <c r="AY371">
        <v>46156</v>
      </c>
      <c r="AZ371" t="s">
        <v>1666</v>
      </c>
      <c r="BA371" t="s">
        <v>419</v>
      </c>
      <c r="BB371" t="s">
        <v>1667</v>
      </c>
      <c r="BE371">
        <v>0</v>
      </c>
      <c r="BF371">
        <v>0</v>
      </c>
      <c r="BM371">
        <v>0</v>
      </c>
      <c r="BN371">
        <v>0</v>
      </c>
      <c r="BO371">
        <v>3000</v>
      </c>
      <c r="CG371" t="s">
        <v>421</v>
      </c>
      <c r="CN371" t="str">
        <v>M19</v>
      </c>
      <c r="CO371" t="str">
        <v>1301-5YY0305EN0093</v>
      </c>
      <c r="CP371" t="str">
        <v>MEDU4622772</v>
      </c>
      <c r="CQ371" s="23">
        <v>945.92579999999998</v>
      </c>
      <c r="CR371" s="25">
        <f t="shared" si="15"/>
        <v>8.148318631670505E-2</v>
      </c>
      <c r="CS371" s="21">
        <f t="shared" si="16"/>
        <v>203.70796579176263</v>
      </c>
    </row>
    <row r="372" spans="2:97" x14ac:dyDescent="0.35">
      <c r="B372" t="s">
        <v>296</v>
      </c>
      <c r="C372" t="s">
        <v>1728</v>
      </c>
      <c r="D372" t="s">
        <v>395</v>
      </c>
      <c r="E372" t="s">
        <v>395</v>
      </c>
      <c r="F372" t="s">
        <v>396</v>
      </c>
      <c r="G372" t="s">
        <v>397</v>
      </c>
      <c r="H372" t="s">
        <v>398</v>
      </c>
      <c r="I372" t="s">
        <v>399</v>
      </c>
      <c r="J372" t="s">
        <v>400</v>
      </c>
      <c r="K372" t="s">
        <v>484</v>
      </c>
      <c r="L372" t="s">
        <v>485</v>
      </c>
      <c r="M372" t="s">
        <v>403</v>
      </c>
      <c r="N372">
        <v>1</v>
      </c>
      <c r="O372">
        <v>1</v>
      </c>
      <c r="P372" t="s">
        <v>1241</v>
      </c>
      <c r="Q372" t="s">
        <v>424</v>
      </c>
      <c r="R372" t="s">
        <v>1242</v>
      </c>
      <c r="S372" t="s">
        <v>1243</v>
      </c>
      <c r="T372" t="s">
        <v>408</v>
      </c>
      <c r="U372">
        <v>50950080946</v>
      </c>
      <c r="W372">
        <v>20</v>
      </c>
      <c r="X372" t="s">
        <v>409</v>
      </c>
      <c r="Y372" t="s">
        <v>410</v>
      </c>
      <c r="Z372" t="s">
        <v>410</v>
      </c>
      <c r="AA372" t="s">
        <v>411</v>
      </c>
      <c r="AB372" t="s">
        <v>412</v>
      </c>
      <c r="AC372" t="s">
        <v>411</v>
      </c>
      <c r="AD372">
        <v>46097</v>
      </c>
      <c r="AE372">
        <v>46153</v>
      </c>
      <c r="AF372">
        <v>46104</v>
      </c>
      <c r="AG372" t="s">
        <v>489</v>
      </c>
      <c r="AH372">
        <v>6145663</v>
      </c>
      <c r="AI372">
        <v>46097</v>
      </c>
      <c r="AJ372">
        <v>46097</v>
      </c>
      <c r="AK372">
        <v>20</v>
      </c>
      <c r="AL372" t="s">
        <v>396</v>
      </c>
      <c r="AM372" t="s">
        <v>1729</v>
      </c>
      <c r="AN372">
        <v>46097</v>
      </c>
      <c r="AO372">
        <v>46097.676527777781</v>
      </c>
      <c r="AP372" t="s">
        <v>51</v>
      </c>
      <c r="AQ372">
        <v>107.39230999999999</v>
      </c>
      <c r="AR372">
        <v>2147.85</v>
      </c>
      <c r="AS372" t="s">
        <v>51</v>
      </c>
      <c r="AT372">
        <v>2147.85</v>
      </c>
      <c r="AU372" t="s">
        <v>415</v>
      </c>
      <c r="AV372" t="s">
        <v>772</v>
      </c>
      <c r="AW372" t="s">
        <v>1665</v>
      </c>
      <c r="AX372">
        <v>46107</v>
      </c>
      <c r="AY372">
        <v>46156</v>
      </c>
      <c r="AZ372" t="s">
        <v>1666</v>
      </c>
      <c r="BA372" t="s">
        <v>419</v>
      </c>
      <c r="BB372" t="s">
        <v>1667</v>
      </c>
      <c r="BO372" s="23">
        <f>AR372/AQ372</f>
        <v>20.000035384284033</v>
      </c>
      <c r="CG372" t="s">
        <v>421</v>
      </c>
      <c r="CN372" t="str">
        <v>M19</v>
      </c>
      <c r="CO372" t="str">
        <v>1301-5YY0306EN0093</v>
      </c>
      <c r="CP372" t="str">
        <v>MEDU4622772</v>
      </c>
      <c r="CQ372" s="23">
        <v>3947.2502399999998</v>
      </c>
      <c r="CR372" s="25">
        <f t="shared" si="15"/>
        <v>0.34002088403189629</v>
      </c>
      <c r="CS372" s="21">
        <f t="shared" si="16"/>
        <v>850.05221007974069</v>
      </c>
    </row>
    <row r="373" spans="2:97" x14ac:dyDescent="0.35">
      <c r="B373" t="s">
        <v>296</v>
      </c>
      <c r="C373" t="s">
        <v>1730</v>
      </c>
      <c r="D373" t="s">
        <v>395</v>
      </c>
      <c r="E373" t="s">
        <v>395</v>
      </c>
      <c r="F373" t="s">
        <v>396</v>
      </c>
      <c r="G373" t="s">
        <v>397</v>
      </c>
      <c r="H373" t="s">
        <v>398</v>
      </c>
      <c r="I373" t="s">
        <v>399</v>
      </c>
      <c r="J373" t="s">
        <v>400</v>
      </c>
      <c r="K373" t="s">
        <v>484</v>
      </c>
      <c r="L373" t="s">
        <v>485</v>
      </c>
      <c r="M373" t="s">
        <v>403</v>
      </c>
      <c r="N373">
        <v>1</v>
      </c>
      <c r="O373">
        <v>1</v>
      </c>
      <c r="P373" t="s">
        <v>1731</v>
      </c>
      <c r="Q373" t="s">
        <v>424</v>
      </c>
      <c r="R373" t="s">
        <v>493</v>
      </c>
      <c r="S373" t="s">
        <v>426</v>
      </c>
      <c r="T373" t="s">
        <v>408</v>
      </c>
      <c r="U373">
        <v>50950080947</v>
      </c>
      <c r="W373">
        <v>48000</v>
      </c>
      <c r="X373" t="s">
        <v>409</v>
      </c>
      <c r="Y373" t="s">
        <v>410</v>
      </c>
      <c r="Z373" t="s">
        <v>410</v>
      </c>
      <c r="AA373" t="s">
        <v>411</v>
      </c>
      <c r="AB373" t="s">
        <v>412</v>
      </c>
      <c r="AC373" t="s">
        <v>411</v>
      </c>
      <c r="AD373">
        <v>46098</v>
      </c>
      <c r="AE373">
        <v>46146</v>
      </c>
      <c r="AF373">
        <v>46104</v>
      </c>
      <c r="AG373" t="s">
        <v>489</v>
      </c>
      <c r="AH373">
        <v>6145658</v>
      </c>
      <c r="AI373">
        <v>46097</v>
      </c>
      <c r="AJ373">
        <v>46097</v>
      </c>
      <c r="AK373">
        <v>48000</v>
      </c>
      <c r="AL373" t="s">
        <v>396</v>
      </c>
      <c r="AM373" t="s">
        <v>1732</v>
      </c>
      <c r="AN373">
        <v>46097</v>
      </c>
      <c r="AO373">
        <v>46097.676527777781</v>
      </c>
      <c r="AP373" t="s">
        <v>51</v>
      </c>
      <c r="AQ373">
        <v>0.10487</v>
      </c>
      <c r="AR373">
        <v>5033.76</v>
      </c>
      <c r="AS373" t="s">
        <v>51</v>
      </c>
      <c r="AT373">
        <v>5033.76</v>
      </c>
      <c r="AU373" t="s">
        <v>415</v>
      </c>
      <c r="AV373" t="s">
        <v>772</v>
      </c>
      <c r="AW373" t="s">
        <v>1665</v>
      </c>
      <c r="AX373">
        <v>46107</v>
      </c>
      <c r="AY373">
        <v>46156</v>
      </c>
      <c r="AZ373" t="s">
        <v>1666</v>
      </c>
      <c r="BA373" t="s">
        <v>419</v>
      </c>
      <c r="BB373" t="s">
        <v>1667</v>
      </c>
      <c r="BE373">
        <v>0</v>
      </c>
      <c r="BF373">
        <v>0</v>
      </c>
      <c r="BM373">
        <v>0</v>
      </c>
      <c r="BN373">
        <v>0</v>
      </c>
      <c r="BO373">
        <v>50</v>
      </c>
      <c r="CG373" t="s">
        <v>421</v>
      </c>
      <c r="CN373" t="str">
        <v>M19</v>
      </c>
      <c r="CO373" t="str">
        <v>1220-5YY0030EN</v>
      </c>
      <c r="CP373" t="str">
        <v>MEDU5320611</v>
      </c>
      <c r="CQ373" s="23">
        <v>1118.5989500000001</v>
      </c>
      <c r="CR373" s="25">
        <f t="shared" si="15"/>
        <v>0.24086340128665554</v>
      </c>
      <c r="CS373" s="21">
        <f t="shared" si="16"/>
        <v>602.15850321663879</v>
      </c>
    </row>
    <row r="374" spans="2:97" x14ac:dyDescent="0.35">
      <c r="B374" t="s">
        <v>296</v>
      </c>
      <c r="C374" t="s">
        <v>1733</v>
      </c>
      <c r="D374" t="s">
        <v>395</v>
      </c>
      <c r="E374" t="s">
        <v>395</v>
      </c>
      <c r="F374" t="s">
        <v>396</v>
      </c>
      <c r="G374" t="s">
        <v>397</v>
      </c>
      <c r="H374" t="s">
        <v>398</v>
      </c>
      <c r="I374" t="s">
        <v>399</v>
      </c>
      <c r="J374" t="s">
        <v>400</v>
      </c>
      <c r="K374" t="s">
        <v>484</v>
      </c>
      <c r="L374" t="s">
        <v>485</v>
      </c>
      <c r="M374" t="s">
        <v>403</v>
      </c>
      <c r="N374">
        <v>1</v>
      </c>
      <c r="O374">
        <v>1</v>
      </c>
      <c r="P374" t="s">
        <v>1734</v>
      </c>
      <c r="Q374" t="s">
        <v>424</v>
      </c>
      <c r="R374" t="s">
        <v>493</v>
      </c>
      <c r="S374" t="s">
        <v>426</v>
      </c>
      <c r="T374" t="s">
        <v>408</v>
      </c>
      <c r="U374">
        <v>50950081430</v>
      </c>
      <c r="W374">
        <v>70000</v>
      </c>
      <c r="X374" t="s">
        <v>409</v>
      </c>
      <c r="Y374" t="s">
        <v>410</v>
      </c>
      <c r="Z374" t="s">
        <v>410</v>
      </c>
      <c r="AA374" t="s">
        <v>411</v>
      </c>
      <c r="AB374" t="s">
        <v>412</v>
      </c>
      <c r="AC374" t="s">
        <v>411</v>
      </c>
      <c r="AD374">
        <v>46098</v>
      </c>
      <c r="AE374">
        <v>46146</v>
      </c>
      <c r="AF374">
        <v>46104</v>
      </c>
      <c r="AG374" t="s">
        <v>489</v>
      </c>
      <c r="AH374">
        <v>6145660</v>
      </c>
      <c r="AI374">
        <v>46097</v>
      </c>
      <c r="AJ374">
        <v>46097</v>
      </c>
      <c r="AK374">
        <v>70000</v>
      </c>
      <c r="AL374" t="s">
        <v>396</v>
      </c>
      <c r="AM374" t="s">
        <v>1735</v>
      </c>
      <c r="AN374">
        <v>46097</v>
      </c>
      <c r="AO374">
        <v>46097.676527777781</v>
      </c>
      <c r="AP374" t="s">
        <v>51</v>
      </c>
      <c r="AQ374">
        <v>1.881E-2</v>
      </c>
      <c r="AR374">
        <v>1316.7</v>
      </c>
      <c r="AS374" t="s">
        <v>51</v>
      </c>
      <c r="AT374">
        <v>1316.7</v>
      </c>
      <c r="AU374" t="s">
        <v>415</v>
      </c>
      <c r="AV374" t="s">
        <v>772</v>
      </c>
      <c r="AW374" t="s">
        <v>1665</v>
      </c>
      <c r="AX374">
        <v>46107</v>
      </c>
      <c r="AY374">
        <v>46156</v>
      </c>
      <c r="AZ374" t="s">
        <v>1666</v>
      </c>
      <c r="BA374" t="s">
        <v>419</v>
      </c>
      <c r="BB374" t="s">
        <v>1667</v>
      </c>
      <c r="BE374">
        <v>0</v>
      </c>
      <c r="BF374">
        <v>0</v>
      </c>
      <c r="BM374">
        <v>0</v>
      </c>
      <c r="BN374">
        <v>0</v>
      </c>
      <c r="BO374">
        <v>50</v>
      </c>
      <c r="CG374" t="s">
        <v>421</v>
      </c>
      <c r="CN374" t="str">
        <v>M19</v>
      </c>
      <c r="CO374" t="str">
        <v>1220-5YY0030EN</v>
      </c>
      <c r="CP374" t="str">
        <v>MEDU5320611</v>
      </c>
      <c r="CQ374" s="23">
        <v>479.39954999999998</v>
      </c>
      <c r="CR374" s="25">
        <f t="shared" si="15"/>
        <v>0.10322717197999522</v>
      </c>
      <c r="CS374" s="21">
        <f t="shared" si="16"/>
        <v>258.06792994998801</v>
      </c>
    </row>
    <row r="375" spans="2:97" x14ac:dyDescent="0.35">
      <c r="B375" t="s">
        <v>296</v>
      </c>
      <c r="C375" t="s">
        <v>1736</v>
      </c>
      <c r="D375" t="s">
        <v>395</v>
      </c>
      <c r="E375" t="s">
        <v>395</v>
      </c>
      <c r="F375" t="s">
        <v>396</v>
      </c>
      <c r="G375" t="s">
        <v>397</v>
      </c>
      <c r="H375" t="s">
        <v>398</v>
      </c>
      <c r="I375" t="s">
        <v>399</v>
      </c>
      <c r="J375" t="s">
        <v>400</v>
      </c>
      <c r="K375" t="s">
        <v>484</v>
      </c>
      <c r="L375" t="s">
        <v>485</v>
      </c>
      <c r="M375" t="s">
        <v>403</v>
      </c>
      <c r="N375">
        <v>1</v>
      </c>
      <c r="O375">
        <v>1</v>
      </c>
      <c r="P375" t="s">
        <v>1734</v>
      </c>
      <c r="Q375" t="s">
        <v>424</v>
      </c>
      <c r="R375" t="s">
        <v>493</v>
      </c>
      <c r="S375" t="s">
        <v>426</v>
      </c>
      <c r="T375" t="s">
        <v>408</v>
      </c>
      <c r="U375">
        <v>50950081441</v>
      </c>
      <c r="W375">
        <v>70000</v>
      </c>
      <c r="X375" t="s">
        <v>409</v>
      </c>
      <c r="Y375" t="s">
        <v>410</v>
      </c>
      <c r="Z375" t="s">
        <v>410</v>
      </c>
      <c r="AA375" t="s">
        <v>411</v>
      </c>
      <c r="AB375" t="s">
        <v>412</v>
      </c>
      <c r="AC375" t="s">
        <v>411</v>
      </c>
      <c r="AD375">
        <v>46098</v>
      </c>
      <c r="AE375">
        <v>46153</v>
      </c>
      <c r="AF375">
        <v>46104</v>
      </c>
      <c r="AG375" t="s">
        <v>489</v>
      </c>
      <c r="AH375">
        <v>6145661</v>
      </c>
      <c r="AI375">
        <v>46097</v>
      </c>
      <c r="AJ375">
        <v>46097</v>
      </c>
      <c r="AK375">
        <v>70000</v>
      </c>
      <c r="AL375" t="s">
        <v>396</v>
      </c>
      <c r="AM375" t="s">
        <v>1737</v>
      </c>
      <c r="AN375">
        <v>46097</v>
      </c>
      <c r="AO375">
        <v>46097.676527777781</v>
      </c>
      <c r="AP375" t="s">
        <v>51</v>
      </c>
      <c r="AQ375">
        <v>1.881E-2</v>
      </c>
      <c r="AR375">
        <v>1316.7</v>
      </c>
      <c r="AS375" t="s">
        <v>51</v>
      </c>
      <c r="AT375">
        <v>1316.7</v>
      </c>
      <c r="AU375" t="s">
        <v>415</v>
      </c>
      <c r="AV375" t="s">
        <v>772</v>
      </c>
      <c r="AW375" t="s">
        <v>1665</v>
      </c>
      <c r="AX375">
        <v>46107</v>
      </c>
      <c r="AY375">
        <v>46156</v>
      </c>
      <c r="AZ375" t="s">
        <v>1666</v>
      </c>
      <c r="BA375" t="s">
        <v>419</v>
      </c>
      <c r="BB375" t="s">
        <v>1667</v>
      </c>
      <c r="BE375">
        <v>0</v>
      </c>
      <c r="BF375">
        <v>0</v>
      </c>
      <c r="BM375">
        <v>0</v>
      </c>
      <c r="BN375">
        <v>0</v>
      </c>
      <c r="BO375">
        <v>50</v>
      </c>
      <c r="CG375" t="s">
        <v>421</v>
      </c>
      <c r="CN375" t="str">
        <v>M46</v>
      </c>
      <c r="CO375" t="str">
        <v>1415-EQN0005EN</v>
      </c>
      <c r="CP375" t="str">
        <v>MEDU5320611</v>
      </c>
      <c r="CQ375" s="23">
        <v>438.81079999999997</v>
      </c>
      <c r="CR375" s="25">
        <f t="shared" si="15"/>
        <v>9.4487360111788349E-2</v>
      </c>
      <c r="CS375" s="21">
        <f t="shared" si="16"/>
        <v>236.21840027947087</v>
      </c>
    </row>
    <row r="376" spans="2:97" x14ac:dyDescent="0.35">
      <c r="B376" t="s">
        <v>296</v>
      </c>
      <c r="C376" t="s">
        <v>1738</v>
      </c>
      <c r="D376" t="s">
        <v>395</v>
      </c>
      <c r="E376" t="s">
        <v>395</v>
      </c>
      <c r="F376" t="s">
        <v>396</v>
      </c>
      <c r="G376" t="s">
        <v>397</v>
      </c>
      <c r="H376" t="s">
        <v>398</v>
      </c>
      <c r="I376" t="s">
        <v>399</v>
      </c>
      <c r="J376" t="s">
        <v>400</v>
      </c>
      <c r="K376" t="s">
        <v>484</v>
      </c>
      <c r="L376" t="s">
        <v>485</v>
      </c>
      <c r="M376" t="s">
        <v>403</v>
      </c>
      <c r="N376">
        <v>1</v>
      </c>
      <c r="O376">
        <v>1</v>
      </c>
      <c r="P376" t="s">
        <v>1731</v>
      </c>
      <c r="Q376" t="s">
        <v>424</v>
      </c>
      <c r="R376" t="s">
        <v>493</v>
      </c>
      <c r="S376" t="s">
        <v>426</v>
      </c>
      <c r="T376" t="s">
        <v>408</v>
      </c>
      <c r="U376">
        <v>50950081470</v>
      </c>
      <c r="W376">
        <v>48000</v>
      </c>
      <c r="X376" t="s">
        <v>409</v>
      </c>
      <c r="Y376" t="s">
        <v>410</v>
      </c>
      <c r="Z376" t="s">
        <v>410</v>
      </c>
      <c r="AA376" t="s">
        <v>411</v>
      </c>
      <c r="AB376" t="s">
        <v>412</v>
      </c>
      <c r="AC376" t="s">
        <v>411</v>
      </c>
      <c r="AD376">
        <v>46098</v>
      </c>
      <c r="AE376">
        <v>46174</v>
      </c>
      <c r="AF376">
        <v>46104</v>
      </c>
      <c r="AG376" t="s">
        <v>489</v>
      </c>
      <c r="AH376">
        <v>6145659</v>
      </c>
      <c r="AI376">
        <v>46097</v>
      </c>
      <c r="AJ376">
        <v>46097</v>
      </c>
      <c r="AK376">
        <v>48000</v>
      </c>
      <c r="AL376" t="s">
        <v>396</v>
      </c>
      <c r="AM376" t="s">
        <v>1739</v>
      </c>
      <c r="AN376">
        <v>46097</v>
      </c>
      <c r="AO376">
        <v>46097.676527777781</v>
      </c>
      <c r="AP376" t="s">
        <v>51</v>
      </c>
      <c r="AQ376">
        <v>0.10487</v>
      </c>
      <c r="AR376">
        <v>5033.76</v>
      </c>
      <c r="AS376" t="s">
        <v>51</v>
      </c>
      <c r="AT376">
        <v>5033.76</v>
      </c>
      <c r="AU376" t="s">
        <v>415</v>
      </c>
      <c r="AV376" t="s">
        <v>772</v>
      </c>
      <c r="AW376" t="s">
        <v>1665</v>
      </c>
      <c r="AX376">
        <v>46107</v>
      </c>
      <c r="AY376">
        <v>46156</v>
      </c>
      <c r="AZ376" t="s">
        <v>1666</v>
      </c>
      <c r="BA376" t="s">
        <v>419</v>
      </c>
      <c r="BB376" t="s">
        <v>1667</v>
      </c>
      <c r="BE376">
        <v>0</v>
      </c>
      <c r="BF376">
        <v>0</v>
      </c>
      <c r="BM376">
        <v>0</v>
      </c>
      <c r="BN376">
        <v>0</v>
      </c>
      <c r="BO376">
        <v>50</v>
      </c>
      <c r="CG376" t="s">
        <v>421</v>
      </c>
      <c r="CN376" t="str">
        <v>M19</v>
      </c>
      <c r="CO376" t="str">
        <v>1252-5YY0073EN</v>
      </c>
      <c r="CP376" t="str">
        <v>MEDU5320611</v>
      </c>
      <c r="CQ376" s="23">
        <v>103.98439999999999</v>
      </c>
      <c r="CR376" s="25">
        <f t="shared" si="15"/>
        <v>2.2390541547309784E-2</v>
      </c>
      <c r="CS376" s="21">
        <f t="shared" si="16"/>
        <v>55.976353868274458</v>
      </c>
    </row>
    <row r="377" spans="2:97" x14ac:dyDescent="0.35">
      <c r="B377" t="s">
        <v>296</v>
      </c>
      <c r="C377" t="s">
        <v>1740</v>
      </c>
      <c r="D377" t="s">
        <v>718</v>
      </c>
      <c r="E377" t="s">
        <v>395</v>
      </c>
      <c r="F377" t="s">
        <v>396</v>
      </c>
      <c r="G377" t="s">
        <v>397</v>
      </c>
      <c r="H377" t="s">
        <v>398</v>
      </c>
      <c r="I377" t="s">
        <v>399</v>
      </c>
      <c r="J377" t="s">
        <v>400</v>
      </c>
      <c r="K377" t="s">
        <v>484</v>
      </c>
      <c r="L377" t="s">
        <v>485</v>
      </c>
      <c r="M377" t="s">
        <v>403</v>
      </c>
      <c r="N377">
        <v>1</v>
      </c>
      <c r="O377">
        <v>1</v>
      </c>
      <c r="P377" t="s">
        <v>1231</v>
      </c>
      <c r="Q377" t="s">
        <v>430</v>
      </c>
      <c r="R377" t="s">
        <v>493</v>
      </c>
      <c r="S377" t="s">
        <v>1232</v>
      </c>
      <c r="T377" t="s">
        <v>408</v>
      </c>
      <c r="U377">
        <v>50950081483</v>
      </c>
      <c r="V377" t="s">
        <v>1233</v>
      </c>
      <c r="W377">
        <v>38880</v>
      </c>
      <c r="X377" t="s">
        <v>409</v>
      </c>
      <c r="Y377" t="s">
        <v>410</v>
      </c>
      <c r="Z377" t="s">
        <v>410</v>
      </c>
      <c r="AA377" t="s">
        <v>411</v>
      </c>
      <c r="AB377" t="s">
        <v>412</v>
      </c>
      <c r="AC377" t="s">
        <v>411</v>
      </c>
      <c r="AD377">
        <v>46097</v>
      </c>
      <c r="AE377">
        <v>46153</v>
      </c>
      <c r="AF377">
        <v>46104</v>
      </c>
      <c r="AG377" t="s">
        <v>489</v>
      </c>
      <c r="AH377">
        <v>6145662</v>
      </c>
      <c r="AI377">
        <v>46097</v>
      </c>
      <c r="AJ377">
        <v>46097</v>
      </c>
      <c r="AK377">
        <v>38880</v>
      </c>
      <c r="AL377" t="s">
        <v>396</v>
      </c>
      <c r="AM377" t="s">
        <v>1741</v>
      </c>
      <c r="AN377">
        <v>46097</v>
      </c>
      <c r="AO377">
        <v>46097.676527777781</v>
      </c>
      <c r="AP377" t="s">
        <v>51</v>
      </c>
      <c r="AQ377">
        <v>0.25466</v>
      </c>
      <c r="AR377">
        <v>9901.18</v>
      </c>
      <c r="AS377" t="s">
        <v>51</v>
      </c>
      <c r="AT377">
        <v>9901.18</v>
      </c>
      <c r="AU377" t="s">
        <v>415</v>
      </c>
      <c r="AV377" t="s">
        <v>772</v>
      </c>
      <c r="AW377" t="s">
        <v>1665</v>
      </c>
      <c r="AX377">
        <v>46107</v>
      </c>
      <c r="AY377">
        <v>46156</v>
      </c>
      <c r="AZ377" t="s">
        <v>1742</v>
      </c>
      <c r="BA377" t="s">
        <v>419</v>
      </c>
      <c r="BB377" t="s">
        <v>1743</v>
      </c>
      <c r="BE377">
        <v>0</v>
      </c>
      <c r="BF377">
        <v>0</v>
      </c>
      <c r="BM377">
        <v>0</v>
      </c>
      <c r="BN377">
        <v>0</v>
      </c>
      <c r="BO377">
        <v>50</v>
      </c>
      <c r="CG377" t="s">
        <v>421</v>
      </c>
      <c r="CN377" t="str">
        <v>M46</v>
      </c>
      <c r="CO377" t="str">
        <v>1415-EQN0007EN</v>
      </c>
      <c r="CP377" t="str">
        <v>MEDU5320611</v>
      </c>
      <c r="CQ377" s="23">
        <v>1063.2297455999999</v>
      </c>
      <c r="CR377" s="25">
        <f t="shared" si="15"/>
        <v>0.22894097377291606</v>
      </c>
      <c r="CS377" s="21">
        <f t="shared" si="16"/>
        <v>572.35243443229012</v>
      </c>
    </row>
    <row r="378" spans="2:97" x14ac:dyDescent="0.35">
      <c r="B378" t="s">
        <v>296</v>
      </c>
      <c r="C378" t="s">
        <v>1744</v>
      </c>
      <c r="D378" t="s">
        <v>395</v>
      </c>
      <c r="E378" t="s">
        <v>395</v>
      </c>
      <c r="F378" t="s">
        <v>396</v>
      </c>
      <c r="G378" t="s">
        <v>397</v>
      </c>
      <c r="H378" t="s">
        <v>398</v>
      </c>
      <c r="I378" t="s">
        <v>399</v>
      </c>
      <c r="J378" t="s">
        <v>400</v>
      </c>
      <c r="K378" t="s">
        <v>484</v>
      </c>
      <c r="L378" t="s">
        <v>497</v>
      </c>
      <c r="M378" t="s">
        <v>403</v>
      </c>
      <c r="N378">
        <v>1</v>
      </c>
      <c r="O378">
        <v>1</v>
      </c>
      <c r="P378" t="s">
        <v>1258</v>
      </c>
      <c r="Q378" t="s">
        <v>424</v>
      </c>
      <c r="R378" t="s">
        <v>1259</v>
      </c>
      <c r="S378" t="s">
        <v>1260</v>
      </c>
      <c r="T378" t="s">
        <v>408</v>
      </c>
      <c r="U378">
        <v>50950065732</v>
      </c>
      <c r="W378">
        <v>59400</v>
      </c>
      <c r="X378" t="s">
        <v>409</v>
      </c>
      <c r="Y378" t="s">
        <v>410</v>
      </c>
      <c r="Z378" t="s">
        <v>410</v>
      </c>
      <c r="AA378" t="s">
        <v>411</v>
      </c>
      <c r="AB378" t="s">
        <v>412</v>
      </c>
      <c r="AC378" t="s">
        <v>411</v>
      </c>
      <c r="AD378">
        <v>46097</v>
      </c>
      <c r="AE378">
        <v>45831</v>
      </c>
      <c r="AF378">
        <v>46104</v>
      </c>
      <c r="AG378" t="s">
        <v>489</v>
      </c>
      <c r="AH378">
        <v>6145666</v>
      </c>
      <c r="AI378">
        <v>46097</v>
      </c>
      <c r="AJ378">
        <v>46097</v>
      </c>
      <c r="AK378">
        <v>59400</v>
      </c>
      <c r="AL378" t="s">
        <v>396</v>
      </c>
      <c r="AM378" t="s">
        <v>1745</v>
      </c>
      <c r="AN378">
        <v>46097</v>
      </c>
      <c r="AO378">
        <v>46097.676527777781</v>
      </c>
      <c r="AP378" t="s">
        <v>51</v>
      </c>
      <c r="AQ378">
        <v>1.52501</v>
      </c>
      <c r="AR378">
        <v>90585.59</v>
      </c>
      <c r="AS378" t="s">
        <v>51</v>
      </c>
      <c r="AT378">
        <v>90585.59</v>
      </c>
      <c r="AU378" t="s">
        <v>415</v>
      </c>
      <c r="AV378" t="s">
        <v>772</v>
      </c>
      <c r="AW378" t="s">
        <v>1665</v>
      </c>
      <c r="AX378">
        <v>46107</v>
      </c>
      <c r="AY378">
        <v>46156</v>
      </c>
      <c r="AZ378" t="s">
        <v>1666</v>
      </c>
      <c r="BA378" t="s">
        <v>419</v>
      </c>
      <c r="BB378" t="s">
        <v>1667</v>
      </c>
      <c r="BE378">
        <v>0</v>
      </c>
      <c r="BF378">
        <v>0</v>
      </c>
      <c r="BM378">
        <v>0</v>
      </c>
      <c r="BN378">
        <v>0</v>
      </c>
      <c r="BO378">
        <v>50</v>
      </c>
      <c r="CG378" t="s">
        <v>421</v>
      </c>
      <c r="CN378" t="str">
        <v>M01</v>
      </c>
      <c r="CO378" t="str">
        <v>1110-0035030EN</v>
      </c>
      <c r="CP378" t="str">
        <v>MEDU5320611</v>
      </c>
      <c r="CQ378" s="23">
        <v>13.156000000000001</v>
      </c>
      <c r="CR378" s="25">
        <f t="shared" si="15"/>
        <v>2.8328284299991881E-3</v>
      </c>
      <c r="CS378" s="21">
        <f t="shared" si="16"/>
        <v>7.0820710749979705</v>
      </c>
    </row>
    <row r="379" spans="2:97" x14ac:dyDescent="0.35">
      <c r="B379" t="s">
        <v>296</v>
      </c>
      <c r="C379" t="s">
        <v>1746</v>
      </c>
      <c r="D379" t="s">
        <v>395</v>
      </c>
      <c r="E379" t="s">
        <v>395</v>
      </c>
      <c r="F379" t="s">
        <v>396</v>
      </c>
      <c r="G379" t="s">
        <v>397</v>
      </c>
      <c r="H379" t="s">
        <v>398</v>
      </c>
      <c r="I379" t="s">
        <v>399</v>
      </c>
      <c r="J379" t="s">
        <v>400</v>
      </c>
      <c r="K379" t="s">
        <v>484</v>
      </c>
      <c r="L379" t="s">
        <v>497</v>
      </c>
      <c r="M379" t="s">
        <v>403</v>
      </c>
      <c r="N379">
        <v>1</v>
      </c>
      <c r="O379">
        <v>1</v>
      </c>
      <c r="P379" t="s">
        <v>1747</v>
      </c>
      <c r="Q379" t="s">
        <v>424</v>
      </c>
      <c r="R379" t="s">
        <v>1748</v>
      </c>
      <c r="S379" t="s">
        <v>676</v>
      </c>
      <c r="T379" t="s">
        <v>408</v>
      </c>
      <c r="U379">
        <v>50950081636</v>
      </c>
      <c r="W379">
        <v>80000</v>
      </c>
      <c r="X379" t="s">
        <v>409</v>
      </c>
      <c r="Y379" t="s">
        <v>410</v>
      </c>
      <c r="Z379" t="s">
        <v>410</v>
      </c>
      <c r="AA379" t="s">
        <v>411</v>
      </c>
      <c r="AB379" t="s">
        <v>412</v>
      </c>
      <c r="AC379" t="s">
        <v>411</v>
      </c>
      <c r="AD379">
        <v>46097</v>
      </c>
      <c r="AE379">
        <v>46153</v>
      </c>
      <c r="AF379">
        <v>46104</v>
      </c>
      <c r="AG379" t="s">
        <v>489</v>
      </c>
      <c r="AH379">
        <v>6145665</v>
      </c>
      <c r="AI379">
        <v>46097</v>
      </c>
      <c r="AJ379">
        <v>46097</v>
      </c>
      <c r="AK379">
        <v>80000</v>
      </c>
      <c r="AL379" t="s">
        <v>396</v>
      </c>
      <c r="AM379" t="s">
        <v>1749</v>
      </c>
      <c r="AN379">
        <v>46097</v>
      </c>
      <c r="AO379">
        <v>46097.676527777781</v>
      </c>
      <c r="AP379" t="s">
        <v>51</v>
      </c>
      <c r="AQ379">
        <v>0.16147</v>
      </c>
      <c r="AR379">
        <v>12917.6</v>
      </c>
      <c r="AS379" t="s">
        <v>51</v>
      </c>
      <c r="AT379">
        <v>12917.6</v>
      </c>
      <c r="AU379" t="s">
        <v>415</v>
      </c>
      <c r="AV379" t="s">
        <v>772</v>
      </c>
      <c r="AW379" t="s">
        <v>1665</v>
      </c>
      <c r="AX379">
        <v>46107</v>
      </c>
      <c r="AY379">
        <v>46156</v>
      </c>
      <c r="AZ379" t="s">
        <v>1666</v>
      </c>
      <c r="BA379" t="s">
        <v>419</v>
      </c>
      <c r="BB379" t="s">
        <v>1667</v>
      </c>
      <c r="BE379">
        <v>0</v>
      </c>
      <c r="BF379">
        <v>0</v>
      </c>
      <c r="BM379">
        <v>0</v>
      </c>
      <c r="BN379">
        <v>0</v>
      </c>
      <c r="BO379">
        <v>448</v>
      </c>
      <c r="CG379" t="s">
        <v>421</v>
      </c>
      <c r="CN379" t="str">
        <v>M01</v>
      </c>
      <c r="CO379" t="str">
        <v>1109-0037210EN</v>
      </c>
      <c r="CP379" t="str">
        <v>MEDU5320611</v>
      </c>
      <c r="CQ379" s="23">
        <v>15.78</v>
      </c>
      <c r="CR379" s="25">
        <f t="shared" si="15"/>
        <v>3.3978437690321667E-3</v>
      </c>
      <c r="CS379" s="21">
        <f t="shared" si="16"/>
        <v>8.4946094225804174</v>
      </c>
    </row>
    <row r="380" spans="2:97" x14ac:dyDescent="0.35">
      <c r="B380" t="s">
        <v>297</v>
      </c>
      <c r="C380" t="s">
        <v>1750</v>
      </c>
      <c r="D380" t="s">
        <v>395</v>
      </c>
      <c r="E380" t="s">
        <v>395</v>
      </c>
      <c r="F380" t="s">
        <v>396</v>
      </c>
      <c r="G380" t="s">
        <v>397</v>
      </c>
      <c r="H380" t="s">
        <v>398</v>
      </c>
      <c r="I380" t="s">
        <v>399</v>
      </c>
      <c r="J380" t="s">
        <v>400</v>
      </c>
      <c r="K380" t="s">
        <v>401</v>
      </c>
      <c r="L380" t="s">
        <v>1253</v>
      </c>
      <c r="M380" t="s">
        <v>403</v>
      </c>
      <c r="N380">
        <v>1</v>
      </c>
      <c r="O380">
        <v>1</v>
      </c>
      <c r="P380" t="s">
        <v>429</v>
      </c>
      <c r="Q380" t="s">
        <v>430</v>
      </c>
      <c r="R380" t="s">
        <v>431</v>
      </c>
      <c r="S380" t="s">
        <v>432</v>
      </c>
      <c r="T380" t="s">
        <v>408</v>
      </c>
      <c r="U380">
        <v>50950081595</v>
      </c>
      <c r="W380">
        <v>50000</v>
      </c>
      <c r="X380" t="s">
        <v>409</v>
      </c>
      <c r="Y380" t="s">
        <v>410</v>
      </c>
      <c r="Z380" t="s">
        <v>410</v>
      </c>
      <c r="AA380" t="s">
        <v>411</v>
      </c>
      <c r="AB380" t="s">
        <v>412</v>
      </c>
      <c r="AC380" t="s">
        <v>411</v>
      </c>
      <c r="AD380">
        <v>46097</v>
      </c>
      <c r="AE380">
        <v>46111</v>
      </c>
      <c r="AF380">
        <v>46104</v>
      </c>
      <c r="AG380" t="s">
        <v>413</v>
      </c>
      <c r="AH380">
        <v>6145655</v>
      </c>
      <c r="AI380">
        <v>46097</v>
      </c>
      <c r="AJ380">
        <v>46097</v>
      </c>
      <c r="AK380">
        <v>50000</v>
      </c>
      <c r="AL380" t="s">
        <v>396</v>
      </c>
      <c r="AM380" t="s">
        <v>1751</v>
      </c>
      <c r="AN380">
        <v>46097</v>
      </c>
      <c r="AO380">
        <v>46097.676527777781</v>
      </c>
      <c r="AP380" t="s">
        <v>51</v>
      </c>
      <c r="AQ380">
        <v>9.4119999999999995E-2</v>
      </c>
      <c r="AR380">
        <v>4706</v>
      </c>
      <c r="AS380" t="s">
        <v>51</v>
      </c>
      <c r="AT380">
        <v>4706</v>
      </c>
      <c r="AU380" t="s">
        <v>415</v>
      </c>
      <c r="AV380" t="s">
        <v>772</v>
      </c>
      <c r="AW380" t="s">
        <v>1665</v>
      </c>
      <c r="AX380">
        <v>46107</v>
      </c>
      <c r="AY380">
        <v>46156</v>
      </c>
      <c r="AZ380" t="s">
        <v>1666</v>
      </c>
      <c r="BA380" t="s">
        <v>419</v>
      </c>
      <c r="BB380" t="s">
        <v>1667</v>
      </c>
      <c r="BE380">
        <v>0</v>
      </c>
      <c r="BF380">
        <v>0</v>
      </c>
      <c r="BM380">
        <v>0</v>
      </c>
      <c r="BN380">
        <v>0</v>
      </c>
      <c r="BO380">
        <v>10</v>
      </c>
      <c r="CG380" t="s">
        <v>421</v>
      </c>
      <c r="CN380" t="str">
        <v>M01</v>
      </c>
      <c r="CO380" t="str">
        <v>1101-0037350EN</v>
      </c>
      <c r="CP380" t="str">
        <v>MEDU5320611</v>
      </c>
      <c r="CQ380" s="23">
        <v>175.655</v>
      </c>
      <c r="CR380" s="25">
        <f t="shared" si="15"/>
        <v>3.7823082842163833E-2</v>
      </c>
      <c r="CS380" s="21">
        <f t="shared" si="16"/>
        <v>94.557707105409577</v>
      </c>
    </row>
    <row r="381" spans="2:97" x14ac:dyDescent="0.35">
      <c r="B381" t="s">
        <v>296</v>
      </c>
      <c r="C381" t="s">
        <v>1752</v>
      </c>
      <c r="D381" t="s">
        <v>395</v>
      </c>
      <c r="E381" t="s">
        <v>395</v>
      </c>
      <c r="F381" t="s">
        <v>396</v>
      </c>
      <c r="G381" t="s">
        <v>397</v>
      </c>
      <c r="H381" t="s">
        <v>398</v>
      </c>
      <c r="I381" t="s">
        <v>399</v>
      </c>
      <c r="J381" t="s">
        <v>400</v>
      </c>
      <c r="K381" t="s">
        <v>484</v>
      </c>
      <c r="L381" t="s">
        <v>1753</v>
      </c>
      <c r="M381" t="s">
        <v>403</v>
      </c>
      <c r="N381">
        <v>1</v>
      </c>
      <c r="O381">
        <v>1</v>
      </c>
      <c r="P381" t="s">
        <v>1754</v>
      </c>
      <c r="Q381" t="s">
        <v>405</v>
      </c>
      <c r="R381" t="s">
        <v>499</v>
      </c>
      <c r="S381" t="s">
        <v>1196</v>
      </c>
      <c r="T381" t="s">
        <v>408</v>
      </c>
      <c r="U381">
        <v>50950082388</v>
      </c>
      <c r="W381">
        <v>20000</v>
      </c>
      <c r="X381" t="s">
        <v>409</v>
      </c>
      <c r="Y381" t="s">
        <v>410</v>
      </c>
      <c r="Z381" t="s">
        <v>410</v>
      </c>
      <c r="AA381" t="s">
        <v>411</v>
      </c>
      <c r="AB381" t="s">
        <v>412</v>
      </c>
      <c r="AC381" t="s">
        <v>411</v>
      </c>
      <c r="AD381">
        <v>46097</v>
      </c>
      <c r="AE381">
        <v>46160</v>
      </c>
      <c r="AF381">
        <v>46104</v>
      </c>
      <c r="AG381" t="s">
        <v>489</v>
      </c>
      <c r="AH381">
        <v>6145668</v>
      </c>
      <c r="AI381">
        <v>46097</v>
      </c>
      <c r="AJ381">
        <v>46097</v>
      </c>
      <c r="AK381">
        <v>20000</v>
      </c>
      <c r="AL381" t="s">
        <v>396</v>
      </c>
      <c r="AM381" t="s">
        <v>1755</v>
      </c>
      <c r="AN381">
        <v>46097</v>
      </c>
      <c r="AO381">
        <v>46097.676527777781</v>
      </c>
      <c r="AP381" t="s">
        <v>51</v>
      </c>
      <c r="AQ381">
        <v>9.2399999999999999E-3</v>
      </c>
      <c r="AR381">
        <v>184.8</v>
      </c>
      <c r="AS381" t="s">
        <v>51</v>
      </c>
      <c r="AT381">
        <v>184.8</v>
      </c>
      <c r="AU381" t="s">
        <v>415</v>
      </c>
      <c r="AV381" t="s">
        <v>772</v>
      </c>
      <c r="AW381" t="s">
        <v>1665</v>
      </c>
      <c r="AX381">
        <v>46107</v>
      </c>
      <c r="AY381">
        <v>46156</v>
      </c>
      <c r="AZ381" t="s">
        <v>1666</v>
      </c>
      <c r="BA381" t="s">
        <v>419</v>
      </c>
      <c r="BB381" t="s">
        <v>1667</v>
      </c>
      <c r="BE381">
        <v>0</v>
      </c>
      <c r="BF381">
        <v>0</v>
      </c>
      <c r="BM381">
        <v>0</v>
      </c>
      <c r="BN381">
        <v>0</v>
      </c>
      <c r="BO381">
        <v>0.1</v>
      </c>
      <c r="CG381" t="s">
        <v>421</v>
      </c>
      <c r="CN381" t="str">
        <v>M45</v>
      </c>
      <c r="CO381" t="str">
        <v>1101-10C0244EN</v>
      </c>
      <c r="CP381" t="str">
        <v>MEDU5320611</v>
      </c>
      <c r="CQ381" s="23">
        <v>83.658799999999999</v>
      </c>
      <c r="CR381" s="25">
        <f t="shared" si="15"/>
        <v>1.8013912059867441E-2</v>
      </c>
      <c r="CS381" s="21">
        <f t="shared" si="16"/>
        <v>45.034780149668599</v>
      </c>
    </row>
    <row r="382" spans="2:97" x14ac:dyDescent="0.35">
      <c r="B382" t="s">
        <v>298</v>
      </c>
      <c r="C382" t="s">
        <v>1756</v>
      </c>
      <c r="D382" t="s">
        <v>395</v>
      </c>
      <c r="E382" t="s">
        <v>395</v>
      </c>
      <c r="F382" t="s">
        <v>396</v>
      </c>
      <c r="G382" t="s">
        <v>397</v>
      </c>
      <c r="H382" t="s">
        <v>398</v>
      </c>
      <c r="I382" t="s">
        <v>399</v>
      </c>
      <c r="J382" t="s">
        <v>400</v>
      </c>
      <c r="K382" t="s">
        <v>401</v>
      </c>
      <c r="L382" t="s">
        <v>402</v>
      </c>
      <c r="M382" t="s">
        <v>403</v>
      </c>
      <c r="N382">
        <v>1</v>
      </c>
      <c r="O382">
        <v>1</v>
      </c>
      <c r="P382" t="s">
        <v>1757</v>
      </c>
      <c r="Q382" t="s">
        <v>424</v>
      </c>
      <c r="R382" t="s">
        <v>1758</v>
      </c>
      <c r="S382" t="s">
        <v>1759</v>
      </c>
      <c r="T382" t="s">
        <v>408</v>
      </c>
      <c r="U382">
        <v>50950081451</v>
      </c>
      <c r="W382">
        <v>990</v>
      </c>
      <c r="X382" t="s">
        <v>409</v>
      </c>
      <c r="Y382" t="s">
        <v>410</v>
      </c>
      <c r="Z382" t="s">
        <v>410</v>
      </c>
      <c r="AA382" t="s">
        <v>411</v>
      </c>
      <c r="AB382" t="s">
        <v>412</v>
      </c>
      <c r="AC382" t="s">
        <v>411</v>
      </c>
      <c r="AD382">
        <v>46101</v>
      </c>
      <c r="AE382">
        <v>46160</v>
      </c>
      <c r="AF382">
        <v>46111</v>
      </c>
      <c r="AG382" t="s">
        <v>413</v>
      </c>
      <c r="AH382">
        <v>6150788</v>
      </c>
      <c r="AI382">
        <v>46100</v>
      </c>
      <c r="AJ382">
        <v>46100</v>
      </c>
      <c r="AK382">
        <v>990</v>
      </c>
      <c r="AL382" t="s">
        <v>396</v>
      </c>
      <c r="AM382" t="s">
        <v>1760</v>
      </c>
      <c r="AN382">
        <v>46100</v>
      </c>
      <c r="AO382">
        <v>46100.601875</v>
      </c>
      <c r="AP382" t="s">
        <v>51</v>
      </c>
      <c r="AQ382">
        <v>7.3134100000000002</v>
      </c>
      <c r="AR382">
        <v>7240.27</v>
      </c>
      <c r="AS382" t="s">
        <v>51</v>
      </c>
      <c r="AT382">
        <v>7240.27</v>
      </c>
      <c r="AU382" t="s">
        <v>415</v>
      </c>
      <c r="AV382" t="s">
        <v>772</v>
      </c>
      <c r="AW382" t="s">
        <v>1665</v>
      </c>
      <c r="AX382">
        <v>46107</v>
      </c>
      <c r="AY382">
        <v>46156</v>
      </c>
      <c r="AZ382" t="s">
        <v>1666</v>
      </c>
      <c r="BA382" t="s">
        <v>419</v>
      </c>
      <c r="BB382" t="s">
        <v>1667</v>
      </c>
      <c r="BE382">
        <v>0</v>
      </c>
      <c r="BF382">
        <v>0</v>
      </c>
      <c r="BM382">
        <v>0</v>
      </c>
      <c r="BN382">
        <v>0</v>
      </c>
      <c r="BO382">
        <f>AR382/AQ382</f>
        <v>989.99919326278712</v>
      </c>
      <c r="CG382" t="s">
        <v>421</v>
      </c>
      <c r="CN382" t="str">
        <v>M01</v>
      </c>
      <c r="CO382" t="str">
        <v>1204-0035710EN</v>
      </c>
      <c r="CP382" t="str">
        <v>MEDU5320611</v>
      </c>
      <c r="CQ382" s="23">
        <v>14.117850000000001</v>
      </c>
      <c r="CR382" s="25">
        <f t="shared" si="15"/>
        <v>3.0399397119537882E-3</v>
      </c>
      <c r="CS382" s="21">
        <f t="shared" si="16"/>
        <v>7.5998492798844701</v>
      </c>
    </row>
    <row r="383" spans="2:97" x14ac:dyDescent="0.35">
      <c r="B383" t="s">
        <v>296</v>
      </c>
      <c r="C383" t="s">
        <v>1761</v>
      </c>
      <c r="D383" t="s">
        <v>395</v>
      </c>
      <c r="E383" t="s">
        <v>395</v>
      </c>
      <c r="F383" t="s">
        <v>396</v>
      </c>
      <c r="G383" t="s">
        <v>397</v>
      </c>
      <c r="H383" t="s">
        <v>398</v>
      </c>
      <c r="I383" t="s">
        <v>399</v>
      </c>
      <c r="J383" t="s">
        <v>400</v>
      </c>
      <c r="K383" t="s">
        <v>515</v>
      </c>
      <c r="L383" t="s">
        <v>472</v>
      </c>
      <c r="M383" t="s">
        <v>403</v>
      </c>
      <c r="N383">
        <v>1</v>
      </c>
      <c r="O383">
        <v>1</v>
      </c>
      <c r="P383" t="s">
        <v>516</v>
      </c>
      <c r="Q383" t="s">
        <v>430</v>
      </c>
      <c r="R383" t="s">
        <v>517</v>
      </c>
      <c r="S383" t="s">
        <v>518</v>
      </c>
      <c r="T383" t="s">
        <v>408</v>
      </c>
      <c r="U383">
        <v>50950079595</v>
      </c>
      <c r="W383">
        <v>76800</v>
      </c>
      <c r="X383" t="s">
        <v>409</v>
      </c>
      <c r="Y383" t="s">
        <v>410</v>
      </c>
      <c r="Z383" t="s">
        <v>410</v>
      </c>
      <c r="AA383" t="s">
        <v>411</v>
      </c>
      <c r="AB383" t="s">
        <v>412</v>
      </c>
      <c r="AC383" t="s">
        <v>411</v>
      </c>
      <c r="AD383">
        <v>46098</v>
      </c>
      <c r="AE383">
        <v>46181</v>
      </c>
      <c r="AF383">
        <v>46104</v>
      </c>
      <c r="AG383" t="s">
        <v>519</v>
      </c>
      <c r="AH383">
        <v>6146804</v>
      </c>
      <c r="AI383">
        <v>46098</v>
      </c>
      <c r="AJ383">
        <v>46100</v>
      </c>
      <c r="AK383">
        <v>76800</v>
      </c>
      <c r="AL383" t="s">
        <v>396</v>
      </c>
      <c r="AM383" t="s">
        <v>1762</v>
      </c>
      <c r="AN383">
        <v>46100</v>
      </c>
      <c r="AO383">
        <v>46100.601875</v>
      </c>
      <c r="AP383" t="s">
        <v>51</v>
      </c>
      <c r="AQ383">
        <v>8.8459999999999997E-2</v>
      </c>
      <c r="AR383">
        <v>6793.73</v>
      </c>
      <c r="AS383" t="s">
        <v>51</v>
      </c>
      <c r="AT383">
        <v>6793.73</v>
      </c>
      <c r="AU383" t="s">
        <v>415</v>
      </c>
      <c r="AV383" t="s">
        <v>772</v>
      </c>
      <c r="AW383" t="s">
        <v>1665</v>
      </c>
      <c r="AX383">
        <v>46107</v>
      </c>
      <c r="AY383">
        <v>46156</v>
      </c>
      <c r="AZ383" t="s">
        <v>1666</v>
      </c>
      <c r="BA383" t="s">
        <v>419</v>
      </c>
      <c r="BB383" t="s">
        <v>1667</v>
      </c>
      <c r="BC383">
        <v>3200</v>
      </c>
      <c r="BD383" t="s">
        <v>521</v>
      </c>
      <c r="BE383">
        <v>5.4577999999999998</v>
      </c>
      <c r="BF383">
        <v>4.7328000000000001</v>
      </c>
      <c r="BG383" t="s">
        <v>522</v>
      </c>
      <c r="BH383">
        <v>395</v>
      </c>
      <c r="BI383">
        <v>295</v>
      </c>
      <c r="BJ383">
        <v>120</v>
      </c>
      <c r="BK383">
        <v>8</v>
      </c>
      <c r="BL383" t="s">
        <v>521</v>
      </c>
      <c r="BM383">
        <v>51.662399999999998</v>
      </c>
      <c r="BN383">
        <v>37.862400000000001</v>
      </c>
      <c r="BO383">
        <v>154.9872</v>
      </c>
      <c r="BP383" t="s">
        <v>522</v>
      </c>
      <c r="BQ383">
        <v>800</v>
      </c>
      <c r="BR383">
        <v>300</v>
      </c>
      <c r="BS383">
        <v>608</v>
      </c>
      <c r="BT383">
        <v>3</v>
      </c>
      <c r="BU383">
        <v>0</v>
      </c>
      <c r="BV383">
        <v>3</v>
      </c>
      <c r="BW383">
        <v>24</v>
      </c>
      <c r="BX383">
        <v>0</v>
      </c>
      <c r="BY383">
        <v>24</v>
      </c>
      <c r="BZ383">
        <v>76800</v>
      </c>
      <c r="CA383">
        <v>0</v>
      </c>
      <c r="CB383">
        <v>76800</v>
      </c>
      <c r="CC383">
        <v>113.5872</v>
      </c>
      <c r="CD383" t="s">
        <v>523</v>
      </c>
      <c r="CE383" t="s">
        <v>524</v>
      </c>
      <c r="CG383" t="s">
        <v>421</v>
      </c>
      <c r="CN383" t="str">
        <v>M19</v>
      </c>
      <c r="CO383" t="str">
        <v>1106-5YY0013-T2EN</v>
      </c>
      <c r="CP383" t="str">
        <v>MEDU5320611</v>
      </c>
      <c r="CQ383" s="23">
        <v>124.99536000000001</v>
      </c>
      <c r="CR383" s="25">
        <f t="shared" si="15"/>
        <v>2.6914746839919679E-2</v>
      </c>
      <c r="CS383" s="21">
        <f t="shared" si="16"/>
        <v>67.286867099799196</v>
      </c>
    </row>
    <row r="384" spans="2:97" x14ac:dyDescent="0.35">
      <c r="B384" t="s">
        <v>299</v>
      </c>
      <c r="C384" t="s">
        <v>1763</v>
      </c>
      <c r="D384" t="s">
        <v>395</v>
      </c>
      <c r="E384" t="s">
        <v>395</v>
      </c>
      <c r="F384" t="s">
        <v>396</v>
      </c>
      <c r="G384" t="s">
        <v>397</v>
      </c>
      <c r="H384" t="s">
        <v>454</v>
      </c>
      <c r="I384" t="s">
        <v>399</v>
      </c>
      <c r="J384" t="s">
        <v>400</v>
      </c>
      <c r="K384" t="s">
        <v>526</v>
      </c>
      <c r="L384" t="s">
        <v>472</v>
      </c>
      <c r="M384" t="s">
        <v>403</v>
      </c>
      <c r="N384">
        <v>1</v>
      </c>
      <c r="O384">
        <v>1</v>
      </c>
      <c r="P384" t="s">
        <v>527</v>
      </c>
      <c r="Q384" t="s">
        <v>424</v>
      </c>
      <c r="R384" t="s">
        <v>528</v>
      </c>
      <c r="S384" t="s">
        <v>529</v>
      </c>
      <c r="T384" t="s">
        <v>408</v>
      </c>
      <c r="U384">
        <v>50950080312</v>
      </c>
      <c r="W384">
        <v>40320</v>
      </c>
      <c r="X384" t="s">
        <v>409</v>
      </c>
      <c r="Y384" t="s">
        <v>410</v>
      </c>
      <c r="Z384" t="s">
        <v>410</v>
      </c>
      <c r="AA384" t="s">
        <v>411</v>
      </c>
      <c r="AB384" t="s">
        <v>412</v>
      </c>
      <c r="AC384" t="s">
        <v>411</v>
      </c>
      <c r="AD384">
        <v>46091</v>
      </c>
      <c r="AE384">
        <v>46160</v>
      </c>
      <c r="AF384">
        <v>46111</v>
      </c>
      <c r="AG384" t="s">
        <v>476</v>
      </c>
      <c r="AH384">
        <v>6151091</v>
      </c>
      <c r="AI384">
        <v>46100</v>
      </c>
      <c r="AJ384">
        <v>46100</v>
      </c>
      <c r="AK384">
        <v>40320</v>
      </c>
      <c r="AL384" t="s">
        <v>396</v>
      </c>
      <c r="AM384" t="s">
        <v>1764</v>
      </c>
      <c r="AN384">
        <v>46100</v>
      </c>
      <c r="AO384">
        <v>46100.687789351854</v>
      </c>
      <c r="AP384" t="s">
        <v>51</v>
      </c>
      <c r="AQ384">
        <v>8.9230000000000004E-2</v>
      </c>
      <c r="AR384">
        <v>3597.75</v>
      </c>
      <c r="AS384" t="s">
        <v>51</v>
      </c>
      <c r="AT384">
        <v>3597.75</v>
      </c>
      <c r="AU384" t="s">
        <v>415</v>
      </c>
      <c r="AV384" t="s">
        <v>772</v>
      </c>
      <c r="AW384" t="s">
        <v>1665</v>
      </c>
      <c r="AX384">
        <v>46107</v>
      </c>
      <c r="AY384">
        <v>46156</v>
      </c>
      <c r="AZ384" t="s">
        <v>1666</v>
      </c>
      <c r="BA384" t="s">
        <v>419</v>
      </c>
      <c r="BB384" t="s">
        <v>1667</v>
      </c>
      <c r="BO384">
        <v>4000</v>
      </c>
      <c r="CG384" t="s">
        <v>421</v>
      </c>
      <c r="CN384" t="str">
        <v>M19</v>
      </c>
      <c r="CO384" t="str">
        <v>1106-5YY0032EN</v>
      </c>
      <c r="CP384" t="str">
        <v>MEDU5320611</v>
      </c>
      <c r="CQ384" s="23">
        <v>156.85759999999999</v>
      </c>
      <c r="CR384" s="25">
        <f t="shared" si="15"/>
        <v>3.3775514498437256E-2</v>
      </c>
      <c r="CS384" s="21">
        <f t="shared" si="16"/>
        <v>84.438786246093144</v>
      </c>
    </row>
    <row r="385" spans="2:97" x14ac:dyDescent="0.35">
      <c r="B385" t="s">
        <v>297</v>
      </c>
      <c r="C385" t="s">
        <v>548</v>
      </c>
      <c r="D385" t="s">
        <v>549</v>
      </c>
      <c r="E385" t="s">
        <v>395</v>
      </c>
      <c r="F385" t="s">
        <v>396</v>
      </c>
      <c r="G385" t="s">
        <v>397</v>
      </c>
      <c r="H385" t="s">
        <v>398</v>
      </c>
      <c r="I385" t="s">
        <v>399</v>
      </c>
      <c r="J385" t="s">
        <v>400</v>
      </c>
      <c r="K385" t="s">
        <v>401</v>
      </c>
      <c r="L385" t="s">
        <v>550</v>
      </c>
      <c r="M385" t="s">
        <v>403</v>
      </c>
      <c r="N385">
        <v>4</v>
      </c>
      <c r="O385">
        <v>1</v>
      </c>
      <c r="P385" t="s">
        <v>551</v>
      </c>
      <c r="Q385" t="s">
        <v>430</v>
      </c>
      <c r="R385" t="s">
        <v>552</v>
      </c>
      <c r="S385" t="s">
        <v>553</v>
      </c>
      <c r="T385" t="s">
        <v>408</v>
      </c>
      <c r="U385">
        <v>50950080811</v>
      </c>
      <c r="W385">
        <v>34560</v>
      </c>
      <c r="X385" t="s">
        <v>409</v>
      </c>
      <c r="Y385" t="s">
        <v>410</v>
      </c>
      <c r="Z385" t="s">
        <v>410</v>
      </c>
      <c r="AA385" t="s">
        <v>411</v>
      </c>
      <c r="AB385" t="s">
        <v>412</v>
      </c>
      <c r="AC385" t="s">
        <v>411</v>
      </c>
      <c r="AD385">
        <v>46104</v>
      </c>
      <c r="AE385">
        <v>46160</v>
      </c>
      <c r="AF385">
        <v>46104</v>
      </c>
      <c r="AG385" t="s">
        <v>555</v>
      </c>
      <c r="AH385">
        <v>6150844</v>
      </c>
      <c r="AI385">
        <v>46100</v>
      </c>
      <c r="AJ385">
        <v>46101</v>
      </c>
      <c r="AK385">
        <v>34560</v>
      </c>
      <c r="AL385" t="s">
        <v>396</v>
      </c>
      <c r="AM385" t="s">
        <v>1765</v>
      </c>
      <c r="AN385">
        <v>46101</v>
      </c>
      <c r="AO385">
        <v>46101.454467592594</v>
      </c>
      <c r="AP385" t="s">
        <v>51</v>
      </c>
      <c r="AQ385">
        <v>0.23995</v>
      </c>
      <c r="AR385">
        <v>8292.67</v>
      </c>
      <c r="AS385" t="s">
        <v>51</v>
      </c>
      <c r="AT385">
        <v>8292.67</v>
      </c>
      <c r="AU385" t="s">
        <v>415</v>
      </c>
      <c r="AV385" t="s">
        <v>772</v>
      </c>
      <c r="AW385" t="s">
        <v>1665</v>
      </c>
      <c r="AX385">
        <v>46107</v>
      </c>
      <c r="AY385">
        <v>46156</v>
      </c>
      <c r="AZ385" t="s">
        <v>1742</v>
      </c>
      <c r="BA385" t="s">
        <v>560</v>
      </c>
      <c r="BB385" t="s">
        <v>1743</v>
      </c>
      <c r="BC385">
        <v>240</v>
      </c>
      <c r="BD385" t="s">
        <v>521</v>
      </c>
      <c r="BE385">
        <v>2.8610000000000002</v>
      </c>
      <c r="BF385">
        <v>1.5840000000000001</v>
      </c>
      <c r="BG385" t="s">
        <v>522</v>
      </c>
      <c r="BH385">
        <v>340</v>
      </c>
      <c r="BI385">
        <v>250</v>
      </c>
      <c r="BJ385">
        <v>230</v>
      </c>
      <c r="BK385">
        <v>48</v>
      </c>
      <c r="BL385" t="s">
        <v>521</v>
      </c>
      <c r="BM385">
        <v>158.328</v>
      </c>
      <c r="BN385">
        <v>76.031999999999996</v>
      </c>
      <c r="BO385">
        <v>474.98399999999998</v>
      </c>
      <c r="BP385" t="s">
        <v>522</v>
      </c>
      <c r="BQ385">
        <v>1066</v>
      </c>
      <c r="BR385">
        <v>1066</v>
      </c>
      <c r="BS385">
        <v>1080</v>
      </c>
      <c r="BT385">
        <v>3</v>
      </c>
      <c r="BU385">
        <v>0</v>
      </c>
      <c r="BV385">
        <v>3</v>
      </c>
      <c r="BW385">
        <v>144</v>
      </c>
      <c r="BX385">
        <v>0</v>
      </c>
      <c r="BY385">
        <v>144</v>
      </c>
      <c r="BZ385">
        <v>34560</v>
      </c>
      <c r="CA385">
        <v>0</v>
      </c>
      <c r="CB385">
        <v>34560</v>
      </c>
      <c r="CC385">
        <v>228.096</v>
      </c>
      <c r="CD385" t="s">
        <v>562</v>
      </c>
      <c r="CE385" t="s">
        <v>563</v>
      </c>
      <c r="CG385" t="s">
        <v>421</v>
      </c>
      <c r="CN385" t="str">
        <v>MCS</v>
      </c>
      <c r="CO385" t="str">
        <v>1209-5YY0475EN</v>
      </c>
      <c r="CP385" t="str">
        <v>MEDU5320611</v>
      </c>
      <c r="CQ385" s="23">
        <v>130.94399999999999</v>
      </c>
      <c r="CR385" s="25">
        <f t="shared" si="15"/>
        <v>2.8195643503938404E-2</v>
      </c>
      <c r="CS385" s="21">
        <f t="shared" si="16"/>
        <v>70.489108759846005</v>
      </c>
    </row>
    <row r="386" spans="2:97" x14ac:dyDescent="0.35">
      <c r="B386" t="s">
        <v>298</v>
      </c>
      <c r="C386" t="s">
        <v>1766</v>
      </c>
      <c r="D386" t="s">
        <v>565</v>
      </c>
      <c r="E386" t="s">
        <v>395</v>
      </c>
      <c r="F386" t="s">
        <v>396</v>
      </c>
      <c r="G386" t="s">
        <v>397</v>
      </c>
      <c r="H386" t="s">
        <v>398</v>
      </c>
      <c r="I386" t="s">
        <v>399</v>
      </c>
      <c r="J386" t="s">
        <v>400</v>
      </c>
      <c r="K386" t="s">
        <v>566</v>
      </c>
      <c r="L386" t="s">
        <v>567</v>
      </c>
      <c r="M386" t="s">
        <v>403</v>
      </c>
      <c r="N386">
        <v>1</v>
      </c>
      <c r="O386">
        <v>1</v>
      </c>
      <c r="P386" t="s">
        <v>1767</v>
      </c>
      <c r="Q386" t="s">
        <v>424</v>
      </c>
      <c r="R386" t="s">
        <v>1768</v>
      </c>
      <c r="S386" t="s">
        <v>1769</v>
      </c>
      <c r="T386" t="s">
        <v>408</v>
      </c>
      <c r="U386">
        <v>50950081657</v>
      </c>
      <c r="W386">
        <v>7776</v>
      </c>
      <c r="X386" t="s">
        <v>409</v>
      </c>
      <c r="Y386" t="s">
        <v>410</v>
      </c>
      <c r="Z386" t="s">
        <v>410</v>
      </c>
      <c r="AA386" t="s">
        <v>411</v>
      </c>
      <c r="AB386" t="s">
        <v>412</v>
      </c>
      <c r="AC386" t="s">
        <v>411</v>
      </c>
      <c r="AD386">
        <v>46104</v>
      </c>
      <c r="AE386">
        <v>46160</v>
      </c>
      <c r="AF386">
        <v>46104</v>
      </c>
      <c r="AG386" t="s">
        <v>570</v>
      </c>
      <c r="AH386">
        <v>6150845</v>
      </c>
      <c r="AI386">
        <v>46100</v>
      </c>
      <c r="AJ386">
        <v>46101</v>
      </c>
      <c r="AK386">
        <v>7776</v>
      </c>
      <c r="AL386" t="s">
        <v>396</v>
      </c>
      <c r="AM386" t="s">
        <v>1770</v>
      </c>
      <c r="AN386">
        <v>46101</v>
      </c>
      <c r="AO386">
        <v>46101.454467592594</v>
      </c>
      <c r="AP386" t="s">
        <v>51</v>
      </c>
      <c r="AQ386">
        <v>0.37989000000000001</v>
      </c>
      <c r="AR386">
        <v>2954.02</v>
      </c>
      <c r="AS386" t="s">
        <v>51</v>
      </c>
      <c r="AT386">
        <v>2954.02</v>
      </c>
      <c r="AU386" t="s">
        <v>415</v>
      </c>
      <c r="AV386" t="s">
        <v>772</v>
      </c>
      <c r="AW386" t="s">
        <v>1665</v>
      </c>
      <c r="AX386">
        <v>46107</v>
      </c>
      <c r="AY386">
        <v>46156</v>
      </c>
      <c r="AZ386" t="s">
        <v>1742</v>
      </c>
      <c r="BA386" t="s">
        <v>560</v>
      </c>
      <c r="BB386" t="s">
        <v>1743</v>
      </c>
      <c r="BC386">
        <v>81</v>
      </c>
      <c r="BD386" t="s">
        <v>521</v>
      </c>
      <c r="BE386">
        <v>6.1428000000000003</v>
      </c>
      <c r="BF386">
        <v>5.2187999999999999</v>
      </c>
      <c r="BG386" t="s">
        <v>522</v>
      </c>
      <c r="BH386">
        <v>395</v>
      </c>
      <c r="BI386">
        <v>295</v>
      </c>
      <c r="BJ386">
        <v>150</v>
      </c>
      <c r="BK386">
        <v>48</v>
      </c>
      <c r="BL386" t="s">
        <v>521</v>
      </c>
      <c r="BM386">
        <v>318.8544</v>
      </c>
      <c r="BN386">
        <v>250.50239999999999</v>
      </c>
      <c r="BO386">
        <v>637.71168</v>
      </c>
      <c r="BP386" t="s">
        <v>522</v>
      </c>
      <c r="BQ386">
        <v>1200</v>
      </c>
      <c r="BR386">
        <v>800</v>
      </c>
      <c r="BS386">
        <v>1060</v>
      </c>
      <c r="BT386">
        <v>2</v>
      </c>
      <c r="BU386">
        <v>0</v>
      </c>
      <c r="BV386">
        <v>2</v>
      </c>
      <c r="BW386">
        <v>96</v>
      </c>
      <c r="BX386">
        <v>0</v>
      </c>
      <c r="BY386">
        <v>96</v>
      </c>
      <c r="BZ386">
        <v>7776</v>
      </c>
      <c r="CA386">
        <v>0</v>
      </c>
      <c r="CB386">
        <v>7776</v>
      </c>
      <c r="CC386">
        <v>501.00767999999999</v>
      </c>
      <c r="CD386" t="s">
        <v>694</v>
      </c>
      <c r="CE386" t="s">
        <v>1771</v>
      </c>
      <c r="CG386" t="s">
        <v>421</v>
      </c>
      <c r="CN386" t="str">
        <v>M19</v>
      </c>
      <c r="CO386" t="str">
        <v>1106-5YY0031EN</v>
      </c>
      <c r="CP386" t="str">
        <v>MEDU5320611</v>
      </c>
      <c r="CQ386" s="23">
        <v>132.75839999999999</v>
      </c>
      <c r="CR386" s="25">
        <f t="shared" si="15"/>
        <v>2.8586330939586818E-2</v>
      </c>
      <c r="CS386" s="21">
        <f t="shared" si="16"/>
        <v>71.465827348967039</v>
      </c>
    </row>
    <row r="387" spans="2:97" x14ac:dyDescent="0.35">
      <c r="B387" t="s">
        <v>298</v>
      </c>
      <c r="C387" t="s">
        <v>1772</v>
      </c>
      <c r="D387" t="s">
        <v>395</v>
      </c>
      <c r="E387" t="s">
        <v>395</v>
      </c>
      <c r="F387" t="s">
        <v>396</v>
      </c>
      <c r="G387" t="s">
        <v>397</v>
      </c>
      <c r="H387" t="s">
        <v>398</v>
      </c>
      <c r="I387" t="s">
        <v>399</v>
      </c>
      <c r="J387" t="s">
        <v>400</v>
      </c>
      <c r="K387" t="s">
        <v>607</v>
      </c>
      <c r="L387" t="s">
        <v>585</v>
      </c>
      <c r="M387" t="s">
        <v>403</v>
      </c>
      <c r="N387">
        <v>1</v>
      </c>
      <c r="O387">
        <v>1</v>
      </c>
      <c r="P387" t="s">
        <v>649</v>
      </c>
      <c r="Q387" t="s">
        <v>430</v>
      </c>
      <c r="R387" t="s">
        <v>650</v>
      </c>
      <c r="S387" t="s">
        <v>651</v>
      </c>
      <c r="T387" t="s">
        <v>408</v>
      </c>
      <c r="U387">
        <v>50950080131</v>
      </c>
      <c r="W387">
        <v>21600</v>
      </c>
      <c r="X387" t="s">
        <v>409</v>
      </c>
      <c r="Y387" t="s">
        <v>410</v>
      </c>
      <c r="Z387" t="s">
        <v>410</v>
      </c>
      <c r="AA387" t="s">
        <v>411</v>
      </c>
      <c r="AB387" t="s">
        <v>412</v>
      </c>
      <c r="AC387" t="s">
        <v>411</v>
      </c>
      <c r="AD387">
        <v>46069</v>
      </c>
      <c r="AE387">
        <v>46125</v>
      </c>
      <c r="AF387">
        <v>46104</v>
      </c>
      <c r="AG387" t="s">
        <v>590</v>
      </c>
      <c r="AH387">
        <v>6150849</v>
      </c>
      <c r="AI387">
        <v>46100</v>
      </c>
      <c r="AJ387">
        <v>46101</v>
      </c>
      <c r="AK387">
        <v>21600</v>
      </c>
      <c r="AL387" t="s">
        <v>396</v>
      </c>
      <c r="AM387" t="s">
        <v>1773</v>
      </c>
      <c r="AN387">
        <v>46101</v>
      </c>
      <c r="AO387">
        <v>46101.454467592594</v>
      </c>
      <c r="AP387" t="s">
        <v>51</v>
      </c>
      <c r="AQ387">
        <v>0.19273000000000001</v>
      </c>
      <c r="AR387">
        <v>4162.96</v>
      </c>
      <c r="AS387" t="s">
        <v>51</v>
      </c>
      <c r="AT387">
        <v>4162.96</v>
      </c>
      <c r="AU387" t="s">
        <v>415</v>
      </c>
      <c r="AV387" t="s">
        <v>772</v>
      </c>
      <c r="AW387" t="s">
        <v>1665</v>
      </c>
      <c r="AX387">
        <v>46107</v>
      </c>
      <c r="AY387">
        <v>46156</v>
      </c>
      <c r="AZ387" t="s">
        <v>1742</v>
      </c>
      <c r="BA387" t="s">
        <v>560</v>
      </c>
      <c r="BB387" t="s">
        <v>1743</v>
      </c>
      <c r="BC387">
        <v>900</v>
      </c>
      <c r="BD387" t="s">
        <v>521</v>
      </c>
      <c r="BE387">
        <v>16.950500000000002</v>
      </c>
      <c r="BF387">
        <v>16.560500000000001</v>
      </c>
      <c r="BG387" t="s">
        <v>522</v>
      </c>
      <c r="BH387">
        <v>368</v>
      </c>
      <c r="BI387">
        <v>257</v>
      </c>
      <c r="BJ387">
        <v>136</v>
      </c>
      <c r="BK387">
        <v>6</v>
      </c>
      <c r="BL387" t="s">
        <v>521</v>
      </c>
      <c r="BM387">
        <v>109.703</v>
      </c>
      <c r="BN387">
        <v>99.363</v>
      </c>
      <c r="BO387">
        <v>438.81079999999997</v>
      </c>
      <c r="BP387" t="s">
        <v>522</v>
      </c>
      <c r="BQ387">
        <v>800</v>
      </c>
      <c r="BR387">
        <v>300</v>
      </c>
      <c r="BS387">
        <v>608</v>
      </c>
      <c r="BT387">
        <v>4</v>
      </c>
      <c r="BU387">
        <v>0</v>
      </c>
      <c r="BV387">
        <v>4</v>
      </c>
      <c r="BW387">
        <v>24</v>
      </c>
      <c r="BX387">
        <v>0</v>
      </c>
      <c r="BY387">
        <v>24</v>
      </c>
      <c r="BZ387">
        <v>21600</v>
      </c>
      <c r="CA387">
        <v>0</v>
      </c>
      <c r="CB387">
        <v>21600</v>
      </c>
      <c r="CC387">
        <v>397.45080000000002</v>
      </c>
      <c r="CD387" t="s">
        <v>523</v>
      </c>
      <c r="CE387" t="s">
        <v>653</v>
      </c>
      <c r="CG387" t="s">
        <v>421</v>
      </c>
      <c r="CN387" t="str">
        <v>M19</v>
      </c>
      <c r="CO387" t="str">
        <v>1202-5YY0024-76EN</v>
      </c>
      <c r="CP387" t="str">
        <v>MEDU5320611</v>
      </c>
      <c r="CQ387" s="23">
        <v>116.29415</v>
      </c>
      <c r="CR387" s="25">
        <f t="shared" si="15"/>
        <v>2.5041150377211163E-2</v>
      </c>
      <c r="CS387" s="21">
        <f t="shared" si="16"/>
        <v>62.602875943027911</v>
      </c>
    </row>
    <row r="388" spans="2:97" x14ac:dyDescent="0.35">
      <c r="B388" t="s">
        <v>299</v>
      </c>
      <c r="C388" t="s">
        <v>1774</v>
      </c>
      <c r="D388" t="s">
        <v>395</v>
      </c>
      <c r="E388" t="s">
        <v>395</v>
      </c>
      <c r="F388" t="s">
        <v>396</v>
      </c>
      <c r="G388" t="s">
        <v>397</v>
      </c>
      <c r="H388" t="s">
        <v>532</v>
      </c>
      <c r="I388" t="s">
        <v>399</v>
      </c>
      <c r="J388" t="s">
        <v>400</v>
      </c>
      <c r="K388" t="s">
        <v>515</v>
      </c>
      <c r="L388" t="s">
        <v>585</v>
      </c>
      <c r="M388" t="s">
        <v>403</v>
      </c>
      <c r="N388">
        <v>1</v>
      </c>
      <c r="O388">
        <v>1</v>
      </c>
      <c r="P388" t="s">
        <v>586</v>
      </c>
      <c r="Q388" t="s">
        <v>587</v>
      </c>
      <c r="R388" t="s">
        <v>588</v>
      </c>
      <c r="S388" t="s">
        <v>589</v>
      </c>
      <c r="T388" t="s">
        <v>408</v>
      </c>
      <c r="U388">
        <v>50950080313</v>
      </c>
      <c r="W388">
        <v>9450</v>
      </c>
      <c r="X388" t="s">
        <v>409</v>
      </c>
      <c r="Y388" t="s">
        <v>410</v>
      </c>
      <c r="Z388" t="s">
        <v>410</v>
      </c>
      <c r="AA388" t="s">
        <v>411</v>
      </c>
      <c r="AB388" t="s">
        <v>412</v>
      </c>
      <c r="AC388" t="s">
        <v>411</v>
      </c>
      <c r="AD388">
        <v>46097</v>
      </c>
      <c r="AE388">
        <v>46153</v>
      </c>
      <c r="AF388">
        <v>46104</v>
      </c>
      <c r="AG388" t="s">
        <v>590</v>
      </c>
      <c r="AH388">
        <v>6150850</v>
      </c>
      <c r="AI388">
        <v>46100</v>
      </c>
      <c r="AJ388">
        <v>46101</v>
      </c>
      <c r="AK388">
        <v>9450</v>
      </c>
      <c r="AL388" t="s">
        <v>396</v>
      </c>
      <c r="AM388" t="s">
        <v>1775</v>
      </c>
      <c r="AN388">
        <v>46101</v>
      </c>
      <c r="AO388">
        <v>46101.454467592594</v>
      </c>
      <c r="AP388" t="s">
        <v>51</v>
      </c>
      <c r="AQ388">
        <v>1.9509799999999999</v>
      </c>
      <c r="AR388">
        <v>18436.740000000002</v>
      </c>
      <c r="AS388" t="s">
        <v>51</v>
      </c>
      <c r="AT388">
        <v>18436.740000000002</v>
      </c>
      <c r="AU388" t="s">
        <v>415</v>
      </c>
      <c r="AV388" t="s">
        <v>772</v>
      </c>
      <c r="AW388" t="s">
        <v>1665</v>
      </c>
      <c r="AX388">
        <v>46107</v>
      </c>
      <c r="AY388">
        <v>46156</v>
      </c>
      <c r="AZ388" t="s">
        <v>1742</v>
      </c>
      <c r="BA388" t="s">
        <v>560</v>
      </c>
      <c r="BB388" t="s">
        <v>1743</v>
      </c>
      <c r="BC388">
        <v>27</v>
      </c>
      <c r="BD388" t="s">
        <v>521</v>
      </c>
      <c r="BE388">
        <v>2.6560000000000001</v>
      </c>
      <c r="BF388">
        <v>1.623</v>
      </c>
      <c r="BG388" t="s">
        <v>522</v>
      </c>
      <c r="BH388">
        <v>395</v>
      </c>
      <c r="BI388">
        <v>295</v>
      </c>
      <c r="BJ388">
        <v>190</v>
      </c>
      <c r="BK388">
        <v>50</v>
      </c>
      <c r="BL388" t="s">
        <v>521</v>
      </c>
      <c r="BM388">
        <v>159.80000000000001</v>
      </c>
      <c r="BN388">
        <v>81.150000000000006</v>
      </c>
      <c r="BO388">
        <v>1118.5989500000001</v>
      </c>
      <c r="BP388" t="s">
        <v>522</v>
      </c>
      <c r="BQ388">
        <v>1200</v>
      </c>
      <c r="BR388">
        <v>1000</v>
      </c>
      <c r="BS388">
        <v>1110</v>
      </c>
      <c r="BT388">
        <v>7</v>
      </c>
      <c r="BU388">
        <v>0</v>
      </c>
      <c r="BV388">
        <v>7</v>
      </c>
      <c r="BW388">
        <v>350</v>
      </c>
      <c r="BX388">
        <v>0</v>
      </c>
      <c r="BY388">
        <v>350</v>
      </c>
      <c r="BZ388">
        <v>9450</v>
      </c>
      <c r="CA388">
        <v>0</v>
      </c>
      <c r="CB388">
        <v>9450</v>
      </c>
      <c r="CC388">
        <v>568.04894999999999</v>
      </c>
      <c r="CD388" t="s">
        <v>592</v>
      </c>
      <c r="CE388" t="s">
        <v>593</v>
      </c>
      <c r="CG388" t="s">
        <v>421</v>
      </c>
      <c r="CN388" t="str">
        <v>MCS</v>
      </c>
      <c r="CO388" t="str">
        <v>1209-5YY0496EN</v>
      </c>
      <c r="CP388" t="str">
        <v>MEDU5320611</v>
      </c>
      <c r="CQ388" s="23">
        <v>54.463000000000001</v>
      </c>
      <c r="CR388" s="25">
        <f t="shared" si="15"/>
        <v>1.1727298174448599E-2</v>
      </c>
      <c r="CS388" s="21">
        <f t="shared" si="16"/>
        <v>29.318245436121497</v>
      </c>
    </row>
    <row r="389" spans="2:97" x14ac:dyDescent="0.35">
      <c r="B389" t="s">
        <v>297</v>
      </c>
      <c r="C389" t="s">
        <v>1776</v>
      </c>
      <c r="D389" t="s">
        <v>395</v>
      </c>
      <c r="E389" t="s">
        <v>395</v>
      </c>
      <c r="F389" t="s">
        <v>396</v>
      </c>
      <c r="G389" t="s">
        <v>397</v>
      </c>
      <c r="H389" t="s">
        <v>398</v>
      </c>
      <c r="I389" t="s">
        <v>399</v>
      </c>
      <c r="J389" t="s">
        <v>400</v>
      </c>
      <c r="K389" t="s">
        <v>629</v>
      </c>
      <c r="L389" t="s">
        <v>585</v>
      </c>
      <c r="M389" t="s">
        <v>403</v>
      </c>
      <c r="N389">
        <v>1</v>
      </c>
      <c r="O389">
        <v>1</v>
      </c>
      <c r="P389" t="s">
        <v>630</v>
      </c>
      <c r="Q389" t="s">
        <v>587</v>
      </c>
      <c r="R389" t="s">
        <v>631</v>
      </c>
      <c r="S389" t="s">
        <v>553</v>
      </c>
      <c r="T389" t="s">
        <v>408</v>
      </c>
      <c r="U389">
        <v>50950080606</v>
      </c>
      <c r="W389">
        <v>12800</v>
      </c>
      <c r="X389" t="s">
        <v>409</v>
      </c>
      <c r="Y389" t="s">
        <v>410</v>
      </c>
      <c r="Z389" t="s">
        <v>410</v>
      </c>
      <c r="AA389" t="s">
        <v>411</v>
      </c>
      <c r="AB389" t="s">
        <v>412</v>
      </c>
      <c r="AC389" t="s">
        <v>411</v>
      </c>
      <c r="AD389">
        <v>46097</v>
      </c>
      <c r="AE389">
        <v>46153</v>
      </c>
      <c r="AF389">
        <v>46104</v>
      </c>
      <c r="AG389" t="s">
        <v>590</v>
      </c>
      <c r="AH389">
        <v>6150851</v>
      </c>
      <c r="AI389">
        <v>46100</v>
      </c>
      <c r="AJ389">
        <v>46101</v>
      </c>
      <c r="AK389">
        <v>12800</v>
      </c>
      <c r="AL389" t="s">
        <v>396</v>
      </c>
      <c r="AM389" t="s">
        <v>1777</v>
      </c>
      <c r="AN389">
        <v>46101</v>
      </c>
      <c r="AO389">
        <v>46101.454467592594</v>
      </c>
      <c r="AP389" t="s">
        <v>51</v>
      </c>
      <c r="AQ389">
        <v>0.11813</v>
      </c>
      <c r="AR389">
        <v>1512.07</v>
      </c>
      <c r="AS389" t="s">
        <v>51</v>
      </c>
      <c r="AT389">
        <v>1512.07</v>
      </c>
      <c r="AU389" t="s">
        <v>415</v>
      </c>
      <c r="AV389" t="s">
        <v>772</v>
      </c>
      <c r="AW389" t="s">
        <v>1665</v>
      </c>
      <c r="AX389">
        <v>46107</v>
      </c>
      <c r="AY389">
        <v>46156</v>
      </c>
      <c r="AZ389" t="s">
        <v>1742</v>
      </c>
      <c r="BA389" t="s">
        <v>560</v>
      </c>
      <c r="BB389" t="s">
        <v>1743</v>
      </c>
      <c r="BC389">
        <v>320</v>
      </c>
      <c r="BD389" t="s">
        <v>521</v>
      </c>
      <c r="BE389">
        <v>4.5107999999999997</v>
      </c>
      <c r="BF389">
        <v>3.6038000000000001</v>
      </c>
      <c r="BG389" t="s">
        <v>522</v>
      </c>
      <c r="BH389">
        <v>395</v>
      </c>
      <c r="BI389">
        <v>295</v>
      </c>
      <c r="BJ389">
        <v>270</v>
      </c>
      <c r="BK389">
        <v>30</v>
      </c>
      <c r="BL389" t="s">
        <v>521</v>
      </c>
      <c r="BM389">
        <v>162.32400000000001</v>
      </c>
      <c r="BN389">
        <v>108.114</v>
      </c>
      <c r="BO389">
        <v>234.43360000000001</v>
      </c>
      <c r="BP389" t="s">
        <v>522</v>
      </c>
      <c r="BQ389">
        <v>1200</v>
      </c>
      <c r="BR389">
        <v>1000</v>
      </c>
      <c r="BS389">
        <v>918</v>
      </c>
      <c r="BT389">
        <v>1</v>
      </c>
      <c r="BU389">
        <v>1</v>
      </c>
      <c r="BV389">
        <v>2</v>
      </c>
      <c r="BW389">
        <v>40</v>
      </c>
      <c r="BX389">
        <v>0</v>
      </c>
      <c r="BY389">
        <v>40</v>
      </c>
      <c r="BZ389">
        <v>9600</v>
      </c>
      <c r="CA389">
        <v>3200</v>
      </c>
      <c r="CB389">
        <v>12800</v>
      </c>
      <c r="CC389">
        <v>144.15360000000001</v>
      </c>
      <c r="CD389" t="s">
        <v>633</v>
      </c>
      <c r="CE389" t="s">
        <v>634</v>
      </c>
      <c r="CG389" t="s">
        <v>421</v>
      </c>
      <c r="CN389" t="str">
        <v>MCS</v>
      </c>
      <c r="CO389" t="str">
        <v>1209-5YY0477EN</v>
      </c>
      <c r="CP389" t="str">
        <v>MEDU5320611</v>
      </c>
      <c r="CQ389" s="23">
        <v>46.138399999999997</v>
      </c>
      <c r="CR389" s="25">
        <f t="shared" si="15"/>
        <v>9.9347956244051783E-3</v>
      </c>
      <c r="CS389" s="21">
        <f t="shared" si="16"/>
        <v>24.836989061012947</v>
      </c>
    </row>
    <row r="390" spans="2:97" x14ac:dyDescent="0.35">
      <c r="B390" t="s">
        <v>298</v>
      </c>
      <c r="C390" t="s">
        <v>1778</v>
      </c>
      <c r="D390" t="s">
        <v>395</v>
      </c>
      <c r="E390" t="s">
        <v>395</v>
      </c>
      <c r="F390" t="s">
        <v>396</v>
      </c>
      <c r="G390" t="s">
        <v>397</v>
      </c>
      <c r="H390" t="s">
        <v>398</v>
      </c>
      <c r="I390" t="s">
        <v>399</v>
      </c>
      <c r="J390" t="s">
        <v>400</v>
      </c>
      <c r="K390" t="s">
        <v>607</v>
      </c>
      <c r="L390" t="s">
        <v>585</v>
      </c>
      <c r="M390" t="s">
        <v>403</v>
      </c>
      <c r="N390">
        <v>1</v>
      </c>
      <c r="O390">
        <v>1</v>
      </c>
      <c r="P390" t="s">
        <v>649</v>
      </c>
      <c r="Q390" t="s">
        <v>430</v>
      </c>
      <c r="R390" t="s">
        <v>650</v>
      </c>
      <c r="S390" t="s">
        <v>651</v>
      </c>
      <c r="T390" t="s">
        <v>408</v>
      </c>
      <c r="U390">
        <v>50950080682</v>
      </c>
      <c r="W390">
        <v>10800</v>
      </c>
      <c r="X390" t="s">
        <v>409</v>
      </c>
      <c r="Y390" t="s">
        <v>410</v>
      </c>
      <c r="Z390" t="s">
        <v>410</v>
      </c>
      <c r="AA390" t="s">
        <v>411</v>
      </c>
      <c r="AB390" t="s">
        <v>412</v>
      </c>
      <c r="AC390" t="s">
        <v>411</v>
      </c>
      <c r="AD390">
        <v>46104</v>
      </c>
      <c r="AE390">
        <v>46160</v>
      </c>
      <c r="AF390">
        <v>46104</v>
      </c>
      <c r="AG390" t="s">
        <v>590</v>
      </c>
      <c r="AH390">
        <v>6150852</v>
      </c>
      <c r="AI390">
        <v>46100</v>
      </c>
      <c r="AJ390">
        <v>46101</v>
      </c>
      <c r="AK390">
        <v>10800</v>
      </c>
      <c r="AL390" t="s">
        <v>396</v>
      </c>
      <c r="AM390" t="s">
        <v>1779</v>
      </c>
      <c r="AN390">
        <v>46101</v>
      </c>
      <c r="AO390">
        <v>46101.454467592594</v>
      </c>
      <c r="AP390" t="s">
        <v>51</v>
      </c>
      <c r="AQ390">
        <v>0.19273000000000001</v>
      </c>
      <c r="AR390">
        <v>2081.48</v>
      </c>
      <c r="AS390" t="s">
        <v>51</v>
      </c>
      <c r="AT390">
        <v>2081.48</v>
      </c>
      <c r="AU390" t="s">
        <v>415</v>
      </c>
      <c r="AV390" t="s">
        <v>772</v>
      </c>
      <c r="AW390" t="s">
        <v>1665</v>
      </c>
      <c r="AX390">
        <v>46107</v>
      </c>
      <c r="AY390">
        <v>46156</v>
      </c>
      <c r="AZ390" t="s">
        <v>1742</v>
      </c>
      <c r="BA390" t="s">
        <v>560</v>
      </c>
      <c r="BB390" t="s">
        <v>1743</v>
      </c>
      <c r="BC390">
        <v>900</v>
      </c>
      <c r="BD390" t="s">
        <v>521</v>
      </c>
      <c r="BE390">
        <v>16.950500000000002</v>
      </c>
      <c r="BF390">
        <v>16.560500000000001</v>
      </c>
      <c r="BG390" t="s">
        <v>522</v>
      </c>
      <c r="BH390">
        <v>368</v>
      </c>
      <c r="BI390">
        <v>257</v>
      </c>
      <c r="BJ390">
        <v>136</v>
      </c>
      <c r="BK390">
        <v>6</v>
      </c>
      <c r="BL390" t="s">
        <v>521</v>
      </c>
      <c r="BM390">
        <v>109.703</v>
      </c>
      <c r="BN390">
        <v>99.363</v>
      </c>
      <c r="BO390">
        <v>219.40539999999999</v>
      </c>
      <c r="BP390" t="s">
        <v>522</v>
      </c>
      <c r="BQ390">
        <v>800</v>
      </c>
      <c r="BR390">
        <v>300</v>
      </c>
      <c r="BS390">
        <v>608</v>
      </c>
      <c r="BT390">
        <v>2</v>
      </c>
      <c r="BU390">
        <v>0</v>
      </c>
      <c r="BV390">
        <v>2</v>
      </c>
      <c r="BW390">
        <v>12</v>
      </c>
      <c r="BX390">
        <v>0</v>
      </c>
      <c r="BY390">
        <v>12</v>
      </c>
      <c r="BZ390">
        <v>10800</v>
      </c>
      <c r="CA390">
        <v>0</v>
      </c>
      <c r="CB390">
        <v>10800</v>
      </c>
      <c r="CC390">
        <v>198.72540000000001</v>
      </c>
      <c r="CD390" t="s">
        <v>523</v>
      </c>
      <c r="CE390" t="s">
        <v>653</v>
      </c>
      <c r="CG390" t="s">
        <v>421</v>
      </c>
      <c r="CN390" t="str">
        <v>M19</v>
      </c>
      <c r="CO390" t="str">
        <v>1106-5YY0033EN</v>
      </c>
      <c r="CP390" t="str">
        <v>MEDU5320611</v>
      </c>
      <c r="CQ390" s="23">
        <v>207.95160000000001</v>
      </c>
      <c r="CR390" s="25">
        <f t="shared" ref="CR390:CR453" si="18">IFERROR(CQ390/(SUMIFS(CQ:CQ,CP:CP,CP390)),100%)</f>
        <v>4.4777379487976526E-2</v>
      </c>
      <c r="CS390" s="21">
        <f t="shared" si="16"/>
        <v>111.94344871994132</v>
      </c>
    </row>
    <row r="391" spans="2:97" x14ac:dyDescent="0.35">
      <c r="B391" t="s">
        <v>297</v>
      </c>
      <c r="C391" t="s">
        <v>654</v>
      </c>
      <c r="D391" t="s">
        <v>395</v>
      </c>
      <c r="E391" t="s">
        <v>395</v>
      </c>
      <c r="F391" t="s">
        <v>396</v>
      </c>
      <c r="G391" t="s">
        <v>397</v>
      </c>
      <c r="H391" t="s">
        <v>398</v>
      </c>
      <c r="I391" t="s">
        <v>399</v>
      </c>
      <c r="J391" t="s">
        <v>400</v>
      </c>
      <c r="K391" t="s">
        <v>515</v>
      </c>
      <c r="L391" t="s">
        <v>585</v>
      </c>
      <c r="M391" t="s">
        <v>403</v>
      </c>
      <c r="N391">
        <v>7</v>
      </c>
      <c r="O391">
        <v>1</v>
      </c>
      <c r="P391" t="s">
        <v>655</v>
      </c>
      <c r="Q391" t="s">
        <v>637</v>
      </c>
      <c r="R391" t="s">
        <v>656</v>
      </c>
      <c r="S391" t="s">
        <v>657</v>
      </c>
      <c r="T391" t="s">
        <v>408</v>
      </c>
      <c r="U391">
        <v>50950080786</v>
      </c>
      <c r="W391">
        <v>160000</v>
      </c>
      <c r="X391" t="s">
        <v>409</v>
      </c>
      <c r="Y391" t="s">
        <v>410</v>
      </c>
      <c r="Z391" t="s">
        <v>410</v>
      </c>
      <c r="AA391" t="s">
        <v>411</v>
      </c>
      <c r="AB391" t="s">
        <v>412</v>
      </c>
      <c r="AC391" t="s">
        <v>411</v>
      </c>
      <c r="AD391">
        <v>46097</v>
      </c>
      <c r="AE391">
        <v>46153</v>
      </c>
      <c r="AF391">
        <v>46104</v>
      </c>
      <c r="AG391" t="s">
        <v>590</v>
      </c>
      <c r="AH391">
        <v>6150853</v>
      </c>
      <c r="AI391">
        <v>46100</v>
      </c>
      <c r="AJ391">
        <v>46101</v>
      </c>
      <c r="AK391">
        <v>160000</v>
      </c>
      <c r="AL391" t="s">
        <v>396</v>
      </c>
      <c r="AM391" t="s">
        <v>1780</v>
      </c>
      <c r="AN391">
        <v>46101</v>
      </c>
      <c r="AO391">
        <v>46101.454467592594</v>
      </c>
      <c r="AP391" t="s">
        <v>51</v>
      </c>
      <c r="AQ391">
        <v>2.7899999999999999E-3</v>
      </c>
      <c r="AR391">
        <v>446.4</v>
      </c>
      <c r="AS391" t="s">
        <v>51</v>
      </c>
      <c r="AT391">
        <v>446.4</v>
      </c>
      <c r="AU391" t="s">
        <v>415</v>
      </c>
      <c r="AV391" t="s">
        <v>772</v>
      </c>
      <c r="AW391" t="s">
        <v>1665</v>
      </c>
      <c r="AX391">
        <v>46107</v>
      </c>
      <c r="AY391">
        <v>46156</v>
      </c>
      <c r="AZ391" t="s">
        <v>1742</v>
      </c>
      <c r="BA391" t="s">
        <v>560</v>
      </c>
      <c r="BB391" t="s">
        <v>1743</v>
      </c>
      <c r="BC391">
        <v>8000</v>
      </c>
      <c r="BD391" t="s">
        <v>521</v>
      </c>
      <c r="BE391">
        <v>5.8521999999999998</v>
      </c>
      <c r="BF391">
        <v>5.1231999999999998</v>
      </c>
      <c r="BG391" t="s">
        <v>522</v>
      </c>
      <c r="BH391">
        <v>395</v>
      </c>
      <c r="BI391">
        <v>295</v>
      </c>
      <c r="BJ391">
        <v>120</v>
      </c>
      <c r="BK391">
        <v>8</v>
      </c>
      <c r="BL391" t="s">
        <v>521</v>
      </c>
      <c r="BM391">
        <v>54.817599999999999</v>
      </c>
      <c r="BN391">
        <v>40.985599999999998</v>
      </c>
      <c r="BO391">
        <v>141.04400000000001</v>
      </c>
      <c r="BP391" t="s">
        <v>522</v>
      </c>
      <c r="BQ391">
        <v>800</v>
      </c>
      <c r="BR391">
        <v>300</v>
      </c>
      <c r="BS391">
        <v>698</v>
      </c>
      <c r="BT391">
        <v>2</v>
      </c>
      <c r="BU391">
        <v>1</v>
      </c>
      <c r="BV391">
        <v>3</v>
      </c>
      <c r="BW391">
        <v>20</v>
      </c>
      <c r="BX391">
        <v>0</v>
      </c>
      <c r="BY391">
        <v>20</v>
      </c>
      <c r="BZ391">
        <v>128000</v>
      </c>
      <c r="CA391">
        <v>32000</v>
      </c>
      <c r="CB391">
        <v>160000</v>
      </c>
      <c r="CC391">
        <v>102.464</v>
      </c>
      <c r="CD391" t="s">
        <v>659</v>
      </c>
      <c r="CE391" t="s">
        <v>660</v>
      </c>
      <c r="CG391" t="s">
        <v>421</v>
      </c>
      <c r="CN391" t="str">
        <v>MCS</v>
      </c>
      <c r="CO391" t="str">
        <v>1209-5YY0497EN</v>
      </c>
      <c r="CP391" t="str">
        <v>MEDU5320611</v>
      </c>
      <c r="CQ391" s="23">
        <v>63.441600000000001</v>
      </c>
      <c r="CR391" s="25">
        <f t="shared" si="18"/>
        <v>1.3660623907315025E-2</v>
      </c>
      <c r="CS391" s="21">
        <f t="shared" ref="CS391:CS454" si="19">CR391*$CS$2</f>
        <v>34.151559768287562</v>
      </c>
    </row>
    <row r="392" spans="2:97" x14ac:dyDescent="0.35">
      <c r="B392" t="s">
        <v>297</v>
      </c>
      <c r="C392" t="s">
        <v>661</v>
      </c>
      <c r="D392" t="s">
        <v>395</v>
      </c>
      <c r="E392" t="s">
        <v>395</v>
      </c>
      <c r="F392" t="s">
        <v>396</v>
      </c>
      <c r="G392" t="s">
        <v>397</v>
      </c>
      <c r="H392" t="s">
        <v>398</v>
      </c>
      <c r="I392" t="s">
        <v>399</v>
      </c>
      <c r="J392" t="s">
        <v>400</v>
      </c>
      <c r="K392" t="s">
        <v>607</v>
      </c>
      <c r="L392" t="s">
        <v>585</v>
      </c>
      <c r="M392" t="s">
        <v>403</v>
      </c>
      <c r="N392">
        <v>1</v>
      </c>
      <c r="O392">
        <v>1</v>
      </c>
      <c r="P392" t="s">
        <v>662</v>
      </c>
      <c r="Q392" t="s">
        <v>424</v>
      </c>
      <c r="R392" t="s">
        <v>663</v>
      </c>
      <c r="S392" t="s">
        <v>664</v>
      </c>
      <c r="T392" t="s">
        <v>408</v>
      </c>
      <c r="U392">
        <v>50950080791</v>
      </c>
      <c r="W392">
        <v>192000</v>
      </c>
      <c r="X392" t="s">
        <v>409</v>
      </c>
      <c r="Y392" t="s">
        <v>410</v>
      </c>
      <c r="Z392" t="s">
        <v>410</v>
      </c>
      <c r="AA392" t="s">
        <v>411</v>
      </c>
      <c r="AB392" t="s">
        <v>412</v>
      </c>
      <c r="AC392" t="s">
        <v>411</v>
      </c>
      <c r="AD392">
        <v>46097</v>
      </c>
      <c r="AE392">
        <v>46153</v>
      </c>
      <c r="AF392">
        <v>46104</v>
      </c>
      <c r="AG392" t="s">
        <v>590</v>
      </c>
      <c r="AH392">
        <v>6150854</v>
      </c>
      <c r="AI392">
        <v>46100</v>
      </c>
      <c r="AJ392">
        <v>46101</v>
      </c>
      <c r="AK392">
        <v>192000</v>
      </c>
      <c r="AL392" t="s">
        <v>396</v>
      </c>
      <c r="AM392" t="s">
        <v>1781</v>
      </c>
      <c r="AN392">
        <v>46101</v>
      </c>
      <c r="AO392">
        <v>46101.454467592594</v>
      </c>
      <c r="AP392" t="s">
        <v>51</v>
      </c>
      <c r="AQ392">
        <v>9.9100000000000004E-3</v>
      </c>
      <c r="AR392">
        <v>1902.72</v>
      </c>
      <c r="AS392" t="s">
        <v>51</v>
      </c>
      <c r="AT392">
        <v>1902.72</v>
      </c>
      <c r="AU392" t="s">
        <v>415</v>
      </c>
      <c r="AV392" t="s">
        <v>772</v>
      </c>
      <c r="AW392" t="s">
        <v>1665</v>
      </c>
      <c r="AX392">
        <v>46107</v>
      </c>
      <c r="AY392">
        <v>46156</v>
      </c>
      <c r="AZ392" t="s">
        <v>1742</v>
      </c>
      <c r="BA392" t="s">
        <v>560</v>
      </c>
      <c r="BB392" t="s">
        <v>1743</v>
      </c>
      <c r="BC392">
        <v>12000</v>
      </c>
      <c r="BD392" t="s">
        <v>521</v>
      </c>
      <c r="BE392">
        <v>10.8048</v>
      </c>
      <c r="BF392">
        <v>10.4148</v>
      </c>
      <c r="BG392" t="s">
        <v>522</v>
      </c>
      <c r="BH392">
        <v>368</v>
      </c>
      <c r="BI392">
        <v>257</v>
      </c>
      <c r="BJ392">
        <v>136</v>
      </c>
      <c r="BK392">
        <v>6</v>
      </c>
      <c r="BL392" t="s">
        <v>521</v>
      </c>
      <c r="BM392">
        <v>72.828800000000001</v>
      </c>
      <c r="BN392">
        <v>62.488799999999998</v>
      </c>
      <c r="BO392">
        <v>196.8768</v>
      </c>
      <c r="BP392" t="s">
        <v>522</v>
      </c>
      <c r="BQ392">
        <v>800</v>
      </c>
      <c r="BR392">
        <v>300</v>
      </c>
      <c r="BS392">
        <v>608</v>
      </c>
      <c r="BT392">
        <v>2</v>
      </c>
      <c r="BU392">
        <v>1</v>
      </c>
      <c r="BV392">
        <v>3</v>
      </c>
      <c r="BW392">
        <v>16</v>
      </c>
      <c r="BX392">
        <v>0</v>
      </c>
      <c r="BY392">
        <v>16</v>
      </c>
      <c r="BZ392">
        <v>144000</v>
      </c>
      <c r="CA392">
        <v>48000</v>
      </c>
      <c r="CB392">
        <v>192000</v>
      </c>
      <c r="CC392">
        <v>166.63679999999999</v>
      </c>
      <c r="CD392" t="s">
        <v>523</v>
      </c>
      <c r="CE392" t="s">
        <v>653</v>
      </c>
      <c r="CG392" t="s">
        <v>421</v>
      </c>
      <c r="CN392" t="str">
        <v>MCS</v>
      </c>
      <c r="CO392" t="str">
        <v>1209-5YY0500EN</v>
      </c>
      <c r="CP392" t="str">
        <v>MEDU5320611</v>
      </c>
      <c r="CQ392" s="23">
        <v>33.695999999999998</v>
      </c>
      <c r="CR392" s="25">
        <f t="shared" si="18"/>
        <v>7.2556238048991049E-3</v>
      </c>
      <c r="CS392" s="21">
        <f t="shared" si="19"/>
        <v>18.139059512247762</v>
      </c>
    </row>
    <row r="393" spans="2:97" x14ac:dyDescent="0.35">
      <c r="B393" t="s">
        <v>297</v>
      </c>
      <c r="C393" t="s">
        <v>666</v>
      </c>
      <c r="D393" t="s">
        <v>395</v>
      </c>
      <c r="E393" t="s">
        <v>395</v>
      </c>
      <c r="F393" t="s">
        <v>396</v>
      </c>
      <c r="G393" t="s">
        <v>397</v>
      </c>
      <c r="H393" t="s">
        <v>398</v>
      </c>
      <c r="I393" t="s">
        <v>399</v>
      </c>
      <c r="J393" t="s">
        <v>400</v>
      </c>
      <c r="K393" t="s">
        <v>595</v>
      </c>
      <c r="L393" t="s">
        <v>585</v>
      </c>
      <c r="M393" t="s">
        <v>403</v>
      </c>
      <c r="N393">
        <v>3</v>
      </c>
      <c r="O393">
        <v>1</v>
      </c>
      <c r="P393" t="s">
        <v>667</v>
      </c>
      <c r="Q393" t="s">
        <v>430</v>
      </c>
      <c r="R393" t="s">
        <v>668</v>
      </c>
      <c r="S393" t="s">
        <v>669</v>
      </c>
      <c r="T393" t="s">
        <v>408</v>
      </c>
      <c r="U393">
        <v>50950080795</v>
      </c>
      <c r="W393">
        <v>90000</v>
      </c>
      <c r="X393" t="s">
        <v>409</v>
      </c>
      <c r="Y393" t="s">
        <v>410</v>
      </c>
      <c r="Z393" t="s">
        <v>410</v>
      </c>
      <c r="AA393" t="s">
        <v>411</v>
      </c>
      <c r="AB393" t="s">
        <v>412</v>
      </c>
      <c r="AC393" t="s">
        <v>411</v>
      </c>
      <c r="AD393">
        <v>46097</v>
      </c>
      <c r="AE393">
        <v>46146</v>
      </c>
      <c r="AF393">
        <v>46104</v>
      </c>
      <c r="AG393" t="s">
        <v>590</v>
      </c>
      <c r="AH393">
        <v>6150855</v>
      </c>
      <c r="AI393">
        <v>46100</v>
      </c>
      <c r="AJ393">
        <v>46101</v>
      </c>
      <c r="AK393">
        <v>90000</v>
      </c>
      <c r="AL393" t="s">
        <v>396</v>
      </c>
      <c r="AM393" t="s">
        <v>1782</v>
      </c>
      <c r="AN393">
        <v>46101</v>
      </c>
      <c r="AO393">
        <v>46101.454467592594</v>
      </c>
      <c r="AP393" t="s">
        <v>51</v>
      </c>
      <c r="AQ393">
        <v>2.1649999999999999E-2</v>
      </c>
      <c r="AR393">
        <v>1948.5</v>
      </c>
      <c r="AS393" t="s">
        <v>51</v>
      </c>
      <c r="AT393">
        <v>1948.5</v>
      </c>
      <c r="AU393" t="s">
        <v>415</v>
      </c>
      <c r="AV393" t="s">
        <v>772</v>
      </c>
      <c r="AW393" t="s">
        <v>1665</v>
      </c>
      <c r="AX393">
        <v>46107</v>
      </c>
      <c r="AY393">
        <v>46156</v>
      </c>
      <c r="AZ393" t="s">
        <v>1742</v>
      </c>
      <c r="BA393" t="s">
        <v>560</v>
      </c>
      <c r="BB393" t="s">
        <v>1743</v>
      </c>
      <c r="BC393">
        <v>6000</v>
      </c>
      <c r="BD393" t="s">
        <v>521</v>
      </c>
      <c r="BE393">
        <v>11.177</v>
      </c>
      <c r="BF393">
        <v>10.71</v>
      </c>
      <c r="BG393" t="s">
        <v>522</v>
      </c>
      <c r="BH393">
        <v>300</v>
      </c>
      <c r="BI393">
        <v>200</v>
      </c>
      <c r="BJ393">
        <v>140</v>
      </c>
      <c r="BK393">
        <v>16</v>
      </c>
      <c r="BL393" t="s">
        <v>521</v>
      </c>
      <c r="BM393">
        <v>175.655</v>
      </c>
      <c r="BN393">
        <v>160.65</v>
      </c>
      <c r="BO393">
        <v>175.655</v>
      </c>
      <c r="BP393" t="s">
        <v>522</v>
      </c>
      <c r="BQ393">
        <v>800</v>
      </c>
      <c r="BR393">
        <v>300</v>
      </c>
      <c r="BS393">
        <v>718</v>
      </c>
      <c r="BT393">
        <v>0</v>
      </c>
      <c r="BU393">
        <v>1</v>
      </c>
      <c r="BV393">
        <v>1</v>
      </c>
      <c r="BW393">
        <v>15</v>
      </c>
      <c r="BX393">
        <v>0</v>
      </c>
      <c r="BY393">
        <v>15</v>
      </c>
      <c r="BZ393">
        <v>0</v>
      </c>
      <c r="CA393">
        <v>90000</v>
      </c>
      <c r="CB393">
        <v>90000</v>
      </c>
      <c r="CC393">
        <v>160.65</v>
      </c>
      <c r="CD393" t="s">
        <v>671</v>
      </c>
      <c r="CE393" t="s">
        <v>672</v>
      </c>
      <c r="CG393" t="s">
        <v>421</v>
      </c>
      <c r="CN393" t="str">
        <v>M23</v>
      </c>
      <c r="CO393" t="str">
        <v>1109-1060034EN</v>
      </c>
      <c r="CP393" t="str">
        <v>MEDU5320611</v>
      </c>
      <c r="CQ393" s="23">
        <v>12.319699999999999</v>
      </c>
      <c r="CR393" s="25">
        <f t="shared" si="18"/>
        <v>2.6527513232791878E-3</v>
      </c>
      <c r="CS393" s="21">
        <f t="shared" si="19"/>
        <v>6.6318783081979698</v>
      </c>
    </row>
    <row r="394" spans="2:97" x14ac:dyDescent="0.35">
      <c r="B394" t="s">
        <v>296</v>
      </c>
      <c r="C394" t="s">
        <v>1783</v>
      </c>
      <c r="D394" t="s">
        <v>395</v>
      </c>
      <c r="E394" t="s">
        <v>395</v>
      </c>
      <c r="F394" t="s">
        <v>396</v>
      </c>
      <c r="G394" t="s">
        <v>397</v>
      </c>
      <c r="H394" t="s">
        <v>398</v>
      </c>
      <c r="I394" t="s">
        <v>399</v>
      </c>
      <c r="J394" t="s">
        <v>400</v>
      </c>
      <c r="K394" t="s">
        <v>607</v>
      </c>
      <c r="L394" t="s">
        <v>585</v>
      </c>
      <c r="M394" t="s">
        <v>403</v>
      </c>
      <c r="N394">
        <v>1</v>
      </c>
      <c r="O394">
        <v>1</v>
      </c>
      <c r="P394" t="s">
        <v>1784</v>
      </c>
      <c r="Q394" t="s">
        <v>430</v>
      </c>
      <c r="R394" t="s">
        <v>1785</v>
      </c>
      <c r="S394" t="s">
        <v>1786</v>
      </c>
      <c r="T394" t="s">
        <v>408</v>
      </c>
      <c r="U394">
        <v>50950080830</v>
      </c>
      <c r="W394">
        <v>216000</v>
      </c>
      <c r="X394" t="s">
        <v>409</v>
      </c>
      <c r="Y394" t="s">
        <v>410</v>
      </c>
      <c r="Z394" t="s">
        <v>410</v>
      </c>
      <c r="AA394" t="s">
        <v>411</v>
      </c>
      <c r="AB394" t="s">
        <v>412</v>
      </c>
      <c r="AC394" t="s">
        <v>411</v>
      </c>
      <c r="AD394">
        <v>46097</v>
      </c>
      <c r="AE394">
        <v>46153</v>
      </c>
      <c r="AF394">
        <v>46104</v>
      </c>
      <c r="AG394" t="s">
        <v>590</v>
      </c>
      <c r="AH394">
        <v>6150856</v>
      </c>
      <c r="AI394">
        <v>46100</v>
      </c>
      <c r="AJ394">
        <v>46101</v>
      </c>
      <c r="AK394">
        <v>216000</v>
      </c>
      <c r="AL394" t="s">
        <v>396</v>
      </c>
      <c r="AM394" t="s">
        <v>1787</v>
      </c>
      <c r="AN394">
        <v>46101</v>
      </c>
      <c r="AO394">
        <v>46101.454467592594</v>
      </c>
      <c r="AP394" t="s">
        <v>51</v>
      </c>
      <c r="AQ394">
        <v>2.0199999999999999E-2</v>
      </c>
      <c r="AR394">
        <v>4363.2</v>
      </c>
      <c r="AS394" t="s">
        <v>51</v>
      </c>
      <c r="AT394">
        <v>4363.2</v>
      </c>
      <c r="AU394" t="s">
        <v>415</v>
      </c>
      <c r="AV394" t="s">
        <v>772</v>
      </c>
      <c r="AW394" t="s">
        <v>1665</v>
      </c>
      <c r="AX394">
        <v>46107</v>
      </c>
      <c r="AY394">
        <v>46156</v>
      </c>
      <c r="AZ394" t="s">
        <v>1742</v>
      </c>
      <c r="BA394" t="s">
        <v>560</v>
      </c>
      <c r="BB394" t="s">
        <v>1743</v>
      </c>
      <c r="BC394">
        <v>4500</v>
      </c>
      <c r="BD394" t="s">
        <v>521</v>
      </c>
      <c r="BE394">
        <v>12.0512</v>
      </c>
      <c r="BF394">
        <v>11.5002</v>
      </c>
      <c r="BG394" t="s">
        <v>522</v>
      </c>
      <c r="BH394">
        <v>368</v>
      </c>
      <c r="BI394">
        <v>257</v>
      </c>
      <c r="BJ394">
        <v>136</v>
      </c>
      <c r="BK394">
        <v>27</v>
      </c>
      <c r="BL394" t="s">
        <v>521</v>
      </c>
      <c r="BM394">
        <v>354.38240000000002</v>
      </c>
      <c r="BN394">
        <v>310.50540000000001</v>
      </c>
      <c r="BO394">
        <v>636.45759999999996</v>
      </c>
      <c r="BP394" t="s">
        <v>522</v>
      </c>
      <c r="BQ394">
        <v>1140</v>
      </c>
      <c r="BR394">
        <v>800</v>
      </c>
      <c r="BS394">
        <v>565</v>
      </c>
      <c r="BT394">
        <v>1</v>
      </c>
      <c r="BU394">
        <v>1</v>
      </c>
      <c r="BV394">
        <v>2</v>
      </c>
      <c r="BW394">
        <v>48</v>
      </c>
      <c r="BX394">
        <v>0</v>
      </c>
      <c r="BY394">
        <v>48</v>
      </c>
      <c r="BZ394">
        <v>121500</v>
      </c>
      <c r="CA394">
        <v>94500</v>
      </c>
      <c r="CB394">
        <v>216000</v>
      </c>
      <c r="CC394">
        <v>552.00959999999998</v>
      </c>
      <c r="CD394" t="s">
        <v>1318</v>
      </c>
      <c r="CE394" t="s">
        <v>1319</v>
      </c>
      <c r="CG394" t="s">
        <v>421</v>
      </c>
      <c r="CN394" t="str">
        <v>M46</v>
      </c>
      <c r="CO394" t="str">
        <v>1110-EQN0001EN</v>
      </c>
      <c r="CP394" t="str">
        <v>MEDU5320611</v>
      </c>
      <c r="CQ394" s="23">
        <v>9.85</v>
      </c>
      <c r="CR394" s="25">
        <f t="shared" si="18"/>
        <v>2.1209607810498631E-3</v>
      </c>
      <c r="CS394" s="21">
        <f t="shared" si="19"/>
        <v>5.302401952624658</v>
      </c>
    </row>
    <row r="395" spans="2:97" x14ac:dyDescent="0.35">
      <c r="B395" t="s">
        <v>299</v>
      </c>
      <c r="C395" t="s">
        <v>1788</v>
      </c>
      <c r="D395" t="s">
        <v>395</v>
      </c>
      <c r="E395" t="s">
        <v>395</v>
      </c>
      <c r="F395" t="s">
        <v>396</v>
      </c>
      <c r="G395" t="s">
        <v>397</v>
      </c>
      <c r="H395" t="s">
        <v>532</v>
      </c>
      <c r="I395" t="s">
        <v>399</v>
      </c>
      <c r="J395" t="s">
        <v>400</v>
      </c>
      <c r="K395" t="s">
        <v>629</v>
      </c>
      <c r="L395" t="s">
        <v>585</v>
      </c>
      <c r="M395" t="s">
        <v>403</v>
      </c>
      <c r="N395">
        <v>1</v>
      </c>
      <c r="O395">
        <v>1</v>
      </c>
      <c r="P395" t="s">
        <v>683</v>
      </c>
      <c r="Q395" t="s">
        <v>430</v>
      </c>
      <c r="R395" t="s">
        <v>684</v>
      </c>
      <c r="S395" t="s">
        <v>685</v>
      </c>
      <c r="T395" t="s">
        <v>408</v>
      </c>
      <c r="U395">
        <v>50950080989</v>
      </c>
      <c r="W395">
        <v>19200</v>
      </c>
      <c r="X395" t="s">
        <v>409</v>
      </c>
      <c r="Y395" t="s">
        <v>410</v>
      </c>
      <c r="Z395" t="s">
        <v>410</v>
      </c>
      <c r="AA395" t="s">
        <v>411</v>
      </c>
      <c r="AB395" t="s">
        <v>412</v>
      </c>
      <c r="AC395" t="s">
        <v>411</v>
      </c>
      <c r="AD395">
        <v>46097</v>
      </c>
      <c r="AE395">
        <v>46153</v>
      </c>
      <c r="AF395">
        <v>46104</v>
      </c>
      <c r="AG395" t="s">
        <v>590</v>
      </c>
      <c r="AH395">
        <v>6150857</v>
      </c>
      <c r="AI395">
        <v>46100</v>
      </c>
      <c r="AJ395">
        <v>46101</v>
      </c>
      <c r="AK395">
        <v>19200</v>
      </c>
      <c r="AL395" t="s">
        <v>396</v>
      </c>
      <c r="AM395" t="s">
        <v>1789</v>
      </c>
      <c r="AN395">
        <v>46101</v>
      </c>
      <c r="AO395">
        <v>46101.454467592594</v>
      </c>
      <c r="AP395" t="s">
        <v>51</v>
      </c>
      <c r="AQ395">
        <v>0.16977</v>
      </c>
      <c r="AR395">
        <v>3259.58</v>
      </c>
      <c r="AS395" t="s">
        <v>51</v>
      </c>
      <c r="AT395">
        <v>3259.58</v>
      </c>
      <c r="AU395" t="s">
        <v>415</v>
      </c>
      <c r="AV395" t="s">
        <v>772</v>
      </c>
      <c r="AW395" t="s">
        <v>1665</v>
      </c>
      <c r="AX395">
        <v>46107</v>
      </c>
      <c r="AY395">
        <v>46156</v>
      </c>
      <c r="AZ395" t="s">
        <v>1742</v>
      </c>
      <c r="BA395" t="s">
        <v>560</v>
      </c>
      <c r="BB395" t="s">
        <v>1743</v>
      </c>
      <c r="BC395">
        <v>1600</v>
      </c>
      <c r="BD395" t="s">
        <v>521</v>
      </c>
      <c r="BE395">
        <v>4.4706000000000001</v>
      </c>
      <c r="BF395">
        <v>2.7936000000000001</v>
      </c>
      <c r="BG395" t="s">
        <v>522</v>
      </c>
      <c r="BH395">
        <v>360</v>
      </c>
      <c r="BI395">
        <v>260</v>
      </c>
      <c r="BJ395">
        <v>220</v>
      </c>
      <c r="BK395">
        <v>12</v>
      </c>
      <c r="BL395" t="s">
        <v>521</v>
      </c>
      <c r="BM395">
        <v>66.947199999999995</v>
      </c>
      <c r="BN395">
        <v>33.523200000000003</v>
      </c>
      <c r="BO395">
        <v>66.947199999999995</v>
      </c>
      <c r="BP395" t="s">
        <v>522</v>
      </c>
      <c r="BQ395">
        <v>820</v>
      </c>
      <c r="BR395">
        <v>545</v>
      </c>
      <c r="BS395">
        <v>876</v>
      </c>
      <c r="BT395">
        <v>1</v>
      </c>
      <c r="BU395">
        <v>0</v>
      </c>
      <c r="BV395">
        <v>1</v>
      </c>
      <c r="BW395">
        <v>12</v>
      </c>
      <c r="BX395">
        <v>0</v>
      </c>
      <c r="BY395">
        <v>12</v>
      </c>
      <c r="BZ395">
        <v>19200</v>
      </c>
      <c r="CA395">
        <v>0</v>
      </c>
      <c r="CB395">
        <v>19200</v>
      </c>
      <c r="CC395">
        <v>33.523200000000003</v>
      </c>
      <c r="CD395" t="s">
        <v>687</v>
      </c>
      <c r="CE395" t="s">
        <v>688</v>
      </c>
      <c r="CG395" t="s">
        <v>421</v>
      </c>
      <c r="CN395" t="str">
        <v>M46</v>
      </c>
      <c r="CO395" t="str">
        <v>1202-1060393EN</v>
      </c>
      <c r="CP395" t="str">
        <v>MEDU5320611</v>
      </c>
      <c r="CQ395" s="23">
        <v>32.933799999999998</v>
      </c>
      <c r="CR395" s="25">
        <f t="shared" si="18"/>
        <v>7.0915023523796935E-3</v>
      </c>
      <c r="CS395" s="21">
        <f t="shared" si="19"/>
        <v>17.728755880949233</v>
      </c>
    </row>
    <row r="396" spans="2:97" x14ac:dyDescent="0.35">
      <c r="B396" t="s">
        <v>299</v>
      </c>
      <c r="C396" t="s">
        <v>1790</v>
      </c>
      <c r="D396" t="s">
        <v>395</v>
      </c>
      <c r="E396" t="s">
        <v>395</v>
      </c>
      <c r="F396" t="s">
        <v>396</v>
      </c>
      <c r="G396" t="s">
        <v>397</v>
      </c>
      <c r="H396" t="s">
        <v>532</v>
      </c>
      <c r="I396" t="s">
        <v>399</v>
      </c>
      <c r="J396" t="s">
        <v>400</v>
      </c>
      <c r="K396" t="s">
        <v>515</v>
      </c>
      <c r="L396" t="s">
        <v>585</v>
      </c>
      <c r="M396" t="s">
        <v>403</v>
      </c>
      <c r="N396">
        <v>1</v>
      </c>
      <c r="O396">
        <v>1</v>
      </c>
      <c r="P396" t="s">
        <v>615</v>
      </c>
      <c r="Q396" t="s">
        <v>587</v>
      </c>
      <c r="R396" t="s">
        <v>616</v>
      </c>
      <c r="S396" t="s">
        <v>617</v>
      </c>
      <c r="T396" t="s">
        <v>408</v>
      </c>
      <c r="U396">
        <v>50950080998</v>
      </c>
      <c r="W396">
        <v>15120</v>
      </c>
      <c r="X396" t="s">
        <v>409</v>
      </c>
      <c r="Y396" t="s">
        <v>410</v>
      </c>
      <c r="Z396" t="s">
        <v>410</v>
      </c>
      <c r="AA396" t="s">
        <v>411</v>
      </c>
      <c r="AB396" t="s">
        <v>412</v>
      </c>
      <c r="AC396" t="s">
        <v>411</v>
      </c>
      <c r="AD396">
        <v>46097</v>
      </c>
      <c r="AE396">
        <v>46153</v>
      </c>
      <c r="AF396">
        <v>46104</v>
      </c>
      <c r="AG396" t="s">
        <v>590</v>
      </c>
      <c r="AH396">
        <v>6150858</v>
      </c>
      <c r="AI396">
        <v>46100</v>
      </c>
      <c r="AJ396">
        <v>46101</v>
      </c>
      <c r="AK396">
        <v>15120</v>
      </c>
      <c r="AL396" t="s">
        <v>396</v>
      </c>
      <c r="AM396" t="s">
        <v>1791</v>
      </c>
      <c r="AN396">
        <v>46101</v>
      </c>
      <c r="AO396">
        <v>46101.454467592594</v>
      </c>
      <c r="AP396" t="s">
        <v>51</v>
      </c>
      <c r="AQ396">
        <v>0.14565</v>
      </c>
      <c r="AR396">
        <v>2202.2399999999998</v>
      </c>
      <c r="AS396" t="s">
        <v>51</v>
      </c>
      <c r="AT396">
        <v>2202.2399999999998</v>
      </c>
      <c r="AU396" t="s">
        <v>415</v>
      </c>
      <c r="AV396" t="s">
        <v>772</v>
      </c>
      <c r="AW396" t="s">
        <v>1665</v>
      </c>
      <c r="AX396">
        <v>46107</v>
      </c>
      <c r="AY396">
        <v>46156</v>
      </c>
      <c r="AZ396" t="s">
        <v>1742</v>
      </c>
      <c r="BA396" t="s">
        <v>560</v>
      </c>
      <c r="BB396" t="s">
        <v>1743</v>
      </c>
      <c r="BC396">
        <v>420</v>
      </c>
      <c r="BD396" t="s">
        <v>521</v>
      </c>
      <c r="BE396">
        <v>2.1333000000000002</v>
      </c>
      <c r="BF396">
        <v>1.4133</v>
      </c>
      <c r="BG396" t="s">
        <v>522</v>
      </c>
      <c r="BH396">
        <v>395</v>
      </c>
      <c r="BI396">
        <v>295</v>
      </c>
      <c r="BJ396">
        <v>220</v>
      </c>
      <c r="BK396">
        <v>6</v>
      </c>
      <c r="BL396" t="s">
        <v>521</v>
      </c>
      <c r="BM396">
        <v>20.799800000000001</v>
      </c>
      <c r="BN396">
        <v>8.4797999999999991</v>
      </c>
      <c r="BO396">
        <v>124.7988</v>
      </c>
      <c r="BP396" t="s">
        <v>522</v>
      </c>
      <c r="BQ396">
        <v>800</v>
      </c>
      <c r="BR396">
        <v>300</v>
      </c>
      <c r="BS396">
        <v>830</v>
      </c>
      <c r="BT396">
        <v>6</v>
      </c>
      <c r="BU396">
        <v>0</v>
      </c>
      <c r="BV396">
        <v>6</v>
      </c>
      <c r="BW396">
        <v>36</v>
      </c>
      <c r="BX396">
        <v>0</v>
      </c>
      <c r="BY396">
        <v>36</v>
      </c>
      <c r="BZ396">
        <v>15120</v>
      </c>
      <c r="CA396">
        <v>0</v>
      </c>
      <c r="CB396">
        <v>15120</v>
      </c>
      <c r="CC396">
        <v>50.878799999999998</v>
      </c>
      <c r="CD396" t="s">
        <v>619</v>
      </c>
      <c r="CE396" t="s">
        <v>620</v>
      </c>
      <c r="CG396" t="s">
        <v>421</v>
      </c>
      <c r="CN396" t="str">
        <v>M23</v>
      </c>
      <c r="CO396" t="str">
        <v>1110-1060119-56EN</v>
      </c>
      <c r="CP396" t="str">
        <v>MEDU5320611</v>
      </c>
      <c r="CQ396" s="23">
        <v>15.087</v>
      </c>
      <c r="CR396" s="25">
        <f t="shared" si="18"/>
        <v>3.2486228734720088E-3</v>
      </c>
      <c r="CS396" s="21">
        <f t="shared" si="19"/>
        <v>8.1215571836800216</v>
      </c>
    </row>
    <row r="397" spans="2:97" x14ac:dyDescent="0.35">
      <c r="B397" t="s">
        <v>299</v>
      </c>
      <c r="C397" t="s">
        <v>1792</v>
      </c>
      <c r="D397" t="s">
        <v>395</v>
      </c>
      <c r="E397" t="s">
        <v>395</v>
      </c>
      <c r="F397" t="s">
        <v>396</v>
      </c>
      <c r="G397" t="s">
        <v>397</v>
      </c>
      <c r="H397" t="s">
        <v>532</v>
      </c>
      <c r="I397" t="s">
        <v>399</v>
      </c>
      <c r="J397" t="s">
        <v>400</v>
      </c>
      <c r="K397" t="s">
        <v>595</v>
      </c>
      <c r="L397" t="s">
        <v>585</v>
      </c>
      <c r="M397" t="s">
        <v>403</v>
      </c>
      <c r="N397">
        <v>1</v>
      </c>
      <c r="O397">
        <v>1</v>
      </c>
      <c r="P397" t="s">
        <v>603</v>
      </c>
      <c r="Q397" t="s">
        <v>405</v>
      </c>
      <c r="R397" t="s">
        <v>597</v>
      </c>
      <c r="S397" t="s">
        <v>604</v>
      </c>
      <c r="T397" t="s">
        <v>408</v>
      </c>
      <c r="U397">
        <v>50950081012</v>
      </c>
      <c r="W397">
        <v>5760</v>
      </c>
      <c r="X397" t="s">
        <v>409</v>
      </c>
      <c r="Y397" t="s">
        <v>410</v>
      </c>
      <c r="Z397" t="s">
        <v>410</v>
      </c>
      <c r="AA397" t="s">
        <v>411</v>
      </c>
      <c r="AB397" t="s">
        <v>412</v>
      </c>
      <c r="AC397" t="s">
        <v>411</v>
      </c>
      <c r="AD397">
        <v>46097</v>
      </c>
      <c r="AE397">
        <v>46153</v>
      </c>
      <c r="AF397">
        <v>46104</v>
      </c>
      <c r="AG397" t="s">
        <v>590</v>
      </c>
      <c r="AH397">
        <v>6150859</v>
      </c>
      <c r="AI397">
        <v>46100</v>
      </c>
      <c r="AJ397">
        <v>46101</v>
      </c>
      <c r="AK397">
        <v>5760</v>
      </c>
      <c r="AL397" t="s">
        <v>396</v>
      </c>
      <c r="AM397" t="s">
        <v>1793</v>
      </c>
      <c r="AN397">
        <v>46101</v>
      </c>
      <c r="AO397">
        <v>46101.454467592594</v>
      </c>
      <c r="AP397" t="s">
        <v>51</v>
      </c>
      <c r="AQ397">
        <v>0.19123999999999999</v>
      </c>
      <c r="AR397">
        <v>1101.54</v>
      </c>
      <c r="AS397" t="s">
        <v>51</v>
      </c>
      <c r="AT397">
        <v>1101.54</v>
      </c>
      <c r="AU397" t="s">
        <v>415</v>
      </c>
      <c r="AV397" t="s">
        <v>772</v>
      </c>
      <c r="AW397" t="s">
        <v>1665</v>
      </c>
      <c r="AX397">
        <v>46107</v>
      </c>
      <c r="AY397">
        <v>46156</v>
      </c>
      <c r="AZ397" t="s">
        <v>1742</v>
      </c>
      <c r="BA397" t="s">
        <v>560</v>
      </c>
      <c r="BB397" t="s">
        <v>1743</v>
      </c>
      <c r="BC397">
        <v>320</v>
      </c>
      <c r="BD397" t="s">
        <v>521</v>
      </c>
      <c r="BE397">
        <v>7.5754999999999999</v>
      </c>
      <c r="BF397">
        <v>7.2755000000000001</v>
      </c>
      <c r="BG397" t="s">
        <v>522</v>
      </c>
      <c r="BH397">
        <v>295</v>
      </c>
      <c r="BI397">
        <v>195</v>
      </c>
      <c r="BJ397">
        <v>100</v>
      </c>
      <c r="BK397">
        <v>64</v>
      </c>
      <c r="BL397" t="s">
        <v>521</v>
      </c>
      <c r="BM397">
        <v>166.35936000000001</v>
      </c>
      <c r="BN397">
        <v>130.95936</v>
      </c>
      <c r="BO397">
        <v>166.35936000000001</v>
      </c>
      <c r="BP397" t="s">
        <v>522</v>
      </c>
      <c r="BQ397">
        <v>1200</v>
      </c>
      <c r="BR397">
        <v>800</v>
      </c>
      <c r="BS397">
        <v>573</v>
      </c>
      <c r="BT397">
        <v>0</v>
      </c>
      <c r="BU397">
        <v>1</v>
      </c>
      <c r="BV397">
        <v>1</v>
      </c>
      <c r="BW397">
        <v>18</v>
      </c>
      <c r="BX397">
        <v>0</v>
      </c>
      <c r="BY397">
        <v>18</v>
      </c>
      <c r="BZ397">
        <v>0</v>
      </c>
      <c r="CA397">
        <v>5760</v>
      </c>
      <c r="CB397">
        <v>5760</v>
      </c>
      <c r="CC397">
        <v>130.95936</v>
      </c>
      <c r="CD397" t="s">
        <v>600</v>
      </c>
      <c r="CE397" t="s">
        <v>601</v>
      </c>
      <c r="CG397" t="s">
        <v>421</v>
      </c>
      <c r="CN397" t="str">
        <v>M01</v>
      </c>
      <c r="CO397" t="str">
        <v>1200-1030990EN0002</v>
      </c>
      <c r="CP397" t="str">
        <v>MEDU7325850</v>
      </c>
      <c r="CQ397" s="23">
        <v>288.08640000000003</v>
      </c>
      <c r="CR397" s="25">
        <f t="shared" si="18"/>
        <v>1.9676552502636929E-2</v>
      </c>
      <c r="CS397" s="21">
        <f t="shared" si="19"/>
        <v>49.191381256592322</v>
      </c>
    </row>
    <row r="398" spans="2:97" x14ac:dyDescent="0.35">
      <c r="B398" t="s">
        <v>299</v>
      </c>
      <c r="C398" t="s">
        <v>1794</v>
      </c>
      <c r="D398" t="s">
        <v>395</v>
      </c>
      <c r="E398" t="s">
        <v>395</v>
      </c>
      <c r="F398" t="s">
        <v>396</v>
      </c>
      <c r="G398" t="s">
        <v>397</v>
      </c>
      <c r="H398" t="s">
        <v>532</v>
      </c>
      <c r="I398" t="s">
        <v>399</v>
      </c>
      <c r="J398" t="s">
        <v>400</v>
      </c>
      <c r="K398" t="s">
        <v>595</v>
      </c>
      <c r="L398" t="s">
        <v>585</v>
      </c>
      <c r="M398" t="s">
        <v>403</v>
      </c>
      <c r="N398">
        <v>1</v>
      </c>
      <c r="O398">
        <v>1</v>
      </c>
      <c r="P398" t="s">
        <v>1795</v>
      </c>
      <c r="Q398" t="s">
        <v>430</v>
      </c>
      <c r="R398" t="s">
        <v>597</v>
      </c>
      <c r="S398" t="s">
        <v>1796</v>
      </c>
      <c r="T398" t="s">
        <v>408</v>
      </c>
      <c r="U398">
        <v>50950081013</v>
      </c>
      <c r="W398">
        <v>10880</v>
      </c>
      <c r="X398" t="s">
        <v>409</v>
      </c>
      <c r="Y398" t="s">
        <v>410</v>
      </c>
      <c r="Z398" t="s">
        <v>410</v>
      </c>
      <c r="AA398" t="s">
        <v>411</v>
      </c>
      <c r="AB398" t="s">
        <v>412</v>
      </c>
      <c r="AC398" t="s">
        <v>411</v>
      </c>
      <c r="AD398">
        <v>46097</v>
      </c>
      <c r="AE398">
        <v>46153</v>
      </c>
      <c r="AF398">
        <v>46104</v>
      </c>
      <c r="AG398" t="s">
        <v>590</v>
      </c>
      <c r="AH398">
        <v>6150860</v>
      </c>
      <c r="AI398">
        <v>46100</v>
      </c>
      <c r="AJ398">
        <v>46101</v>
      </c>
      <c r="AK398">
        <v>10880</v>
      </c>
      <c r="AL398" t="s">
        <v>396</v>
      </c>
      <c r="AM398" t="s">
        <v>1797</v>
      </c>
      <c r="AN398">
        <v>46101</v>
      </c>
      <c r="AO398">
        <v>46101.454467592594</v>
      </c>
      <c r="AP398" t="s">
        <v>51</v>
      </c>
      <c r="AQ398">
        <v>0.18581</v>
      </c>
      <c r="AR398">
        <v>2021.61</v>
      </c>
      <c r="AS398" t="s">
        <v>51</v>
      </c>
      <c r="AT398">
        <v>2021.61</v>
      </c>
      <c r="AU398" t="s">
        <v>415</v>
      </c>
      <c r="AV398" t="s">
        <v>772</v>
      </c>
      <c r="AW398" t="s">
        <v>1665</v>
      </c>
      <c r="AX398">
        <v>46107</v>
      </c>
      <c r="AY398">
        <v>46156</v>
      </c>
      <c r="AZ398" t="s">
        <v>1742</v>
      </c>
      <c r="BA398" t="s">
        <v>560</v>
      </c>
      <c r="BB398" t="s">
        <v>1743</v>
      </c>
      <c r="BC398">
        <v>320</v>
      </c>
      <c r="BD398" t="s">
        <v>521</v>
      </c>
      <c r="BE398">
        <v>7.5701999999999998</v>
      </c>
      <c r="BF398">
        <v>7.2702</v>
      </c>
      <c r="BG398" t="s">
        <v>522</v>
      </c>
      <c r="BH398">
        <v>295</v>
      </c>
      <c r="BI398">
        <v>195</v>
      </c>
      <c r="BJ398">
        <v>100</v>
      </c>
      <c r="BK398">
        <v>64</v>
      </c>
      <c r="BL398" t="s">
        <v>521</v>
      </c>
      <c r="BM398">
        <v>287.38816000000003</v>
      </c>
      <c r="BN398">
        <v>247.18816000000001</v>
      </c>
      <c r="BO398">
        <v>287.38816000000003</v>
      </c>
      <c r="BP398" t="s">
        <v>522</v>
      </c>
      <c r="BQ398">
        <v>1200</v>
      </c>
      <c r="BR398">
        <v>800</v>
      </c>
      <c r="BS398">
        <v>573</v>
      </c>
      <c r="BT398">
        <v>0</v>
      </c>
      <c r="BU398">
        <v>1</v>
      </c>
      <c r="BV398">
        <v>1</v>
      </c>
      <c r="BW398">
        <v>34</v>
      </c>
      <c r="BX398">
        <v>0</v>
      </c>
      <c r="BY398">
        <v>34</v>
      </c>
      <c r="BZ398">
        <v>0</v>
      </c>
      <c r="CA398">
        <v>10880</v>
      </c>
      <c r="CB398">
        <v>10880</v>
      </c>
      <c r="CC398">
        <v>247.18816000000001</v>
      </c>
      <c r="CD398" t="s">
        <v>600</v>
      </c>
      <c r="CE398" t="s">
        <v>601</v>
      </c>
      <c r="CG398" t="s">
        <v>421</v>
      </c>
      <c r="CN398" t="str">
        <v>M01</v>
      </c>
      <c r="CO398" t="str">
        <v>1200-1030990EN0002</v>
      </c>
      <c r="CP398" t="str">
        <v>MEDU7325850</v>
      </c>
      <c r="CQ398" s="23">
        <v>432.12959999999998</v>
      </c>
      <c r="CR398" s="25">
        <f t="shared" si="18"/>
        <v>2.9514828753955388E-2</v>
      </c>
      <c r="CS398" s="21">
        <f t="shared" si="19"/>
        <v>73.787071884888462</v>
      </c>
    </row>
    <row r="399" spans="2:97" x14ac:dyDescent="0.35">
      <c r="B399" t="s">
        <v>299</v>
      </c>
      <c r="C399" t="s">
        <v>1798</v>
      </c>
      <c r="D399" t="s">
        <v>395</v>
      </c>
      <c r="E399" t="s">
        <v>395</v>
      </c>
      <c r="F399" t="s">
        <v>396</v>
      </c>
      <c r="G399" t="s">
        <v>397</v>
      </c>
      <c r="H399" t="s">
        <v>532</v>
      </c>
      <c r="I399" t="s">
        <v>399</v>
      </c>
      <c r="J399" t="s">
        <v>400</v>
      </c>
      <c r="K399" t="s">
        <v>595</v>
      </c>
      <c r="L399" t="s">
        <v>585</v>
      </c>
      <c r="M399" t="s">
        <v>403</v>
      </c>
      <c r="N399">
        <v>1</v>
      </c>
      <c r="O399">
        <v>1</v>
      </c>
      <c r="P399" t="s">
        <v>1799</v>
      </c>
      <c r="Q399" t="s">
        <v>405</v>
      </c>
      <c r="R399" t="s">
        <v>675</v>
      </c>
      <c r="S399" t="s">
        <v>1800</v>
      </c>
      <c r="T399" t="s">
        <v>408</v>
      </c>
      <c r="U399">
        <v>50950081018</v>
      </c>
      <c r="W399">
        <v>5120</v>
      </c>
      <c r="X399" t="s">
        <v>409</v>
      </c>
      <c r="Y399" t="s">
        <v>410</v>
      </c>
      <c r="Z399" t="s">
        <v>410</v>
      </c>
      <c r="AA399" t="s">
        <v>411</v>
      </c>
      <c r="AB399" t="s">
        <v>412</v>
      </c>
      <c r="AC399" t="s">
        <v>411</v>
      </c>
      <c r="AD399">
        <v>46097</v>
      </c>
      <c r="AE399">
        <v>46153</v>
      </c>
      <c r="AF399">
        <v>46104</v>
      </c>
      <c r="AG399" t="s">
        <v>590</v>
      </c>
      <c r="AH399">
        <v>6150861</v>
      </c>
      <c r="AI399">
        <v>46100</v>
      </c>
      <c r="AJ399">
        <v>46101</v>
      </c>
      <c r="AK399">
        <v>5120</v>
      </c>
      <c r="AL399" t="s">
        <v>396</v>
      </c>
      <c r="AM399" t="s">
        <v>1801</v>
      </c>
      <c r="AN399">
        <v>46101</v>
      </c>
      <c r="AO399">
        <v>46101.454467592594</v>
      </c>
      <c r="AP399" t="s">
        <v>51</v>
      </c>
      <c r="AQ399">
        <v>7.4840000000000004E-2</v>
      </c>
      <c r="AR399">
        <v>383.18</v>
      </c>
      <c r="AS399" t="s">
        <v>51</v>
      </c>
      <c r="AT399">
        <v>383.18</v>
      </c>
      <c r="AU399" t="s">
        <v>415</v>
      </c>
      <c r="AV399" t="s">
        <v>772</v>
      </c>
      <c r="AW399" t="s">
        <v>1665</v>
      </c>
      <c r="AX399">
        <v>46107</v>
      </c>
      <c r="AY399">
        <v>46156</v>
      </c>
      <c r="AZ399" t="s">
        <v>1742</v>
      </c>
      <c r="BA399" t="s">
        <v>560</v>
      </c>
      <c r="BB399" t="s">
        <v>1743</v>
      </c>
      <c r="BC399">
        <v>320</v>
      </c>
      <c r="BD399" t="s">
        <v>521</v>
      </c>
      <c r="BE399">
        <v>6.5540000000000003</v>
      </c>
      <c r="BF399">
        <v>6.2539999999999996</v>
      </c>
      <c r="BG399" t="s">
        <v>522</v>
      </c>
      <c r="BH399">
        <v>295</v>
      </c>
      <c r="BI399">
        <v>195</v>
      </c>
      <c r="BJ399">
        <v>100</v>
      </c>
      <c r="BK399">
        <v>64</v>
      </c>
      <c r="BL399" t="s">
        <v>521</v>
      </c>
      <c r="BM399">
        <v>134.86425600000001</v>
      </c>
      <c r="BN399">
        <v>100.064256</v>
      </c>
      <c r="BO399">
        <v>134.86425600000001</v>
      </c>
      <c r="BP399" t="s">
        <v>522</v>
      </c>
      <c r="BQ399">
        <v>1200</v>
      </c>
      <c r="BR399">
        <v>800</v>
      </c>
      <c r="BS399">
        <v>573</v>
      </c>
      <c r="BT399">
        <v>0</v>
      </c>
      <c r="BU399">
        <v>1</v>
      </c>
      <c r="BV399">
        <v>1</v>
      </c>
      <c r="BW399">
        <v>16</v>
      </c>
      <c r="BX399">
        <v>0</v>
      </c>
      <c r="BY399">
        <v>16</v>
      </c>
      <c r="BZ399">
        <v>0</v>
      </c>
      <c r="CA399">
        <v>5120</v>
      </c>
      <c r="CB399">
        <v>5120</v>
      </c>
      <c r="CC399">
        <v>100.064256</v>
      </c>
      <c r="CD399" t="s">
        <v>600</v>
      </c>
      <c r="CE399" t="s">
        <v>601</v>
      </c>
      <c r="CG399" t="s">
        <v>421</v>
      </c>
      <c r="CN399" t="str">
        <v>M19</v>
      </c>
      <c r="CO399" t="str">
        <v>1275-5YY0685EN</v>
      </c>
      <c r="CP399" t="str">
        <v>MEDU7325850</v>
      </c>
      <c r="CQ399" s="23">
        <v>832.06399999999996</v>
      </c>
      <c r="CR399" s="25">
        <f t="shared" si="18"/>
        <v>5.6830697254553114E-2</v>
      </c>
      <c r="CS399" s="21">
        <f t="shared" si="19"/>
        <v>142.07674313638279</v>
      </c>
    </row>
    <row r="400" spans="2:97" x14ac:dyDescent="0.35">
      <c r="B400" t="s">
        <v>299</v>
      </c>
      <c r="C400" t="s">
        <v>1802</v>
      </c>
      <c r="D400" t="s">
        <v>395</v>
      </c>
      <c r="E400" t="s">
        <v>395</v>
      </c>
      <c r="F400" t="s">
        <v>396</v>
      </c>
      <c r="G400" t="s">
        <v>397</v>
      </c>
      <c r="H400" t="s">
        <v>532</v>
      </c>
      <c r="I400" t="s">
        <v>399</v>
      </c>
      <c r="J400" t="s">
        <v>400</v>
      </c>
      <c r="K400" t="s">
        <v>595</v>
      </c>
      <c r="L400" t="s">
        <v>585</v>
      </c>
      <c r="M400" t="s">
        <v>403</v>
      </c>
      <c r="N400">
        <v>1</v>
      </c>
      <c r="O400">
        <v>1</v>
      </c>
      <c r="P400" t="s">
        <v>596</v>
      </c>
      <c r="Q400" t="s">
        <v>430</v>
      </c>
      <c r="R400" t="s">
        <v>597</v>
      </c>
      <c r="S400" t="s">
        <v>598</v>
      </c>
      <c r="T400" t="s">
        <v>408</v>
      </c>
      <c r="U400">
        <v>50950081019</v>
      </c>
      <c r="W400">
        <v>23040</v>
      </c>
      <c r="X400" t="s">
        <v>409</v>
      </c>
      <c r="Y400" t="s">
        <v>410</v>
      </c>
      <c r="Z400" t="s">
        <v>410</v>
      </c>
      <c r="AA400" t="s">
        <v>411</v>
      </c>
      <c r="AB400" t="s">
        <v>412</v>
      </c>
      <c r="AC400" t="s">
        <v>411</v>
      </c>
      <c r="AD400">
        <v>46097</v>
      </c>
      <c r="AE400">
        <v>46153</v>
      </c>
      <c r="AF400">
        <v>46104</v>
      </c>
      <c r="AG400" t="s">
        <v>590</v>
      </c>
      <c r="AH400">
        <v>6150862</v>
      </c>
      <c r="AI400">
        <v>46100</v>
      </c>
      <c r="AJ400">
        <v>46101</v>
      </c>
      <c r="AK400">
        <v>23040</v>
      </c>
      <c r="AL400" t="s">
        <v>396</v>
      </c>
      <c r="AM400" t="s">
        <v>1803</v>
      </c>
      <c r="AN400">
        <v>46101</v>
      </c>
      <c r="AO400">
        <v>46101.454467592594</v>
      </c>
      <c r="AP400" t="s">
        <v>51</v>
      </c>
      <c r="AQ400">
        <v>7.4770000000000003E-2</v>
      </c>
      <c r="AR400">
        <v>1722.7</v>
      </c>
      <c r="AS400" t="s">
        <v>51</v>
      </c>
      <c r="AT400">
        <v>1722.7</v>
      </c>
      <c r="AU400" t="s">
        <v>415</v>
      </c>
      <c r="AV400" t="s">
        <v>772</v>
      </c>
      <c r="AW400" t="s">
        <v>1665</v>
      </c>
      <c r="AX400">
        <v>46107</v>
      </c>
      <c r="AY400">
        <v>46156</v>
      </c>
      <c r="AZ400" t="s">
        <v>1742</v>
      </c>
      <c r="BA400" t="s">
        <v>560</v>
      </c>
      <c r="BB400" t="s">
        <v>1743</v>
      </c>
      <c r="BC400">
        <v>320</v>
      </c>
      <c r="BD400" t="s">
        <v>521</v>
      </c>
      <c r="BE400">
        <v>6.0304000000000002</v>
      </c>
      <c r="BF400">
        <v>5.7304000000000004</v>
      </c>
      <c r="BG400" t="s">
        <v>522</v>
      </c>
      <c r="BH400">
        <v>295</v>
      </c>
      <c r="BI400">
        <v>195</v>
      </c>
      <c r="BJ400">
        <v>100</v>
      </c>
      <c r="BK400">
        <v>64</v>
      </c>
      <c r="BL400" t="s">
        <v>521</v>
      </c>
      <c r="BM400">
        <v>415.94560000000001</v>
      </c>
      <c r="BN400">
        <v>366.74560000000002</v>
      </c>
      <c r="BO400">
        <v>494.18649599999998</v>
      </c>
      <c r="BP400" t="s">
        <v>522</v>
      </c>
      <c r="BQ400">
        <v>1200</v>
      </c>
      <c r="BR400">
        <v>800</v>
      </c>
      <c r="BS400">
        <v>573</v>
      </c>
      <c r="BT400">
        <v>1</v>
      </c>
      <c r="BU400">
        <v>1</v>
      </c>
      <c r="BV400">
        <v>2</v>
      </c>
      <c r="BW400">
        <v>72</v>
      </c>
      <c r="BX400">
        <v>0</v>
      </c>
      <c r="BY400">
        <v>72</v>
      </c>
      <c r="BZ400">
        <v>20480</v>
      </c>
      <c r="CA400">
        <v>2560</v>
      </c>
      <c r="CB400">
        <v>23040</v>
      </c>
      <c r="CC400">
        <v>412.58649600000001</v>
      </c>
      <c r="CD400" t="s">
        <v>600</v>
      </c>
      <c r="CE400" t="s">
        <v>601</v>
      </c>
      <c r="CG400" t="s">
        <v>421</v>
      </c>
      <c r="CN400" t="str">
        <v>M19</v>
      </c>
      <c r="CO400" t="str">
        <v>1275-5YY0685EN</v>
      </c>
      <c r="CP400" t="str">
        <v>MEDU7325850</v>
      </c>
      <c r="CQ400" s="23">
        <v>728.05600000000004</v>
      </c>
      <c r="CR400" s="25">
        <f t="shared" si="18"/>
        <v>4.9726860097733985E-2</v>
      </c>
      <c r="CS400" s="21">
        <f t="shared" si="19"/>
        <v>124.31715024433497</v>
      </c>
    </row>
    <row r="401" spans="2:97" x14ac:dyDescent="0.35">
      <c r="B401" t="s">
        <v>299</v>
      </c>
      <c r="C401" t="s">
        <v>1804</v>
      </c>
      <c r="D401" t="s">
        <v>395</v>
      </c>
      <c r="E401" t="s">
        <v>395</v>
      </c>
      <c r="F401" t="s">
        <v>396</v>
      </c>
      <c r="G401" t="s">
        <v>397</v>
      </c>
      <c r="H401" t="s">
        <v>532</v>
      </c>
      <c r="I401" t="s">
        <v>399</v>
      </c>
      <c r="J401" t="s">
        <v>400</v>
      </c>
      <c r="K401" t="s">
        <v>515</v>
      </c>
      <c r="L401" t="s">
        <v>585</v>
      </c>
      <c r="M401" t="s">
        <v>403</v>
      </c>
      <c r="N401">
        <v>1</v>
      </c>
      <c r="O401">
        <v>1</v>
      </c>
      <c r="P401" t="s">
        <v>1805</v>
      </c>
      <c r="Q401" t="s">
        <v>424</v>
      </c>
      <c r="R401" t="s">
        <v>1806</v>
      </c>
      <c r="S401" t="s">
        <v>1807</v>
      </c>
      <c r="T401" t="s">
        <v>408</v>
      </c>
      <c r="U401">
        <v>50950081094</v>
      </c>
      <c r="W401">
        <v>16000</v>
      </c>
      <c r="X401" t="s">
        <v>409</v>
      </c>
      <c r="Y401" t="s">
        <v>410</v>
      </c>
      <c r="Z401" t="s">
        <v>410</v>
      </c>
      <c r="AA401" t="s">
        <v>411</v>
      </c>
      <c r="AB401" t="s">
        <v>412</v>
      </c>
      <c r="AC401" t="s">
        <v>411</v>
      </c>
      <c r="AD401">
        <v>46097</v>
      </c>
      <c r="AE401">
        <v>46153</v>
      </c>
      <c r="AF401">
        <v>46104</v>
      </c>
      <c r="AG401" t="s">
        <v>590</v>
      </c>
      <c r="AH401">
        <v>6150863</v>
      </c>
      <c r="AI401">
        <v>46100</v>
      </c>
      <c r="AJ401">
        <v>46101</v>
      </c>
      <c r="AK401">
        <v>16000</v>
      </c>
      <c r="AL401" t="s">
        <v>396</v>
      </c>
      <c r="AM401" t="s">
        <v>1808</v>
      </c>
      <c r="AN401">
        <v>46101</v>
      </c>
      <c r="AO401">
        <v>46101.454467592594</v>
      </c>
      <c r="AP401" t="s">
        <v>51</v>
      </c>
      <c r="AQ401">
        <v>5.1159999999999997E-2</v>
      </c>
      <c r="AR401">
        <v>818.56</v>
      </c>
      <c r="AS401" t="s">
        <v>51</v>
      </c>
      <c r="AT401">
        <v>818.56</v>
      </c>
      <c r="AU401" t="s">
        <v>415</v>
      </c>
      <c r="AV401" t="s">
        <v>772</v>
      </c>
      <c r="AW401" t="s">
        <v>1665</v>
      </c>
      <c r="AX401">
        <v>46107</v>
      </c>
      <c r="AY401">
        <v>46156</v>
      </c>
      <c r="AZ401" t="s">
        <v>1742</v>
      </c>
      <c r="BA401" t="s">
        <v>560</v>
      </c>
      <c r="BB401" t="s">
        <v>1743</v>
      </c>
      <c r="BC401">
        <v>1600</v>
      </c>
      <c r="BD401" t="s">
        <v>521</v>
      </c>
      <c r="BE401">
        <v>5.7169999999999996</v>
      </c>
      <c r="BF401">
        <v>5.0199999999999996</v>
      </c>
      <c r="BG401" t="s">
        <v>522</v>
      </c>
      <c r="BH401">
        <v>395</v>
      </c>
      <c r="BI401">
        <v>295</v>
      </c>
      <c r="BJ401">
        <v>174</v>
      </c>
      <c r="BK401">
        <v>6</v>
      </c>
      <c r="BL401" t="s">
        <v>521</v>
      </c>
      <c r="BM401">
        <v>42.302</v>
      </c>
      <c r="BN401">
        <v>30.12</v>
      </c>
      <c r="BO401">
        <v>73.17</v>
      </c>
      <c r="BP401" t="s">
        <v>522</v>
      </c>
      <c r="BQ401">
        <v>800</v>
      </c>
      <c r="BR401">
        <v>300</v>
      </c>
      <c r="BS401">
        <v>665</v>
      </c>
      <c r="BT401">
        <v>1</v>
      </c>
      <c r="BU401">
        <v>1</v>
      </c>
      <c r="BV401">
        <v>2</v>
      </c>
      <c r="BW401">
        <v>10</v>
      </c>
      <c r="BX401">
        <v>0</v>
      </c>
      <c r="BY401">
        <v>10</v>
      </c>
      <c r="BZ401">
        <v>9600</v>
      </c>
      <c r="CA401">
        <v>6400</v>
      </c>
      <c r="CB401">
        <v>16000</v>
      </c>
      <c r="CC401">
        <v>50.2</v>
      </c>
      <c r="CD401" t="s">
        <v>1809</v>
      </c>
      <c r="CE401" t="s">
        <v>1810</v>
      </c>
      <c r="CG401" t="s">
        <v>421</v>
      </c>
      <c r="CN401" t="str">
        <v>M23</v>
      </c>
      <c r="CO401" t="str">
        <v>1301-1120169EN</v>
      </c>
      <c r="CP401" t="str">
        <v>MEDU7325850</v>
      </c>
      <c r="CQ401" s="23">
        <v>161.55359999999999</v>
      </c>
      <c r="CR401" s="25">
        <f t="shared" si="18"/>
        <v>1.1034251850798944E-2</v>
      </c>
      <c r="CS401" s="21">
        <f t="shared" si="19"/>
        <v>27.58562962699736</v>
      </c>
    </row>
    <row r="402" spans="2:97" x14ac:dyDescent="0.35">
      <c r="B402" t="s">
        <v>3497</v>
      </c>
      <c r="C402" t="s">
        <v>1811</v>
      </c>
      <c r="D402" t="s">
        <v>395</v>
      </c>
      <c r="E402" t="s">
        <v>395</v>
      </c>
      <c r="F402" t="s">
        <v>396</v>
      </c>
      <c r="G402" t="s">
        <v>397</v>
      </c>
      <c r="H402" t="s">
        <v>398</v>
      </c>
      <c r="I402" t="s">
        <v>399</v>
      </c>
      <c r="J402" t="s">
        <v>400</v>
      </c>
      <c r="K402" t="s">
        <v>515</v>
      </c>
      <c r="L402" t="s">
        <v>585</v>
      </c>
      <c r="M402" t="s">
        <v>403</v>
      </c>
      <c r="N402">
        <v>1</v>
      </c>
      <c r="O402">
        <v>1</v>
      </c>
      <c r="P402" t="s">
        <v>690</v>
      </c>
      <c r="Q402" t="s">
        <v>424</v>
      </c>
      <c r="R402" t="s">
        <v>691</v>
      </c>
      <c r="S402" t="s">
        <v>692</v>
      </c>
      <c r="T402" t="s">
        <v>408</v>
      </c>
      <c r="U402">
        <v>50950081095</v>
      </c>
      <c r="W402">
        <v>14400</v>
      </c>
      <c r="X402" t="s">
        <v>409</v>
      </c>
      <c r="Y402" t="s">
        <v>410</v>
      </c>
      <c r="Z402" t="s">
        <v>410</v>
      </c>
      <c r="AA402" t="s">
        <v>411</v>
      </c>
      <c r="AB402" t="s">
        <v>412</v>
      </c>
      <c r="AC402" t="s">
        <v>411</v>
      </c>
      <c r="AD402">
        <v>46097</v>
      </c>
      <c r="AE402">
        <v>46153</v>
      </c>
      <c r="AF402">
        <v>46104</v>
      </c>
      <c r="AG402" t="s">
        <v>590</v>
      </c>
      <c r="AH402">
        <v>6150864</v>
      </c>
      <c r="AI402">
        <v>46100</v>
      </c>
      <c r="AJ402">
        <v>46101</v>
      </c>
      <c r="AK402">
        <v>14400</v>
      </c>
      <c r="AL402" t="s">
        <v>396</v>
      </c>
      <c r="AM402" t="s">
        <v>1812</v>
      </c>
      <c r="AN402">
        <v>46101</v>
      </c>
      <c r="AO402">
        <v>46101.454467592594</v>
      </c>
      <c r="AP402" t="s">
        <v>51</v>
      </c>
      <c r="AQ402">
        <v>4.7899999999999998E-2</v>
      </c>
      <c r="AR402">
        <v>689.76</v>
      </c>
      <c r="AS402" t="s">
        <v>51</v>
      </c>
      <c r="AT402">
        <v>689.76</v>
      </c>
      <c r="AU402" t="s">
        <v>415</v>
      </c>
      <c r="AV402" t="s">
        <v>772</v>
      </c>
      <c r="AW402" t="s">
        <v>1665</v>
      </c>
      <c r="AX402">
        <v>46107</v>
      </c>
      <c r="AY402">
        <v>46156</v>
      </c>
      <c r="AZ402" t="s">
        <v>1742</v>
      </c>
      <c r="BA402" t="s">
        <v>560</v>
      </c>
      <c r="BB402" t="s">
        <v>1743</v>
      </c>
      <c r="BC402">
        <v>900</v>
      </c>
      <c r="BD402" t="s">
        <v>521</v>
      </c>
      <c r="BE402">
        <v>2.7898000000000001</v>
      </c>
      <c r="BF402">
        <v>1.1898</v>
      </c>
      <c r="BG402" t="s">
        <v>522</v>
      </c>
      <c r="BH402">
        <v>395</v>
      </c>
      <c r="BI402">
        <v>295</v>
      </c>
      <c r="BJ402">
        <v>150</v>
      </c>
      <c r="BK402">
        <v>48</v>
      </c>
      <c r="BL402" t="s">
        <v>521</v>
      </c>
      <c r="BM402">
        <v>68.636799999999994</v>
      </c>
      <c r="BN402">
        <v>19.036799999999999</v>
      </c>
      <c r="BO402">
        <v>68.636799999999994</v>
      </c>
      <c r="BP402" t="s">
        <v>522</v>
      </c>
      <c r="BQ402">
        <v>1200</v>
      </c>
      <c r="BR402">
        <v>800</v>
      </c>
      <c r="BS402">
        <v>1060</v>
      </c>
      <c r="BT402">
        <v>0</v>
      </c>
      <c r="BU402">
        <v>1</v>
      </c>
      <c r="BV402">
        <v>1</v>
      </c>
      <c r="BW402">
        <v>16</v>
      </c>
      <c r="BX402">
        <v>0</v>
      </c>
      <c r="BY402">
        <v>16</v>
      </c>
      <c r="BZ402">
        <v>0</v>
      </c>
      <c r="CA402">
        <v>14400</v>
      </c>
      <c r="CB402">
        <v>14400</v>
      </c>
      <c r="CC402">
        <v>19.036799999999999</v>
      </c>
      <c r="CD402" t="s">
        <v>694</v>
      </c>
      <c r="CE402" t="s">
        <v>695</v>
      </c>
      <c r="CG402" t="s">
        <v>421</v>
      </c>
      <c r="CN402" t="str">
        <v>M45</v>
      </c>
      <c r="CO402" t="str">
        <v>1100-12B0008EN</v>
      </c>
      <c r="CP402" t="str">
        <v>MEDU7325850</v>
      </c>
      <c r="CQ402" s="23">
        <v>905.65920000000006</v>
      </c>
      <c r="CR402" s="25">
        <f t="shared" si="18"/>
        <v>6.1857313633327214E-2</v>
      </c>
      <c r="CS402" s="21">
        <f t="shared" si="19"/>
        <v>154.64328408331804</v>
      </c>
    </row>
    <row r="403" spans="2:97" x14ac:dyDescent="0.35">
      <c r="B403" t="s">
        <v>3497</v>
      </c>
      <c r="C403" t="s">
        <v>1813</v>
      </c>
      <c r="D403" t="s">
        <v>395</v>
      </c>
      <c r="E403" t="s">
        <v>395</v>
      </c>
      <c r="F403" t="s">
        <v>396</v>
      </c>
      <c r="G403" t="s">
        <v>397</v>
      </c>
      <c r="H403" t="s">
        <v>398</v>
      </c>
      <c r="I403" t="s">
        <v>399</v>
      </c>
      <c r="J403" t="s">
        <v>400</v>
      </c>
      <c r="K403" t="s">
        <v>515</v>
      </c>
      <c r="L403" t="s">
        <v>585</v>
      </c>
      <c r="M403" t="s">
        <v>403</v>
      </c>
      <c r="N403">
        <v>1</v>
      </c>
      <c r="O403">
        <v>1</v>
      </c>
      <c r="P403" t="s">
        <v>712</v>
      </c>
      <c r="Q403" t="s">
        <v>424</v>
      </c>
      <c r="R403" t="s">
        <v>691</v>
      </c>
      <c r="S403" t="s">
        <v>713</v>
      </c>
      <c r="T403" t="s">
        <v>408</v>
      </c>
      <c r="U403">
        <v>50950081096</v>
      </c>
      <c r="W403">
        <v>7200</v>
      </c>
      <c r="X403" t="s">
        <v>409</v>
      </c>
      <c r="Y403" t="s">
        <v>410</v>
      </c>
      <c r="Z403" t="s">
        <v>410</v>
      </c>
      <c r="AA403" t="s">
        <v>411</v>
      </c>
      <c r="AB403" t="s">
        <v>412</v>
      </c>
      <c r="AC403" t="s">
        <v>411</v>
      </c>
      <c r="AD403">
        <v>46104</v>
      </c>
      <c r="AE403">
        <v>46160</v>
      </c>
      <c r="AF403">
        <v>46104</v>
      </c>
      <c r="AG403" t="s">
        <v>590</v>
      </c>
      <c r="AH403">
        <v>6150865</v>
      </c>
      <c r="AI403">
        <v>46100</v>
      </c>
      <c r="AJ403">
        <v>46101</v>
      </c>
      <c r="AK403">
        <v>7200</v>
      </c>
      <c r="AL403" t="s">
        <v>396</v>
      </c>
      <c r="AM403" t="s">
        <v>1814</v>
      </c>
      <c r="AN403">
        <v>46101</v>
      </c>
      <c r="AO403">
        <v>46101.454467592594</v>
      </c>
      <c r="AP403" t="s">
        <v>51</v>
      </c>
      <c r="AQ403">
        <v>4.6089999999999999E-2</v>
      </c>
      <c r="AR403">
        <v>331.85</v>
      </c>
      <c r="AS403" t="s">
        <v>51</v>
      </c>
      <c r="AT403">
        <v>331.85</v>
      </c>
      <c r="AU403" t="s">
        <v>415</v>
      </c>
      <c r="AV403" t="s">
        <v>772</v>
      </c>
      <c r="AW403" t="s">
        <v>1665</v>
      </c>
      <c r="AX403">
        <v>46107</v>
      </c>
      <c r="AY403">
        <v>46156</v>
      </c>
      <c r="AZ403" t="s">
        <v>1742</v>
      </c>
      <c r="BA403" t="s">
        <v>560</v>
      </c>
      <c r="BB403" t="s">
        <v>1743</v>
      </c>
      <c r="BC403">
        <v>900</v>
      </c>
      <c r="BD403" t="s">
        <v>521</v>
      </c>
      <c r="BE403">
        <v>2.7673000000000001</v>
      </c>
      <c r="BF403">
        <v>1.1673</v>
      </c>
      <c r="BG403" t="s">
        <v>522</v>
      </c>
      <c r="BH403">
        <v>395</v>
      </c>
      <c r="BI403">
        <v>295</v>
      </c>
      <c r="BJ403">
        <v>150</v>
      </c>
      <c r="BK403">
        <v>48</v>
      </c>
      <c r="BL403" t="s">
        <v>521</v>
      </c>
      <c r="BM403">
        <v>46.138399999999997</v>
      </c>
      <c r="BN403">
        <v>9.3384</v>
      </c>
      <c r="BO403">
        <v>46.138399999999997</v>
      </c>
      <c r="BP403" t="s">
        <v>522</v>
      </c>
      <c r="BQ403">
        <v>1200</v>
      </c>
      <c r="BR403">
        <v>800</v>
      </c>
      <c r="BS403">
        <v>1060</v>
      </c>
      <c r="BT403">
        <v>0</v>
      </c>
      <c r="BU403">
        <v>1</v>
      </c>
      <c r="BV403">
        <v>1</v>
      </c>
      <c r="BW403">
        <v>8</v>
      </c>
      <c r="BX403">
        <v>0</v>
      </c>
      <c r="BY403">
        <v>8</v>
      </c>
      <c r="BZ403">
        <v>0</v>
      </c>
      <c r="CA403">
        <v>7200</v>
      </c>
      <c r="CB403">
        <v>7200</v>
      </c>
      <c r="CC403">
        <v>9.3384</v>
      </c>
      <c r="CD403" t="s">
        <v>694</v>
      </c>
      <c r="CE403" t="s">
        <v>695</v>
      </c>
      <c r="CG403" t="s">
        <v>421</v>
      </c>
      <c r="CN403" t="str">
        <v>M45</v>
      </c>
      <c r="CO403" t="str">
        <v>1346-12C0011EN</v>
      </c>
      <c r="CP403" t="str">
        <v>MEDU7325850</v>
      </c>
      <c r="CQ403" s="23">
        <v>315.0188</v>
      </c>
      <c r="CR403" s="25">
        <f t="shared" si="18"/>
        <v>2.1516058923703726E-2</v>
      </c>
      <c r="CS403" s="21">
        <f t="shared" si="19"/>
        <v>53.790147309259311</v>
      </c>
    </row>
    <row r="404" spans="2:97" x14ac:dyDescent="0.35">
      <c r="B404" t="s">
        <v>299</v>
      </c>
      <c r="C404" t="s">
        <v>1815</v>
      </c>
      <c r="D404" t="s">
        <v>395</v>
      </c>
      <c r="E404" t="s">
        <v>395</v>
      </c>
      <c r="F404" t="s">
        <v>396</v>
      </c>
      <c r="G404" t="s">
        <v>397</v>
      </c>
      <c r="H404" t="s">
        <v>532</v>
      </c>
      <c r="I404" t="s">
        <v>399</v>
      </c>
      <c r="J404" t="s">
        <v>400</v>
      </c>
      <c r="K404" t="s">
        <v>515</v>
      </c>
      <c r="L404" t="s">
        <v>585</v>
      </c>
      <c r="M404" t="s">
        <v>403</v>
      </c>
      <c r="N404">
        <v>1</v>
      </c>
      <c r="O404">
        <v>1</v>
      </c>
      <c r="P404" t="s">
        <v>1310</v>
      </c>
      <c r="Q404" t="s">
        <v>430</v>
      </c>
      <c r="R404" t="s">
        <v>616</v>
      </c>
      <c r="S404" t="s">
        <v>1311</v>
      </c>
      <c r="T404" t="s">
        <v>408</v>
      </c>
      <c r="U404">
        <v>50950081103</v>
      </c>
      <c r="W404">
        <v>19200</v>
      </c>
      <c r="X404" t="s">
        <v>409</v>
      </c>
      <c r="Y404" t="s">
        <v>410</v>
      </c>
      <c r="Z404" t="s">
        <v>410</v>
      </c>
      <c r="AA404" t="s">
        <v>411</v>
      </c>
      <c r="AB404" t="s">
        <v>412</v>
      </c>
      <c r="AC404" t="s">
        <v>411</v>
      </c>
      <c r="AD404">
        <v>46104</v>
      </c>
      <c r="AE404">
        <v>46160</v>
      </c>
      <c r="AF404">
        <v>46104</v>
      </c>
      <c r="AG404" t="s">
        <v>590</v>
      </c>
      <c r="AH404">
        <v>6150866</v>
      </c>
      <c r="AI404">
        <v>46100</v>
      </c>
      <c r="AJ404">
        <v>46101</v>
      </c>
      <c r="AK404">
        <v>19200</v>
      </c>
      <c r="AL404" t="s">
        <v>396</v>
      </c>
      <c r="AM404" t="s">
        <v>1816</v>
      </c>
      <c r="AN404">
        <v>46101</v>
      </c>
      <c r="AO404">
        <v>46101.454467592594</v>
      </c>
      <c r="AP404" t="s">
        <v>51</v>
      </c>
      <c r="AQ404">
        <v>0.19447</v>
      </c>
      <c r="AR404">
        <v>3733.82</v>
      </c>
      <c r="AS404" t="s">
        <v>51</v>
      </c>
      <c r="AT404">
        <v>3733.82</v>
      </c>
      <c r="AU404" t="s">
        <v>415</v>
      </c>
      <c r="AV404" t="s">
        <v>772</v>
      </c>
      <c r="AW404" t="s">
        <v>1665</v>
      </c>
      <c r="AX404">
        <v>46107</v>
      </c>
      <c r="AY404">
        <v>46156</v>
      </c>
      <c r="AZ404" t="s">
        <v>1742</v>
      </c>
      <c r="BA404" t="s">
        <v>560</v>
      </c>
      <c r="BB404" t="s">
        <v>1743</v>
      </c>
      <c r="BC404">
        <v>800</v>
      </c>
      <c r="BD404" t="s">
        <v>521</v>
      </c>
      <c r="BE404">
        <v>4.5316000000000001</v>
      </c>
      <c r="BF404">
        <v>2.8616000000000001</v>
      </c>
      <c r="BG404" t="s">
        <v>522</v>
      </c>
      <c r="BH404">
        <v>395</v>
      </c>
      <c r="BI404">
        <v>295</v>
      </c>
      <c r="BJ404">
        <v>150</v>
      </c>
      <c r="BK404">
        <v>48</v>
      </c>
      <c r="BL404" t="s">
        <v>521</v>
      </c>
      <c r="BM404">
        <v>132.75839999999999</v>
      </c>
      <c r="BN404">
        <v>68.678399999999996</v>
      </c>
      <c r="BO404">
        <v>132.75839999999999</v>
      </c>
      <c r="BP404" t="s">
        <v>522</v>
      </c>
      <c r="BQ404">
        <v>1200</v>
      </c>
      <c r="BR404">
        <v>800</v>
      </c>
      <c r="BS404">
        <v>1060</v>
      </c>
      <c r="BT404">
        <v>0</v>
      </c>
      <c r="BU404">
        <v>1</v>
      </c>
      <c r="BV404">
        <v>1</v>
      </c>
      <c r="BW404">
        <v>24</v>
      </c>
      <c r="BX404">
        <v>0</v>
      </c>
      <c r="BY404">
        <v>24</v>
      </c>
      <c r="BZ404">
        <v>0</v>
      </c>
      <c r="CA404">
        <v>19200</v>
      </c>
      <c r="CB404">
        <v>19200</v>
      </c>
      <c r="CC404">
        <v>68.678399999999996</v>
      </c>
      <c r="CD404" t="s">
        <v>694</v>
      </c>
      <c r="CE404" t="s">
        <v>701</v>
      </c>
      <c r="CG404" t="s">
        <v>421</v>
      </c>
      <c r="CN404" t="str">
        <v>M19</v>
      </c>
      <c r="CO404" t="str">
        <v>1330-5YY0182EN</v>
      </c>
      <c r="CP404" t="str">
        <v>MEDU7325850</v>
      </c>
      <c r="CQ404" s="23">
        <v>526.90679999999998</v>
      </c>
      <c r="CR404" s="25">
        <f t="shared" si="18"/>
        <v>3.5988194216028294E-2</v>
      </c>
      <c r="CS404" s="21">
        <f t="shared" si="19"/>
        <v>89.97048554007074</v>
      </c>
    </row>
    <row r="405" spans="2:97" x14ac:dyDescent="0.35">
      <c r="B405" t="s">
        <v>3497</v>
      </c>
      <c r="C405" t="s">
        <v>1817</v>
      </c>
      <c r="D405" t="s">
        <v>395</v>
      </c>
      <c r="E405" t="s">
        <v>395</v>
      </c>
      <c r="F405" t="s">
        <v>396</v>
      </c>
      <c r="G405" t="s">
        <v>397</v>
      </c>
      <c r="H405" t="s">
        <v>398</v>
      </c>
      <c r="I405" t="s">
        <v>399</v>
      </c>
      <c r="J405" t="s">
        <v>400</v>
      </c>
      <c r="K405" t="s">
        <v>515</v>
      </c>
      <c r="L405" t="s">
        <v>585</v>
      </c>
      <c r="M405" t="s">
        <v>403</v>
      </c>
      <c r="N405">
        <v>1</v>
      </c>
      <c r="O405">
        <v>1</v>
      </c>
      <c r="P405" t="s">
        <v>712</v>
      </c>
      <c r="Q405" t="s">
        <v>424</v>
      </c>
      <c r="R405" t="s">
        <v>691</v>
      </c>
      <c r="S405" t="s">
        <v>713</v>
      </c>
      <c r="T405" t="s">
        <v>408</v>
      </c>
      <c r="U405">
        <v>50950081108</v>
      </c>
      <c r="W405">
        <v>7200</v>
      </c>
      <c r="X405" t="s">
        <v>409</v>
      </c>
      <c r="Y405" t="s">
        <v>410</v>
      </c>
      <c r="Z405" t="s">
        <v>410</v>
      </c>
      <c r="AA405" t="s">
        <v>411</v>
      </c>
      <c r="AB405" t="s">
        <v>412</v>
      </c>
      <c r="AC405" t="s">
        <v>411</v>
      </c>
      <c r="AD405">
        <v>46097</v>
      </c>
      <c r="AE405">
        <v>46153</v>
      </c>
      <c r="AF405">
        <v>46104</v>
      </c>
      <c r="AG405" t="s">
        <v>590</v>
      </c>
      <c r="AH405">
        <v>6150867</v>
      </c>
      <c r="AI405">
        <v>46100</v>
      </c>
      <c r="AJ405">
        <v>46101</v>
      </c>
      <c r="AK405">
        <v>7200</v>
      </c>
      <c r="AL405" t="s">
        <v>396</v>
      </c>
      <c r="AM405" t="s">
        <v>1818</v>
      </c>
      <c r="AN405">
        <v>46101</v>
      </c>
      <c r="AO405">
        <v>46101.454467592594</v>
      </c>
      <c r="AP405" t="s">
        <v>51</v>
      </c>
      <c r="AQ405">
        <v>4.6089999999999999E-2</v>
      </c>
      <c r="AR405">
        <v>331.85</v>
      </c>
      <c r="AS405" t="s">
        <v>51</v>
      </c>
      <c r="AT405">
        <v>331.85</v>
      </c>
      <c r="AU405" t="s">
        <v>415</v>
      </c>
      <c r="AV405" t="s">
        <v>772</v>
      </c>
      <c r="AW405" t="s">
        <v>1665</v>
      </c>
      <c r="AX405">
        <v>46107</v>
      </c>
      <c r="AY405">
        <v>46156</v>
      </c>
      <c r="AZ405" t="s">
        <v>1742</v>
      </c>
      <c r="BA405" t="s">
        <v>560</v>
      </c>
      <c r="BB405" t="s">
        <v>1743</v>
      </c>
      <c r="BC405">
        <v>900</v>
      </c>
      <c r="BD405" t="s">
        <v>521</v>
      </c>
      <c r="BE405">
        <v>2.7673000000000001</v>
      </c>
      <c r="BF405">
        <v>1.1673</v>
      </c>
      <c r="BG405" t="s">
        <v>522</v>
      </c>
      <c r="BH405">
        <v>395</v>
      </c>
      <c r="BI405">
        <v>295</v>
      </c>
      <c r="BJ405">
        <v>150</v>
      </c>
      <c r="BK405">
        <v>48</v>
      </c>
      <c r="BL405" t="s">
        <v>521</v>
      </c>
      <c r="BM405">
        <v>46.138399999999997</v>
      </c>
      <c r="BN405">
        <v>9.3384</v>
      </c>
      <c r="BO405">
        <v>46.138399999999997</v>
      </c>
      <c r="BP405" t="s">
        <v>522</v>
      </c>
      <c r="BQ405">
        <v>1200</v>
      </c>
      <c r="BR405">
        <v>800</v>
      </c>
      <c r="BS405">
        <v>1060</v>
      </c>
      <c r="BT405">
        <v>0</v>
      </c>
      <c r="BU405">
        <v>1</v>
      </c>
      <c r="BV405">
        <v>1</v>
      </c>
      <c r="BW405">
        <v>8</v>
      </c>
      <c r="BX405">
        <v>0</v>
      </c>
      <c r="BY405">
        <v>8</v>
      </c>
      <c r="BZ405">
        <v>0</v>
      </c>
      <c r="CA405">
        <v>7200</v>
      </c>
      <c r="CB405">
        <v>7200</v>
      </c>
      <c r="CC405">
        <v>9.3384</v>
      </c>
      <c r="CD405" t="s">
        <v>694</v>
      </c>
      <c r="CE405" t="s">
        <v>695</v>
      </c>
      <c r="CG405" t="s">
        <v>421</v>
      </c>
      <c r="CN405" t="str">
        <v>M19</v>
      </c>
      <c r="CO405" t="str">
        <v>1301-5YY0305EN0093</v>
      </c>
      <c r="CP405" t="str">
        <v>MEDU7325850</v>
      </c>
      <c r="CQ405" s="23">
        <v>945.92579999999998</v>
      </c>
      <c r="CR405" s="25">
        <f t="shared" si="18"/>
        <v>6.4607557549744926E-2</v>
      </c>
      <c r="CS405" s="21">
        <f t="shared" si="19"/>
        <v>161.51889387436231</v>
      </c>
    </row>
    <row r="406" spans="2:97" x14ac:dyDescent="0.35">
      <c r="B406" t="s">
        <v>299</v>
      </c>
      <c r="C406" t="s">
        <v>1819</v>
      </c>
      <c r="D406" t="s">
        <v>395</v>
      </c>
      <c r="E406" t="s">
        <v>395</v>
      </c>
      <c r="F406" t="s">
        <v>396</v>
      </c>
      <c r="G406" t="s">
        <v>397</v>
      </c>
      <c r="H406" t="s">
        <v>532</v>
      </c>
      <c r="I406" t="s">
        <v>399</v>
      </c>
      <c r="J406" t="s">
        <v>400</v>
      </c>
      <c r="K406" t="s">
        <v>515</v>
      </c>
      <c r="L406" t="s">
        <v>585</v>
      </c>
      <c r="M406" t="s">
        <v>403</v>
      </c>
      <c r="N406">
        <v>1</v>
      </c>
      <c r="O406">
        <v>1</v>
      </c>
      <c r="P406" t="s">
        <v>1310</v>
      </c>
      <c r="Q406" t="s">
        <v>430</v>
      </c>
      <c r="R406" t="s">
        <v>616</v>
      </c>
      <c r="S406" t="s">
        <v>1311</v>
      </c>
      <c r="T406" t="s">
        <v>408</v>
      </c>
      <c r="U406">
        <v>50950081113</v>
      </c>
      <c r="W406">
        <v>19200</v>
      </c>
      <c r="X406" t="s">
        <v>409</v>
      </c>
      <c r="Y406" t="s">
        <v>410</v>
      </c>
      <c r="Z406" t="s">
        <v>410</v>
      </c>
      <c r="AA406" t="s">
        <v>411</v>
      </c>
      <c r="AB406" t="s">
        <v>412</v>
      </c>
      <c r="AC406" t="s">
        <v>411</v>
      </c>
      <c r="AD406">
        <v>46097</v>
      </c>
      <c r="AE406">
        <v>46153</v>
      </c>
      <c r="AF406">
        <v>46104</v>
      </c>
      <c r="AG406" t="s">
        <v>590</v>
      </c>
      <c r="AH406">
        <v>6150868</v>
      </c>
      <c r="AI406">
        <v>46100</v>
      </c>
      <c r="AJ406">
        <v>46101</v>
      </c>
      <c r="AK406">
        <v>19200</v>
      </c>
      <c r="AL406" t="s">
        <v>396</v>
      </c>
      <c r="AM406" t="s">
        <v>1820</v>
      </c>
      <c r="AN406">
        <v>46101</v>
      </c>
      <c r="AO406">
        <v>46101.454467592594</v>
      </c>
      <c r="AP406" t="s">
        <v>51</v>
      </c>
      <c r="AQ406">
        <v>0.19447</v>
      </c>
      <c r="AR406">
        <v>3733.82</v>
      </c>
      <c r="AS406" t="s">
        <v>51</v>
      </c>
      <c r="AT406">
        <v>3733.82</v>
      </c>
      <c r="AU406" t="s">
        <v>415</v>
      </c>
      <c r="AV406" t="s">
        <v>772</v>
      </c>
      <c r="AW406" t="s">
        <v>1665</v>
      </c>
      <c r="AX406">
        <v>46107</v>
      </c>
      <c r="AY406">
        <v>46156</v>
      </c>
      <c r="AZ406" t="s">
        <v>1742</v>
      </c>
      <c r="BA406" t="s">
        <v>560</v>
      </c>
      <c r="BB406" t="s">
        <v>1743</v>
      </c>
      <c r="BC406">
        <v>800</v>
      </c>
      <c r="BD406" t="s">
        <v>521</v>
      </c>
      <c r="BE406">
        <v>4.5316000000000001</v>
      </c>
      <c r="BF406">
        <v>2.8616000000000001</v>
      </c>
      <c r="BG406" t="s">
        <v>522</v>
      </c>
      <c r="BH406">
        <v>395</v>
      </c>
      <c r="BI406">
        <v>295</v>
      </c>
      <c r="BJ406">
        <v>150</v>
      </c>
      <c r="BK406">
        <v>48</v>
      </c>
      <c r="BL406" t="s">
        <v>521</v>
      </c>
      <c r="BM406">
        <v>132.75839999999999</v>
      </c>
      <c r="BN406">
        <v>68.678399999999996</v>
      </c>
      <c r="BO406">
        <v>132.75839999999999</v>
      </c>
      <c r="BP406" t="s">
        <v>522</v>
      </c>
      <c r="BQ406">
        <v>1200</v>
      </c>
      <c r="BR406">
        <v>800</v>
      </c>
      <c r="BS406">
        <v>1060</v>
      </c>
      <c r="BT406">
        <v>0</v>
      </c>
      <c r="BU406">
        <v>1</v>
      </c>
      <c r="BV406">
        <v>1</v>
      </c>
      <c r="BW406">
        <v>24</v>
      </c>
      <c r="BX406">
        <v>0</v>
      </c>
      <c r="BY406">
        <v>24</v>
      </c>
      <c r="BZ406">
        <v>0</v>
      </c>
      <c r="CA406">
        <v>19200</v>
      </c>
      <c r="CB406">
        <v>19200</v>
      </c>
      <c r="CC406">
        <v>68.678399999999996</v>
      </c>
      <c r="CD406" t="s">
        <v>694</v>
      </c>
      <c r="CE406" t="s">
        <v>701</v>
      </c>
      <c r="CG406" t="s">
        <v>421</v>
      </c>
      <c r="CN406" t="str">
        <v>M19</v>
      </c>
      <c r="CO406" t="str">
        <v>1301-5YY0305EN0093</v>
      </c>
      <c r="CP406" t="str">
        <v>MEDU7325850</v>
      </c>
      <c r="CQ406" s="23">
        <v>1891.8516</v>
      </c>
      <c r="CR406" s="25">
        <f t="shared" si="18"/>
        <v>0.12921511509948985</v>
      </c>
      <c r="CS406" s="21">
        <f t="shared" si="19"/>
        <v>323.03778774872461</v>
      </c>
    </row>
    <row r="407" spans="2:97" x14ac:dyDescent="0.35">
      <c r="B407" t="s">
        <v>299</v>
      </c>
      <c r="C407" t="s">
        <v>1821</v>
      </c>
      <c r="D407" t="s">
        <v>395</v>
      </c>
      <c r="E407" t="s">
        <v>395</v>
      </c>
      <c r="F407" t="s">
        <v>396</v>
      </c>
      <c r="G407" t="s">
        <v>397</v>
      </c>
      <c r="H407" t="s">
        <v>532</v>
      </c>
      <c r="I407" t="s">
        <v>399</v>
      </c>
      <c r="J407" t="s">
        <v>400</v>
      </c>
      <c r="K407" t="s">
        <v>607</v>
      </c>
      <c r="L407" t="s">
        <v>585</v>
      </c>
      <c r="M407" t="s">
        <v>403</v>
      </c>
      <c r="N407">
        <v>1</v>
      </c>
      <c r="O407">
        <v>1</v>
      </c>
      <c r="P407" t="s">
        <v>608</v>
      </c>
      <c r="Q407" t="s">
        <v>405</v>
      </c>
      <c r="R407" t="s">
        <v>609</v>
      </c>
      <c r="S407" t="s">
        <v>610</v>
      </c>
      <c r="T407" t="s">
        <v>408</v>
      </c>
      <c r="U407">
        <v>50950081114</v>
      </c>
      <c r="W407">
        <v>35200</v>
      </c>
      <c r="X407" t="s">
        <v>409</v>
      </c>
      <c r="Y407" t="s">
        <v>410</v>
      </c>
      <c r="Z407" t="s">
        <v>410</v>
      </c>
      <c r="AA407" t="s">
        <v>411</v>
      </c>
      <c r="AB407" t="s">
        <v>412</v>
      </c>
      <c r="AC407" t="s">
        <v>411</v>
      </c>
      <c r="AD407">
        <v>46097</v>
      </c>
      <c r="AE407">
        <v>46153</v>
      </c>
      <c r="AF407">
        <v>46104</v>
      </c>
      <c r="AG407" t="s">
        <v>590</v>
      </c>
      <c r="AH407">
        <v>6150869</v>
      </c>
      <c r="AI407">
        <v>46100</v>
      </c>
      <c r="AJ407">
        <v>46101</v>
      </c>
      <c r="AK407">
        <v>35200</v>
      </c>
      <c r="AL407" t="s">
        <v>396</v>
      </c>
      <c r="AM407" t="s">
        <v>1822</v>
      </c>
      <c r="AN407">
        <v>46101</v>
      </c>
      <c r="AO407">
        <v>46101.454467592594</v>
      </c>
      <c r="AP407" t="s">
        <v>51</v>
      </c>
      <c r="AQ407">
        <v>0.11616</v>
      </c>
      <c r="AR407">
        <v>4088.83</v>
      </c>
      <c r="AS407" t="s">
        <v>51</v>
      </c>
      <c r="AT407">
        <v>4088.83</v>
      </c>
      <c r="AU407" t="s">
        <v>415</v>
      </c>
      <c r="AV407" t="s">
        <v>772</v>
      </c>
      <c r="AW407" t="s">
        <v>1665</v>
      </c>
      <c r="AX407">
        <v>46107</v>
      </c>
      <c r="AY407">
        <v>46156</v>
      </c>
      <c r="AZ407" t="s">
        <v>1742</v>
      </c>
      <c r="BA407" t="s">
        <v>560</v>
      </c>
      <c r="BB407" t="s">
        <v>1743</v>
      </c>
      <c r="BC407">
        <v>880</v>
      </c>
      <c r="BD407" t="s">
        <v>521</v>
      </c>
      <c r="BE407">
        <v>13.593999999999999</v>
      </c>
      <c r="BF407">
        <v>11.994</v>
      </c>
      <c r="BG407" t="s">
        <v>522</v>
      </c>
      <c r="BH407">
        <v>395</v>
      </c>
      <c r="BI407">
        <v>295</v>
      </c>
      <c r="BJ407">
        <v>230</v>
      </c>
      <c r="BK407">
        <v>40</v>
      </c>
      <c r="BL407" t="s">
        <v>521</v>
      </c>
      <c r="BM407">
        <v>574.75840000000005</v>
      </c>
      <c r="BN407">
        <v>479.75839999999999</v>
      </c>
      <c r="BO407">
        <v>574.75840000000005</v>
      </c>
      <c r="BP407" t="s">
        <v>522</v>
      </c>
      <c r="BQ407">
        <v>1200</v>
      </c>
      <c r="BR407">
        <v>1000</v>
      </c>
      <c r="BS407">
        <v>1075</v>
      </c>
      <c r="BT407">
        <v>1</v>
      </c>
      <c r="BU407">
        <v>0</v>
      </c>
      <c r="BV407">
        <v>1</v>
      </c>
      <c r="BW407">
        <v>40</v>
      </c>
      <c r="BX407">
        <v>0</v>
      </c>
      <c r="BY407">
        <v>40</v>
      </c>
      <c r="BZ407">
        <v>35200</v>
      </c>
      <c r="CA407">
        <v>0</v>
      </c>
      <c r="CB407">
        <v>35200</v>
      </c>
      <c r="CC407">
        <v>479.75839999999999</v>
      </c>
      <c r="CD407" t="s">
        <v>612</v>
      </c>
      <c r="CE407" t="s">
        <v>613</v>
      </c>
      <c r="CG407" t="s">
        <v>421</v>
      </c>
      <c r="CN407" t="str">
        <v>M19</v>
      </c>
      <c r="CO407" t="str">
        <v>1330-5YY0167EN</v>
      </c>
      <c r="CP407" t="str">
        <v>MEDU7325850</v>
      </c>
      <c r="CQ407" s="23">
        <v>175.2276</v>
      </c>
      <c r="CR407" s="25">
        <f t="shared" si="18"/>
        <v>1.1968197982657502E-2</v>
      </c>
      <c r="CS407" s="21">
        <f t="shared" si="19"/>
        <v>29.920494956643754</v>
      </c>
    </row>
    <row r="408" spans="2:97" x14ac:dyDescent="0.35">
      <c r="B408" t="s">
        <v>299</v>
      </c>
      <c r="C408" t="s">
        <v>1823</v>
      </c>
      <c r="D408" t="s">
        <v>395</v>
      </c>
      <c r="E408" t="s">
        <v>395</v>
      </c>
      <c r="F408" t="s">
        <v>396</v>
      </c>
      <c r="G408" t="s">
        <v>397</v>
      </c>
      <c r="H408" t="s">
        <v>532</v>
      </c>
      <c r="I408" t="s">
        <v>399</v>
      </c>
      <c r="J408" t="s">
        <v>400</v>
      </c>
      <c r="K408" t="s">
        <v>607</v>
      </c>
      <c r="L408" t="s">
        <v>585</v>
      </c>
      <c r="M408" t="s">
        <v>403</v>
      </c>
      <c r="N408">
        <v>1</v>
      </c>
      <c r="O408">
        <v>1</v>
      </c>
      <c r="P408" t="s">
        <v>1824</v>
      </c>
      <c r="Q408" t="s">
        <v>424</v>
      </c>
      <c r="R408" t="s">
        <v>1825</v>
      </c>
      <c r="S408" t="s">
        <v>1826</v>
      </c>
      <c r="T408" t="s">
        <v>408</v>
      </c>
      <c r="U408">
        <v>50950081121</v>
      </c>
      <c r="W408">
        <v>36000</v>
      </c>
      <c r="X408" t="s">
        <v>409</v>
      </c>
      <c r="Y408" t="s">
        <v>410</v>
      </c>
      <c r="Z408" t="s">
        <v>410</v>
      </c>
      <c r="AA408" t="s">
        <v>411</v>
      </c>
      <c r="AB408" t="s">
        <v>412</v>
      </c>
      <c r="AC408" t="s">
        <v>411</v>
      </c>
      <c r="AD408">
        <v>46104</v>
      </c>
      <c r="AE408">
        <v>46160</v>
      </c>
      <c r="AF408">
        <v>46104</v>
      </c>
      <c r="AG408" t="s">
        <v>590</v>
      </c>
      <c r="AH408">
        <v>6150870</v>
      </c>
      <c r="AI408">
        <v>46100</v>
      </c>
      <c r="AJ408">
        <v>46101</v>
      </c>
      <c r="AK408">
        <v>36000</v>
      </c>
      <c r="AL408" t="s">
        <v>396</v>
      </c>
      <c r="AM408" t="s">
        <v>1827</v>
      </c>
      <c r="AN408">
        <v>46101</v>
      </c>
      <c r="AO408">
        <v>46101.454467592594</v>
      </c>
      <c r="AP408" t="s">
        <v>51</v>
      </c>
      <c r="AQ408">
        <v>1.541E-2</v>
      </c>
      <c r="AR408">
        <v>554.76</v>
      </c>
      <c r="AS408" t="s">
        <v>51</v>
      </c>
      <c r="AT408">
        <v>554.76</v>
      </c>
      <c r="AU408" t="s">
        <v>415</v>
      </c>
      <c r="AV408" t="s">
        <v>772</v>
      </c>
      <c r="AW408" t="s">
        <v>1665</v>
      </c>
      <c r="AX408">
        <v>46107</v>
      </c>
      <c r="AY408">
        <v>46156</v>
      </c>
      <c r="AZ408" t="s">
        <v>1742</v>
      </c>
      <c r="BA408" t="s">
        <v>560</v>
      </c>
      <c r="BB408" t="s">
        <v>1743</v>
      </c>
      <c r="BC408">
        <v>6000</v>
      </c>
      <c r="BD408" t="s">
        <v>521</v>
      </c>
      <c r="BE408">
        <v>13.331</v>
      </c>
      <c r="BF408">
        <v>12.78</v>
      </c>
      <c r="BG408" t="s">
        <v>522</v>
      </c>
      <c r="BH408">
        <v>368</v>
      </c>
      <c r="BI408">
        <v>257</v>
      </c>
      <c r="BJ408">
        <v>136</v>
      </c>
      <c r="BK408">
        <v>27</v>
      </c>
      <c r="BL408" t="s">
        <v>521</v>
      </c>
      <c r="BM408">
        <v>108.986</v>
      </c>
      <c r="BN408">
        <v>76.680000000000007</v>
      </c>
      <c r="BO408">
        <v>108.986</v>
      </c>
      <c r="BP408" t="s">
        <v>522</v>
      </c>
      <c r="BQ408">
        <v>1140</v>
      </c>
      <c r="BR408">
        <v>800</v>
      </c>
      <c r="BS408">
        <v>565</v>
      </c>
      <c r="BT408">
        <v>0</v>
      </c>
      <c r="BU408">
        <v>1</v>
      </c>
      <c r="BV408">
        <v>1</v>
      </c>
      <c r="BW408">
        <v>6</v>
      </c>
      <c r="BX408">
        <v>0</v>
      </c>
      <c r="BY408">
        <v>6</v>
      </c>
      <c r="BZ408">
        <v>0</v>
      </c>
      <c r="CA408">
        <v>36000</v>
      </c>
      <c r="CB408">
        <v>36000</v>
      </c>
      <c r="CC408">
        <v>76.680000000000007</v>
      </c>
      <c r="CD408" t="s">
        <v>1318</v>
      </c>
      <c r="CE408" t="s">
        <v>1319</v>
      </c>
      <c r="CG408" t="s">
        <v>421</v>
      </c>
      <c r="CN408" t="str">
        <v>M19</v>
      </c>
      <c r="CO408" t="str">
        <v>1301-5YY0306EN0093</v>
      </c>
      <c r="CP408" t="str">
        <v>MEDU7325850</v>
      </c>
      <c r="CQ408" s="23">
        <v>1480.21884</v>
      </c>
      <c r="CR408" s="25">
        <f t="shared" si="18"/>
        <v>0.10110023840296636</v>
      </c>
      <c r="CS408" s="21">
        <f t="shared" si="19"/>
        <v>252.75059600741591</v>
      </c>
    </row>
    <row r="409" spans="2:97" x14ac:dyDescent="0.35">
      <c r="B409" t="s">
        <v>3497</v>
      </c>
      <c r="C409" t="s">
        <v>1828</v>
      </c>
      <c r="D409" t="s">
        <v>395</v>
      </c>
      <c r="E409" t="s">
        <v>395</v>
      </c>
      <c r="F409" t="s">
        <v>396</v>
      </c>
      <c r="G409" t="s">
        <v>397</v>
      </c>
      <c r="H409" t="s">
        <v>398</v>
      </c>
      <c r="I409" t="s">
        <v>399</v>
      </c>
      <c r="J409" t="s">
        <v>400</v>
      </c>
      <c r="K409" t="s">
        <v>515</v>
      </c>
      <c r="L409" t="s">
        <v>585</v>
      </c>
      <c r="M409" t="s">
        <v>403</v>
      </c>
      <c r="N409">
        <v>1</v>
      </c>
      <c r="O409">
        <v>1</v>
      </c>
      <c r="P409" t="s">
        <v>1829</v>
      </c>
      <c r="Q409" t="s">
        <v>424</v>
      </c>
      <c r="R409" t="s">
        <v>691</v>
      </c>
      <c r="S409" t="s">
        <v>1830</v>
      </c>
      <c r="T409" t="s">
        <v>408</v>
      </c>
      <c r="U409">
        <v>50950081123</v>
      </c>
      <c r="W409">
        <v>17280</v>
      </c>
      <c r="X409" t="s">
        <v>409</v>
      </c>
      <c r="Y409" t="s">
        <v>410</v>
      </c>
      <c r="Z409" t="s">
        <v>410</v>
      </c>
      <c r="AA409" t="s">
        <v>411</v>
      </c>
      <c r="AB409" t="s">
        <v>412</v>
      </c>
      <c r="AC409" t="s">
        <v>411</v>
      </c>
      <c r="AD409">
        <v>46104</v>
      </c>
      <c r="AE409">
        <v>46160</v>
      </c>
      <c r="AF409">
        <v>46104</v>
      </c>
      <c r="AG409" t="s">
        <v>590</v>
      </c>
      <c r="AH409">
        <v>6150871</v>
      </c>
      <c r="AI409">
        <v>46100</v>
      </c>
      <c r="AJ409">
        <v>46101</v>
      </c>
      <c r="AK409">
        <v>17280</v>
      </c>
      <c r="AL409" t="s">
        <v>396</v>
      </c>
      <c r="AM409" t="s">
        <v>1831</v>
      </c>
      <c r="AN409">
        <v>46101</v>
      </c>
      <c r="AO409">
        <v>46101.454467592594</v>
      </c>
      <c r="AP409" t="s">
        <v>51</v>
      </c>
      <c r="AQ409">
        <v>5.8130000000000001E-2</v>
      </c>
      <c r="AR409">
        <v>1004.49</v>
      </c>
      <c r="AS409" t="s">
        <v>51</v>
      </c>
      <c r="AT409">
        <v>1004.49</v>
      </c>
      <c r="AU409" t="s">
        <v>415</v>
      </c>
      <c r="AV409" t="s">
        <v>772</v>
      </c>
      <c r="AW409" t="s">
        <v>1665</v>
      </c>
      <c r="AX409">
        <v>46107</v>
      </c>
      <c r="AY409">
        <v>46156</v>
      </c>
      <c r="AZ409" t="s">
        <v>1742</v>
      </c>
      <c r="BA409" t="s">
        <v>560</v>
      </c>
      <c r="BB409" t="s">
        <v>1743</v>
      </c>
      <c r="BC409">
        <v>1080</v>
      </c>
      <c r="BD409" t="s">
        <v>521</v>
      </c>
      <c r="BE409">
        <v>4.016</v>
      </c>
      <c r="BF409">
        <v>2.4159999999999999</v>
      </c>
      <c r="BG409" t="s">
        <v>522</v>
      </c>
      <c r="BH409">
        <v>395</v>
      </c>
      <c r="BI409">
        <v>295</v>
      </c>
      <c r="BJ409">
        <v>150</v>
      </c>
      <c r="BK409">
        <v>48</v>
      </c>
      <c r="BL409" t="s">
        <v>521</v>
      </c>
      <c r="BM409">
        <v>88.255359999999996</v>
      </c>
      <c r="BN409">
        <v>38.655360000000002</v>
      </c>
      <c r="BO409">
        <v>88.255359999999996</v>
      </c>
      <c r="BP409" t="s">
        <v>522</v>
      </c>
      <c r="BQ409">
        <v>1200</v>
      </c>
      <c r="BR409">
        <v>800</v>
      </c>
      <c r="BS409">
        <v>1060</v>
      </c>
      <c r="BT409">
        <v>0</v>
      </c>
      <c r="BU409">
        <v>1</v>
      </c>
      <c r="BV409">
        <v>1</v>
      </c>
      <c r="BW409">
        <v>16</v>
      </c>
      <c r="BX409">
        <v>0</v>
      </c>
      <c r="BY409">
        <v>16</v>
      </c>
      <c r="BZ409">
        <v>0</v>
      </c>
      <c r="CA409">
        <v>17280</v>
      </c>
      <c r="CB409">
        <v>17280</v>
      </c>
      <c r="CC409">
        <v>38.655360000000002</v>
      </c>
      <c r="CD409" t="s">
        <v>694</v>
      </c>
      <c r="CE409" t="s">
        <v>695</v>
      </c>
      <c r="CG409" t="s">
        <v>421</v>
      </c>
      <c r="CN409" t="str">
        <v>M19</v>
      </c>
      <c r="CO409" t="str">
        <v>1301-5YY0322EN0093</v>
      </c>
      <c r="CP409" t="str">
        <v>MEDU7325850</v>
      </c>
      <c r="CQ409" s="23">
        <v>445.5849</v>
      </c>
      <c r="CR409" s="25">
        <f t="shared" si="18"/>
        <v>3.0433837484977511E-2</v>
      </c>
      <c r="CS409" s="21">
        <f t="shared" si="19"/>
        <v>76.084593712443777</v>
      </c>
    </row>
    <row r="410" spans="2:97" x14ac:dyDescent="0.35">
      <c r="B410" t="s">
        <v>3497</v>
      </c>
      <c r="C410" t="s">
        <v>1832</v>
      </c>
      <c r="D410" t="s">
        <v>395</v>
      </c>
      <c r="E410" t="s">
        <v>395</v>
      </c>
      <c r="F410" t="s">
        <v>396</v>
      </c>
      <c r="G410" t="s">
        <v>397</v>
      </c>
      <c r="H410" t="s">
        <v>398</v>
      </c>
      <c r="I410" t="s">
        <v>399</v>
      </c>
      <c r="J410" t="s">
        <v>400</v>
      </c>
      <c r="K410" t="s">
        <v>515</v>
      </c>
      <c r="L410" t="s">
        <v>585</v>
      </c>
      <c r="M410" t="s">
        <v>403</v>
      </c>
      <c r="N410">
        <v>1</v>
      </c>
      <c r="O410">
        <v>1</v>
      </c>
      <c r="P410" t="s">
        <v>690</v>
      </c>
      <c r="Q410" t="s">
        <v>424</v>
      </c>
      <c r="R410" t="s">
        <v>691</v>
      </c>
      <c r="S410" t="s">
        <v>692</v>
      </c>
      <c r="T410" t="s">
        <v>408</v>
      </c>
      <c r="U410">
        <v>50950081125</v>
      </c>
      <c r="W410">
        <v>7200</v>
      </c>
      <c r="X410" t="s">
        <v>409</v>
      </c>
      <c r="Y410" t="s">
        <v>410</v>
      </c>
      <c r="Z410" t="s">
        <v>410</v>
      </c>
      <c r="AA410" t="s">
        <v>411</v>
      </c>
      <c r="AB410" t="s">
        <v>412</v>
      </c>
      <c r="AC410" t="s">
        <v>411</v>
      </c>
      <c r="AD410">
        <v>46104</v>
      </c>
      <c r="AE410">
        <v>46160</v>
      </c>
      <c r="AF410">
        <v>46104</v>
      </c>
      <c r="AG410" t="s">
        <v>590</v>
      </c>
      <c r="AH410">
        <v>6150872</v>
      </c>
      <c r="AI410">
        <v>46100</v>
      </c>
      <c r="AJ410">
        <v>46101</v>
      </c>
      <c r="AK410">
        <v>7200</v>
      </c>
      <c r="AL410" t="s">
        <v>396</v>
      </c>
      <c r="AM410" t="s">
        <v>1833</v>
      </c>
      <c r="AN410">
        <v>46101</v>
      </c>
      <c r="AO410">
        <v>46101.454467592594</v>
      </c>
      <c r="AP410" t="s">
        <v>51</v>
      </c>
      <c r="AQ410">
        <v>4.7899999999999998E-2</v>
      </c>
      <c r="AR410">
        <v>344.88</v>
      </c>
      <c r="AS410" t="s">
        <v>51</v>
      </c>
      <c r="AT410">
        <v>344.88</v>
      </c>
      <c r="AU410" t="s">
        <v>415</v>
      </c>
      <c r="AV410" t="s">
        <v>772</v>
      </c>
      <c r="AW410" t="s">
        <v>1665</v>
      </c>
      <c r="AX410">
        <v>46107</v>
      </c>
      <c r="AY410">
        <v>46156</v>
      </c>
      <c r="AZ410" t="s">
        <v>1742</v>
      </c>
      <c r="BA410" t="s">
        <v>560</v>
      </c>
      <c r="BB410" t="s">
        <v>1743</v>
      </c>
      <c r="BC410">
        <v>900</v>
      </c>
      <c r="BD410" t="s">
        <v>521</v>
      </c>
      <c r="BE410">
        <v>2.7898000000000001</v>
      </c>
      <c r="BF410">
        <v>1.1898</v>
      </c>
      <c r="BG410" t="s">
        <v>522</v>
      </c>
      <c r="BH410">
        <v>395</v>
      </c>
      <c r="BI410">
        <v>295</v>
      </c>
      <c r="BJ410">
        <v>150</v>
      </c>
      <c r="BK410">
        <v>48</v>
      </c>
      <c r="BL410" t="s">
        <v>521</v>
      </c>
      <c r="BM410">
        <v>46.318399999999997</v>
      </c>
      <c r="BN410">
        <v>9.5183999999999997</v>
      </c>
      <c r="BO410">
        <v>46.318399999999997</v>
      </c>
      <c r="BP410" t="s">
        <v>522</v>
      </c>
      <c r="BQ410">
        <v>1200</v>
      </c>
      <c r="BR410">
        <v>800</v>
      </c>
      <c r="BS410">
        <v>1060</v>
      </c>
      <c r="BT410">
        <v>0</v>
      </c>
      <c r="BU410">
        <v>1</v>
      </c>
      <c r="BV410">
        <v>1</v>
      </c>
      <c r="BW410">
        <v>8</v>
      </c>
      <c r="BX410">
        <v>0</v>
      </c>
      <c r="BY410">
        <v>8</v>
      </c>
      <c r="BZ410">
        <v>0</v>
      </c>
      <c r="CA410">
        <v>7200</v>
      </c>
      <c r="CB410">
        <v>7200</v>
      </c>
      <c r="CC410">
        <v>9.5183999999999997</v>
      </c>
      <c r="CD410" t="s">
        <v>694</v>
      </c>
      <c r="CE410" t="s">
        <v>695</v>
      </c>
      <c r="CG410" t="s">
        <v>421</v>
      </c>
      <c r="CN410" t="str">
        <v>M45</v>
      </c>
      <c r="CO410" t="str">
        <v>1459-12C0018EN</v>
      </c>
      <c r="CP410" t="str">
        <v>MEDU7325850</v>
      </c>
      <c r="CQ410" s="23">
        <v>131.30544</v>
      </c>
      <c r="CR410" s="25">
        <f t="shared" si="18"/>
        <v>8.9682761284178743E-3</v>
      </c>
      <c r="CS410" s="21">
        <f t="shared" si="19"/>
        <v>22.420690321044685</v>
      </c>
    </row>
    <row r="411" spans="2:97" x14ac:dyDescent="0.35">
      <c r="B411" t="s">
        <v>3497</v>
      </c>
      <c r="C411" t="s">
        <v>1834</v>
      </c>
      <c r="D411" t="s">
        <v>395</v>
      </c>
      <c r="E411" t="s">
        <v>395</v>
      </c>
      <c r="F411" t="s">
        <v>396</v>
      </c>
      <c r="G411" t="s">
        <v>397</v>
      </c>
      <c r="H411" t="s">
        <v>398</v>
      </c>
      <c r="I411" t="s">
        <v>399</v>
      </c>
      <c r="J411" t="s">
        <v>400</v>
      </c>
      <c r="K411" t="s">
        <v>515</v>
      </c>
      <c r="L411" t="s">
        <v>585</v>
      </c>
      <c r="M411" t="s">
        <v>403</v>
      </c>
      <c r="N411">
        <v>1</v>
      </c>
      <c r="O411">
        <v>1</v>
      </c>
      <c r="P411" t="s">
        <v>1321</v>
      </c>
      <c r="Q411" t="s">
        <v>424</v>
      </c>
      <c r="R411" t="s">
        <v>691</v>
      </c>
      <c r="S411" t="s">
        <v>1322</v>
      </c>
      <c r="T411" t="s">
        <v>408</v>
      </c>
      <c r="U411">
        <v>50950081126</v>
      </c>
      <c r="W411">
        <v>9000</v>
      </c>
      <c r="X411" t="s">
        <v>409</v>
      </c>
      <c r="Y411" t="s">
        <v>410</v>
      </c>
      <c r="Z411" t="s">
        <v>410</v>
      </c>
      <c r="AA411" t="s">
        <v>411</v>
      </c>
      <c r="AB411" t="s">
        <v>412</v>
      </c>
      <c r="AC411" t="s">
        <v>411</v>
      </c>
      <c r="AD411">
        <v>46104</v>
      </c>
      <c r="AE411">
        <v>46160</v>
      </c>
      <c r="AF411">
        <v>46104</v>
      </c>
      <c r="AG411" t="s">
        <v>590</v>
      </c>
      <c r="AH411">
        <v>6150873</v>
      </c>
      <c r="AI411">
        <v>46100</v>
      </c>
      <c r="AJ411">
        <v>46101</v>
      </c>
      <c r="AK411">
        <v>9000</v>
      </c>
      <c r="AL411" t="s">
        <v>396</v>
      </c>
      <c r="AM411" t="s">
        <v>1835</v>
      </c>
      <c r="AN411">
        <v>46101</v>
      </c>
      <c r="AO411">
        <v>46101.454467592594</v>
      </c>
      <c r="AP411" t="s">
        <v>51</v>
      </c>
      <c r="AQ411">
        <v>5.6279999999999997E-2</v>
      </c>
      <c r="AR411">
        <v>506.52</v>
      </c>
      <c r="AS411" t="s">
        <v>51</v>
      </c>
      <c r="AT411">
        <v>506.52</v>
      </c>
      <c r="AU411" t="s">
        <v>415</v>
      </c>
      <c r="AV411" t="s">
        <v>772</v>
      </c>
      <c r="AW411" t="s">
        <v>1665</v>
      </c>
      <c r="AX411">
        <v>46107</v>
      </c>
      <c r="AY411">
        <v>46156</v>
      </c>
      <c r="AZ411" t="s">
        <v>1742</v>
      </c>
      <c r="BA411" t="s">
        <v>560</v>
      </c>
      <c r="BB411" t="s">
        <v>1743</v>
      </c>
      <c r="BC411">
        <v>900</v>
      </c>
      <c r="BD411" t="s">
        <v>521</v>
      </c>
      <c r="BE411">
        <v>3.0463</v>
      </c>
      <c r="BF411">
        <v>1.4462999999999999</v>
      </c>
      <c r="BG411" t="s">
        <v>522</v>
      </c>
      <c r="BH411">
        <v>395</v>
      </c>
      <c r="BI411">
        <v>295</v>
      </c>
      <c r="BJ411">
        <v>150</v>
      </c>
      <c r="BK411">
        <v>48</v>
      </c>
      <c r="BL411" t="s">
        <v>521</v>
      </c>
      <c r="BM411">
        <v>54.463000000000001</v>
      </c>
      <c r="BN411">
        <v>14.462999999999999</v>
      </c>
      <c r="BO411">
        <v>54.463000000000001</v>
      </c>
      <c r="BP411" t="s">
        <v>522</v>
      </c>
      <c r="BQ411">
        <v>1200</v>
      </c>
      <c r="BR411">
        <v>800</v>
      </c>
      <c r="BS411">
        <v>1060</v>
      </c>
      <c r="BT411">
        <v>0</v>
      </c>
      <c r="BU411">
        <v>1</v>
      </c>
      <c r="BV411">
        <v>1</v>
      </c>
      <c r="BW411">
        <v>10</v>
      </c>
      <c r="BX411">
        <v>0</v>
      </c>
      <c r="BY411">
        <v>10</v>
      </c>
      <c r="BZ411">
        <v>0</v>
      </c>
      <c r="CA411">
        <v>9000</v>
      </c>
      <c r="CB411">
        <v>9000</v>
      </c>
      <c r="CC411">
        <v>14.462999999999999</v>
      </c>
      <c r="CD411" t="s">
        <v>694</v>
      </c>
      <c r="CE411" t="s">
        <v>695</v>
      </c>
      <c r="CG411" t="s">
        <v>421</v>
      </c>
      <c r="CN411" t="str">
        <v>M45</v>
      </c>
      <c r="CO411" t="str">
        <v>1459-12C0011EN</v>
      </c>
      <c r="CP411" t="str">
        <v>MEDU7325850</v>
      </c>
      <c r="CQ411" s="23">
        <v>73.36</v>
      </c>
      <c r="CR411" s="25">
        <f t="shared" si="18"/>
        <v>5.0105520135398443E-3</v>
      </c>
      <c r="CS411" s="21">
        <f t="shared" si="19"/>
        <v>12.526380033849611</v>
      </c>
    </row>
    <row r="412" spans="2:97" x14ac:dyDescent="0.35">
      <c r="B412" t="s">
        <v>299</v>
      </c>
      <c r="C412" t="s">
        <v>1836</v>
      </c>
      <c r="D412" t="s">
        <v>395</v>
      </c>
      <c r="E412" t="s">
        <v>395</v>
      </c>
      <c r="F412" t="s">
        <v>396</v>
      </c>
      <c r="G412" t="s">
        <v>397</v>
      </c>
      <c r="H412" t="s">
        <v>532</v>
      </c>
      <c r="I412" t="s">
        <v>399</v>
      </c>
      <c r="J412" t="s">
        <v>400</v>
      </c>
      <c r="K412" t="s">
        <v>515</v>
      </c>
      <c r="L412" t="s">
        <v>585</v>
      </c>
      <c r="M412" t="s">
        <v>403</v>
      </c>
      <c r="N412">
        <v>1</v>
      </c>
      <c r="O412">
        <v>1</v>
      </c>
      <c r="P412" t="s">
        <v>1301</v>
      </c>
      <c r="Q412" t="s">
        <v>587</v>
      </c>
      <c r="R412" t="s">
        <v>616</v>
      </c>
      <c r="S412" t="s">
        <v>617</v>
      </c>
      <c r="T412" t="s">
        <v>408</v>
      </c>
      <c r="U412">
        <v>50950081132</v>
      </c>
      <c r="W412">
        <v>15120</v>
      </c>
      <c r="X412" t="s">
        <v>409</v>
      </c>
      <c r="Y412" t="s">
        <v>410</v>
      </c>
      <c r="Z412" t="s">
        <v>410</v>
      </c>
      <c r="AA412" t="s">
        <v>411</v>
      </c>
      <c r="AB412" t="s">
        <v>412</v>
      </c>
      <c r="AC412" t="s">
        <v>411</v>
      </c>
      <c r="AD412">
        <v>46097</v>
      </c>
      <c r="AE412">
        <v>46153</v>
      </c>
      <c r="AF412">
        <v>46104</v>
      </c>
      <c r="AG412" t="s">
        <v>590</v>
      </c>
      <c r="AH412">
        <v>6150874</v>
      </c>
      <c r="AI412">
        <v>46100</v>
      </c>
      <c r="AJ412">
        <v>46101</v>
      </c>
      <c r="AK412">
        <v>15120</v>
      </c>
      <c r="AL412" t="s">
        <v>396</v>
      </c>
      <c r="AM412" t="s">
        <v>1837</v>
      </c>
      <c r="AN412">
        <v>46101</v>
      </c>
      <c r="AO412">
        <v>46101.454467592594</v>
      </c>
      <c r="AP412" t="s">
        <v>51</v>
      </c>
      <c r="AQ412">
        <v>0.1457</v>
      </c>
      <c r="AR412">
        <v>2202.96</v>
      </c>
      <c r="AS412" t="s">
        <v>51</v>
      </c>
      <c r="AT412">
        <v>2202.96</v>
      </c>
      <c r="AU412" t="s">
        <v>415</v>
      </c>
      <c r="AV412" t="s">
        <v>772</v>
      </c>
      <c r="AW412" t="s">
        <v>1665</v>
      </c>
      <c r="AX412">
        <v>46107</v>
      </c>
      <c r="AY412">
        <v>46156</v>
      </c>
      <c r="AZ412" t="s">
        <v>1742</v>
      </c>
      <c r="BA412" t="s">
        <v>560</v>
      </c>
      <c r="BB412" t="s">
        <v>1743</v>
      </c>
      <c r="BC412">
        <v>420</v>
      </c>
      <c r="BD412" t="s">
        <v>521</v>
      </c>
      <c r="BE412">
        <v>2.1387999999999998</v>
      </c>
      <c r="BF412">
        <v>1.4188000000000001</v>
      </c>
      <c r="BG412" t="s">
        <v>522</v>
      </c>
      <c r="BH412">
        <v>395</v>
      </c>
      <c r="BI412">
        <v>295</v>
      </c>
      <c r="BJ412">
        <v>220</v>
      </c>
      <c r="BK412">
        <v>6</v>
      </c>
      <c r="BL412" t="s">
        <v>521</v>
      </c>
      <c r="BM412">
        <v>20.832799999999999</v>
      </c>
      <c r="BN412">
        <v>8.5128000000000004</v>
      </c>
      <c r="BO412">
        <v>124.99536000000001</v>
      </c>
      <c r="BP412" t="s">
        <v>522</v>
      </c>
      <c r="BQ412">
        <v>800</v>
      </c>
      <c r="BR412">
        <v>300</v>
      </c>
      <c r="BS412">
        <v>830</v>
      </c>
      <c r="BT412">
        <v>6</v>
      </c>
      <c r="BU412">
        <v>0</v>
      </c>
      <c r="BV412">
        <v>6</v>
      </c>
      <c r="BW412">
        <v>36</v>
      </c>
      <c r="BX412">
        <v>0</v>
      </c>
      <c r="BY412">
        <v>36</v>
      </c>
      <c r="BZ412">
        <v>15120</v>
      </c>
      <c r="CA412">
        <v>0</v>
      </c>
      <c r="CB412">
        <v>15120</v>
      </c>
      <c r="CC412">
        <v>51.075360000000003</v>
      </c>
      <c r="CD412" t="s">
        <v>619</v>
      </c>
      <c r="CE412" t="s">
        <v>620</v>
      </c>
      <c r="CG412" t="s">
        <v>421</v>
      </c>
      <c r="CN412" t="str">
        <v>M45</v>
      </c>
      <c r="CO412" t="str">
        <v>AYSP61AS871EN</v>
      </c>
      <c r="CP412" t="str">
        <v>MEDU7325850</v>
      </c>
      <c r="CQ412" s="23">
        <v>473.20010000000002</v>
      </c>
      <c r="CR412" s="25">
        <f t="shared" si="18"/>
        <v>3.2319979741851905E-2</v>
      </c>
      <c r="CS412" s="21">
        <f t="shared" si="19"/>
        <v>80.79994935462976</v>
      </c>
    </row>
    <row r="413" spans="2:97" x14ac:dyDescent="0.35">
      <c r="B413" t="s">
        <v>299</v>
      </c>
      <c r="C413" t="s">
        <v>1838</v>
      </c>
      <c r="D413" t="s">
        <v>395</v>
      </c>
      <c r="E413" t="s">
        <v>395</v>
      </c>
      <c r="F413" t="s">
        <v>396</v>
      </c>
      <c r="G413" t="s">
        <v>397</v>
      </c>
      <c r="H413" t="s">
        <v>532</v>
      </c>
      <c r="I413" t="s">
        <v>399</v>
      </c>
      <c r="J413" t="s">
        <v>400</v>
      </c>
      <c r="K413" t="s">
        <v>515</v>
      </c>
      <c r="L413" t="s">
        <v>585</v>
      </c>
      <c r="M413" t="s">
        <v>403</v>
      </c>
      <c r="N413">
        <v>1</v>
      </c>
      <c r="O413">
        <v>1</v>
      </c>
      <c r="P413" t="s">
        <v>1327</v>
      </c>
      <c r="Q413" t="s">
        <v>430</v>
      </c>
      <c r="R413" t="s">
        <v>616</v>
      </c>
      <c r="S413" t="s">
        <v>1328</v>
      </c>
      <c r="T413" t="s">
        <v>408</v>
      </c>
      <c r="U413">
        <v>50950081138</v>
      </c>
      <c r="W413">
        <v>25200</v>
      </c>
      <c r="X413" t="s">
        <v>409</v>
      </c>
      <c r="Y413" t="s">
        <v>410</v>
      </c>
      <c r="Z413" t="s">
        <v>410</v>
      </c>
      <c r="AA413" t="s">
        <v>411</v>
      </c>
      <c r="AB413" t="s">
        <v>412</v>
      </c>
      <c r="AC413" t="s">
        <v>411</v>
      </c>
      <c r="AD413">
        <v>46097</v>
      </c>
      <c r="AE413">
        <v>46153</v>
      </c>
      <c r="AF413">
        <v>46104</v>
      </c>
      <c r="AG413" t="s">
        <v>590</v>
      </c>
      <c r="AH413">
        <v>6150875</v>
      </c>
      <c r="AI413">
        <v>46100</v>
      </c>
      <c r="AJ413">
        <v>46101</v>
      </c>
      <c r="AK413">
        <v>25200</v>
      </c>
      <c r="AL413" t="s">
        <v>396</v>
      </c>
      <c r="AM413" t="s">
        <v>1839</v>
      </c>
      <c r="AN413">
        <v>46101</v>
      </c>
      <c r="AO413">
        <v>46101.454467592594</v>
      </c>
      <c r="AP413" t="s">
        <v>51</v>
      </c>
      <c r="AQ413">
        <v>0.25901000000000002</v>
      </c>
      <c r="AR413">
        <v>6527.05</v>
      </c>
      <c r="AS413" t="s">
        <v>51</v>
      </c>
      <c r="AT413">
        <v>6527.05</v>
      </c>
      <c r="AU413" t="s">
        <v>415</v>
      </c>
      <c r="AV413" t="s">
        <v>772</v>
      </c>
      <c r="AW413" t="s">
        <v>1665</v>
      </c>
      <c r="AX413">
        <v>46107</v>
      </c>
      <c r="AY413">
        <v>46156</v>
      </c>
      <c r="AZ413" t="s">
        <v>1742</v>
      </c>
      <c r="BA413" t="s">
        <v>560</v>
      </c>
      <c r="BB413" t="s">
        <v>1743</v>
      </c>
      <c r="BC413">
        <v>600</v>
      </c>
      <c r="BD413" t="s">
        <v>521</v>
      </c>
      <c r="BE413">
        <v>4.3798000000000004</v>
      </c>
      <c r="BF413">
        <v>2.7797999999999998</v>
      </c>
      <c r="BG413" t="s">
        <v>522</v>
      </c>
      <c r="BH413">
        <v>395</v>
      </c>
      <c r="BI413">
        <v>295</v>
      </c>
      <c r="BJ413">
        <v>150</v>
      </c>
      <c r="BK413">
        <v>48</v>
      </c>
      <c r="BL413" t="s">
        <v>521</v>
      </c>
      <c r="BM413">
        <v>207.95160000000001</v>
      </c>
      <c r="BN413">
        <v>116.7516</v>
      </c>
      <c r="BO413">
        <v>207.95160000000001</v>
      </c>
      <c r="BP413" t="s">
        <v>522</v>
      </c>
      <c r="BQ413">
        <v>1200</v>
      </c>
      <c r="BR413">
        <v>800</v>
      </c>
      <c r="BS413">
        <v>1060</v>
      </c>
      <c r="BT413">
        <v>0</v>
      </c>
      <c r="BU413">
        <v>1</v>
      </c>
      <c r="BV413">
        <v>1</v>
      </c>
      <c r="BW413">
        <v>42</v>
      </c>
      <c r="BX413">
        <v>0</v>
      </c>
      <c r="BY413">
        <v>42</v>
      </c>
      <c r="BZ413">
        <v>0</v>
      </c>
      <c r="CA413">
        <v>25200</v>
      </c>
      <c r="CB413">
        <v>25200</v>
      </c>
      <c r="CC413">
        <v>116.7516</v>
      </c>
      <c r="CD413" t="s">
        <v>694</v>
      </c>
      <c r="CE413" t="s">
        <v>695</v>
      </c>
      <c r="CG413" t="s">
        <v>421</v>
      </c>
      <c r="CN413" t="str">
        <v>M45</v>
      </c>
      <c r="CO413" t="str">
        <v>AYSP61AS981EN</v>
      </c>
      <c r="CP413" t="str">
        <v>MEDU7325850</v>
      </c>
      <c r="CQ413" s="23">
        <v>788.60019999999997</v>
      </c>
      <c r="CR413" s="25">
        <f t="shared" si="18"/>
        <v>5.3862081788275951E-2</v>
      </c>
      <c r="CS413" s="21">
        <f t="shared" si="19"/>
        <v>134.65520447068988</v>
      </c>
    </row>
    <row r="414" spans="2:97" x14ac:dyDescent="0.35">
      <c r="B414" t="s">
        <v>3497</v>
      </c>
      <c r="C414" t="s">
        <v>1840</v>
      </c>
      <c r="D414" t="s">
        <v>395</v>
      </c>
      <c r="E414" t="s">
        <v>395</v>
      </c>
      <c r="F414" t="s">
        <v>396</v>
      </c>
      <c r="G414" t="s">
        <v>397</v>
      </c>
      <c r="H414" t="s">
        <v>398</v>
      </c>
      <c r="I414" t="s">
        <v>399</v>
      </c>
      <c r="J414" t="s">
        <v>400</v>
      </c>
      <c r="K414" t="s">
        <v>515</v>
      </c>
      <c r="L414" t="s">
        <v>585</v>
      </c>
      <c r="M414" t="s">
        <v>403</v>
      </c>
      <c r="N414">
        <v>1</v>
      </c>
      <c r="O414">
        <v>1</v>
      </c>
      <c r="P414" t="s">
        <v>703</v>
      </c>
      <c r="Q414" t="s">
        <v>424</v>
      </c>
      <c r="R414" t="s">
        <v>691</v>
      </c>
      <c r="S414" t="s">
        <v>704</v>
      </c>
      <c r="T414" t="s">
        <v>408</v>
      </c>
      <c r="U414">
        <v>50950081142</v>
      </c>
      <c r="W414">
        <v>7200</v>
      </c>
      <c r="X414" t="s">
        <v>409</v>
      </c>
      <c r="Y414" t="s">
        <v>410</v>
      </c>
      <c r="Z414" t="s">
        <v>410</v>
      </c>
      <c r="AA414" t="s">
        <v>411</v>
      </c>
      <c r="AB414" t="s">
        <v>412</v>
      </c>
      <c r="AC414" t="s">
        <v>411</v>
      </c>
      <c r="AD414">
        <v>46097</v>
      </c>
      <c r="AE414">
        <v>46153</v>
      </c>
      <c r="AF414">
        <v>46104</v>
      </c>
      <c r="AG414" t="s">
        <v>590</v>
      </c>
      <c r="AH414">
        <v>6150876</v>
      </c>
      <c r="AI414">
        <v>46100</v>
      </c>
      <c r="AJ414">
        <v>46101</v>
      </c>
      <c r="AK414">
        <v>7200</v>
      </c>
      <c r="AL414" t="s">
        <v>396</v>
      </c>
      <c r="AM414" t="s">
        <v>1841</v>
      </c>
      <c r="AN414">
        <v>46101</v>
      </c>
      <c r="AO414">
        <v>46101.454467592594</v>
      </c>
      <c r="AP414" t="s">
        <v>51</v>
      </c>
      <c r="AQ414">
        <v>5.4330000000000003E-2</v>
      </c>
      <c r="AR414">
        <v>391.18</v>
      </c>
      <c r="AS414" t="s">
        <v>51</v>
      </c>
      <c r="AT414">
        <v>391.18</v>
      </c>
      <c r="AU414" t="s">
        <v>415</v>
      </c>
      <c r="AV414" t="s">
        <v>772</v>
      </c>
      <c r="AW414" t="s">
        <v>1665</v>
      </c>
      <c r="AX414">
        <v>46107</v>
      </c>
      <c r="AY414">
        <v>46156</v>
      </c>
      <c r="AZ414" t="s">
        <v>1742</v>
      </c>
      <c r="BA414" t="s">
        <v>560</v>
      </c>
      <c r="BB414" t="s">
        <v>1743</v>
      </c>
      <c r="BC414">
        <v>900</v>
      </c>
      <c r="BD414" t="s">
        <v>521</v>
      </c>
      <c r="BE414">
        <v>2.9651000000000001</v>
      </c>
      <c r="BF414">
        <v>1.2950999999999999</v>
      </c>
      <c r="BG414" t="s">
        <v>522</v>
      </c>
      <c r="BH414">
        <v>395</v>
      </c>
      <c r="BI414">
        <v>295</v>
      </c>
      <c r="BJ414">
        <v>150</v>
      </c>
      <c r="BK414">
        <v>8</v>
      </c>
      <c r="BL414" t="s">
        <v>521</v>
      </c>
      <c r="BM414">
        <v>31.720800000000001</v>
      </c>
      <c r="BN414">
        <v>10.360799999999999</v>
      </c>
      <c r="BO414">
        <v>31.720800000000001</v>
      </c>
      <c r="BP414" t="s">
        <v>522</v>
      </c>
      <c r="BQ414">
        <v>800</v>
      </c>
      <c r="BR414">
        <v>300</v>
      </c>
      <c r="BS414">
        <v>760</v>
      </c>
      <c r="BT414">
        <v>1</v>
      </c>
      <c r="BU414">
        <v>0</v>
      </c>
      <c r="BV414">
        <v>1</v>
      </c>
      <c r="BW414">
        <v>8</v>
      </c>
      <c r="BX414">
        <v>0</v>
      </c>
      <c r="BY414">
        <v>8</v>
      </c>
      <c r="BZ414">
        <v>7200</v>
      </c>
      <c r="CA414">
        <v>0</v>
      </c>
      <c r="CB414">
        <v>7200</v>
      </c>
      <c r="CC414">
        <v>10.360799999999999</v>
      </c>
      <c r="CD414" t="s">
        <v>700</v>
      </c>
      <c r="CE414" t="s">
        <v>701</v>
      </c>
      <c r="CG414" t="s">
        <v>421</v>
      </c>
      <c r="CN414" t="str">
        <v>M45</v>
      </c>
      <c r="CO414" t="str">
        <v>AYSP61BS362EN</v>
      </c>
      <c r="CP414" t="str">
        <v>MEDU7325850</v>
      </c>
      <c r="CQ414" s="23">
        <v>764.09619999999995</v>
      </c>
      <c r="CR414" s="25">
        <f t="shared" si="18"/>
        <v>5.2188437206217873E-2</v>
      </c>
      <c r="CS414" s="21">
        <f t="shared" si="19"/>
        <v>130.47109301554468</v>
      </c>
    </row>
    <row r="415" spans="2:97" x14ac:dyDescent="0.35">
      <c r="B415" t="s">
        <v>299</v>
      </c>
      <c r="C415" t="s">
        <v>1842</v>
      </c>
      <c r="D415" t="s">
        <v>395</v>
      </c>
      <c r="E415" t="s">
        <v>395</v>
      </c>
      <c r="F415" t="s">
        <v>396</v>
      </c>
      <c r="G415" t="s">
        <v>397</v>
      </c>
      <c r="H415" t="s">
        <v>532</v>
      </c>
      <c r="I415" t="s">
        <v>399</v>
      </c>
      <c r="J415" t="s">
        <v>400</v>
      </c>
      <c r="K415" t="s">
        <v>515</v>
      </c>
      <c r="L415" t="s">
        <v>585</v>
      </c>
      <c r="M415" t="s">
        <v>403</v>
      </c>
      <c r="N415">
        <v>1</v>
      </c>
      <c r="O415">
        <v>1</v>
      </c>
      <c r="P415" t="s">
        <v>1304</v>
      </c>
      <c r="Q415" t="s">
        <v>430</v>
      </c>
      <c r="R415" t="s">
        <v>616</v>
      </c>
      <c r="S415" t="s">
        <v>1305</v>
      </c>
      <c r="T415" t="s">
        <v>408</v>
      </c>
      <c r="U415">
        <v>50950081150</v>
      </c>
      <c r="W415">
        <v>19200</v>
      </c>
      <c r="X415" t="s">
        <v>409</v>
      </c>
      <c r="Y415" t="s">
        <v>410</v>
      </c>
      <c r="Z415" t="s">
        <v>410</v>
      </c>
      <c r="AA415" t="s">
        <v>411</v>
      </c>
      <c r="AB415" t="s">
        <v>412</v>
      </c>
      <c r="AC415" t="s">
        <v>411</v>
      </c>
      <c r="AD415">
        <v>46097</v>
      </c>
      <c r="AE415">
        <v>46153</v>
      </c>
      <c r="AF415">
        <v>46104</v>
      </c>
      <c r="AG415" t="s">
        <v>590</v>
      </c>
      <c r="AH415">
        <v>6150877</v>
      </c>
      <c r="AI415">
        <v>46100</v>
      </c>
      <c r="AJ415">
        <v>46101</v>
      </c>
      <c r="AK415">
        <v>19200</v>
      </c>
      <c r="AL415" t="s">
        <v>396</v>
      </c>
      <c r="AM415" t="s">
        <v>1843</v>
      </c>
      <c r="AN415">
        <v>46101</v>
      </c>
      <c r="AO415">
        <v>46101.454467592594</v>
      </c>
      <c r="AP415" t="s">
        <v>51</v>
      </c>
      <c r="AQ415">
        <v>0.25662000000000001</v>
      </c>
      <c r="AR415">
        <v>4927.1000000000004</v>
      </c>
      <c r="AS415" t="s">
        <v>51</v>
      </c>
      <c r="AT415">
        <v>4927.1000000000004</v>
      </c>
      <c r="AU415" t="s">
        <v>415</v>
      </c>
      <c r="AV415" t="s">
        <v>772</v>
      </c>
      <c r="AW415" t="s">
        <v>1665</v>
      </c>
      <c r="AX415">
        <v>46107</v>
      </c>
      <c r="AY415">
        <v>46156</v>
      </c>
      <c r="AZ415" t="s">
        <v>1742</v>
      </c>
      <c r="BA415" t="s">
        <v>560</v>
      </c>
      <c r="BB415" t="s">
        <v>1743</v>
      </c>
      <c r="BC415">
        <v>600</v>
      </c>
      <c r="BD415" t="s">
        <v>521</v>
      </c>
      <c r="BE415">
        <v>4.1517999999999997</v>
      </c>
      <c r="BF415">
        <v>2.5518000000000001</v>
      </c>
      <c r="BG415" t="s">
        <v>522</v>
      </c>
      <c r="BH415">
        <v>395</v>
      </c>
      <c r="BI415">
        <v>295</v>
      </c>
      <c r="BJ415">
        <v>150</v>
      </c>
      <c r="BK415">
        <v>48</v>
      </c>
      <c r="BL415" t="s">
        <v>521</v>
      </c>
      <c r="BM415">
        <v>156.85759999999999</v>
      </c>
      <c r="BN415">
        <v>81.657600000000002</v>
      </c>
      <c r="BO415">
        <v>156.85759999999999</v>
      </c>
      <c r="BP415" t="s">
        <v>522</v>
      </c>
      <c r="BQ415">
        <v>1200</v>
      </c>
      <c r="BR415">
        <v>800</v>
      </c>
      <c r="BS415">
        <v>1060</v>
      </c>
      <c r="BT415">
        <v>0</v>
      </c>
      <c r="BU415">
        <v>1</v>
      </c>
      <c r="BV415">
        <v>1</v>
      </c>
      <c r="BW415">
        <v>32</v>
      </c>
      <c r="BX415">
        <v>0</v>
      </c>
      <c r="BY415">
        <v>32</v>
      </c>
      <c r="BZ415">
        <v>0</v>
      </c>
      <c r="CA415">
        <v>19200</v>
      </c>
      <c r="CB415">
        <v>19200</v>
      </c>
      <c r="CC415">
        <v>81.657600000000002</v>
      </c>
      <c r="CD415" t="s">
        <v>694</v>
      </c>
      <c r="CE415" t="s">
        <v>695</v>
      </c>
      <c r="CG415" t="s">
        <v>421</v>
      </c>
      <c r="CN415" t="str">
        <v>M01</v>
      </c>
      <c r="CO415" t="str">
        <v>1458-1030127EN</v>
      </c>
      <c r="CP415" t="str">
        <v>MEDU7325850</v>
      </c>
      <c r="CQ415" s="23">
        <v>203.89599999999999</v>
      </c>
      <c r="CR415" s="25">
        <f t="shared" si="18"/>
        <v>1.3926274718548527E-2</v>
      </c>
      <c r="CS415" s="21">
        <f t="shared" si="19"/>
        <v>34.815686796371317</v>
      </c>
    </row>
    <row r="416" spans="2:97" x14ac:dyDescent="0.35">
      <c r="B416" t="s">
        <v>3497</v>
      </c>
      <c r="C416" t="s">
        <v>1844</v>
      </c>
      <c r="D416" t="s">
        <v>395</v>
      </c>
      <c r="E416" t="s">
        <v>395</v>
      </c>
      <c r="F416" t="s">
        <v>396</v>
      </c>
      <c r="G416" t="s">
        <v>397</v>
      </c>
      <c r="H416" t="s">
        <v>398</v>
      </c>
      <c r="I416" t="s">
        <v>399</v>
      </c>
      <c r="J416" t="s">
        <v>400</v>
      </c>
      <c r="K416" t="s">
        <v>515</v>
      </c>
      <c r="L416" t="s">
        <v>585</v>
      </c>
      <c r="M416" t="s">
        <v>403</v>
      </c>
      <c r="N416">
        <v>1</v>
      </c>
      <c r="O416">
        <v>1</v>
      </c>
      <c r="P416" t="s">
        <v>703</v>
      </c>
      <c r="Q416" t="s">
        <v>424</v>
      </c>
      <c r="R416" t="s">
        <v>691</v>
      </c>
      <c r="S416" t="s">
        <v>704</v>
      </c>
      <c r="T416" t="s">
        <v>408</v>
      </c>
      <c r="U416">
        <v>50950081143</v>
      </c>
      <c r="W416">
        <v>7200</v>
      </c>
      <c r="X416" t="s">
        <v>409</v>
      </c>
      <c r="Y416" t="s">
        <v>410</v>
      </c>
      <c r="Z416" t="s">
        <v>410</v>
      </c>
      <c r="AA416" t="s">
        <v>411</v>
      </c>
      <c r="AB416" t="s">
        <v>412</v>
      </c>
      <c r="AC416" t="s">
        <v>411</v>
      </c>
      <c r="AD416">
        <v>46104</v>
      </c>
      <c r="AE416">
        <v>46160</v>
      </c>
      <c r="AF416">
        <v>46104</v>
      </c>
      <c r="AG416" t="s">
        <v>590</v>
      </c>
      <c r="AH416">
        <v>6150878</v>
      </c>
      <c r="AI416">
        <v>46100</v>
      </c>
      <c r="AJ416">
        <v>46101</v>
      </c>
      <c r="AK416">
        <v>7200</v>
      </c>
      <c r="AL416" t="s">
        <v>396</v>
      </c>
      <c r="AM416" t="s">
        <v>1845</v>
      </c>
      <c r="AN416">
        <v>46101</v>
      </c>
      <c r="AO416">
        <v>46101.454467592594</v>
      </c>
      <c r="AP416" t="s">
        <v>51</v>
      </c>
      <c r="AQ416">
        <v>5.4330000000000003E-2</v>
      </c>
      <c r="AR416">
        <v>391.18</v>
      </c>
      <c r="AS416" t="s">
        <v>51</v>
      </c>
      <c r="AT416">
        <v>391.18</v>
      </c>
      <c r="AU416" t="s">
        <v>415</v>
      </c>
      <c r="AV416" t="s">
        <v>772</v>
      </c>
      <c r="AW416" t="s">
        <v>1665</v>
      </c>
      <c r="AX416">
        <v>46107</v>
      </c>
      <c r="AY416">
        <v>46156</v>
      </c>
      <c r="AZ416" t="s">
        <v>1742</v>
      </c>
      <c r="BA416" t="s">
        <v>560</v>
      </c>
      <c r="BB416" t="s">
        <v>1743</v>
      </c>
      <c r="BC416">
        <v>900</v>
      </c>
      <c r="BD416" t="s">
        <v>521</v>
      </c>
      <c r="BE416">
        <v>2.9651000000000001</v>
      </c>
      <c r="BF416">
        <v>1.2950999999999999</v>
      </c>
      <c r="BG416" t="s">
        <v>522</v>
      </c>
      <c r="BH416">
        <v>395</v>
      </c>
      <c r="BI416">
        <v>295</v>
      </c>
      <c r="BJ416">
        <v>150</v>
      </c>
      <c r="BK416">
        <v>8</v>
      </c>
      <c r="BL416" t="s">
        <v>521</v>
      </c>
      <c r="BM416">
        <v>31.720800000000001</v>
      </c>
      <c r="BN416">
        <v>10.360799999999999</v>
      </c>
      <c r="BO416">
        <v>31.720800000000001</v>
      </c>
      <c r="BP416" t="s">
        <v>522</v>
      </c>
      <c r="BQ416">
        <v>800</v>
      </c>
      <c r="BR416">
        <v>300</v>
      </c>
      <c r="BS416">
        <v>760</v>
      </c>
      <c r="BT416">
        <v>1</v>
      </c>
      <c r="BU416">
        <v>0</v>
      </c>
      <c r="BV416">
        <v>1</v>
      </c>
      <c r="BW416">
        <v>8</v>
      </c>
      <c r="BX416">
        <v>0</v>
      </c>
      <c r="BY416">
        <v>8</v>
      </c>
      <c r="BZ416">
        <v>7200</v>
      </c>
      <c r="CA416">
        <v>0</v>
      </c>
      <c r="CB416">
        <v>7200</v>
      </c>
      <c r="CC416">
        <v>10.360799999999999</v>
      </c>
      <c r="CD416" t="s">
        <v>700</v>
      </c>
      <c r="CE416" t="s">
        <v>701</v>
      </c>
      <c r="CG416" t="s">
        <v>421</v>
      </c>
      <c r="CN416" t="str">
        <v>M01</v>
      </c>
      <c r="CO416" t="str">
        <v>1458-1030109EN</v>
      </c>
      <c r="CP416" t="str">
        <v>MEDU7325850</v>
      </c>
      <c r="CQ416" s="23">
        <v>157.80840000000001</v>
      </c>
      <c r="CR416" s="25">
        <f t="shared" si="18"/>
        <v>1.077845142275765E-2</v>
      </c>
      <c r="CS416" s="21">
        <f t="shared" si="19"/>
        <v>26.946128556894124</v>
      </c>
    </row>
    <row r="417" spans="2:97" x14ac:dyDescent="0.35">
      <c r="B417" t="s">
        <v>3497</v>
      </c>
      <c r="C417" t="s">
        <v>1846</v>
      </c>
      <c r="D417" t="s">
        <v>395</v>
      </c>
      <c r="E417" t="s">
        <v>395</v>
      </c>
      <c r="F417" t="s">
        <v>396</v>
      </c>
      <c r="G417" t="s">
        <v>397</v>
      </c>
      <c r="H417" t="s">
        <v>398</v>
      </c>
      <c r="I417" t="s">
        <v>399</v>
      </c>
      <c r="J417" t="s">
        <v>400</v>
      </c>
      <c r="K417" t="s">
        <v>515</v>
      </c>
      <c r="L417" t="s">
        <v>585</v>
      </c>
      <c r="M417" t="s">
        <v>403</v>
      </c>
      <c r="N417">
        <v>1</v>
      </c>
      <c r="O417">
        <v>1</v>
      </c>
      <c r="P417" t="s">
        <v>707</v>
      </c>
      <c r="Q417" t="s">
        <v>424</v>
      </c>
      <c r="R417" t="s">
        <v>691</v>
      </c>
      <c r="S417" t="s">
        <v>708</v>
      </c>
      <c r="T417" t="s">
        <v>408</v>
      </c>
      <c r="U417">
        <v>50950081153</v>
      </c>
      <c r="W417">
        <v>24000</v>
      </c>
      <c r="X417" t="s">
        <v>409</v>
      </c>
      <c r="Y417" t="s">
        <v>410</v>
      </c>
      <c r="Z417" t="s">
        <v>410</v>
      </c>
      <c r="AA417" t="s">
        <v>411</v>
      </c>
      <c r="AB417" t="s">
        <v>412</v>
      </c>
      <c r="AC417" t="s">
        <v>411</v>
      </c>
      <c r="AD417">
        <v>46097</v>
      </c>
      <c r="AE417">
        <v>46153</v>
      </c>
      <c r="AF417">
        <v>46104</v>
      </c>
      <c r="AG417" t="s">
        <v>590</v>
      </c>
      <c r="AH417">
        <v>6150879</v>
      </c>
      <c r="AI417">
        <v>46100</v>
      </c>
      <c r="AJ417">
        <v>46101</v>
      </c>
      <c r="AK417">
        <v>24000</v>
      </c>
      <c r="AL417" t="s">
        <v>396</v>
      </c>
      <c r="AM417" t="s">
        <v>1847</v>
      </c>
      <c r="AN417">
        <v>46101</v>
      </c>
      <c r="AO417">
        <v>46101.454467592594</v>
      </c>
      <c r="AP417" t="s">
        <v>51</v>
      </c>
      <c r="AQ417">
        <v>6.4299999999999996E-2</v>
      </c>
      <c r="AR417">
        <v>1543.2</v>
      </c>
      <c r="AS417" t="s">
        <v>51</v>
      </c>
      <c r="AT417">
        <v>1543.2</v>
      </c>
      <c r="AU417" t="s">
        <v>415</v>
      </c>
      <c r="AV417" t="s">
        <v>772</v>
      </c>
      <c r="AW417" t="s">
        <v>1665</v>
      </c>
      <c r="AX417">
        <v>46107</v>
      </c>
      <c r="AY417">
        <v>46156</v>
      </c>
      <c r="AZ417" t="s">
        <v>1742</v>
      </c>
      <c r="BA417" t="s">
        <v>560</v>
      </c>
      <c r="BB417" t="s">
        <v>1743</v>
      </c>
      <c r="BC417">
        <v>750</v>
      </c>
      <c r="BD417" t="s">
        <v>521</v>
      </c>
      <c r="BE417">
        <v>3.3420000000000001</v>
      </c>
      <c r="BF417">
        <v>1.929</v>
      </c>
      <c r="BG417" t="s">
        <v>522</v>
      </c>
      <c r="BH417">
        <v>395</v>
      </c>
      <c r="BI417">
        <v>295</v>
      </c>
      <c r="BJ417">
        <v>150</v>
      </c>
      <c r="BK417">
        <v>48</v>
      </c>
      <c r="BL417" t="s">
        <v>521</v>
      </c>
      <c r="BM417">
        <v>130.94399999999999</v>
      </c>
      <c r="BN417">
        <v>61.728000000000002</v>
      </c>
      <c r="BO417">
        <v>130.94399999999999</v>
      </c>
      <c r="BP417" t="s">
        <v>522</v>
      </c>
      <c r="BQ417">
        <v>1200</v>
      </c>
      <c r="BR417">
        <v>800</v>
      </c>
      <c r="BS417">
        <v>1060</v>
      </c>
      <c r="BT417">
        <v>0</v>
      </c>
      <c r="BU417">
        <v>1</v>
      </c>
      <c r="BV417">
        <v>1</v>
      </c>
      <c r="BW417">
        <v>32</v>
      </c>
      <c r="BX417">
        <v>0</v>
      </c>
      <c r="BY417">
        <v>32</v>
      </c>
      <c r="BZ417">
        <v>0</v>
      </c>
      <c r="CA417">
        <v>24000</v>
      </c>
      <c r="CB417">
        <v>24000</v>
      </c>
      <c r="CC417">
        <v>61.728000000000002</v>
      </c>
      <c r="CD417" t="s">
        <v>694</v>
      </c>
      <c r="CE417" t="s">
        <v>710</v>
      </c>
      <c r="CG417" t="s">
        <v>421</v>
      </c>
      <c r="CN417" t="str">
        <v>M45</v>
      </c>
      <c r="CO417" t="str">
        <v>1404-12C0002EN</v>
      </c>
      <c r="CP417" t="str">
        <v>MEDU7325850</v>
      </c>
      <c r="CQ417" s="23">
        <v>1977.5066999999999</v>
      </c>
      <c r="CR417" s="25">
        <f t="shared" si="18"/>
        <v>0.13506543317166755</v>
      </c>
      <c r="CS417" s="21">
        <f t="shared" si="19"/>
        <v>337.66358292916891</v>
      </c>
    </row>
    <row r="418" spans="2:97" x14ac:dyDescent="0.35">
      <c r="B418" t="s">
        <v>3497</v>
      </c>
      <c r="C418" t="s">
        <v>1848</v>
      </c>
      <c r="D418" t="s">
        <v>395</v>
      </c>
      <c r="E418" t="s">
        <v>395</v>
      </c>
      <c r="F418" t="s">
        <v>396</v>
      </c>
      <c r="G418" t="s">
        <v>397</v>
      </c>
      <c r="H418" t="s">
        <v>398</v>
      </c>
      <c r="I418" t="s">
        <v>399</v>
      </c>
      <c r="J418" t="s">
        <v>400</v>
      </c>
      <c r="K418" t="s">
        <v>515</v>
      </c>
      <c r="L418" t="s">
        <v>585</v>
      </c>
      <c r="M418" t="s">
        <v>403</v>
      </c>
      <c r="N418">
        <v>1</v>
      </c>
      <c r="O418">
        <v>1</v>
      </c>
      <c r="P418" t="s">
        <v>1849</v>
      </c>
      <c r="Q418" t="s">
        <v>424</v>
      </c>
      <c r="R418" t="s">
        <v>691</v>
      </c>
      <c r="S418" t="s">
        <v>1850</v>
      </c>
      <c r="T418" t="s">
        <v>408</v>
      </c>
      <c r="U418">
        <v>50950081157</v>
      </c>
      <c r="W418">
        <v>9000</v>
      </c>
      <c r="X418" t="s">
        <v>409</v>
      </c>
      <c r="Y418" t="s">
        <v>410</v>
      </c>
      <c r="Z418" t="s">
        <v>410</v>
      </c>
      <c r="AA418" t="s">
        <v>411</v>
      </c>
      <c r="AB418" t="s">
        <v>412</v>
      </c>
      <c r="AC418" t="s">
        <v>411</v>
      </c>
      <c r="AD418">
        <v>46104</v>
      </c>
      <c r="AE418">
        <v>46160</v>
      </c>
      <c r="AF418">
        <v>46104</v>
      </c>
      <c r="AG418" t="s">
        <v>590</v>
      </c>
      <c r="AH418">
        <v>6150880</v>
      </c>
      <c r="AI418">
        <v>46100</v>
      </c>
      <c r="AJ418">
        <v>46101</v>
      </c>
      <c r="AK418">
        <v>9000</v>
      </c>
      <c r="AL418" t="s">
        <v>396</v>
      </c>
      <c r="AM418" t="s">
        <v>1851</v>
      </c>
      <c r="AN418">
        <v>46101</v>
      </c>
      <c r="AO418">
        <v>46101.454467592594</v>
      </c>
      <c r="AP418" t="s">
        <v>51</v>
      </c>
      <c r="AQ418">
        <v>5.5019999999999999E-2</v>
      </c>
      <c r="AR418">
        <v>495.18</v>
      </c>
      <c r="AS418" t="s">
        <v>51</v>
      </c>
      <c r="AT418">
        <v>495.18</v>
      </c>
      <c r="AU418" t="s">
        <v>415</v>
      </c>
      <c r="AV418" t="s">
        <v>772</v>
      </c>
      <c r="AW418" t="s">
        <v>1665</v>
      </c>
      <c r="AX418">
        <v>46107</v>
      </c>
      <c r="AY418">
        <v>46156</v>
      </c>
      <c r="AZ418" t="s">
        <v>1742</v>
      </c>
      <c r="BA418" t="s">
        <v>560</v>
      </c>
      <c r="BB418" t="s">
        <v>1743</v>
      </c>
      <c r="BC418">
        <v>900</v>
      </c>
      <c r="BD418" t="s">
        <v>521</v>
      </c>
      <c r="BE418">
        <v>3.004</v>
      </c>
      <c r="BF418">
        <v>1.4039999999999999</v>
      </c>
      <c r="BG418" t="s">
        <v>522</v>
      </c>
      <c r="BH418">
        <v>395</v>
      </c>
      <c r="BI418">
        <v>295</v>
      </c>
      <c r="BJ418">
        <v>150</v>
      </c>
      <c r="BK418">
        <v>48</v>
      </c>
      <c r="BL418" t="s">
        <v>521</v>
      </c>
      <c r="BM418">
        <v>54.04</v>
      </c>
      <c r="BN418">
        <v>14.04</v>
      </c>
      <c r="BO418">
        <v>54.04</v>
      </c>
      <c r="BP418" t="s">
        <v>522</v>
      </c>
      <c r="BQ418">
        <v>1200</v>
      </c>
      <c r="BR418">
        <v>800</v>
      </c>
      <c r="BS418">
        <v>1060</v>
      </c>
      <c r="BT418">
        <v>0</v>
      </c>
      <c r="BU418">
        <v>1</v>
      </c>
      <c r="BV418">
        <v>1</v>
      </c>
      <c r="BW418">
        <v>10</v>
      </c>
      <c r="BX418">
        <v>0</v>
      </c>
      <c r="BY418">
        <v>10</v>
      </c>
      <c r="BZ418">
        <v>0</v>
      </c>
      <c r="CA418">
        <v>9000</v>
      </c>
      <c r="CB418">
        <v>9000</v>
      </c>
      <c r="CC418">
        <v>14.04</v>
      </c>
      <c r="CD418" t="s">
        <v>694</v>
      </c>
      <c r="CE418" t="s">
        <v>695</v>
      </c>
      <c r="CG418" t="s">
        <v>421</v>
      </c>
      <c r="CN418" t="str">
        <v>M45</v>
      </c>
      <c r="CO418" t="str">
        <v>1305-12C0001EN</v>
      </c>
      <c r="CP418" t="str">
        <v>MEDU7325850</v>
      </c>
      <c r="CQ418" s="23">
        <v>272.85000000000002</v>
      </c>
      <c r="CR418" s="25">
        <f t="shared" si="18"/>
        <v>1.8635893087436569E-2</v>
      </c>
      <c r="CS418" s="21">
        <f t="shared" si="19"/>
        <v>46.589732718591421</v>
      </c>
    </row>
    <row r="419" spans="2:97" x14ac:dyDescent="0.35">
      <c r="B419" t="s">
        <v>3497</v>
      </c>
      <c r="C419" t="s">
        <v>1852</v>
      </c>
      <c r="D419" t="s">
        <v>395</v>
      </c>
      <c r="E419" t="s">
        <v>395</v>
      </c>
      <c r="F419" t="s">
        <v>396</v>
      </c>
      <c r="G419" t="s">
        <v>397</v>
      </c>
      <c r="H419" t="s">
        <v>398</v>
      </c>
      <c r="I419" t="s">
        <v>399</v>
      </c>
      <c r="J419" t="s">
        <v>400</v>
      </c>
      <c r="K419" t="s">
        <v>515</v>
      </c>
      <c r="L419" t="s">
        <v>585</v>
      </c>
      <c r="M419" t="s">
        <v>403</v>
      </c>
      <c r="N419">
        <v>1</v>
      </c>
      <c r="O419">
        <v>1</v>
      </c>
      <c r="P419" t="s">
        <v>1321</v>
      </c>
      <c r="Q419" t="s">
        <v>424</v>
      </c>
      <c r="R419" t="s">
        <v>691</v>
      </c>
      <c r="S419" t="s">
        <v>1322</v>
      </c>
      <c r="T419" t="s">
        <v>408</v>
      </c>
      <c r="U419">
        <v>50950081158</v>
      </c>
      <c r="W419">
        <v>18000</v>
      </c>
      <c r="X419" t="s">
        <v>409</v>
      </c>
      <c r="Y419" t="s">
        <v>410</v>
      </c>
      <c r="Z419" t="s">
        <v>410</v>
      </c>
      <c r="AA419" t="s">
        <v>411</v>
      </c>
      <c r="AB419" t="s">
        <v>412</v>
      </c>
      <c r="AC419" t="s">
        <v>411</v>
      </c>
      <c r="AD419">
        <v>46097</v>
      </c>
      <c r="AE419">
        <v>46153</v>
      </c>
      <c r="AF419">
        <v>46104</v>
      </c>
      <c r="AG419" t="s">
        <v>590</v>
      </c>
      <c r="AH419">
        <v>6150881</v>
      </c>
      <c r="AI419">
        <v>46100</v>
      </c>
      <c r="AJ419">
        <v>46101</v>
      </c>
      <c r="AK419">
        <v>18000</v>
      </c>
      <c r="AL419" t="s">
        <v>396</v>
      </c>
      <c r="AM419" t="s">
        <v>1853</v>
      </c>
      <c r="AN419">
        <v>46101</v>
      </c>
      <c r="AO419">
        <v>46101.454467592594</v>
      </c>
      <c r="AP419" t="s">
        <v>51</v>
      </c>
      <c r="AQ419">
        <v>5.6279999999999997E-2</v>
      </c>
      <c r="AR419">
        <v>1013.04</v>
      </c>
      <c r="AS419" t="s">
        <v>51</v>
      </c>
      <c r="AT419">
        <v>1013.04</v>
      </c>
      <c r="AU419" t="s">
        <v>415</v>
      </c>
      <c r="AV419" t="s">
        <v>772</v>
      </c>
      <c r="AW419" t="s">
        <v>1665</v>
      </c>
      <c r="AX419">
        <v>46107</v>
      </c>
      <c r="AY419">
        <v>46156</v>
      </c>
      <c r="AZ419" t="s">
        <v>1742</v>
      </c>
      <c r="BA419" t="s">
        <v>560</v>
      </c>
      <c r="BB419" t="s">
        <v>1743</v>
      </c>
      <c r="BC419">
        <v>900</v>
      </c>
      <c r="BD419" t="s">
        <v>521</v>
      </c>
      <c r="BE419">
        <v>3.0463</v>
      </c>
      <c r="BF419">
        <v>1.4462999999999999</v>
      </c>
      <c r="BG419" t="s">
        <v>522</v>
      </c>
      <c r="BH419">
        <v>395</v>
      </c>
      <c r="BI419">
        <v>295</v>
      </c>
      <c r="BJ419">
        <v>150</v>
      </c>
      <c r="BK419">
        <v>48</v>
      </c>
      <c r="BL419" t="s">
        <v>521</v>
      </c>
      <c r="BM419">
        <v>84.926000000000002</v>
      </c>
      <c r="BN419">
        <v>28.925999999999998</v>
      </c>
      <c r="BO419">
        <v>84.926000000000002</v>
      </c>
      <c r="BP419" t="s">
        <v>522</v>
      </c>
      <c r="BQ419">
        <v>1200</v>
      </c>
      <c r="BR419">
        <v>800</v>
      </c>
      <c r="BS419">
        <v>1060</v>
      </c>
      <c r="BT419">
        <v>0</v>
      </c>
      <c r="BU419">
        <v>1</v>
      </c>
      <c r="BV419">
        <v>1</v>
      </c>
      <c r="BW419">
        <v>20</v>
      </c>
      <c r="BX419">
        <v>0</v>
      </c>
      <c r="BY419">
        <v>20</v>
      </c>
      <c r="BZ419">
        <v>0</v>
      </c>
      <c r="CA419">
        <v>18000</v>
      </c>
      <c r="CB419">
        <v>18000</v>
      </c>
      <c r="CC419">
        <v>28.925999999999998</v>
      </c>
      <c r="CD419" t="s">
        <v>694</v>
      </c>
      <c r="CE419" t="s">
        <v>695</v>
      </c>
      <c r="CG419" t="s">
        <v>421</v>
      </c>
      <c r="CN419" t="str">
        <v>M19</v>
      </c>
      <c r="CO419" t="str">
        <v>1152-5YY0177EN</v>
      </c>
      <c r="CP419" t="str">
        <v>MEDU7325850</v>
      </c>
      <c r="CQ419" s="23">
        <v>670.1952</v>
      </c>
      <c r="CR419" s="25">
        <f t="shared" si="18"/>
        <v>4.5774916968712359E-2</v>
      </c>
      <c r="CS419" s="21">
        <f t="shared" si="19"/>
        <v>114.4372924217809</v>
      </c>
    </row>
    <row r="420" spans="2:97" x14ac:dyDescent="0.35">
      <c r="B420" t="s">
        <v>299</v>
      </c>
      <c r="C420" t="s">
        <v>1854</v>
      </c>
      <c r="D420" t="s">
        <v>395</v>
      </c>
      <c r="E420" t="s">
        <v>395</v>
      </c>
      <c r="F420" t="s">
        <v>396</v>
      </c>
      <c r="G420" t="s">
        <v>397</v>
      </c>
      <c r="H420" t="s">
        <v>532</v>
      </c>
      <c r="I420" t="s">
        <v>399</v>
      </c>
      <c r="J420" t="s">
        <v>400</v>
      </c>
      <c r="K420" t="s">
        <v>515</v>
      </c>
      <c r="L420" t="s">
        <v>585</v>
      </c>
      <c r="M420" t="s">
        <v>403</v>
      </c>
      <c r="N420">
        <v>1</v>
      </c>
      <c r="O420">
        <v>1</v>
      </c>
      <c r="P420" t="s">
        <v>1304</v>
      </c>
      <c r="Q420" t="s">
        <v>430</v>
      </c>
      <c r="R420" t="s">
        <v>616</v>
      </c>
      <c r="S420" t="s">
        <v>1305</v>
      </c>
      <c r="T420" t="s">
        <v>408</v>
      </c>
      <c r="U420">
        <v>50950081161</v>
      </c>
      <c r="W420">
        <v>25200</v>
      </c>
      <c r="X420" t="s">
        <v>409</v>
      </c>
      <c r="Y420" t="s">
        <v>410</v>
      </c>
      <c r="Z420" t="s">
        <v>410</v>
      </c>
      <c r="AA420" t="s">
        <v>411</v>
      </c>
      <c r="AB420" t="s">
        <v>412</v>
      </c>
      <c r="AC420" t="s">
        <v>411</v>
      </c>
      <c r="AD420">
        <v>46104</v>
      </c>
      <c r="AE420">
        <v>46160</v>
      </c>
      <c r="AF420">
        <v>46104</v>
      </c>
      <c r="AG420" t="s">
        <v>590</v>
      </c>
      <c r="AH420">
        <v>6150882</v>
      </c>
      <c r="AI420">
        <v>46100</v>
      </c>
      <c r="AJ420">
        <v>46101</v>
      </c>
      <c r="AK420">
        <v>25200</v>
      </c>
      <c r="AL420" t="s">
        <v>396</v>
      </c>
      <c r="AM420" t="s">
        <v>1855</v>
      </c>
      <c r="AN420">
        <v>46101</v>
      </c>
      <c r="AO420">
        <v>46101.454467592594</v>
      </c>
      <c r="AP420" t="s">
        <v>51</v>
      </c>
      <c r="AQ420">
        <v>0.25662000000000001</v>
      </c>
      <c r="AR420">
        <v>6466.82</v>
      </c>
      <c r="AS420" t="s">
        <v>51</v>
      </c>
      <c r="AT420">
        <v>6466.82</v>
      </c>
      <c r="AU420" t="s">
        <v>415</v>
      </c>
      <c r="AV420" t="s">
        <v>772</v>
      </c>
      <c r="AW420" t="s">
        <v>1665</v>
      </c>
      <c r="AX420">
        <v>46107</v>
      </c>
      <c r="AY420">
        <v>46156</v>
      </c>
      <c r="AZ420" t="s">
        <v>1742</v>
      </c>
      <c r="BA420" t="s">
        <v>560</v>
      </c>
      <c r="BB420" t="s">
        <v>1743</v>
      </c>
      <c r="BC420">
        <v>600</v>
      </c>
      <c r="BD420" t="s">
        <v>521</v>
      </c>
      <c r="BE420">
        <v>4.1517999999999997</v>
      </c>
      <c r="BF420">
        <v>2.5518000000000001</v>
      </c>
      <c r="BG420" t="s">
        <v>522</v>
      </c>
      <c r="BH420">
        <v>395</v>
      </c>
      <c r="BI420">
        <v>295</v>
      </c>
      <c r="BJ420">
        <v>150</v>
      </c>
      <c r="BK420">
        <v>48</v>
      </c>
      <c r="BL420" t="s">
        <v>521</v>
      </c>
      <c r="BM420">
        <v>198.37559999999999</v>
      </c>
      <c r="BN420">
        <v>107.1756</v>
      </c>
      <c r="BO420">
        <v>198.37559999999999</v>
      </c>
      <c r="BP420" t="s">
        <v>522</v>
      </c>
      <c r="BQ420">
        <v>1200</v>
      </c>
      <c r="BR420">
        <v>800</v>
      </c>
      <c r="BS420">
        <v>1060</v>
      </c>
      <c r="BT420">
        <v>0</v>
      </c>
      <c r="BU420">
        <v>1</v>
      </c>
      <c r="BV420">
        <v>1</v>
      </c>
      <c r="BW420">
        <v>42</v>
      </c>
      <c r="BX420">
        <v>0</v>
      </c>
      <c r="BY420">
        <v>42</v>
      </c>
      <c r="BZ420">
        <v>0</v>
      </c>
      <c r="CA420">
        <v>25200</v>
      </c>
      <c r="CB420">
        <v>25200</v>
      </c>
      <c r="CC420">
        <v>107.1756</v>
      </c>
      <c r="CD420" t="s">
        <v>694</v>
      </c>
      <c r="CE420" t="s">
        <v>695</v>
      </c>
      <c r="CG420" t="s">
        <v>421</v>
      </c>
      <c r="CN420" t="str">
        <v>M01</v>
      </c>
      <c r="CO420" t="str">
        <v>1200-1030955EN</v>
      </c>
      <c r="CP420" t="str">
        <v>MSCU5287590</v>
      </c>
      <c r="CQ420" s="23">
        <v>474.98399999999998</v>
      </c>
      <c r="CR420" s="25">
        <f t="shared" si="18"/>
        <v>4.1256433206169486E-2</v>
      </c>
      <c r="CS420" s="21">
        <f t="shared" si="19"/>
        <v>103.14108301542372</v>
      </c>
    </row>
    <row r="421" spans="2:97" x14ac:dyDescent="0.35">
      <c r="B421" t="s">
        <v>299</v>
      </c>
      <c r="C421" t="s">
        <v>1856</v>
      </c>
      <c r="D421" t="s">
        <v>395</v>
      </c>
      <c r="E421" t="s">
        <v>395</v>
      </c>
      <c r="F421" t="s">
        <v>396</v>
      </c>
      <c r="G421" t="s">
        <v>397</v>
      </c>
      <c r="H421" t="s">
        <v>532</v>
      </c>
      <c r="I421" t="s">
        <v>399</v>
      </c>
      <c r="J421" t="s">
        <v>400</v>
      </c>
      <c r="K421" t="s">
        <v>515</v>
      </c>
      <c r="L421" t="s">
        <v>585</v>
      </c>
      <c r="M421" t="s">
        <v>403</v>
      </c>
      <c r="N421">
        <v>1</v>
      </c>
      <c r="O421">
        <v>1</v>
      </c>
      <c r="P421" t="s">
        <v>1857</v>
      </c>
      <c r="Q421" t="s">
        <v>405</v>
      </c>
      <c r="R421" t="s">
        <v>1858</v>
      </c>
      <c r="S421" t="s">
        <v>1859</v>
      </c>
      <c r="T421" t="s">
        <v>408</v>
      </c>
      <c r="U421">
        <v>50950081167</v>
      </c>
      <c r="W421">
        <v>40000</v>
      </c>
      <c r="X421" t="s">
        <v>409</v>
      </c>
      <c r="Y421" t="s">
        <v>410</v>
      </c>
      <c r="Z421" t="s">
        <v>410</v>
      </c>
      <c r="AA421" t="s">
        <v>411</v>
      </c>
      <c r="AB421" t="s">
        <v>412</v>
      </c>
      <c r="AC421" t="s">
        <v>411</v>
      </c>
      <c r="AD421">
        <v>46097</v>
      </c>
      <c r="AE421">
        <v>46153</v>
      </c>
      <c r="AF421">
        <v>46104</v>
      </c>
      <c r="AG421" t="s">
        <v>590</v>
      </c>
      <c r="AH421">
        <v>6150883</v>
      </c>
      <c r="AI421">
        <v>46100</v>
      </c>
      <c r="AJ421">
        <v>46101</v>
      </c>
      <c r="AK421">
        <v>40000</v>
      </c>
      <c r="AL421" t="s">
        <v>396</v>
      </c>
      <c r="AM421" t="s">
        <v>1860</v>
      </c>
      <c r="AN421">
        <v>46101</v>
      </c>
      <c r="AO421">
        <v>46101.454467592594</v>
      </c>
      <c r="AP421" t="s">
        <v>51</v>
      </c>
      <c r="AQ421">
        <v>1.9290000000000002E-2</v>
      </c>
      <c r="AR421">
        <v>771.6</v>
      </c>
      <c r="AS421" t="s">
        <v>51</v>
      </c>
      <c r="AT421">
        <v>771.6</v>
      </c>
      <c r="AU421" t="s">
        <v>415</v>
      </c>
      <c r="AV421" t="s">
        <v>772</v>
      </c>
      <c r="AW421" t="s">
        <v>1665</v>
      </c>
      <c r="AX421">
        <v>46107</v>
      </c>
      <c r="AY421">
        <v>46156</v>
      </c>
      <c r="AZ421" t="s">
        <v>1742</v>
      </c>
      <c r="BA421" t="s">
        <v>560</v>
      </c>
      <c r="BB421" t="s">
        <v>1743</v>
      </c>
      <c r="BC421">
        <v>2000</v>
      </c>
      <c r="BD421" t="s">
        <v>521</v>
      </c>
      <c r="BE421">
        <v>5.5910000000000002</v>
      </c>
      <c r="BF421">
        <v>4.8940000000000001</v>
      </c>
      <c r="BG421" t="s">
        <v>522</v>
      </c>
      <c r="BH421">
        <v>395</v>
      </c>
      <c r="BI421">
        <v>295</v>
      </c>
      <c r="BJ421">
        <v>174</v>
      </c>
      <c r="BK421">
        <v>6</v>
      </c>
      <c r="BL421" t="s">
        <v>521</v>
      </c>
      <c r="BM421">
        <v>41.545999999999999</v>
      </c>
      <c r="BN421">
        <v>29.364000000000001</v>
      </c>
      <c r="BO421">
        <v>143.82</v>
      </c>
      <c r="BP421" t="s">
        <v>522</v>
      </c>
      <c r="BQ421">
        <v>800</v>
      </c>
      <c r="BR421">
        <v>300</v>
      </c>
      <c r="BS421">
        <v>665</v>
      </c>
      <c r="BT421">
        <v>3</v>
      </c>
      <c r="BU421">
        <v>1</v>
      </c>
      <c r="BV421">
        <v>4</v>
      </c>
      <c r="BW421">
        <v>20</v>
      </c>
      <c r="BX421">
        <v>0</v>
      </c>
      <c r="BY421">
        <v>20</v>
      </c>
      <c r="BZ421">
        <v>36000</v>
      </c>
      <c r="CA421">
        <v>4000</v>
      </c>
      <c r="CB421">
        <v>40000</v>
      </c>
      <c r="CC421">
        <v>97.88</v>
      </c>
      <c r="CD421" t="s">
        <v>1809</v>
      </c>
      <c r="CE421" t="s">
        <v>1810</v>
      </c>
      <c r="CG421" t="s">
        <v>421</v>
      </c>
      <c r="CN421" t="str">
        <v>M46</v>
      </c>
      <c r="CO421" t="str">
        <v>1123-1060052EN</v>
      </c>
      <c r="CP421" t="str">
        <v>MSCU5287590</v>
      </c>
      <c r="CQ421" s="23">
        <v>318.85584</v>
      </c>
      <c r="CR421" s="25">
        <f t="shared" si="18"/>
        <v>2.7695363770899789E-2</v>
      </c>
      <c r="CS421" s="21">
        <f t="shared" si="19"/>
        <v>69.238409427249479</v>
      </c>
    </row>
    <row r="422" spans="2:97" x14ac:dyDescent="0.35">
      <c r="B422" t="s">
        <v>3497</v>
      </c>
      <c r="C422" t="s">
        <v>1861</v>
      </c>
      <c r="D422" t="s">
        <v>395</v>
      </c>
      <c r="E422" t="s">
        <v>395</v>
      </c>
      <c r="F422" t="s">
        <v>396</v>
      </c>
      <c r="G422" t="s">
        <v>397</v>
      </c>
      <c r="H422" t="s">
        <v>398</v>
      </c>
      <c r="I422" t="s">
        <v>399</v>
      </c>
      <c r="J422" t="s">
        <v>400</v>
      </c>
      <c r="K422" t="s">
        <v>515</v>
      </c>
      <c r="L422" t="s">
        <v>585</v>
      </c>
      <c r="M422" t="s">
        <v>403</v>
      </c>
      <c r="N422">
        <v>1</v>
      </c>
      <c r="O422">
        <v>1</v>
      </c>
      <c r="P422" t="s">
        <v>697</v>
      </c>
      <c r="Q422" t="s">
        <v>424</v>
      </c>
      <c r="R422" t="s">
        <v>691</v>
      </c>
      <c r="S422" t="s">
        <v>698</v>
      </c>
      <c r="T422" t="s">
        <v>408</v>
      </c>
      <c r="U422">
        <v>50950081169</v>
      </c>
      <c r="W422">
        <v>7200</v>
      </c>
      <c r="X422" t="s">
        <v>409</v>
      </c>
      <c r="Y422" t="s">
        <v>410</v>
      </c>
      <c r="Z422" t="s">
        <v>410</v>
      </c>
      <c r="AA422" t="s">
        <v>411</v>
      </c>
      <c r="AB422" t="s">
        <v>412</v>
      </c>
      <c r="AC422" t="s">
        <v>411</v>
      </c>
      <c r="AD422">
        <v>46104</v>
      </c>
      <c r="AE422">
        <v>46160</v>
      </c>
      <c r="AF422">
        <v>46104</v>
      </c>
      <c r="AG422" t="s">
        <v>590</v>
      </c>
      <c r="AH422">
        <v>6150884</v>
      </c>
      <c r="AI422">
        <v>46100</v>
      </c>
      <c r="AJ422">
        <v>46101</v>
      </c>
      <c r="AK422">
        <v>7200</v>
      </c>
      <c r="AL422" t="s">
        <v>396</v>
      </c>
      <c r="AM422" t="s">
        <v>1862</v>
      </c>
      <c r="AN422">
        <v>46101</v>
      </c>
      <c r="AO422">
        <v>46101.454467592594</v>
      </c>
      <c r="AP422" t="s">
        <v>51</v>
      </c>
      <c r="AQ422">
        <v>5.6910000000000002E-2</v>
      </c>
      <c r="AR422">
        <v>409.75</v>
      </c>
      <c r="AS422" t="s">
        <v>51</v>
      </c>
      <c r="AT422">
        <v>409.75</v>
      </c>
      <c r="AU422" t="s">
        <v>415</v>
      </c>
      <c r="AV422" t="s">
        <v>772</v>
      </c>
      <c r="AW422" t="s">
        <v>1665</v>
      </c>
      <c r="AX422">
        <v>46107</v>
      </c>
      <c r="AY422">
        <v>46156</v>
      </c>
      <c r="AZ422" t="s">
        <v>1742</v>
      </c>
      <c r="BA422" t="s">
        <v>560</v>
      </c>
      <c r="BB422" t="s">
        <v>1743</v>
      </c>
      <c r="BC422">
        <v>900</v>
      </c>
      <c r="BD422" t="s">
        <v>521</v>
      </c>
      <c r="BE422">
        <v>3.0865999999999998</v>
      </c>
      <c r="BF422">
        <v>1.4166000000000001</v>
      </c>
      <c r="BG422" t="s">
        <v>522</v>
      </c>
      <c r="BH422">
        <v>395</v>
      </c>
      <c r="BI422">
        <v>295</v>
      </c>
      <c r="BJ422">
        <v>150</v>
      </c>
      <c r="BK422">
        <v>8</v>
      </c>
      <c r="BL422" t="s">
        <v>521</v>
      </c>
      <c r="BM422">
        <v>32.692799999999998</v>
      </c>
      <c r="BN422">
        <v>11.332800000000001</v>
      </c>
      <c r="BO422">
        <v>32.692799999999998</v>
      </c>
      <c r="BP422" t="s">
        <v>522</v>
      </c>
      <c r="BQ422">
        <v>800</v>
      </c>
      <c r="BR422">
        <v>300</v>
      </c>
      <c r="BS422">
        <v>760</v>
      </c>
      <c r="BT422">
        <v>1</v>
      </c>
      <c r="BU422">
        <v>0</v>
      </c>
      <c r="BV422">
        <v>1</v>
      </c>
      <c r="BW422">
        <v>8</v>
      </c>
      <c r="BX422">
        <v>0</v>
      </c>
      <c r="BY422">
        <v>8</v>
      </c>
      <c r="BZ422">
        <v>7200</v>
      </c>
      <c r="CA422">
        <v>0</v>
      </c>
      <c r="CB422">
        <v>7200</v>
      </c>
      <c r="CC422">
        <v>11.332800000000001</v>
      </c>
      <c r="CD422" t="s">
        <v>700</v>
      </c>
      <c r="CE422" t="s">
        <v>701</v>
      </c>
      <c r="CG422" t="s">
        <v>421</v>
      </c>
      <c r="CN422" t="str">
        <v>M46</v>
      </c>
      <c r="CO422" t="str">
        <v>1123-1060052EN</v>
      </c>
      <c r="CP422" t="str">
        <v>MSCU5287590</v>
      </c>
      <c r="CQ422" s="23">
        <v>637.71168</v>
      </c>
      <c r="CR422" s="25">
        <f t="shared" si="18"/>
        <v>5.5390727541799578E-2</v>
      </c>
      <c r="CS422" s="21">
        <f t="shared" si="19"/>
        <v>138.47681885449896</v>
      </c>
    </row>
    <row r="423" spans="2:97" x14ac:dyDescent="0.35">
      <c r="B423" t="s">
        <v>3497</v>
      </c>
      <c r="C423" t="s">
        <v>1863</v>
      </c>
      <c r="D423" t="s">
        <v>395</v>
      </c>
      <c r="E423" t="s">
        <v>395</v>
      </c>
      <c r="F423" t="s">
        <v>396</v>
      </c>
      <c r="G423" t="s">
        <v>397</v>
      </c>
      <c r="H423" t="s">
        <v>398</v>
      </c>
      <c r="I423" t="s">
        <v>399</v>
      </c>
      <c r="J423" t="s">
        <v>400</v>
      </c>
      <c r="K423" t="s">
        <v>515</v>
      </c>
      <c r="L423" t="s">
        <v>585</v>
      </c>
      <c r="M423" t="s">
        <v>403</v>
      </c>
      <c r="N423">
        <v>1</v>
      </c>
      <c r="O423">
        <v>1</v>
      </c>
      <c r="P423" t="s">
        <v>1864</v>
      </c>
      <c r="Q423" t="s">
        <v>424</v>
      </c>
      <c r="R423" t="s">
        <v>691</v>
      </c>
      <c r="S423" t="s">
        <v>1865</v>
      </c>
      <c r="T423" t="s">
        <v>408</v>
      </c>
      <c r="U423">
        <v>50950081174</v>
      </c>
      <c r="W423">
        <v>6000</v>
      </c>
      <c r="X423" t="s">
        <v>409</v>
      </c>
      <c r="Y423" t="s">
        <v>410</v>
      </c>
      <c r="Z423" t="s">
        <v>410</v>
      </c>
      <c r="AA423" t="s">
        <v>411</v>
      </c>
      <c r="AB423" t="s">
        <v>412</v>
      </c>
      <c r="AC423" t="s">
        <v>411</v>
      </c>
      <c r="AD423">
        <v>46097</v>
      </c>
      <c r="AE423">
        <v>46153</v>
      </c>
      <c r="AF423">
        <v>46104</v>
      </c>
      <c r="AG423" t="s">
        <v>590</v>
      </c>
      <c r="AH423">
        <v>6150885</v>
      </c>
      <c r="AI423">
        <v>46100</v>
      </c>
      <c r="AJ423">
        <v>46101</v>
      </c>
      <c r="AK423">
        <v>6000</v>
      </c>
      <c r="AL423" t="s">
        <v>396</v>
      </c>
      <c r="AM423" t="s">
        <v>1866</v>
      </c>
      <c r="AN423">
        <v>46101</v>
      </c>
      <c r="AO423">
        <v>46101.454467592594</v>
      </c>
      <c r="AP423" t="s">
        <v>51</v>
      </c>
      <c r="AQ423">
        <v>6.8239999999999995E-2</v>
      </c>
      <c r="AR423">
        <v>409.44</v>
      </c>
      <c r="AS423" t="s">
        <v>51</v>
      </c>
      <c r="AT423">
        <v>409.44</v>
      </c>
      <c r="AU423" t="s">
        <v>415</v>
      </c>
      <c r="AV423" t="s">
        <v>772</v>
      </c>
      <c r="AW423" t="s">
        <v>1665</v>
      </c>
      <c r="AX423">
        <v>46107</v>
      </c>
      <c r="AY423">
        <v>46156</v>
      </c>
      <c r="AZ423" t="s">
        <v>1742</v>
      </c>
      <c r="BA423" t="s">
        <v>560</v>
      </c>
      <c r="BB423" t="s">
        <v>1743</v>
      </c>
      <c r="BC423">
        <v>750</v>
      </c>
      <c r="BD423" t="s">
        <v>521</v>
      </c>
      <c r="BE423">
        <v>3.2307999999999999</v>
      </c>
      <c r="BF423">
        <v>1.8008</v>
      </c>
      <c r="BG423" t="s">
        <v>522</v>
      </c>
      <c r="BH423">
        <v>395</v>
      </c>
      <c r="BI423">
        <v>295</v>
      </c>
      <c r="BJ423">
        <v>150</v>
      </c>
      <c r="BK423">
        <v>8</v>
      </c>
      <c r="BL423" t="s">
        <v>521</v>
      </c>
      <c r="BM423">
        <v>33.845999999999997</v>
      </c>
      <c r="BN423">
        <v>14.406000000000001</v>
      </c>
      <c r="BO423">
        <v>33.845999999999997</v>
      </c>
      <c r="BP423" t="s">
        <v>522</v>
      </c>
      <c r="BQ423">
        <v>800</v>
      </c>
      <c r="BR423">
        <v>300</v>
      </c>
      <c r="BS423">
        <v>760</v>
      </c>
      <c r="BT423">
        <v>1</v>
      </c>
      <c r="BU423">
        <v>0</v>
      </c>
      <c r="BV423">
        <v>1</v>
      </c>
      <c r="BW423">
        <v>8</v>
      </c>
      <c r="BX423">
        <v>0</v>
      </c>
      <c r="BY423">
        <v>8</v>
      </c>
      <c r="BZ423">
        <v>6000</v>
      </c>
      <c r="CA423">
        <v>0</v>
      </c>
      <c r="CB423">
        <v>6000</v>
      </c>
      <c r="CC423">
        <v>14.406000000000001</v>
      </c>
      <c r="CD423" t="s">
        <v>700</v>
      </c>
      <c r="CE423" t="s">
        <v>1336</v>
      </c>
      <c r="CG423" t="s">
        <v>421</v>
      </c>
      <c r="CN423" t="str">
        <v>M01</v>
      </c>
      <c r="CO423" t="str">
        <v>1999-1010399E1</v>
      </c>
      <c r="CP423" t="str">
        <v>MSCU5287590</v>
      </c>
      <c r="CQ423" s="23">
        <v>417.88</v>
      </c>
      <c r="CR423" s="25">
        <f t="shared" si="18"/>
        <v>3.6296461161205655E-2</v>
      </c>
      <c r="CS423" s="21">
        <f t="shared" si="19"/>
        <v>90.741152903014139</v>
      </c>
    </row>
    <row r="424" spans="2:97" x14ac:dyDescent="0.35">
      <c r="B424" t="s">
        <v>3497</v>
      </c>
      <c r="C424" t="s">
        <v>1867</v>
      </c>
      <c r="D424" t="s">
        <v>395</v>
      </c>
      <c r="E424" t="s">
        <v>395</v>
      </c>
      <c r="F424" t="s">
        <v>396</v>
      </c>
      <c r="G424" t="s">
        <v>397</v>
      </c>
      <c r="H424" t="s">
        <v>398</v>
      </c>
      <c r="I424" t="s">
        <v>399</v>
      </c>
      <c r="J424" t="s">
        <v>400</v>
      </c>
      <c r="K424" t="s">
        <v>515</v>
      </c>
      <c r="L424" t="s">
        <v>585</v>
      </c>
      <c r="M424" t="s">
        <v>403</v>
      </c>
      <c r="N424">
        <v>1</v>
      </c>
      <c r="O424">
        <v>1</v>
      </c>
      <c r="P424" t="s">
        <v>1864</v>
      </c>
      <c r="Q424" t="s">
        <v>424</v>
      </c>
      <c r="R424" t="s">
        <v>691</v>
      </c>
      <c r="S424" t="s">
        <v>1865</v>
      </c>
      <c r="T424" t="s">
        <v>408</v>
      </c>
      <c r="U424">
        <v>50950081183</v>
      </c>
      <c r="W424">
        <v>12000</v>
      </c>
      <c r="X424" t="s">
        <v>409</v>
      </c>
      <c r="Y424" t="s">
        <v>410</v>
      </c>
      <c r="Z424" t="s">
        <v>410</v>
      </c>
      <c r="AA424" t="s">
        <v>411</v>
      </c>
      <c r="AB424" t="s">
        <v>412</v>
      </c>
      <c r="AC424" t="s">
        <v>411</v>
      </c>
      <c r="AD424">
        <v>46104</v>
      </c>
      <c r="AE424">
        <v>46160</v>
      </c>
      <c r="AF424">
        <v>46104</v>
      </c>
      <c r="AG424" t="s">
        <v>590</v>
      </c>
      <c r="AH424">
        <v>6150886</v>
      </c>
      <c r="AI424">
        <v>46100</v>
      </c>
      <c r="AJ424">
        <v>46101</v>
      </c>
      <c r="AK424">
        <v>12000</v>
      </c>
      <c r="AL424" t="s">
        <v>396</v>
      </c>
      <c r="AM424" t="s">
        <v>1868</v>
      </c>
      <c r="AN424">
        <v>46101</v>
      </c>
      <c r="AO424">
        <v>46101.454467592594</v>
      </c>
      <c r="AP424" t="s">
        <v>51</v>
      </c>
      <c r="AQ424">
        <v>6.8239999999999995E-2</v>
      </c>
      <c r="AR424">
        <v>818.88</v>
      </c>
      <c r="AS424" t="s">
        <v>51</v>
      </c>
      <c r="AT424">
        <v>818.88</v>
      </c>
      <c r="AU424" t="s">
        <v>415</v>
      </c>
      <c r="AV424" t="s">
        <v>772</v>
      </c>
      <c r="AW424" t="s">
        <v>1665</v>
      </c>
      <c r="AX424">
        <v>46107</v>
      </c>
      <c r="AY424">
        <v>46156</v>
      </c>
      <c r="AZ424" t="s">
        <v>1742</v>
      </c>
      <c r="BA424" t="s">
        <v>560</v>
      </c>
      <c r="BB424" t="s">
        <v>1743</v>
      </c>
      <c r="BC424">
        <v>750</v>
      </c>
      <c r="BD424" t="s">
        <v>521</v>
      </c>
      <c r="BE424">
        <v>3.2307999999999999</v>
      </c>
      <c r="BF424">
        <v>1.8008</v>
      </c>
      <c r="BG424" t="s">
        <v>522</v>
      </c>
      <c r="BH424">
        <v>395</v>
      </c>
      <c r="BI424">
        <v>295</v>
      </c>
      <c r="BJ424">
        <v>150</v>
      </c>
      <c r="BK424">
        <v>8</v>
      </c>
      <c r="BL424" t="s">
        <v>521</v>
      </c>
      <c r="BM424">
        <v>33.846400000000003</v>
      </c>
      <c r="BN424">
        <v>14.4064</v>
      </c>
      <c r="BO424">
        <v>67.691999999999993</v>
      </c>
      <c r="BP424" t="s">
        <v>522</v>
      </c>
      <c r="BQ424">
        <v>800</v>
      </c>
      <c r="BR424">
        <v>300</v>
      </c>
      <c r="BS424">
        <v>760</v>
      </c>
      <c r="BT424">
        <v>2</v>
      </c>
      <c r="BU424">
        <v>0</v>
      </c>
      <c r="BV424">
        <v>2</v>
      </c>
      <c r="BW424">
        <v>16</v>
      </c>
      <c r="BX424">
        <v>0</v>
      </c>
      <c r="BY424">
        <v>16</v>
      </c>
      <c r="BZ424">
        <v>12000</v>
      </c>
      <c r="CA424">
        <v>0</v>
      </c>
      <c r="CB424">
        <v>12000</v>
      </c>
      <c r="CC424">
        <v>28.812000000000001</v>
      </c>
      <c r="CD424" t="s">
        <v>700</v>
      </c>
      <c r="CE424" t="s">
        <v>1336</v>
      </c>
      <c r="CG424" t="s">
        <v>421</v>
      </c>
      <c r="CN424" t="str">
        <v>M01</v>
      </c>
      <c r="CO424" t="str">
        <v>1200-1030990EN0002</v>
      </c>
      <c r="CP424" t="str">
        <v>MSCU5287590</v>
      </c>
      <c r="CQ424" s="23">
        <v>288.08640000000003</v>
      </c>
      <c r="CR424" s="25">
        <f t="shared" si="18"/>
        <v>2.5022774070717808E-2</v>
      </c>
      <c r="CS424" s="21">
        <f t="shared" si="19"/>
        <v>62.556935176794518</v>
      </c>
    </row>
    <row r="425" spans="2:97" x14ac:dyDescent="0.35">
      <c r="B425" t="s">
        <v>3497</v>
      </c>
      <c r="C425" t="s">
        <v>1869</v>
      </c>
      <c r="D425" t="s">
        <v>395</v>
      </c>
      <c r="E425" t="s">
        <v>395</v>
      </c>
      <c r="F425" t="s">
        <v>396</v>
      </c>
      <c r="G425" t="s">
        <v>397</v>
      </c>
      <c r="H425" t="s">
        <v>398</v>
      </c>
      <c r="I425" t="s">
        <v>399</v>
      </c>
      <c r="J425" t="s">
        <v>400</v>
      </c>
      <c r="K425" t="s">
        <v>515</v>
      </c>
      <c r="L425" t="s">
        <v>585</v>
      </c>
      <c r="M425" t="s">
        <v>403</v>
      </c>
      <c r="N425">
        <v>1</v>
      </c>
      <c r="O425">
        <v>1</v>
      </c>
      <c r="P425" t="s">
        <v>1333</v>
      </c>
      <c r="Q425" t="s">
        <v>424</v>
      </c>
      <c r="R425" t="s">
        <v>691</v>
      </c>
      <c r="S425" t="s">
        <v>1334</v>
      </c>
      <c r="T425" t="s">
        <v>408</v>
      </c>
      <c r="U425">
        <v>50950081184</v>
      </c>
      <c r="W425">
        <v>6000</v>
      </c>
      <c r="X425" t="s">
        <v>409</v>
      </c>
      <c r="Y425" t="s">
        <v>410</v>
      </c>
      <c r="Z425" t="s">
        <v>410</v>
      </c>
      <c r="AA425" t="s">
        <v>411</v>
      </c>
      <c r="AB425" t="s">
        <v>412</v>
      </c>
      <c r="AC425" t="s">
        <v>411</v>
      </c>
      <c r="AD425">
        <v>46097</v>
      </c>
      <c r="AE425">
        <v>46153</v>
      </c>
      <c r="AF425">
        <v>46104</v>
      </c>
      <c r="AG425" t="s">
        <v>590</v>
      </c>
      <c r="AH425">
        <v>6150887</v>
      </c>
      <c r="AI425">
        <v>46100</v>
      </c>
      <c r="AJ425">
        <v>46101</v>
      </c>
      <c r="AK425">
        <v>6000</v>
      </c>
      <c r="AL425" t="s">
        <v>396</v>
      </c>
      <c r="AM425" t="s">
        <v>1870</v>
      </c>
      <c r="AN425">
        <v>46101</v>
      </c>
      <c r="AO425">
        <v>46101.454467592594</v>
      </c>
      <c r="AP425" t="s">
        <v>51</v>
      </c>
      <c r="AQ425">
        <v>6.9720000000000004E-2</v>
      </c>
      <c r="AR425">
        <v>418.32</v>
      </c>
      <c r="AS425" t="s">
        <v>51</v>
      </c>
      <c r="AT425">
        <v>418.32</v>
      </c>
      <c r="AU425" t="s">
        <v>415</v>
      </c>
      <c r="AV425" t="s">
        <v>772</v>
      </c>
      <c r="AW425" t="s">
        <v>1665</v>
      </c>
      <c r="AX425">
        <v>46107</v>
      </c>
      <c r="AY425">
        <v>46156</v>
      </c>
      <c r="AZ425" t="s">
        <v>1742</v>
      </c>
      <c r="BA425" t="s">
        <v>560</v>
      </c>
      <c r="BB425" t="s">
        <v>1743</v>
      </c>
      <c r="BC425">
        <v>750</v>
      </c>
      <c r="BD425" t="s">
        <v>521</v>
      </c>
      <c r="BE425">
        <v>3.2120000000000002</v>
      </c>
      <c r="BF425">
        <v>1.782</v>
      </c>
      <c r="BG425" t="s">
        <v>522</v>
      </c>
      <c r="BH425">
        <v>395</v>
      </c>
      <c r="BI425">
        <v>295</v>
      </c>
      <c r="BJ425">
        <v>150</v>
      </c>
      <c r="BK425">
        <v>8</v>
      </c>
      <c r="BL425" t="s">
        <v>521</v>
      </c>
      <c r="BM425">
        <v>33.695999999999998</v>
      </c>
      <c r="BN425">
        <v>14.256</v>
      </c>
      <c r="BO425">
        <v>33.695999999999998</v>
      </c>
      <c r="BP425" t="s">
        <v>522</v>
      </c>
      <c r="BQ425">
        <v>800</v>
      </c>
      <c r="BR425">
        <v>300</v>
      </c>
      <c r="BS425">
        <v>760</v>
      </c>
      <c r="BT425">
        <v>1</v>
      </c>
      <c r="BU425">
        <v>0</v>
      </c>
      <c r="BV425">
        <v>1</v>
      </c>
      <c r="BW425">
        <v>8</v>
      </c>
      <c r="BX425">
        <v>0</v>
      </c>
      <c r="BY425">
        <v>8</v>
      </c>
      <c r="BZ425">
        <v>6000</v>
      </c>
      <c r="CA425">
        <v>0</v>
      </c>
      <c r="CB425">
        <v>6000</v>
      </c>
      <c r="CC425">
        <v>14.256</v>
      </c>
      <c r="CD425" t="s">
        <v>700</v>
      </c>
      <c r="CE425" t="s">
        <v>1336</v>
      </c>
      <c r="CG425" t="s">
        <v>421</v>
      </c>
      <c r="CN425" t="str">
        <v>M19</v>
      </c>
      <c r="CO425" t="str">
        <v>1275-5YY0696EN</v>
      </c>
      <c r="CP425" t="str">
        <v>MSCU5287590</v>
      </c>
      <c r="CQ425" s="23">
        <v>560.29399999999998</v>
      </c>
      <c r="CR425" s="25">
        <f t="shared" si="18"/>
        <v>4.8666338206797548E-2</v>
      </c>
      <c r="CS425" s="21">
        <f t="shared" si="19"/>
        <v>121.66584551699387</v>
      </c>
    </row>
    <row r="426" spans="2:97" x14ac:dyDescent="0.35">
      <c r="B426" t="s">
        <v>299</v>
      </c>
      <c r="C426" t="s">
        <v>1871</v>
      </c>
      <c r="D426" t="s">
        <v>395</v>
      </c>
      <c r="E426" t="s">
        <v>395</v>
      </c>
      <c r="F426" t="s">
        <v>396</v>
      </c>
      <c r="G426" t="s">
        <v>397</v>
      </c>
      <c r="H426" t="s">
        <v>532</v>
      </c>
      <c r="I426" t="s">
        <v>399</v>
      </c>
      <c r="J426" t="s">
        <v>400</v>
      </c>
      <c r="K426" t="s">
        <v>515</v>
      </c>
      <c r="L426" t="s">
        <v>585</v>
      </c>
      <c r="M426" t="s">
        <v>403</v>
      </c>
      <c r="N426">
        <v>1</v>
      </c>
      <c r="O426">
        <v>1</v>
      </c>
      <c r="P426" t="s">
        <v>1857</v>
      </c>
      <c r="Q426" t="s">
        <v>405</v>
      </c>
      <c r="R426" t="s">
        <v>1858</v>
      </c>
      <c r="S426" t="s">
        <v>1859</v>
      </c>
      <c r="T426" t="s">
        <v>408</v>
      </c>
      <c r="U426">
        <v>50950081190</v>
      </c>
      <c r="W426">
        <v>40000</v>
      </c>
      <c r="X426" t="s">
        <v>409</v>
      </c>
      <c r="Y426" t="s">
        <v>410</v>
      </c>
      <c r="Z426" t="s">
        <v>410</v>
      </c>
      <c r="AA426" t="s">
        <v>411</v>
      </c>
      <c r="AB426" t="s">
        <v>412</v>
      </c>
      <c r="AC426" t="s">
        <v>411</v>
      </c>
      <c r="AD426">
        <v>46104</v>
      </c>
      <c r="AE426">
        <v>46160</v>
      </c>
      <c r="AF426">
        <v>46104</v>
      </c>
      <c r="AG426" t="s">
        <v>590</v>
      </c>
      <c r="AH426">
        <v>6150888</v>
      </c>
      <c r="AI426">
        <v>46100</v>
      </c>
      <c r="AJ426">
        <v>46101</v>
      </c>
      <c r="AK426">
        <v>40000</v>
      </c>
      <c r="AL426" t="s">
        <v>396</v>
      </c>
      <c r="AM426" t="s">
        <v>1872</v>
      </c>
      <c r="AN426">
        <v>46101</v>
      </c>
      <c r="AO426">
        <v>46101.454467592594</v>
      </c>
      <c r="AP426" t="s">
        <v>51</v>
      </c>
      <c r="AQ426">
        <v>1.9290000000000002E-2</v>
      </c>
      <c r="AR426">
        <v>771.6</v>
      </c>
      <c r="AS426" t="s">
        <v>51</v>
      </c>
      <c r="AT426">
        <v>771.6</v>
      </c>
      <c r="AU426" t="s">
        <v>415</v>
      </c>
      <c r="AV426" t="s">
        <v>772</v>
      </c>
      <c r="AW426" t="s">
        <v>1665</v>
      </c>
      <c r="AX426">
        <v>46107</v>
      </c>
      <c r="AY426">
        <v>46156</v>
      </c>
      <c r="AZ426" t="s">
        <v>1742</v>
      </c>
      <c r="BA426" t="s">
        <v>560</v>
      </c>
      <c r="BB426" t="s">
        <v>1743</v>
      </c>
      <c r="BC426">
        <v>2000</v>
      </c>
      <c r="BD426" t="s">
        <v>521</v>
      </c>
      <c r="BE426">
        <v>5.5910000000000002</v>
      </c>
      <c r="BF426">
        <v>4.8940000000000001</v>
      </c>
      <c r="BG426" t="s">
        <v>522</v>
      </c>
      <c r="BH426">
        <v>395</v>
      </c>
      <c r="BI426">
        <v>295</v>
      </c>
      <c r="BJ426">
        <v>174</v>
      </c>
      <c r="BK426">
        <v>6</v>
      </c>
      <c r="BL426" t="s">
        <v>521</v>
      </c>
      <c r="BM426">
        <v>41.545999999999999</v>
      </c>
      <c r="BN426">
        <v>29.364000000000001</v>
      </c>
      <c r="BO426">
        <v>143.82</v>
      </c>
      <c r="BP426" t="s">
        <v>522</v>
      </c>
      <c r="BQ426">
        <v>800</v>
      </c>
      <c r="BR426">
        <v>300</v>
      </c>
      <c r="BS426">
        <v>665</v>
      </c>
      <c r="BT426">
        <v>3</v>
      </c>
      <c r="BU426">
        <v>1</v>
      </c>
      <c r="BV426">
        <v>4</v>
      </c>
      <c r="BW426">
        <v>20</v>
      </c>
      <c r="BX426">
        <v>0</v>
      </c>
      <c r="BY426">
        <v>20</v>
      </c>
      <c r="BZ426">
        <v>36000</v>
      </c>
      <c r="CA426">
        <v>4000</v>
      </c>
      <c r="CB426">
        <v>40000</v>
      </c>
      <c r="CC426">
        <v>97.88</v>
      </c>
      <c r="CD426" t="s">
        <v>1809</v>
      </c>
      <c r="CE426" t="s">
        <v>1810</v>
      </c>
      <c r="CG426" t="s">
        <v>421</v>
      </c>
      <c r="CN426" t="str">
        <v>M45</v>
      </c>
      <c r="CO426" t="str">
        <v>1210-10C0133EN</v>
      </c>
      <c r="CP426" t="str">
        <v>MSCU5287590</v>
      </c>
      <c r="CQ426" s="23">
        <v>283.06</v>
      </c>
      <c r="CR426" s="25">
        <f t="shared" si="18"/>
        <v>2.4586188131259862E-2</v>
      </c>
      <c r="CS426" s="21">
        <f t="shared" si="19"/>
        <v>61.465470328149657</v>
      </c>
    </row>
    <row r="427" spans="2:97" x14ac:dyDescent="0.35">
      <c r="B427" t="s">
        <v>3497</v>
      </c>
      <c r="C427" t="s">
        <v>1873</v>
      </c>
      <c r="D427" t="s">
        <v>395</v>
      </c>
      <c r="E427" t="s">
        <v>395</v>
      </c>
      <c r="F427" t="s">
        <v>396</v>
      </c>
      <c r="G427" t="s">
        <v>397</v>
      </c>
      <c r="H427" t="s">
        <v>398</v>
      </c>
      <c r="I427" t="s">
        <v>399</v>
      </c>
      <c r="J427" t="s">
        <v>400</v>
      </c>
      <c r="K427" t="s">
        <v>515</v>
      </c>
      <c r="L427" t="s">
        <v>585</v>
      </c>
      <c r="M427" t="s">
        <v>403</v>
      </c>
      <c r="N427">
        <v>1</v>
      </c>
      <c r="O427">
        <v>1</v>
      </c>
      <c r="P427" t="s">
        <v>697</v>
      </c>
      <c r="Q427" t="s">
        <v>424</v>
      </c>
      <c r="R427" t="s">
        <v>691</v>
      </c>
      <c r="S427" t="s">
        <v>698</v>
      </c>
      <c r="T427" t="s">
        <v>408</v>
      </c>
      <c r="U427">
        <v>50950081195</v>
      </c>
      <c r="W427">
        <v>7200</v>
      </c>
      <c r="X427" t="s">
        <v>409</v>
      </c>
      <c r="Y427" t="s">
        <v>410</v>
      </c>
      <c r="Z427" t="s">
        <v>410</v>
      </c>
      <c r="AA427" t="s">
        <v>411</v>
      </c>
      <c r="AB427" t="s">
        <v>412</v>
      </c>
      <c r="AC427" t="s">
        <v>411</v>
      </c>
      <c r="AD427">
        <v>46097</v>
      </c>
      <c r="AE427">
        <v>46153</v>
      </c>
      <c r="AF427">
        <v>46104</v>
      </c>
      <c r="AG427" t="s">
        <v>590</v>
      </c>
      <c r="AH427">
        <v>6150889</v>
      </c>
      <c r="AI427">
        <v>46100</v>
      </c>
      <c r="AJ427">
        <v>46101</v>
      </c>
      <c r="AK427">
        <v>7200</v>
      </c>
      <c r="AL427" t="s">
        <v>396</v>
      </c>
      <c r="AM427" t="s">
        <v>1874</v>
      </c>
      <c r="AN427">
        <v>46101</v>
      </c>
      <c r="AO427">
        <v>46101.454467592594</v>
      </c>
      <c r="AP427" t="s">
        <v>51</v>
      </c>
      <c r="AQ427">
        <v>5.6910000000000002E-2</v>
      </c>
      <c r="AR427">
        <v>409.75</v>
      </c>
      <c r="AS427" t="s">
        <v>51</v>
      </c>
      <c r="AT427">
        <v>409.75</v>
      </c>
      <c r="AU427" t="s">
        <v>415</v>
      </c>
      <c r="AV427" t="s">
        <v>772</v>
      </c>
      <c r="AW427" t="s">
        <v>1665</v>
      </c>
      <c r="AX427">
        <v>46107</v>
      </c>
      <c r="AY427">
        <v>46156</v>
      </c>
      <c r="AZ427" t="s">
        <v>1742</v>
      </c>
      <c r="BA427" t="s">
        <v>560</v>
      </c>
      <c r="BB427" t="s">
        <v>1743</v>
      </c>
      <c r="BC427">
        <v>900</v>
      </c>
      <c r="BD427" t="s">
        <v>521</v>
      </c>
      <c r="BE427">
        <v>3.0865999999999998</v>
      </c>
      <c r="BF427">
        <v>1.4166000000000001</v>
      </c>
      <c r="BG427" t="s">
        <v>522</v>
      </c>
      <c r="BH427">
        <v>395</v>
      </c>
      <c r="BI427">
        <v>295</v>
      </c>
      <c r="BJ427">
        <v>150</v>
      </c>
      <c r="BK427">
        <v>8</v>
      </c>
      <c r="BL427" t="s">
        <v>521</v>
      </c>
      <c r="BM427">
        <v>32.692799999999998</v>
      </c>
      <c r="BN427">
        <v>11.332800000000001</v>
      </c>
      <c r="BO427">
        <v>32.692799999999998</v>
      </c>
      <c r="BP427" t="s">
        <v>522</v>
      </c>
      <c r="BQ427">
        <v>800</v>
      </c>
      <c r="BR427">
        <v>300</v>
      </c>
      <c r="BS427">
        <v>760</v>
      </c>
      <c r="BT427">
        <v>1</v>
      </c>
      <c r="BU427">
        <v>0</v>
      </c>
      <c r="BV427">
        <v>1</v>
      </c>
      <c r="BW427">
        <v>8</v>
      </c>
      <c r="BX427">
        <v>0</v>
      </c>
      <c r="BY427">
        <v>8</v>
      </c>
      <c r="BZ427">
        <v>7200</v>
      </c>
      <c r="CA427">
        <v>0</v>
      </c>
      <c r="CB427">
        <v>7200</v>
      </c>
      <c r="CC427">
        <v>11.332800000000001</v>
      </c>
      <c r="CD427" t="s">
        <v>700</v>
      </c>
      <c r="CE427" t="s">
        <v>701</v>
      </c>
      <c r="CG427" t="s">
        <v>421</v>
      </c>
      <c r="CN427" t="str">
        <v>M19</v>
      </c>
      <c r="CO427" t="str">
        <v>1307-5YY0182EN</v>
      </c>
      <c r="CP427" t="str">
        <v>MSCU5287590</v>
      </c>
      <c r="CQ427" s="23">
        <v>419.688064</v>
      </c>
      <c r="CR427" s="25">
        <f t="shared" si="18"/>
        <v>3.6453507023063061E-2</v>
      </c>
      <c r="CS427" s="21">
        <f t="shared" si="19"/>
        <v>91.133767557657649</v>
      </c>
    </row>
    <row r="428" spans="2:97" x14ac:dyDescent="0.35">
      <c r="B428" t="s">
        <v>3497</v>
      </c>
      <c r="C428" t="s">
        <v>1875</v>
      </c>
      <c r="D428" t="s">
        <v>395</v>
      </c>
      <c r="E428" t="s">
        <v>395</v>
      </c>
      <c r="F428" t="s">
        <v>396</v>
      </c>
      <c r="G428" t="s">
        <v>397</v>
      </c>
      <c r="H428" t="s">
        <v>398</v>
      </c>
      <c r="I428" t="s">
        <v>399</v>
      </c>
      <c r="J428" t="s">
        <v>400</v>
      </c>
      <c r="K428" t="s">
        <v>515</v>
      </c>
      <c r="L428" t="s">
        <v>585</v>
      </c>
      <c r="M428" t="s">
        <v>403</v>
      </c>
      <c r="N428">
        <v>1</v>
      </c>
      <c r="O428">
        <v>1</v>
      </c>
      <c r="P428" t="s">
        <v>1333</v>
      </c>
      <c r="Q428" t="s">
        <v>424</v>
      </c>
      <c r="R428" t="s">
        <v>691</v>
      </c>
      <c r="S428" t="s">
        <v>1334</v>
      </c>
      <c r="T428" t="s">
        <v>408</v>
      </c>
      <c r="U428">
        <v>50950081196</v>
      </c>
      <c r="W428">
        <v>6000</v>
      </c>
      <c r="X428" t="s">
        <v>409</v>
      </c>
      <c r="Y428" t="s">
        <v>410</v>
      </c>
      <c r="Z428" t="s">
        <v>410</v>
      </c>
      <c r="AA428" t="s">
        <v>411</v>
      </c>
      <c r="AB428" t="s">
        <v>412</v>
      </c>
      <c r="AC428" t="s">
        <v>411</v>
      </c>
      <c r="AD428">
        <v>46104</v>
      </c>
      <c r="AE428">
        <v>46160</v>
      </c>
      <c r="AF428">
        <v>46104</v>
      </c>
      <c r="AG428" t="s">
        <v>590</v>
      </c>
      <c r="AH428">
        <v>6150890</v>
      </c>
      <c r="AI428">
        <v>46100</v>
      </c>
      <c r="AJ428">
        <v>46101</v>
      </c>
      <c r="AK428">
        <v>6000</v>
      </c>
      <c r="AL428" t="s">
        <v>396</v>
      </c>
      <c r="AM428" t="s">
        <v>1876</v>
      </c>
      <c r="AN428">
        <v>46101</v>
      </c>
      <c r="AO428">
        <v>46101.454467592594</v>
      </c>
      <c r="AP428" t="s">
        <v>51</v>
      </c>
      <c r="AQ428">
        <v>6.9720000000000004E-2</v>
      </c>
      <c r="AR428">
        <v>418.32</v>
      </c>
      <c r="AS428" t="s">
        <v>51</v>
      </c>
      <c r="AT428">
        <v>418.32</v>
      </c>
      <c r="AU428" t="s">
        <v>415</v>
      </c>
      <c r="AV428" t="s">
        <v>772</v>
      </c>
      <c r="AW428" t="s">
        <v>1665</v>
      </c>
      <c r="AX428">
        <v>46107</v>
      </c>
      <c r="AY428">
        <v>46156</v>
      </c>
      <c r="AZ428" t="s">
        <v>1742</v>
      </c>
      <c r="BA428" t="s">
        <v>560</v>
      </c>
      <c r="BB428" t="s">
        <v>1743</v>
      </c>
      <c r="BC428">
        <v>750</v>
      </c>
      <c r="BD428" t="s">
        <v>521</v>
      </c>
      <c r="BE428">
        <v>3.2120000000000002</v>
      </c>
      <c r="BF428">
        <v>1.782</v>
      </c>
      <c r="BG428" t="s">
        <v>522</v>
      </c>
      <c r="BH428">
        <v>395</v>
      </c>
      <c r="BI428">
        <v>295</v>
      </c>
      <c r="BJ428">
        <v>150</v>
      </c>
      <c r="BK428">
        <v>8</v>
      </c>
      <c r="BL428" t="s">
        <v>521</v>
      </c>
      <c r="BM428">
        <v>33.695999999999998</v>
      </c>
      <c r="BN428">
        <v>14.256</v>
      </c>
      <c r="BO428">
        <v>33.695999999999998</v>
      </c>
      <c r="BP428" t="s">
        <v>522</v>
      </c>
      <c r="BQ428">
        <v>800</v>
      </c>
      <c r="BR428">
        <v>300</v>
      </c>
      <c r="BS428">
        <v>760</v>
      </c>
      <c r="BT428">
        <v>1</v>
      </c>
      <c r="BU428">
        <v>0</v>
      </c>
      <c r="BV428">
        <v>1</v>
      </c>
      <c r="BW428">
        <v>8</v>
      </c>
      <c r="BX428">
        <v>0</v>
      </c>
      <c r="BY428">
        <v>8</v>
      </c>
      <c r="BZ428">
        <v>6000</v>
      </c>
      <c r="CA428">
        <v>0</v>
      </c>
      <c r="CB428">
        <v>6000</v>
      </c>
      <c r="CC428">
        <v>14.256</v>
      </c>
      <c r="CD428" t="s">
        <v>700</v>
      </c>
      <c r="CE428" t="s">
        <v>1336</v>
      </c>
      <c r="CG428" t="s">
        <v>421</v>
      </c>
      <c r="CN428" t="str">
        <v>M45</v>
      </c>
      <c r="CO428" t="str">
        <v>1202-12C0002EN</v>
      </c>
      <c r="CP428" t="str">
        <v>MSCU5287590</v>
      </c>
      <c r="CQ428" s="23">
        <v>31.04</v>
      </c>
      <c r="CR428" s="25">
        <f t="shared" si="18"/>
        <v>2.6960901561305243E-3</v>
      </c>
      <c r="CS428" s="21">
        <f t="shared" si="19"/>
        <v>6.7402253903263105</v>
      </c>
    </row>
    <row r="429" spans="2:97" x14ac:dyDescent="0.35">
      <c r="B429" t="s">
        <v>299</v>
      </c>
      <c r="C429" t="s">
        <v>1877</v>
      </c>
      <c r="D429" t="s">
        <v>718</v>
      </c>
      <c r="E429" t="s">
        <v>395</v>
      </c>
      <c r="F429" t="s">
        <v>396</v>
      </c>
      <c r="G429" t="s">
        <v>397</v>
      </c>
      <c r="H429" t="s">
        <v>532</v>
      </c>
      <c r="I429" t="s">
        <v>399</v>
      </c>
      <c r="J429" t="s">
        <v>400</v>
      </c>
      <c r="K429" t="s">
        <v>515</v>
      </c>
      <c r="L429" t="s">
        <v>585</v>
      </c>
      <c r="M429" t="s">
        <v>403</v>
      </c>
      <c r="N429">
        <v>1</v>
      </c>
      <c r="O429">
        <v>1</v>
      </c>
      <c r="P429" t="s">
        <v>719</v>
      </c>
      <c r="Q429" t="s">
        <v>645</v>
      </c>
      <c r="R429" t="s">
        <v>720</v>
      </c>
      <c r="S429" t="s">
        <v>721</v>
      </c>
      <c r="T429" t="s">
        <v>408</v>
      </c>
      <c r="U429">
        <v>50950081215</v>
      </c>
      <c r="V429">
        <v>8191162</v>
      </c>
      <c r="W429">
        <v>12000</v>
      </c>
      <c r="X429" t="s">
        <v>409</v>
      </c>
      <c r="Y429" t="s">
        <v>410</v>
      </c>
      <c r="Z429" t="s">
        <v>410</v>
      </c>
      <c r="AA429" t="s">
        <v>411</v>
      </c>
      <c r="AB429" t="s">
        <v>412</v>
      </c>
      <c r="AC429" t="s">
        <v>411</v>
      </c>
      <c r="AD429">
        <v>46097</v>
      </c>
      <c r="AE429">
        <v>46153</v>
      </c>
      <c r="AF429">
        <v>46104</v>
      </c>
      <c r="AG429" t="s">
        <v>590</v>
      </c>
      <c r="AH429">
        <v>6150891</v>
      </c>
      <c r="AI429">
        <v>46100</v>
      </c>
      <c r="AJ429">
        <v>46101</v>
      </c>
      <c r="AK429">
        <v>12000</v>
      </c>
      <c r="AL429" t="s">
        <v>396</v>
      </c>
      <c r="AM429" t="s">
        <v>1878</v>
      </c>
      <c r="AN429">
        <v>46101</v>
      </c>
      <c r="AO429">
        <v>46101.454467592594</v>
      </c>
      <c r="AP429" t="s">
        <v>51</v>
      </c>
      <c r="AQ429">
        <v>1.9050000000000001E-2</v>
      </c>
      <c r="AR429">
        <v>228.6</v>
      </c>
      <c r="AS429" t="s">
        <v>51</v>
      </c>
      <c r="AT429">
        <v>228.6</v>
      </c>
      <c r="AU429" t="s">
        <v>415</v>
      </c>
      <c r="AV429" t="s">
        <v>772</v>
      </c>
      <c r="AW429" t="s">
        <v>1665</v>
      </c>
      <c r="AX429">
        <v>46107</v>
      </c>
      <c r="AY429">
        <v>46156</v>
      </c>
      <c r="AZ429" t="s">
        <v>1742</v>
      </c>
      <c r="BA429" t="s">
        <v>560</v>
      </c>
      <c r="BB429" t="s">
        <v>1743</v>
      </c>
      <c r="BC429">
        <v>3000</v>
      </c>
      <c r="BD429" t="s">
        <v>521</v>
      </c>
      <c r="BE429">
        <v>7.9960000000000004</v>
      </c>
      <c r="BF429">
        <v>7.11</v>
      </c>
      <c r="BG429" t="s">
        <v>522</v>
      </c>
      <c r="BH429">
        <v>395</v>
      </c>
      <c r="BI429">
        <v>295</v>
      </c>
      <c r="BJ429">
        <v>210</v>
      </c>
      <c r="BK429">
        <v>32</v>
      </c>
      <c r="BL429" t="s">
        <v>521</v>
      </c>
      <c r="BM429">
        <v>56.984000000000002</v>
      </c>
      <c r="BN429">
        <v>28.44</v>
      </c>
      <c r="BO429">
        <v>56.984000000000002</v>
      </c>
      <c r="BP429" t="s">
        <v>522</v>
      </c>
      <c r="BQ429">
        <v>1200</v>
      </c>
      <c r="BR429">
        <v>800</v>
      </c>
      <c r="BS429">
        <v>1006</v>
      </c>
      <c r="BT429">
        <v>0</v>
      </c>
      <c r="BU429">
        <v>1</v>
      </c>
      <c r="BV429">
        <v>1</v>
      </c>
      <c r="BW429">
        <v>4</v>
      </c>
      <c r="BX429">
        <v>0</v>
      </c>
      <c r="BY429">
        <v>4</v>
      </c>
      <c r="BZ429">
        <v>0</v>
      </c>
      <c r="CA429">
        <v>12000</v>
      </c>
      <c r="CB429">
        <v>12000</v>
      </c>
      <c r="CC429">
        <v>28.44</v>
      </c>
      <c r="CD429" t="s">
        <v>723</v>
      </c>
      <c r="CE429" t="s">
        <v>724</v>
      </c>
      <c r="CG429" t="s">
        <v>421</v>
      </c>
      <c r="CN429" t="str">
        <v>M45</v>
      </c>
      <c r="CO429" t="str">
        <v>1346-12C0011EN</v>
      </c>
      <c r="CP429" t="str">
        <v>MSCU5287590</v>
      </c>
      <c r="CQ429" s="23">
        <v>787.54700000000003</v>
      </c>
      <c r="CR429" s="25">
        <f t="shared" si="18"/>
        <v>6.840520986437261E-2</v>
      </c>
      <c r="CS429" s="21">
        <f t="shared" si="19"/>
        <v>171.01302466093153</v>
      </c>
    </row>
    <row r="430" spans="2:97" x14ac:dyDescent="0.35">
      <c r="B430" t="s">
        <v>299</v>
      </c>
      <c r="C430" t="s">
        <v>1879</v>
      </c>
      <c r="D430" t="s">
        <v>718</v>
      </c>
      <c r="E430" t="s">
        <v>395</v>
      </c>
      <c r="F430" t="s">
        <v>396</v>
      </c>
      <c r="G430" t="s">
        <v>397</v>
      </c>
      <c r="H430" t="s">
        <v>532</v>
      </c>
      <c r="I430" t="s">
        <v>399</v>
      </c>
      <c r="J430" t="s">
        <v>400</v>
      </c>
      <c r="K430" t="s">
        <v>515</v>
      </c>
      <c r="L430" t="s">
        <v>585</v>
      </c>
      <c r="M430" t="s">
        <v>403</v>
      </c>
      <c r="N430">
        <v>1</v>
      </c>
      <c r="O430">
        <v>1</v>
      </c>
      <c r="P430" t="s">
        <v>719</v>
      </c>
      <c r="Q430" t="s">
        <v>645</v>
      </c>
      <c r="R430" t="s">
        <v>720</v>
      </c>
      <c r="S430" t="s">
        <v>721</v>
      </c>
      <c r="T430" t="s">
        <v>408</v>
      </c>
      <c r="U430">
        <v>50950081259</v>
      </c>
      <c r="V430">
        <v>8191162</v>
      </c>
      <c r="W430">
        <v>12000</v>
      </c>
      <c r="X430" t="s">
        <v>409</v>
      </c>
      <c r="Y430" t="s">
        <v>410</v>
      </c>
      <c r="Z430" t="s">
        <v>410</v>
      </c>
      <c r="AA430" t="s">
        <v>411</v>
      </c>
      <c r="AB430" t="s">
        <v>412</v>
      </c>
      <c r="AC430" t="s">
        <v>411</v>
      </c>
      <c r="AD430">
        <v>46104</v>
      </c>
      <c r="AE430">
        <v>46160</v>
      </c>
      <c r="AF430">
        <v>46104</v>
      </c>
      <c r="AG430" t="s">
        <v>590</v>
      </c>
      <c r="AH430">
        <v>6150892</v>
      </c>
      <c r="AI430">
        <v>46100</v>
      </c>
      <c r="AJ430">
        <v>46101</v>
      </c>
      <c r="AK430">
        <v>12000</v>
      </c>
      <c r="AL430" t="s">
        <v>396</v>
      </c>
      <c r="AM430" t="s">
        <v>1880</v>
      </c>
      <c r="AN430">
        <v>46101</v>
      </c>
      <c r="AO430">
        <v>46101.454467592594</v>
      </c>
      <c r="AP430" t="s">
        <v>51</v>
      </c>
      <c r="AQ430">
        <v>1.9050000000000001E-2</v>
      </c>
      <c r="AR430">
        <v>228.6</v>
      </c>
      <c r="AS430" t="s">
        <v>51</v>
      </c>
      <c r="AT430">
        <v>228.6</v>
      </c>
      <c r="AU430" t="s">
        <v>415</v>
      </c>
      <c r="AV430" t="s">
        <v>772</v>
      </c>
      <c r="AW430" t="s">
        <v>1665</v>
      </c>
      <c r="AX430">
        <v>46107</v>
      </c>
      <c r="AY430">
        <v>46156</v>
      </c>
      <c r="AZ430" t="s">
        <v>1742</v>
      </c>
      <c r="BA430" t="s">
        <v>560</v>
      </c>
      <c r="BB430" t="s">
        <v>1743</v>
      </c>
      <c r="BC430">
        <v>3000</v>
      </c>
      <c r="BD430" t="s">
        <v>521</v>
      </c>
      <c r="BE430">
        <v>7.9960000000000004</v>
      </c>
      <c r="BF430">
        <v>7.11</v>
      </c>
      <c r="BG430" t="s">
        <v>522</v>
      </c>
      <c r="BH430">
        <v>395</v>
      </c>
      <c r="BI430">
        <v>295</v>
      </c>
      <c r="BJ430">
        <v>210</v>
      </c>
      <c r="BK430">
        <v>32</v>
      </c>
      <c r="BL430" t="s">
        <v>521</v>
      </c>
      <c r="BM430">
        <v>56.984000000000002</v>
      </c>
      <c r="BN430">
        <v>28.44</v>
      </c>
      <c r="BO430">
        <v>56.984000000000002</v>
      </c>
      <c r="BP430" t="s">
        <v>522</v>
      </c>
      <c r="BQ430">
        <v>1200</v>
      </c>
      <c r="BR430">
        <v>800</v>
      </c>
      <c r="BS430">
        <v>1006</v>
      </c>
      <c r="BT430">
        <v>0</v>
      </c>
      <c r="BU430">
        <v>1</v>
      </c>
      <c r="BV430">
        <v>1</v>
      </c>
      <c r="BW430">
        <v>4</v>
      </c>
      <c r="BX430">
        <v>0</v>
      </c>
      <c r="BY430">
        <v>4</v>
      </c>
      <c r="BZ430">
        <v>0</v>
      </c>
      <c r="CA430">
        <v>12000</v>
      </c>
      <c r="CB430">
        <v>12000</v>
      </c>
      <c r="CC430">
        <v>28.44</v>
      </c>
      <c r="CD430" t="s">
        <v>723</v>
      </c>
      <c r="CE430" t="s">
        <v>724</v>
      </c>
      <c r="CG430" t="s">
        <v>421</v>
      </c>
      <c r="CN430" t="str">
        <v>M19</v>
      </c>
      <c r="CO430" t="str">
        <v>1330-5YY0182EN</v>
      </c>
      <c r="CP430" t="str">
        <v>MSCU5287590</v>
      </c>
      <c r="CQ430" s="23">
        <v>526.90679999999998</v>
      </c>
      <c r="CR430" s="25">
        <f t="shared" si="18"/>
        <v>4.5766373604324576E-2</v>
      </c>
      <c r="CS430" s="21">
        <f t="shared" si="19"/>
        <v>114.41593401081144</v>
      </c>
    </row>
    <row r="431" spans="2:97" x14ac:dyDescent="0.35">
      <c r="B431" t="s">
        <v>297</v>
      </c>
      <c r="C431" t="s">
        <v>1881</v>
      </c>
      <c r="D431" t="s">
        <v>395</v>
      </c>
      <c r="E431" t="s">
        <v>395</v>
      </c>
      <c r="F431" t="s">
        <v>396</v>
      </c>
      <c r="G431" t="s">
        <v>397</v>
      </c>
      <c r="H431" t="s">
        <v>398</v>
      </c>
      <c r="I431" t="s">
        <v>399</v>
      </c>
      <c r="J431" t="s">
        <v>400</v>
      </c>
      <c r="K431" t="s">
        <v>515</v>
      </c>
      <c r="L431" t="s">
        <v>585</v>
      </c>
      <c r="M431" t="s">
        <v>403</v>
      </c>
      <c r="N431">
        <v>1</v>
      </c>
      <c r="O431">
        <v>1</v>
      </c>
      <c r="P431" t="s">
        <v>1296</v>
      </c>
      <c r="Q431" t="s">
        <v>430</v>
      </c>
      <c r="R431" t="s">
        <v>1297</v>
      </c>
      <c r="S431" t="s">
        <v>1298</v>
      </c>
      <c r="T431" t="s">
        <v>408</v>
      </c>
      <c r="U431">
        <v>50950081390</v>
      </c>
      <c r="W431">
        <v>80000</v>
      </c>
      <c r="X431" t="s">
        <v>409</v>
      </c>
      <c r="Y431" t="s">
        <v>410</v>
      </c>
      <c r="Z431" t="s">
        <v>410</v>
      </c>
      <c r="AA431" t="s">
        <v>411</v>
      </c>
      <c r="AB431" t="s">
        <v>412</v>
      </c>
      <c r="AC431" t="s">
        <v>411</v>
      </c>
      <c r="AD431">
        <v>46104</v>
      </c>
      <c r="AE431">
        <v>46160</v>
      </c>
      <c r="AF431">
        <v>46104</v>
      </c>
      <c r="AG431" t="s">
        <v>590</v>
      </c>
      <c r="AH431">
        <v>6150893</v>
      </c>
      <c r="AI431">
        <v>46100</v>
      </c>
      <c r="AJ431">
        <v>46101</v>
      </c>
      <c r="AK431">
        <v>80000</v>
      </c>
      <c r="AL431" t="s">
        <v>396</v>
      </c>
      <c r="AM431" t="s">
        <v>1882</v>
      </c>
      <c r="AN431">
        <v>46101</v>
      </c>
      <c r="AO431">
        <v>46101.454467592594</v>
      </c>
      <c r="AP431" t="s">
        <v>51</v>
      </c>
      <c r="AQ431">
        <v>1.48E-3</v>
      </c>
      <c r="AR431">
        <v>118.4</v>
      </c>
      <c r="AS431" t="s">
        <v>51</v>
      </c>
      <c r="AT431">
        <v>118.4</v>
      </c>
      <c r="AU431" t="s">
        <v>415</v>
      </c>
      <c r="AV431" t="s">
        <v>772</v>
      </c>
      <c r="AW431" t="s">
        <v>1665</v>
      </c>
      <c r="AX431">
        <v>46107</v>
      </c>
      <c r="AY431">
        <v>46156</v>
      </c>
      <c r="AZ431" t="s">
        <v>1742</v>
      </c>
      <c r="BA431" t="s">
        <v>560</v>
      </c>
      <c r="BB431" t="s">
        <v>1743</v>
      </c>
      <c r="BC431">
        <v>80000</v>
      </c>
      <c r="BD431" t="s">
        <v>521</v>
      </c>
      <c r="BE431">
        <v>6.1178499999999998</v>
      </c>
      <c r="BF431">
        <v>5.1840000000000002</v>
      </c>
      <c r="BG431" t="s">
        <v>522</v>
      </c>
      <c r="BH431">
        <v>398</v>
      </c>
      <c r="BI431">
        <v>298</v>
      </c>
      <c r="BJ431">
        <v>155</v>
      </c>
      <c r="BK431">
        <v>6</v>
      </c>
      <c r="BL431" t="s">
        <v>521</v>
      </c>
      <c r="BM431">
        <v>14.117850000000001</v>
      </c>
      <c r="BN431">
        <v>5.1840000000000002</v>
      </c>
      <c r="BO431">
        <v>14.117850000000001</v>
      </c>
      <c r="BP431" t="s">
        <v>522</v>
      </c>
      <c r="BQ431">
        <v>800</v>
      </c>
      <c r="BR431">
        <v>300</v>
      </c>
      <c r="BS431">
        <v>608</v>
      </c>
      <c r="BT431">
        <v>0</v>
      </c>
      <c r="BU431">
        <v>1</v>
      </c>
      <c r="BV431">
        <v>1</v>
      </c>
      <c r="BW431">
        <v>1</v>
      </c>
      <c r="BX431">
        <v>0</v>
      </c>
      <c r="BY431">
        <v>1</v>
      </c>
      <c r="BZ431">
        <v>0</v>
      </c>
      <c r="CA431">
        <v>80000</v>
      </c>
      <c r="CB431">
        <v>80000</v>
      </c>
      <c r="CC431">
        <v>5.1840000000000002</v>
      </c>
      <c r="CD431" t="s">
        <v>523</v>
      </c>
      <c r="CE431" t="s">
        <v>981</v>
      </c>
      <c r="CG431" t="s">
        <v>421</v>
      </c>
      <c r="CN431" t="str">
        <v>M45</v>
      </c>
      <c r="CO431" t="str">
        <v>1205-12C0016EN</v>
      </c>
      <c r="CP431" t="str">
        <v>MSCU5287590</v>
      </c>
      <c r="CQ431" s="23">
        <v>50.076000000000001</v>
      </c>
      <c r="CR431" s="25">
        <f t="shared" si="18"/>
        <v>4.3495299825512925E-3</v>
      </c>
      <c r="CS431" s="21">
        <f t="shared" si="19"/>
        <v>10.873824956378231</v>
      </c>
    </row>
    <row r="432" spans="2:97" x14ac:dyDescent="0.35">
      <c r="B432" t="s">
        <v>295</v>
      </c>
      <c r="C432" t="s">
        <v>1883</v>
      </c>
      <c r="D432" t="s">
        <v>395</v>
      </c>
      <c r="E432" t="s">
        <v>395</v>
      </c>
      <c r="F432" t="s">
        <v>396</v>
      </c>
      <c r="G432" t="s">
        <v>397</v>
      </c>
      <c r="H432" t="s">
        <v>398</v>
      </c>
      <c r="I432" t="s">
        <v>399</v>
      </c>
      <c r="J432" t="s">
        <v>400</v>
      </c>
      <c r="K432" t="s">
        <v>515</v>
      </c>
      <c r="L432" t="s">
        <v>585</v>
      </c>
      <c r="M432" t="s">
        <v>403</v>
      </c>
      <c r="N432">
        <v>1</v>
      </c>
      <c r="O432">
        <v>1</v>
      </c>
      <c r="P432" t="s">
        <v>1884</v>
      </c>
      <c r="Q432" t="s">
        <v>424</v>
      </c>
      <c r="R432" t="s">
        <v>1885</v>
      </c>
      <c r="S432" t="s">
        <v>1886</v>
      </c>
      <c r="T432" t="s">
        <v>408</v>
      </c>
      <c r="U432">
        <v>50950081536</v>
      </c>
      <c r="W432">
        <v>18000</v>
      </c>
      <c r="X432" t="s">
        <v>409</v>
      </c>
      <c r="Y432" t="s">
        <v>410</v>
      </c>
      <c r="Z432" t="s">
        <v>410</v>
      </c>
      <c r="AA432" t="s">
        <v>411</v>
      </c>
      <c r="AB432" t="s">
        <v>412</v>
      </c>
      <c r="AC432" t="s">
        <v>411</v>
      </c>
      <c r="AD432">
        <v>46097</v>
      </c>
      <c r="AE432">
        <v>46160</v>
      </c>
      <c r="AF432">
        <v>46104</v>
      </c>
      <c r="AG432" t="s">
        <v>590</v>
      </c>
      <c r="AH432">
        <v>6150894</v>
      </c>
      <c r="AI432">
        <v>46100</v>
      </c>
      <c r="AJ432">
        <v>46101</v>
      </c>
      <c r="AK432">
        <v>18000</v>
      </c>
      <c r="AL432" t="s">
        <v>396</v>
      </c>
      <c r="AM432" t="s">
        <v>1887</v>
      </c>
      <c r="AN432">
        <v>46101</v>
      </c>
      <c r="AO432">
        <v>46101.454467592594</v>
      </c>
      <c r="AP432" t="s">
        <v>51</v>
      </c>
      <c r="AQ432">
        <v>3.7399999999999998E-3</v>
      </c>
      <c r="AR432">
        <v>67.319999999999993</v>
      </c>
      <c r="AS432" t="s">
        <v>51</v>
      </c>
      <c r="AT432">
        <v>67.319999999999993</v>
      </c>
      <c r="AU432" t="s">
        <v>415</v>
      </c>
      <c r="AV432" t="s">
        <v>772</v>
      </c>
      <c r="AW432" t="s">
        <v>1665</v>
      </c>
      <c r="AX432">
        <v>46107</v>
      </c>
      <c r="AY432">
        <v>46156</v>
      </c>
      <c r="AZ432" t="s">
        <v>1742</v>
      </c>
      <c r="BA432" t="s">
        <v>560</v>
      </c>
      <c r="BB432" t="s">
        <v>1743</v>
      </c>
      <c r="BC432">
        <v>9000</v>
      </c>
      <c r="BD432" t="s">
        <v>521</v>
      </c>
      <c r="BE432">
        <v>10.523999999999999</v>
      </c>
      <c r="BF432">
        <v>9.4320000000000004</v>
      </c>
      <c r="BG432" t="s">
        <v>522</v>
      </c>
      <c r="BH432">
        <v>395</v>
      </c>
      <c r="BI432">
        <v>295</v>
      </c>
      <c r="BJ432">
        <v>210</v>
      </c>
      <c r="BK432">
        <v>32</v>
      </c>
      <c r="BL432" t="s">
        <v>521</v>
      </c>
      <c r="BM432">
        <v>46.048000000000002</v>
      </c>
      <c r="BN432">
        <v>18.864000000000001</v>
      </c>
      <c r="BO432">
        <v>46.048000000000002</v>
      </c>
      <c r="BP432" t="s">
        <v>522</v>
      </c>
      <c r="BQ432">
        <v>1200</v>
      </c>
      <c r="BR432">
        <v>800</v>
      </c>
      <c r="BS432">
        <v>1010</v>
      </c>
      <c r="BT432">
        <v>0</v>
      </c>
      <c r="BU432">
        <v>1</v>
      </c>
      <c r="BV432">
        <v>1</v>
      </c>
      <c r="BW432">
        <v>2</v>
      </c>
      <c r="BX432">
        <v>0</v>
      </c>
      <c r="BY432">
        <v>2</v>
      </c>
      <c r="BZ432">
        <v>0</v>
      </c>
      <c r="CA432">
        <v>18000</v>
      </c>
      <c r="CB432">
        <v>18000</v>
      </c>
      <c r="CC432">
        <v>18.864000000000001</v>
      </c>
      <c r="CD432" t="s">
        <v>1888</v>
      </c>
      <c r="CE432" t="s">
        <v>1889</v>
      </c>
      <c r="CG432" t="s">
        <v>421</v>
      </c>
      <c r="CN432" t="str">
        <v>M45</v>
      </c>
      <c r="CO432" t="str">
        <v>1205-12C0015EN</v>
      </c>
      <c r="CP432" t="str">
        <v>MSCU5287590</v>
      </c>
      <c r="CQ432" s="23">
        <v>34.801549999999999</v>
      </c>
      <c r="CR432" s="25">
        <f t="shared" si="18"/>
        <v>3.0228130274833841E-3</v>
      </c>
      <c r="CS432" s="21">
        <f t="shared" si="19"/>
        <v>7.5570325687084603</v>
      </c>
    </row>
    <row r="433" spans="2:97" x14ac:dyDescent="0.35">
      <c r="B433" t="s">
        <v>298</v>
      </c>
      <c r="C433" t="s">
        <v>1890</v>
      </c>
      <c r="D433" t="s">
        <v>395</v>
      </c>
      <c r="E433" t="s">
        <v>395</v>
      </c>
      <c r="F433" t="s">
        <v>396</v>
      </c>
      <c r="G433" t="s">
        <v>397</v>
      </c>
      <c r="H433" t="s">
        <v>398</v>
      </c>
      <c r="I433" t="s">
        <v>399</v>
      </c>
      <c r="J433" t="s">
        <v>400</v>
      </c>
      <c r="K433" t="s">
        <v>595</v>
      </c>
      <c r="L433" t="s">
        <v>585</v>
      </c>
      <c r="M433" t="s">
        <v>403</v>
      </c>
      <c r="N433">
        <v>1</v>
      </c>
      <c r="O433">
        <v>1</v>
      </c>
      <c r="P433" t="s">
        <v>726</v>
      </c>
      <c r="Q433" t="s">
        <v>405</v>
      </c>
      <c r="R433" t="s">
        <v>675</v>
      </c>
      <c r="S433" t="s">
        <v>676</v>
      </c>
      <c r="T433" t="s">
        <v>408</v>
      </c>
      <c r="U433">
        <v>50950081565</v>
      </c>
      <c r="W433">
        <v>16000</v>
      </c>
      <c r="X433" t="s">
        <v>409</v>
      </c>
      <c r="Y433" t="s">
        <v>410</v>
      </c>
      <c r="Z433" t="s">
        <v>410</v>
      </c>
      <c r="AA433" t="s">
        <v>411</v>
      </c>
      <c r="AB433" t="s">
        <v>412</v>
      </c>
      <c r="AC433" t="s">
        <v>411</v>
      </c>
      <c r="AD433">
        <v>46104</v>
      </c>
      <c r="AE433">
        <v>46160</v>
      </c>
      <c r="AF433">
        <v>46104</v>
      </c>
      <c r="AG433" t="s">
        <v>590</v>
      </c>
      <c r="AH433">
        <v>6150895</v>
      </c>
      <c r="AI433">
        <v>46100</v>
      </c>
      <c r="AJ433">
        <v>46101</v>
      </c>
      <c r="AK433">
        <v>16000</v>
      </c>
      <c r="AL433" t="s">
        <v>396</v>
      </c>
      <c r="AM433" t="s">
        <v>1891</v>
      </c>
      <c r="AN433">
        <v>46101</v>
      </c>
      <c r="AO433">
        <v>46101.454467592594</v>
      </c>
      <c r="AP433" t="s">
        <v>51</v>
      </c>
      <c r="AQ433">
        <v>0.11368</v>
      </c>
      <c r="AR433">
        <v>1818.88</v>
      </c>
      <c r="AS433" t="s">
        <v>51</v>
      </c>
      <c r="AT433">
        <v>1818.88</v>
      </c>
      <c r="AU433" t="s">
        <v>415</v>
      </c>
      <c r="AV433" t="s">
        <v>772</v>
      </c>
      <c r="AW433" t="s">
        <v>1665</v>
      </c>
      <c r="AX433">
        <v>46107</v>
      </c>
      <c r="AY433">
        <v>46156</v>
      </c>
      <c r="AZ433" t="s">
        <v>1742</v>
      </c>
      <c r="BA433" t="s">
        <v>560</v>
      </c>
      <c r="BB433" t="s">
        <v>1743</v>
      </c>
      <c r="BC433">
        <v>2000</v>
      </c>
      <c r="BD433" t="s">
        <v>521</v>
      </c>
      <c r="BE433">
        <v>10.0184</v>
      </c>
      <c r="BF433">
        <v>9.6904000000000003</v>
      </c>
      <c r="BG433" t="s">
        <v>522</v>
      </c>
      <c r="BH433">
        <v>296</v>
      </c>
      <c r="BI433">
        <v>195</v>
      </c>
      <c r="BJ433">
        <v>145</v>
      </c>
      <c r="BK433">
        <v>12</v>
      </c>
      <c r="BL433" t="s">
        <v>521</v>
      </c>
      <c r="BM433">
        <v>88.147199999999998</v>
      </c>
      <c r="BN433">
        <v>77.523200000000003</v>
      </c>
      <c r="BO433">
        <v>88.147199999999998</v>
      </c>
      <c r="BP433" t="s">
        <v>522</v>
      </c>
      <c r="BQ433">
        <v>800</v>
      </c>
      <c r="BR433">
        <v>300</v>
      </c>
      <c r="BS433">
        <v>608</v>
      </c>
      <c r="BT433">
        <v>0</v>
      </c>
      <c r="BU433">
        <v>1</v>
      </c>
      <c r="BV433">
        <v>1</v>
      </c>
      <c r="BW433">
        <v>8</v>
      </c>
      <c r="BX433">
        <v>0</v>
      </c>
      <c r="BY433">
        <v>8</v>
      </c>
      <c r="BZ433">
        <v>0</v>
      </c>
      <c r="CA433">
        <v>16000</v>
      </c>
      <c r="CB433">
        <v>16000</v>
      </c>
      <c r="CC433">
        <v>77.523200000000003</v>
      </c>
      <c r="CD433" t="s">
        <v>523</v>
      </c>
      <c r="CE433" t="s">
        <v>728</v>
      </c>
      <c r="CG433" t="s">
        <v>421</v>
      </c>
      <c r="CN433" t="str">
        <v>M45</v>
      </c>
      <c r="CO433" t="str">
        <v>1205-12C0014EN</v>
      </c>
      <c r="CP433" t="str">
        <v>MSCU5287590</v>
      </c>
      <c r="CQ433" s="23">
        <v>31.227699999999999</v>
      </c>
      <c r="CR433" s="25">
        <f t="shared" si="18"/>
        <v>2.7123935105862491E-3</v>
      </c>
      <c r="CS433" s="21">
        <f t="shared" si="19"/>
        <v>6.7809837764656224</v>
      </c>
    </row>
    <row r="434" spans="2:97" x14ac:dyDescent="0.35">
      <c r="B434" t="s">
        <v>298</v>
      </c>
      <c r="C434" t="s">
        <v>1892</v>
      </c>
      <c r="D434" t="s">
        <v>395</v>
      </c>
      <c r="E434" t="s">
        <v>395</v>
      </c>
      <c r="F434" t="s">
        <v>396</v>
      </c>
      <c r="G434" t="s">
        <v>397</v>
      </c>
      <c r="H434" t="s">
        <v>398</v>
      </c>
      <c r="I434" t="s">
        <v>399</v>
      </c>
      <c r="J434" t="s">
        <v>400</v>
      </c>
      <c r="K434" t="s">
        <v>595</v>
      </c>
      <c r="L434" t="s">
        <v>585</v>
      </c>
      <c r="M434" t="s">
        <v>403</v>
      </c>
      <c r="N434">
        <v>1</v>
      </c>
      <c r="O434">
        <v>1</v>
      </c>
      <c r="P434" t="s">
        <v>726</v>
      </c>
      <c r="Q434" t="s">
        <v>405</v>
      </c>
      <c r="R434" t="s">
        <v>675</v>
      </c>
      <c r="S434" t="s">
        <v>676</v>
      </c>
      <c r="T434" t="s">
        <v>408</v>
      </c>
      <c r="U434">
        <v>50950081568</v>
      </c>
      <c r="W434">
        <v>8000</v>
      </c>
      <c r="X434" t="s">
        <v>409</v>
      </c>
      <c r="Y434" t="s">
        <v>410</v>
      </c>
      <c r="Z434" t="s">
        <v>410</v>
      </c>
      <c r="AA434" t="s">
        <v>411</v>
      </c>
      <c r="AB434" t="s">
        <v>412</v>
      </c>
      <c r="AC434" t="s">
        <v>411</v>
      </c>
      <c r="AD434">
        <v>46097</v>
      </c>
      <c r="AE434">
        <v>46153</v>
      </c>
      <c r="AF434">
        <v>46104</v>
      </c>
      <c r="AG434" t="s">
        <v>590</v>
      </c>
      <c r="AH434">
        <v>6150896</v>
      </c>
      <c r="AI434">
        <v>46100</v>
      </c>
      <c r="AJ434">
        <v>46101</v>
      </c>
      <c r="AK434">
        <v>8000</v>
      </c>
      <c r="AL434" t="s">
        <v>396</v>
      </c>
      <c r="AM434" t="s">
        <v>1893</v>
      </c>
      <c r="AN434">
        <v>46101</v>
      </c>
      <c r="AO434">
        <v>46101.454467592594</v>
      </c>
      <c r="AP434" t="s">
        <v>51</v>
      </c>
      <c r="AQ434">
        <v>0.11368</v>
      </c>
      <c r="AR434">
        <v>909.44</v>
      </c>
      <c r="AS434" t="s">
        <v>51</v>
      </c>
      <c r="AT434">
        <v>909.44</v>
      </c>
      <c r="AU434" t="s">
        <v>415</v>
      </c>
      <c r="AV434" t="s">
        <v>772</v>
      </c>
      <c r="AW434" t="s">
        <v>1665</v>
      </c>
      <c r="AX434">
        <v>46107</v>
      </c>
      <c r="AY434">
        <v>46156</v>
      </c>
      <c r="AZ434" t="s">
        <v>1742</v>
      </c>
      <c r="BA434" t="s">
        <v>560</v>
      </c>
      <c r="BB434" t="s">
        <v>1743</v>
      </c>
      <c r="BC434">
        <v>2000</v>
      </c>
      <c r="BD434" t="s">
        <v>521</v>
      </c>
      <c r="BE434">
        <v>10.0184</v>
      </c>
      <c r="BF434">
        <v>9.6904000000000003</v>
      </c>
      <c r="BG434" t="s">
        <v>522</v>
      </c>
      <c r="BH434">
        <v>296</v>
      </c>
      <c r="BI434">
        <v>195</v>
      </c>
      <c r="BJ434">
        <v>145</v>
      </c>
      <c r="BK434">
        <v>12</v>
      </c>
      <c r="BL434" t="s">
        <v>521</v>
      </c>
      <c r="BM434">
        <v>48.073599999999999</v>
      </c>
      <c r="BN434">
        <v>38.761600000000001</v>
      </c>
      <c r="BO434">
        <v>48.073599999999999</v>
      </c>
      <c r="BP434" t="s">
        <v>522</v>
      </c>
      <c r="BQ434">
        <v>800</v>
      </c>
      <c r="BR434">
        <v>300</v>
      </c>
      <c r="BS434">
        <v>608</v>
      </c>
      <c r="BT434">
        <v>0</v>
      </c>
      <c r="BU434">
        <v>1</v>
      </c>
      <c r="BV434">
        <v>1</v>
      </c>
      <c r="BW434">
        <v>4</v>
      </c>
      <c r="BX434">
        <v>0</v>
      </c>
      <c r="BY434">
        <v>4</v>
      </c>
      <c r="BZ434">
        <v>0</v>
      </c>
      <c r="CA434">
        <v>8000</v>
      </c>
      <c r="CB434">
        <v>8000</v>
      </c>
      <c r="CC434">
        <v>38.761600000000001</v>
      </c>
      <c r="CD434" t="s">
        <v>523</v>
      </c>
      <c r="CE434" t="s">
        <v>728</v>
      </c>
      <c r="CG434" t="s">
        <v>421</v>
      </c>
      <c r="CN434" t="str">
        <v>M19</v>
      </c>
      <c r="CO434" t="str">
        <v>1307-5YY0174EN</v>
      </c>
      <c r="CP434" t="str">
        <v>MSCU5287590</v>
      </c>
      <c r="CQ434" s="23">
        <v>1210.0440000000001</v>
      </c>
      <c r="CR434" s="25">
        <f t="shared" si="18"/>
        <v>0.10510269706458776</v>
      </c>
      <c r="CS434" s="21">
        <f t="shared" si="19"/>
        <v>262.75674266146939</v>
      </c>
    </row>
    <row r="435" spans="2:97" x14ac:dyDescent="0.35">
      <c r="B435" t="s">
        <v>298</v>
      </c>
      <c r="C435" t="s">
        <v>1894</v>
      </c>
      <c r="D435" t="s">
        <v>395</v>
      </c>
      <c r="E435" t="s">
        <v>395</v>
      </c>
      <c r="F435" t="s">
        <v>396</v>
      </c>
      <c r="G435" t="s">
        <v>397</v>
      </c>
      <c r="H435" t="s">
        <v>398</v>
      </c>
      <c r="I435" t="s">
        <v>399</v>
      </c>
      <c r="J435" t="s">
        <v>400</v>
      </c>
      <c r="K435" t="s">
        <v>607</v>
      </c>
      <c r="L435" t="s">
        <v>585</v>
      </c>
      <c r="M435" t="s">
        <v>403</v>
      </c>
      <c r="N435">
        <v>1</v>
      </c>
      <c r="O435">
        <v>1</v>
      </c>
      <c r="P435" t="s">
        <v>1349</v>
      </c>
      <c r="Q435" t="s">
        <v>424</v>
      </c>
      <c r="R435" t="s">
        <v>1350</v>
      </c>
      <c r="S435" t="s">
        <v>1351</v>
      </c>
      <c r="T435" t="s">
        <v>408</v>
      </c>
      <c r="U435">
        <v>50950081573</v>
      </c>
      <c r="W435">
        <v>6000</v>
      </c>
      <c r="X435" t="s">
        <v>409</v>
      </c>
      <c r="Y435" t="s">
        <v>410</v>
      </c>
      <c r="Z435" t="s">
        <v>410</v>
      </c>
      <c r="AA435" t="s">
        <v>411</v>
      </c>
      <c r="AB435" t="s">
        <v>412</v>
      </c>
      <c r="AC435" t="s">
        <v>411</v>
      </c>
      <c r="AD435">
        <v>46097</v>
      </c>
      <c r="AE435">
        <v>46153</v>
      </c>
      <c r="AF435">
        <v>46104</v>
      </c>
      <c r="AG435" t="s">
        <v>590</v>
      </c>
      <c r="AH435">
        <v>6150897</v>
      </c>
      <c r="AI435">
        <v>46100</v>
      </c>
      <c r="AJ435">
        <v>46101</v>
      </c>
      <c r="AK435">
        <v>6000</v>
      </c>
      <c r="AL435" t="s">
        <v>396</v>
      </c>
      <c r="AM435" t="s">
        <v>1895</v>
      </c>
      <c r="AN435">
        <v>46101</v>
      </c>
      <c r="AO435">
        <v>46101.454467592594</v>
      </c>
      <c r="AP435" t="s">
        <v>51</v>
      </c>
      <c r="AQ435">
        <v>1.8249999999999999E-2</v>
      </c>
      <c r="AR435">
        <v>109.5</v>
      </c>
      <c r="AS435" t="s">
        <v>51</v>
      </c>
      <c r="AT435">
        <v>109.5</v>
      </c>
      <c r="AU435" t="s">
        <v>415</v>
      </c>
      <c r="AV435" t="s">
        <v>772</v>
      </c>
      <c r="AW435" t="s">
        <v>1665</v>
      </c>
      <c r="AX435">
        <v>46107</v>
      </c>
      <c r="AY435">
        <v>46156</v>
      </c>
      <c r="AZ435" t="s">
        <v>1742</v>
      </c>
      <c r="BA435" t="s">
        <v>560</v>
      </c>
      <c r="BB435" t="s">
        <v>1743</v>
      </c>
      <c r="BC435">
        <v>12000</v>
      </c>
      <c r="BD435" t="s">
        <v>521</v>
      </c>
      <c r="BE435">
        <v>3.9338000000000002</v>
      </c>
      <c r="BF435">
        <v>3.3828</v>
      </c>
      <c r="BG435" t="s">
        <v>522</v>
      </c>
      <c r="BH435">
        <v>368</v>
      </c>
      <c r="BI435">
        <v>257</v>
      </c>
      <c r="BJ435">
        <v>136</v>
      </c>
      <c r="BK435">
        <v>27</v>
      </c>
      <c r="BL435" t="s">
        <v>521</v>
      </c>
      <c r="BM435">
        <v>32.933799999999998</v>
      </c>
      <c r="BN435">
        <v>3.3828</v>
      </c>
      <c r="BO435">
        <v>32.933799999999998</v>
      </c>
      <c r="BP435" t="s">
        <v>522</v>
      </c>
      <c r="BQ435">
        <v>1140</v>
      </c>
      <c r="BR435">
        <v>800</v>
      </c>
      <c r="BS435">
        <v>565</v>
      </c>
      <c r="BT435">
        <v>0</v>
      </c>
      <c r="BU435">
        <v>1</v>
      </c>
      <c r="BV435">
        <v>1</v>
      </c>
      <c r="BW435">
        <v>0</v>
      </c>
      <c r="BX435">
        <v>1</v>
      </c>
      <c r="BY435">
        <v>1</v>
      </c>
      <c r="BZ435">
        <v>0</v>
      </c>
      <c r="CA435">
        <v>6000</v>
      </c>
      <c r="CB435">
        <v>6000</v>
      </c>
      <c r="CC435">
        <v>3.3828</v>
      </c>
      <c r="CD435" t="s">
        <v>1318</v>
      </c>
      <c r="CE435" t="s">
        <v>1319</v>
      </c>
      <c r="CG435" t="s">
        <v>421</v>
      </c>
      <c r="CN435" t="str">
        <v>M19</v>
      </c>
      <c r="CO435" t="str">
        <v>1330-5YY0183EN</v>
      </c>
      <c r="CP435" t="str">
        <v>MSCU5287590</v>
      </c>
      <c r="CQ435" s="23">
        <v>773.09280000000001</v>
      </c>
      <c r="CR435" s="25">
        <f t="shared" si="18"/>
        <v>6.7149738655134794E-2</v>
      </c>
      <c r="CS435" s="21">
        <f t="shared" si="19"/>
        <v>167.87434663783699</v>
      </c>
    </row>
    <row r="436" spans="2:97" x14ac:dyDescent="0.35">
      <c r="B436" t="s">
        <v>295</v>
      </c>
      <c r="C436" t="s">
        <v>1896</v>
      </c>
      <c r="D436" t="s">
        <v>395</v>
      </c>
      <c r="E436" t="s">
        <v>395</v>
      </c>
      <c r="F436" t="s">
        <v>396</v>
      </c>
      <c r="G436" t="s">
        <v>397</v>
      </c>
      <c r="H436" t="s">
        <v>398</v>
      </c>
      <c r="I436" t="s">
        <v>399</v>
      </c>
      <c r="J436" t="s">
        <v>400</v>
      </c>
      <c r="K436" t="s">
        <v>595</v>
      </c>
      <c r="L436" t="s">
        <v>585</v>
      </c>
      <c r="M436" t="s">
        <v>403</v>
      </c>
      <c r="N436">
        <v>1</v>
      </c>
      <c r="O436">
        <v>1</v>
      </c>
      <c r="P436" t="s">
        <v>742</v>
      </c>
      <c r="Q436" t="s">
        <v>405</v>
      </c>
      <c r="R436" t="s">
        <v>743</v>
      </c>
      <c r="S436" t="s">
        <v>676</v>
      </c>
      <c r="T436" t="s">
        <v>408</v>
      </c>
      <c r="U436">
        <v>50950081623</v>
      </c>
      <c r="W436">
        <v>30000</v>
      </c>
      <c r="X436" t="s">
        <v>409</v>
      </c>
      <c r="Y436" t="s">
        <v>410</v>
      </c>
      <c r="Z436" t="s">
        <v>410</v>
      </c>
      <c r="AA436" t="s">
        <v>411</v>
      </c>
      <c r="AB436" t="s">
        <v>412</v>
      </c>
      <c r="AC436" t="s">
        <v>411</v>
      </c>
      <c r="AD436">
        <v>46104</v>
      </c>
      <c r="AE436">
        <v>46160</v>
      </c>
      <c r="AF436">
        <v>46104</v>
      </c>
      <c r="AG436" t="s">
        <v>590</v>
      </c>
      <c r="AH436">
        <v>6150898</v>
      </c>
      <c r="AI436">
        <v>46100</v>
      </c>
      <c r="AJ436">
        <v>46101</v>
      </c>
      <c r="AK436">
        <v>30000</v>
      </c>
      <c r="AL436" t="s">
        <v>396</v>
      </c>
      <c r="AM436" t="s">
        <v>1897</v>
      </c>
      <c r="AN436">
        <v>46101</v>
      </c>
      <c r="AO436">
        <v>46101.454467592594</v>
      </c>
      <c r="AP436" t="s">
        <v>51</v>
      </c>
      <c r="AQ436">
        <v>4.1000000000000002E-2</v>
      </c>
      <c r="AR436">
        <v>1230</v>
      </c>
      <c r="AS436" t="s">
        <v>51</v>
      </c>
      <c r="AT436">
        <v>1230</v>
      </c>
      <c r="AU436" t="s">
        <v>415</v>
      </c>
      <c r="AV436" t="s">
        <v>772</v>
      </c>
      <c r="AW436" t="s">
        <v>1665</v>
      </c>
      <c r="AX436">
        <v>46107</v>
      </c>
      <c r="AY436">
        <v>46156</v>
      </c>
      <c r="AZ436" t="s">
        <v>1742</v>
      </c>
      <c r="BA436" t="s">
        <v>560</v>
      </c>
      <c r="BB436" t="s">
        <v>1743</v>
      </c>
      <c r="BC436">
        <v>1000</v>
      </c>
      <c r="BD436" t="s">
        <v>521</v>
      </c>
      <c r="BE436">
        <v>7.8540000000000001</v>
      </c>
      <c r="BF436">
        <v>7.5259999999999998</v>
      </c>
      <c r="BG436" t="s">
        <v>522</v>
      </c>
      <c r="BH436">
        <v>296</v>
      </c>
      <c r="BI436">
        <v>195</v>
      </c>
      <c r="BJ436">
        <v>145</v>
      </c>
      <c r="BK436">
        <v>12</v>
      </c>
      <c r="BL436" t="s">
        <v>521</v>
      </c>
      <c r="BM436">
        <v>102.248</v>
      </c>
      <c r="BN436">
        <v>90.311999999999998</v>
      </c>
      <c r="BO436">
        <v>259.62</v>
      </c>
      <c r="BP436" t="s">
        <v>522</v>
      </c>
      <c r="BQ436">
        <v>800</v>
      </c>
      <c r="BR436">
        <v>300</v>
      </c>
      <c r="BS436">
        <v>608</v>
      </c>
      <c r="BT436">
        <v>2</v>
      </c>
      <c r="BU436">
        <v>1</v>
      </c>
      <c r="BV436">
        <v>3</v>
      </c>
      <c r="BW436">
        <v>30</v>
      </c>
      <c r="BX436">
        <v>0</v>
      </c>
      <c r="BY436">
        <v>30</v>
      </c>
      <c r="BZ436">
        <v>24000</v>
      </c>
      <c r="CA436">
        <v>6000</v>
      </c>
      <c r="CB436">
        <v>30000</v>
      </c>
      <c r="CC436">
        <v>225.78</v>
      </c>
      <c r="CD436" t="s">
        <v>523</v>
      </c>
      <c r="CE436" t="s">
        <v>728</v>
      </c>
      <c r="CG436" t="s">
        <v>421</v>
      </c>
      <c r="CN436" t="str">
        <v>M01</v>
      </c>
      <c r="CO436" t="str">
        <v>1277-1030115EN</v>
      </c>
      <c r="CP436" t="str">
        <v>MSCU5287590</v>
      </c>
      <c r="CQ436" s="23">
        <v>78.004999999999995</v>
      </c>
      <c r="CR436" s="25">
        <f t="shared" si="18"/>
        <v>6.7754031130464413E-3</v>
      </c>
      <c r="CS436" s="21">
        <f t="shared" si="19"/>
        <v>16.938507782616103</v>
      </c>
    </row>
    <row r="437" spans="2:97" x14ac:dyDescent="0.35">
      <c r="B437" t="s">
        <v>298</v>
      </c>
      <c r="C437" t="s">
        <v>1898</v>
      </c>
      <c r="D437" t="s">
        <v>395</v>
      </c>
      <c r="E437" t="s">
        <v>395</v>
      </c>
      <c r="F437" t="s">
        <v>396</v>
      </c>
      <c r="G437" t="s">
        <v>397</v>
      </c>
      <c r="H437" t="s">
        <v>398</v>
      </c>
      <c r="I437" t="s">
        <v>399</v>
      </c>
      <c r="J437" t="s">
        <v>400</v>
      </c>
      <c r="K437" t="s">
        <v>595</v>
      </c>
      <c r="L437" t="s">
        <v>585</v>
      </c>
      <c r="M437" t="s">
        <v>403</v>
      </c>
      <c r="N437">
        <v>1</v>
      </c>
      <c r="O437">
        <v>1</v>
      </c>
      <c r="P437" t="s">
        <v>737</v>
      </c>
      <c r="Q437" t="s">
        <v>430</v>
      </c>
      <c r="R437" t="s">
        <v>675</v>
      </c>
      <c r="S437" t="s">
        <v>676</v>
      </c>
      <c r="T437" t="s">
        <v>408</v>
      </c>
      <c r="U437">
        <v>50950081659</v>
      </c>
      <c r="W437">
        <v>18000</v>
      </c>
      <c r="X437" t="s">
        <v>409</v>
      </c>
      <c r="Y437" t="s">
        <v>410</v>
      </c>
      <c r="Z437" t="s">
        <v>410</v>
      </c>
      <c r="AA437" t="s">
        <v>411</v>
      </c>
      <c r="AB437" t="s">
        <v>412</v>
      </c>
      <c r="AC437" t="s">
        <v>411</v>
      </c>
      <c r="AD437">
        <v>46104</v>
      </c>
      <c r="AE437">
        <v>46160</v>
      </c>
      <c r="AF437">
        <v>46104</v>
      </c>
      <c r="AG437" t="s">
        <v>590</v>
      </c>
      <c r="AH437">
        <v>6150899</v>
      </c>
      <c r="AI437">
        <v>46100</v>
      </c>
      <c r="AJ437">
        <v>46101</v>
      </c>
      <c r="AK437">
        <v>18000</v>
      </c>
      <c r="AL437" t="s">
        <v>396</v>
      </c>
      <c r="AM437" t="s">
        <v>1899</v>
      </c>
      <c r="AN437">
        <v>46101</v>
      </c>
      <c r="AO437">
        <v>46101.454467592594</v>
      </c>
      <c r="AP437" t="s">
        <v>51</v>
      </c>
      <c r="AQ437">
        <v>1.242E-2</v>
      </c>
      <c r="AR437">
        <v>223.56</v>
      </c>
      <c r="AS437" t="s">
        <v>51</v>
      </c>
      <c r="AT437">
        <v>223.56</v>
      </c>
      <c r="AU437" t="s">
        <v>415</v>
      </c>
      <c r="AV437" t="s">
        <v>772</v>
      </c>
      <c r="AW437" t="s">
        <v>1665</v>
      </c>
      <c r="AX437">
        <v>46107</v>
      </c>
      <c r="AY437">
        <v>46156</v>
      </c>
      <c r="AZ437" t="s">
        <v>1742</v>
      </c>
      <c r="BA437" t="s">
        <v>560</v>
      </c>
      <c r="BB437" t="s">
        <v>1743</v>
      </c>
      <c r="BC437">
        <v>6000</v>
      </c>
      <c r="BD437" t="s">
        <v>521</v>
      </c>
      <c r="BE437">
        <v>9.0969999999999995</v>
      </c>
      <c r="BF437">
        <v>8.7690000000000001</v>
      </c>
      <c r="BG437" t="s">
        <v>522</v>
      </c>
      <c r="BH437">
        <v>296</v>
      </c>
      <c r="BI437">
        <v>195</v>
      </c>
      <c r="BJ437">
        <v>145</v>
      </c>
      <c r="BK437">
        <v>12</v>
      </c>
      <c r="BL437" t="s">
        <v>521</v>
      </c>
      <c r="BM437">
        <v>35.290999999999997</v>
      </c>
      <c r="BN437">
        <v>26.306999999999999</v>
      </c>
      <c r="BO437">
        <v>35.290999999999997</v>
      </c>
      <c r="BP437" t="s">
        <v>522</v>
      </c>
      <c r="BQ437">
        <v>800</v>
      </c>
      <c r="BR437">
        <v>300</v>
      </c>
      <c r="BS437">
        <v>608</v>
      </c>
      <c r="BT437">
        <v>0</v>
      </c>
      <c r="BU437">
        <v>1</v>
      </c>
      <c r="BV437">
        <v>1</v>
      </c>
      <c r="BW437">
        <v>3</v>
      </c>
      <c r="BX437">
        <v>0</v>
      </c>
      <c r="BY437">
        <v>3</v>
      </c>
      <c r="BZ437">
        <v>0</v>
      </c>
      <c r="CA437">
        <v>18000</v>
      </c>
      <c r="CB437">
        <v>18000</v>
      </c>
      <c r="CC437">
        <v>26.306999999999999</v>
      </c>
      <c r="CD437" t="s">
        <v>523</v>
      </c>
      <c r="CE437" t="s">
        <v>728</v>
      </c>
      <c r="CG437" t="s">
        <v>421</v>
      </c>
      <c r="CN437" t="str">
        <v>MCS</v>
      </c>
      <c r="CO437" t="str">
        <v>1205-1030759EN</v>
      </c>
      <c r="CP437" t="str">
        <v>MSCU5287590</v>
      </c>
      <c r="CQ437" s="23">
        <v>58.243099999999998</v>
      </c>
      <c r="CR437" s="25">
        <f t="shared" si="18"/>
        <v>5.0589126473107515E-3</v>
      </c>
      <c r="CS437" s="21">
        <f t="shared" si="19"/>
        <v>12.647281618276878</v>
      </c>
    </row>
    <row r="438" spans="2:97" x14ac:dyDescent="0.35">
      <c r="B438" t="s">
        <v>298</v>
      </c>
      <c r="C438" t="s">
        <v>1900</v>
      </c>
      <c r="D438" t="s">
        <v>1901</v>
      </c>
      <c r="E438" t="s">
        <v>1902</v>
      </c>
      <c r="F438" t="s">
        <v>396</v>
      </c>
      <c r="G438" t="s">
        <v>397</v>
      </c>
      <c r="H438" t="s">
        <v>398</v>
      </c>
      <c r="I438" t="s">
        <v>399</v>
      </c>
      <c r="J438" t="s">
        <v>400</v>
      </c>
      <c r="K438" t="s">
        <v>1903</v>
      </c>
      <c r="L438" t="s">
        <v>1904</v>
      </c>
      <c r="M438" t="s">
        <v>403</v>
      </c>
      <c r="N438">
        <v>1</v>
      </c>
      <c r="O438">
        <v>1</v>
      </c>
      <c r="P438" t="s">
        <v>1905</v>
      </c>
      <c r="Q438" t="s">
        <v>934</v>
      </c>
      <c r="R438" t="s">
        <v>1906</v>
      </c>
      <c r="S438" t="s">
        <v>1907</v>
      </c>
      <c r="T438" t="s">
        <v>408</v>
      </c>
      <c r="U438">
        <v>50950080948</v>
      </c>
      <c r="V438">
        <v>39118240201</v>
      </c>
      <c r="W438">
        <v>5520</v>
      </c>
      <c r="X438" t="s">
        <v>409</v>
      </c>
      <c r="Y438" t="s">
        <v>410</v>
      </c>
      <c r="Z438" t="s">
        <v>410</v>
      </c>
      <c r="AA438" t="s">
        <v>411</v>
      </c>
      <c r="AB438" t="s">
        <v>412</v>
      </c>
      <c r="AC438" t="s">
        <v>411</v>
      </c>
      <c r="AD438">
        <v>46097</v>
      </c>
      <c r="AE438">
        <v>46153</v>
      </c>
      <c r="AF438">
        <v>46104</v>
      </c>
      <c r="AG438" t="s">
        <v>555</v>
      </c>
      <c r="AH438">
        <v>6150846</v>
      </c>
      <c r="AI438">
        <v>46100</v>
      </c>
      <c r="AJ438">
        <v>46101</v>
      </c>
      <c r="AK438">
        <v>5520</v>
      </c>
      <c r="AL438" t="s">
        <v>396</v>
      </c>
      <c r="AM438" t="s">
        <v>1908</v>
      </c>
      <c r="AN438">
        <v>46101</v>
      </c>
      <c r="AO438">
        <v>46101.454467592594</v>
      </c>
      <c r="AP438" t="s">
        <v>51</v>
      </c>
      <c r="AQ438">
        <v>0.98009000000000002</v>
      </c>
      <c r="AR438">
        <v>5410.08</v>
      </c>
      <c r="AS438" t="s">
        <v>51</v>
      </c>
      <c r="AT438">
        <v>5410.08</v>
      </c>
      <c r="AU438" t="s">
        <v>415</v>
      </c>
      <c r="AV438" t="s">
        <v>772</v>
      </c>
      <c r="AW438" t="s">
        <v>1665</v>
      </c>
      <c r="AX438">
        <v>46107</v>
      </c>
      <c r="AY438">
        <v>46156</v>
      </c>
      <c r="AZ438" t="s">
        <v>1742</v>
      </c>
      <c r="BA438" t="s">
        <v>560</v>
      </c>
      <c r="BB438" t="s">
        <v>1743</v>
      </c>
      <c r="BC438">
        <v>230</v>
      </c>
      <c r="BD438" t="s">
        <v>521</v>
      </c>
      <c r="BE438">
        <v>12.615</v>
      </c>
      <c r="BF438">
        <v>11.615</v>
      </c>
      <c r="BG438" t="s">
        <v>522</v>
      </c>
      <c r="BH438">
        <v>398</v>
      </c>
      <c r="BI438">
        <v>298</v>
      </c>
      <c r="BJ438">
        <v>216</v>
      </c>
      <c r="BK438">
        <v>24</v>
      </c>
      <c r="BL438" t="s">
        <v>521</v>
      </c>
      <c r="BM438">
        <v>334.36</v>
      </c>
      <c r="BN438">
        <v>278.76</v>
      </c>
      <c r="BO438">
        <v>334.36</v>
      </c>
      <c r="BP438" t="s">
        <v>522</v>
      </c>
      <c r="BQ438">
        <v>1200</v>
      </c>
      <c r="BR438">
        <v>800</v>
      </c>
      <c r="BS438">
        <v>801</v>
      </c>
      <c r="BT438">
        <v>1</v>
      </c>
      <c r="BU438">
        <v>0</v>
      </c>
      <c r="BV438">
        <v>1</v>
      </c>
      <c r="BW438">
        <v>24</v>
      </c>
      <c r="BX438">
        <v>0</v>
      </c>
      <c r="BY438">
        <v>24</v>
      </c>
      <c r="BZ438">
        <v>5520</v>
      </c>
      <c r="CA438">
        <v>0</v>
      </c>
      <c r="CB438">
        <v>5520</v>
      </c>
      <c r="CC438">
        <v>278.76</v>
      </c>
      <c r="CD438" t="s">
        <v>1909</v>
      </c>
      <c r="CE438" t="s">
        <v>1910</v>
      </c>
      <c r="CG438" t="s">
        <v>421</v>
      </c>
      <c r="CN438" t="str">
        <v>M01</v>
      </c>
      <c r="CO438" t="str">
        <v>1108-0033100EN0018</v>
      </c>
      <c r="CP438" t="str">
        <v>MSCU5287590</v>
      </c>
      <c r="CQ438" s="23">
        <v>17.655999999999999</v>
      </c>
      <c r="CR438" s="25">
        <f t="shared" si="18"/>
        <v>1.5335749934484708E-3</v>
      </c>
      <c r="CS438" s="21">
        <f t="shared" si="19"/>
        <v>3.833937483621177</v>
      </c>
    </row>
    <row r="439" spans="2:97" x14ac:dyDescent="0.35">
      <c r="B439" t="s">
        <v>295</v>
      </c>
      <c r="C439" t="s">
        <v>1267</v>
      </c>
      <c r="D439" t="s">
        <v>575</v>
      </c>
      <c r="E439" t="s">
        <v>395</v>
      </c>
      <c r="F439" t="s">
        <v>396</v>
      </c>
      <c r="G439" t="s">
        <v>397</v>
      </c>
      <c r="H439" t="s">
        <v>398</v>
      </c>
      <c r="I439" t="s">
        <v>399</v>
      </c>
      <c r="J439" t="s">
        <v>400</v>
      </c>
      <c r="K439" t="s">
        <v>566</v>
      </c>
      <c r="L439" t="s">
        <v>1268</v>
      </c>
      <c r="M439" t="s">
        <v>403</v>
      </c>
      <c r="N439">
        <v>1</v>
      </c>
      <c r="O439">
        <v>2</v>
      </c>
      <c r="P439" t="s">
        <v>576</v>
      </c>
      <c r="Q439" t="s">
        <v>424</v>
      </c>
      <c r="R439" t="s">
        <v>577</v>
      </c>
      <c r="S439" t="s">
        <v>578</v>
      </c>
      <c r="T439" t="s">
        <v>408</v>
      </c>
      <c r="U439">
        <v>50950081538</v>
      </c>
      <c r="W439">
        <v>6400</v>
      </c>
      <c r="X439" t="s">
        <v>409</v>
      </c>
      <c r="Y439" t="s">
        <v>410</v>
      </c>
      <c r="Z439" t="s">
        <v>410</v>
      </c>
      <c r="AA439" t="s">
        <v>411</v>
      </c>
      <c r="AB439" t="s">
        <v>412</v>
      </c>
      <c r="AC439" t="s">
        <v>411</v>
      </c>
      <c r="AD439">
        <v>46094</v>
      </c>
      <c r="AE439">
        <v>46118</v>
      </c>
      <c r="AF439">
        <v>46104</v>
      </c>
      <c r="AG439" t="s">
        <v>570</v>
      </c>
      <c r="AH439">
        <v>6150847</v>
      </c>
      <c r="AI439">
        <v>46100</v>
      </c>
      <c r="AJ439">
        <v>46101</v>
      </c>
      <c r="AK439">
        <v>6400</v>
      </c>
      <c r="AL439" t="s">
        <v>396</v>
      </c>
      <c r="AM439" t="s">
        <v>1911</v>
      </c>
      <c r="AN439">
        <v>46101</v>
      </c>
      <c r="AO439">
        <v>46101.454467592594</v>
      </c>
      <c r="AP439" t="s">
        <v>51</v>
      </c>
      <c r="AQ439">
        <v>0.56742999999999999</v>
      </c>
      <c r="AR439">
        <v>3631.55</v>
      </c>
      <c r="AS439" t="s">
        <v>51</v>
      </c>
      <c r="AT439">
        <v>3631.55</v>
      </c>
      <c r="AU439" t="s">
        <v>415</v>
      </c>
      <c r="AV439" t="s">
        <v>772</v>
      </c>
      <c r="AW439" t="s">
        <v>1665</v>
      </c>
      <c r="AX439">
        <v>46107</v>
      </c>
      <c r="AY439">
        <v>46156</v>
      </c>
      <c r="AZ439" t="s">
        <v>1742</v>
      </c>
      <c r="BA439" t="s">
        <v>560</v>
      </c>
      <c r="BB439" t="s">
        <v>1743</v>
      </c>
      <c r="BC439">
        <v>200</v>
      </c>
      <c r="BD439" t="s">
        <v>521</v>
      </c>
      <c r="BE439">
        <v>3.9521000000000002</v>
      </c>
      <c r="BF439">
        <v>2.7250999999999999</v>
      </c>
      <c r="BG439" t="s">
        <v>522</v>
      </c>
      <c r="BH439">
        <v>395</v>
      </c>
      <c r="BI439">
        <v>295</v>
      </c>
      <c r="BJ439">
        <v>200</v>
      </c>
      <c r="BK439">
        <v>32</v>
      </c>
      <c r="BL439" t="s">
        <v>521</v>
      </c>
      <c r="BM439">
        <v>151.46719999999999</v>
      </c>
      <c r="BN439">
        <v>87.203199999999995</v>
      </c>
      <c r="BO439">
        <v>151.46719999999999</v>
      </c>
      <c r="BP439" t="s">
        <v>522</v>
      </c>
      <c r="BQ439">
        <v>1200</v>
      </c>
      <c r="BR439">
        <v>800</v>
      </c>
      <c r="BS439">
        <v>960</v>
      </c>
      <c r="BT439">
        <v>1</v>
      </c>
      <c r="BU439">
        <v>0</v>
      </c>
      <c r="BV439">
        <v>1</v>
      </c>
      <c r="BW439">
        <v>32</v>
      </c>
      <c r="BX439">
        <v>0</v>
      </c>
      <c r="BY439">
        <v>32</v>
      </c>
      <c r="BZ439">
        <v>6400</v>
      </c>
      <c r="CA439">
        <v>0</v>
      </c>
      <c r="CB439">
        <v>6400</v>
      </c>
      <c r="CC439">
        <v>87.203199999999995</v>
      </c>
      <c r="CD439" t="s">
        <v>580</v>
      </c>
      <c r="CE439" t="s">
        <v>581</v>
      </c>
      <c r="CG439" t="s">
        <v>421</v>
      </c>
      <c r="CN439" t="str">
        <v>M01</v>
      </c>
      <c r="CO439" t="str">
        <v>1108-0033100EN0018</v>
      </c>
      <c r="CP439" t="str">
        <v>MSCU5287590</v>
      </c>
      <c r="CQ439" s="23">
        <v>17.655999999999999</v>
      </c>
      <c r="CR439" s="25">
        <f t="shared" si="18"/>
        <v>1.5335749934484708E-3</v>
      </c>
      <c r="CS439" s="21">
        <f t="shared" si="19"/>
        <v>3.833937483621177</v>
      </c>
    </row>
    <row r="440" spans="2:97" x14ac:dyDescent="0.35">
      <c r="B440" t="s">
        <v>295</v>
      </c>
      <c r="C440" t="s">
        <v>1912</v>
      </c>
      <c r="D440" t="s">
        <v>575</v>
      </c>
      <c r="E440" t="s">
        <v>395</v>
      </c>
      <c r="F440" t="s">
        <v>396</v>
      </c>
      <c r="G440" t="s">
        <v>397</v>
      </c>
      <c r="H440" t="s">
        <v>398</v>
      </c>
      <c r="I440" t="s">
        <v>399</v>
      </c>
      <c r="J440" t="s">
        <v>400</v>
      </c>
      <c r="K440" t="s">
        <v>566</v>
      </c>
      <c r="L440" t="s">
        <v>1268</v>
      </c>
      <c r="M440" t="s">
        <v>403</v>
      </c>
      <c r="N440">
        <v>1</v>
      </c>
      <c r="O440">
        <v>1</v>
      </c>
      <c r="P440" t="s">
        <v>576</v>
      </c>
      <c r="Q440" t="s">
        <v>424</v>
      </c>
      <c r="R440" t="s">
        <v>577</v>
      </c>
      <c r="S440" t="s">
        <v>578</v>
      </c>
      <c r="T440" t="s">
        <v>408</v>
      </c>
      <c r="U440">
        <v>50950081619</v>
      </c>
      <c r="W440">
        <v>19200</v>
      </c>
      <c r="X440" t="s">
        <v>409</v>
      </c>
      <c r="Y440" t="s">
        <v>410</v>
      </c>
      <c r="Z440" t="s">
        <v>410</v>
      </c>
      <c r="AA440" t="s">
        <v>411</v>
      </c>
      <c r="AB440" t="s">
        <v>412</v>
      </c>
      <c r="AC440" t="s">
        <v>411</v>
      </c>
      <c r="AD440">
        <v>46099</v>
      </c>
      <c r="AE440">
        <v>46118</v>
      </c>
      <c r="AF440">
        <v>46104</v>
      </c>
      <c r="AG440" t="s">
        <v>570</v>
      </c>
      <c r="AH440">
        <v>6150848</v>
      </c>
      <c r="AI440">
        <v>46100</v>
      </c>
      <c r="AJ440">
        <v>46101</v>
      </c>
      <c r="AK440">
        <v>19200</v>
      </c>
      <c r="AL440" t="s">
        <v>396</v>
      </c>
      <c r="AM440" t="s">
        <v>1913</v>
      </c>
      <c r="AN440">
        <v>46101</v>
      </c>
      <c r="AO440">
        <v>46101.454467592594</v>
      </c>
      <c r="AP440" t="s">
        <v>51</v>
      </c>
      <c r="AQ440">
        <v>0.56742999999999999</v>
      </c>
      <c r="AR440">
        <v>10894.64</v>
      </c>
      <c r="AS440" t="s">
        <v>51</v>
      </c>
      <c r="AT440">
        <v>10894.64</v>
      </c>
      <c r="AU440" t="s">
        <v>415</v>
      </c>
      <c r="AV440" t="s">
        <v>772</v>
      </c>
      <c r="AW440" t="s">
        <v>1665</v>
      </c>
      <c r="AX440">
        <v>46107</v>
      </c>
      <c r="AY440">
        <v>46156</v>
      </c>
      <c r="AZ440" t="s">
        <v>1742</v>
      </c>
      <c r="BA440" t="s">
        <v>560</v>
      </c>
      <c r="BB440" t="s">
        <v>1743</v>
      </c>
      <c r="BC440">
        <v>200</v>
      </c>
      <c r="BD440" t="s">
        <v>521</v>
      </c>
      <c r="BE440">
        <v>3.9521000000000002</v>
      </c>
      <c r="BF440">
        <v>2.7250999999999999</v>
      </c>
      <c r="BG440" t="s">
        <v>522</v>
      </c>
      <c r="BH440">
        <v>395</v>
      </c>
      <c r="BI440">
        <v>295</v>
      </c>
      <c r="BJ440">
        <v>200</v>
      </c>
      <c r="BK440">
        <v>32</v>
      </c>
      <c r="BL440" t="s">
        <v>521</v>
      </c>
      <c r="BM440">
        <v>151.46719999999999</v>
      </c>
      <c r="BN440">
        <v>87.203199999999995</v>
      </c>
      <c r="BO440">
        <v>454.40159999999997</v>
      </c>
      <c r="BP440" t="s">
        <v>522</v>
      </c>
      <c r="BQ440">
        <v>1200</v>
      </c>
      <c r="BR440">
        <v>800</v>
      </c>
      <c r="BS440">
        <v>960</v>
      </c>
      <c r="BT440">
        <v>3</v>
      </c>
      <c r="BU440">
        <v>0</v>
      </c>
      <c r="BV440">
        <v>3</v>
      </c>
      <c r="BW440">
        <v>96</v>
      </c>
      <c r="BX440">
        <v>0</v>
      </c>
      <c r="BY440">
        <v>96</v>
      </c>
      <c r="BZ440">
        <v>19200</v>
      </c>
      <c r="CA440">
        <v>0</v>
      </c>
      <c r="CB440">
        <v>19200</v>
      </c>
      <c r="CC440">
        <v>261.6096</v>
      </c>
      <c r="CD440" t="s">
        <v>580</v>
      </c>
      <c r="CE440" t="s">
        <v>581</v>
      </c>
      <c r="CG440" t="s">
        <v>421</v>
      </c>
      <c r="CN440" t="str">
        <v>MCS</v>
      </c>
      <c r="CO440" t="str">
        <v>1205-1030762EN</v>
      </c>
      <c r="CP440" t="str">
        <v>MSCU5287590</v>
      </c>
      <c r="CQ440" s="23">
        <v>95.203100000000006</v>
      </c>
      <c r="CR440" s="25">
        <f t="shared" si="18"/>
        <v>8.2692055651775107E-3</v>
      </c>
      <c r="CS440" s="21">
        <f t="shared" si="19"/>
        <v>20.673013912943777</v>
      </c>
    </row>
    <row r="441" spans="2:97" x14ac:dyDescent="0.35">
      <c r="B441" t="s">
        <v>297</v>
      </c>
      <c r="C441" t="s">
        <v>1914</v>
      </c>
      <c r="D441" t="s">
        <v>549</v>
      </c>
      <c r="E441" t="s">
        <v>395</v>
      </c>
      <c r="F441" t="s">
        <v>396</v>
      </c>
      <c r="G441" t="s">
        <v>397</v>
      </c>
      <c r="H441" t="s">
        <v>398</v>
      </c>
      <c r="I441" t="s">
        <v>399</v>
      </c>
      <c r="J441" t="s">
        <v>749</v>
      </c>
      <c r="K441" t="s">
        <v>1081</v>
      </c>
      <c r="L441" t="s">
        <v>766</v>
      </c>
      <c r="M441" t="s">
        <v>403</v>
      </c>
      <c r="N441">
        <v>1</v>
      </c>
      <c r="O441">
        <v>1</v>
      </c>
      <c r="P441" t="s">
        <v>1082</v>
      </c>
      <c r="Q441" t="s">
        <v>424</v>
      </c>
      <c r="R441" t="s">
        <v>1083</v>
      </c>
      <c r="S441" t="s">
        <v>1084</v>
      </c>
      <c r="T441" t="s">
        <v>408</v>
      </c>
      <c r="U441">
        <v>50950080475</v>
      </c>
      <c r="W441">
        <v>20800</v>
      </c>
      <c r="X441" t="s">
        <v>409</v>
      </c>
      <c r="Y441" t="s">
        <v>410</v>
      </c>
      <c r="Z441" t="s">
        <v>410</v>
      </c>
      <c r="AA441" t="s">
        <v>411</v>
      </c>
      <c r="AB441" t="s">
        <v>769</v>
      </c>
      <c r="AC441" t="s">
        <v>411</v>
      </c>
      <c r="AD441">
        <v>46095</v>
      </c>
      <c r="AE441">
        <v>46153</v>
      </c>
      <c r="AF441">
        <v>46102</v>
      </c>
      <c r="AG441" t="s">
        <v>770</v>
      </c>
      <c r="AH441">
        <v>6143181</v>
      </c>
      <c r="AI441">
        <v>46095</v>
      </c>
      <c r="AJ441">
        <v>46097</v>
      </c>
      <c r="AK441">
        <v>20800</v>
      </c>
      <c r="AL441" t="s">
        <v>396</v>
      </c>
      <c r="AM441" t="s">
        <v>1915</v>
      </c>
      <c r="AN441">
        <v>46097</v>
      </c>
      <c r="AO441">
        <v>46097.377812500003</v>
      </c>
      <c r="AP441" t="s">
        <v>51</v>
      </c>
      <c r="AQ441">
        <v>0.69545000000000001</v>
      </c>
      <c r="AR441">
        <v>14465.37</v>
      </c>
      <c r="AS441" t="s">
        <v>51</v>
      </c>
      <c r="AT441">
        <v>14465.37</v>
      </c>
      <c r="AU441" t="s">
        <v>415</v>
      </c>
      <c r="AV441" t="s">
        <v>416</v>
      </c>
      <c r="AW441" t="s">
        <v>1916</v>
      </c>
      <c r="AX441">
        <v>46102</v>
      </c>
      <c r="AY441">
        <v>46151</v>
      </c>
      <c r="AZ441" t="s">
        <v>1917</v>
      </c>
      <c r="BA441" t="s">
        <v>560</v>
      </c>
      <c r="BB441" t="s">
        <v>1918</v>
      </c>
      <c r="BC441">
        <v>130</v>
      </c>
      <c r="BD441" t="s">
        <v>521</v>
      </c>
      <c r="BE441">
        <v>12.42</v>
      </c>
      <c r="BF441">
        <v>10.984999999999999</v>
      </c>
      <c r="BG441" t="s">
        <v>522</v>
      </c>
      <c r="BH441">
        <v>395</v>
      </c>
      <c r="BI441">
        <v>295</v>
      </c>
      <c r="BJ441">
        <v>180</v>
      </c>
      <c r="BK441">
        <v>40</v>
      </c>
      <c r="BL441" t="s">
        <v>521</v>
      </c>
      <c r="BM441">
        <v>520.79999999999995</v>
      </c>
      <c r="BN441">
        <v>439.4</v>
      </c>
      <c r="BO441">
        <v>2083.1999999999998</v>
      </c>
      <c r="BP441" t="s">
        <v>522</v>
      </c>
      <c r="BQ441">
        <v>1200</v>
      </c>
      <c r="BR441">
        <v>800</v>
      </c>
      <c r="BS441">
        <v>1060</v>
      </c>
      <c r="BT441">
        <v>4</v>
      </c>
      <c r="BU441">
        <v>0</v>
      </c>
      <c r="BV441">
        <v>4</v>
      </c>
      <c r="BW441">
        <v>160</v>
      </c>
      <c r="BX441">
        <v>0</v>
      </c>
      <c r="BY441">
        <v>160</v>
      </c>
      <c r="BZ441">
        <v>20800</v>
      </c>
      <c r="CA441">
        <v>0</v>
      </c>
      <c r="CB441">
        <v>20800</v>
      </c>
      <c r="CC441">
        <v>1757.6</v>
      </c>
      <c r="CD441" t="s">
        <v>694</v>
      </c>
      <c r="CE441" t="s">
        <v>1088</v>
      </c>
      <c r="CG441" t="s">
        <v>421</v>
      </c>
      <c r="CN441" t="str">
        <v>M01</v>
      </c>
      <c r="CO441" t="str">
        <v>1459-1030040EN</v>
      </c>
      <c r="CP441" t="str">
        <v>MSCU5287590</v>
      </c>
      <c r="CQ441" s="23">
        <v>24.597999999999999</v>
      </c>
      <c r="CR441" s="25">
        <f t="shared" si="18"/>
        <v>2.1365472184438992E-3</v>
      </c>
      <c r="CS441" s="21">
        <f t="shared" si="19"/>
        <v>5.3413680461097481</v>
      </c>
    </row>
    <row r="442" spans="2:97" x14ac:dyDescent="0.35">
      <c r="B442" t="s">
        <v>297</v>
      </c>
      <c r="C442" t="s">
        <v>1919</v>
      </c>
      <c r="D442" t="s">
        <v>549</v>
      </c>
      <c r="E442" t="s">
        <v>395</v>
      </c>
      <c r="F442" t="s">
        <v>396</v>
      </c>
      <c r="G442" t="s">
        <v>397</v>
      </c>
      <c r="H442" t="s">
        <v>398</v>
      </c>
      <c r="I442" t="s">
        <v>399</v>
      </c>
      <c r="J442" t="s">
        <v>749</v>
      </c>
      <c r="K442" t="s">
        <v>401</v>
      </c>
      <c r="L442" t="s">
        <v>766</v>
      </c>
      <c r="M442" t="s">
        <v>403</v>
      </c>
      <c r="N442">
        <v>1</v>
      </c>
      <c r="O442">
        <v>1</v>
      </c>
      <c r="P442" t="s">
        <v>767</v>
      </c>
      <c r="Q442" t="s">
        <v>424</v>
      </c>
      <c r="R442" t="s">
        <v>552</v>
      </c>
      <c r="S442" t="s">
        <v>768</v>
      </c>
      <c r="T442" t="s">
        <v>408</v>
      </c>
      <c r="U442">
        <v>50950081375</v>
      </c>
      <c r="W442">
        <v>34560</v>
      </c>
      <c r="X442" t="s">
        <v>409</v>
      </c>
      <c r="Y442" t="s">
        <v>410</v>
      </c>
      <c r="Z442" t="s">
        <v>410</v>
      </c>
      <c r="AA442" t="s">
        <v>411</v>
      </c>
      <c r="AB442" t="s">
        <v>769</v>
      </c>
      <c r="AC442" t="s">
        <v>411</v>
      </c>
      <c r="AD442">
        <v>46095</v>
      </c>
      <c r="AE442">
        <v>46153</v>
      </c>
      <c r="AF442">
        <v>46102</v>
      </c>
      <c r="AG442" t="s">
        <v>770</v>
      </c>
      <c r="AH442">
        <v>6143182</v>
      </c>
      <c r="AI442">
        <v>46095</v>
      </c>
      <c r="AJ442">
        <v>46097</v>
      </c>
      <c r="AK442">
        <v>34560</v>
      </c>
      <c r="AL442" t="s">
        <v>396</v>
      </c>
      <c r="AM442" t="s">
        <v>1920</v>
      </c>
      <c r="AN442">
        <v>46097</v>
      </c>
      <c r="AO442">
        <v>46097.377812500003</v>
      </c>
      <c r="AP442" t="s">
        <v>51</v>
      </c>
      <c r="AQ442">
        <v>0.18359</v>
      </c>
      <c r="AR442">
        <v>6344.88</v>
      </c>
      <c r="AS442" t="s">
        <v>51</v>
      </c>
      <c r="AT442">
        <v>6344.88</v>
      </c>
      <c r="AU442" t="s">
        <v>415</v>
      </c>
      <c r="AV442" t="s">
        <v>416</v>
      </c>
      <c r="AW442" t="s">
        <v>1916</v>
      </c>
      <c r="AX442">
        <v>46102</v>
      </c>
      <c r="AY442">
        <v>46151</v>
      </c>
      <c r="AZ442" t="s">
        <v>1917</v>
      </c>
      <c r="BA442" t="s">
        <v>560</v>
      </c>
      <c r="BB442" t="s">
        <v>1918</v>
      </c>
      <c r="BC442">
        <v>240</v>
      </c>
      <c r="BD442" t="s">
        <v>521</v>
      </c>
      <c r="BE442">
        <v>2.5634000000000001</v>
      </c>
      <c r="BF442">
        <v>1.2864</v>
      </c>
      <c r="BG442" t="s">
        <v>522</v>
      </c>
      <c r="BH442">
        <v>340</v>
      </c>
      <c r="BI442">
        <v>250</v>
      </c>
      <c r="BJ442">
        <v>230</v>
      </c>
      <c r="BK442">
        <v>48</v>
      </c>
      <c r="BL442" t="s">
        <v>521</v>
      </c>
      <c r="BM442">
        <v>144.04320000000001</v>
      </c>
      <c r="BN442">
        <v>61.747199999999999</v>
      </c>
      <c r="BO442">
        <v>432.12959999999998</v>
      </c>
      <c r="BP442" t="s">
        <v>522</v>
      </c>
      <c r="BQ442">
        <v>1066</v>
      </c>
      <c r="BR442">
        <v>1066</v>
      </c>
      <c r="BS442">
        <v>1080</v>
      </c>
      <c r="BT442">
        <v>3</v>
      </c>
      <c r="BU442">
        <v>0</v>
      </c>
      <c r="BV442">
        <v>3</v>
      </c>
      <c r="BW442">
        <v>144</v>
      </c>
      <c r="BX442">
        <v>0</v>
      </c>
      <c r="BY442">
        <v>144</v>
      </c>
      <c r="BZ442">
        <v>34560</v>
      </c>
      <c r="CA442">
        <v>0</v>
      </c>
      <c r="CB442">
        <v>34560</v>
      </c>
      <c r="CC442">
        <v>185.24160000000001</v>
      </c>
      <c r="CD442" t="s">
        <v>562</v>
      </c>
      <c r="CE442" t="s">
        <v>563</v>
      </c>
      <c r="CG442" t="s">
        <v>421</v>
      </c>
      <c r="CN442" t="str">
        <v>M01</v>
      </c>
      <c r="CO442" t="str">
        <v>1459-1030040EN</v>
      </c>
      <c r="CP442" t="str">
        <v>MSCU5287590</v>
      </c>
      <c r="CQ442" s="23">
        <v>24.597999999999999</v>
      </c>
      <c r="CR442" s="25">
        <f t="shared" si="18"/>
        <v>2.1365472184438992E-3</v>
      </c>
      <c r="CS442" s="21">
        <f t="shared" si="19"/>
        <v>5.3413680461097481</v>
      </c>
    </row>
    <row r="443" spans="2:97" x14ac:dyDescent="0.35">
      <c r="B443" t="s">
        <v>299</v>
      </c>
      <c r="C443" t="s">
        <v>1921</v>
      </c>
      <c r="D443" t="s">
        <v>395</v>
      </c>
      <c r="E443" t="s">
        <v>395</v>
      </c>
      <c r="F443" t="s">
        <v>396</v>
      </c>
      <c r="G443" t="s">
        <v>397</v>
      </c>
      <c r="H443" t="s">
        <v>398</v>
      </c>
      <c r="I443" t="s">
        <v>399</v>
      </c>
      <c r="J443" t="s">
        <v>749</v>
      </c>
      <c r="K443" t="s">
        <v>533</v>
      </c>
      <c r="L443" t="s">
        <v>778</v>
      </c>
      <c r="M443" t="s">
        <v>403</v>
      </c>
      <c r="N443">
        <v>1</v>
      </c>
      <c r="O443">
        <v>1</v>
      </c>
      <c r="P443" t="s">
        <v>1922</v>
      </c>
      <c r="Q443" t="s">
        <v>430</v>
      </c>
      <c r="R443" t="s">
        <v>536</v>
      </c>
      <c r="S443" t="s">
        <v>1923</v>
      </c>
      <c r="T443" t="s">
        <v>408</v>
      </c>
      <c r="U443">
        <v>50950080281</v>
      </c>
      <c r="W443">
        <v>23520</v>
      </c>
      <c r="X443" t="s">
        <v>409</v>
      </c>
      <c r="Y443" t="s">
        <v>410</v>
      </c>
      <c r="Z443" t="s">
        <v>410</v>
      </c>
      <c r="AA443" t="s">
        <v>411</v>
      </c>
      <c r="AB443" t="s">
        <v>769</v>
      </c>
      <c r="AC443" t="s">
        <v>411</v>
      </c>
      <c r="AD443">
        <v>46095</v>
      </c>
      <c r="AE443">
        <v>46153</v>
      </c>
      <c r="AF443">
        <v>46102</v>
      </c>
      <c r="AG443" t="s">
        <v>781</v>
      </c>
      <c r="AH443">
        <v>6143183</v>
      </c>
      <c r="AI443">
        <v>46095</v>
      </c>
      <c r="AJ443">
        <v>46097</v>
      </c>
      <c r="AK443">
        <v>23520</v>
      </c>
      <c r="AL443" t="s">
        <v>396</v>
      </c>
      <c r="AM443" t="s">
        <v>1924</v>
      </c>
      <c r="AN443">
        <v>46097</v>
      </c>
      <c r="AO443">
        <v>46097.377812500003</v>
      </c>
      <c r="AP443" t="s">
        <v>51</v>
      </c>
      <c r="AQ443">
        <v>0.40716000000000002</v>
      </c>
      <c r="AR443">
        <v>9576.4</v>
      </c>
      <c r="AS443" t="s">
        <v>51</v>
      </c>
      <c r="AT443">
        <v>9576.4</v>
      </c>
      <c r="AU443" t="s">
        <v>415</v>
      </c>
      <c r="AV443" t="s">
        <v>416</v>
      </c>
      <c r="AW443" t="s">
        <v>1916</v>
      </c>
      <c r="AX443">
        <v>46102</v>
      </c>
      <c r="AY443">
        <v>46151</v>
      </c>
      <c r="AZ443" t="s">
        <v>1917</v>
      </c>
      <c r="BA443" t="s">
        <v>560</v>
      </c>
      <c r="BB443" t="s">
        <v>1918</v>
      </c>
      <c r="BC443">
        <v>392</v>
      </c>
      <c r="BD443" t="s">
        <v>521</v>
      </c>
      <c r="BE443">
        <v>10.1358</v>
      </c>
      <c r="BF443">
        <v>8.5378000000000007</v>
      </c>
      <c r="BG443" t="s">
        <v>522</v>
      </c>
      <c r="BH443">
        <v>395</v>
      </c>
      <c r="BI443">
        <v>295</v>
      </c>
      <c r="BJ443">
        <v>150</v>
      </c>
      <c r="BK443">
        <v>60</v>
      </c>
      <c r="BL443" t="s">
        <v>521</v>
      </c>
      <c r="BM443">
        <v>635.14559999999994</v>
      </c>
      <c r="BN443">
        <v>512.26559999999995</v>
      </c>
      <c r="BO443">
        <v>635.14559999999994</v>
      </c>
      <c r="BP443" t="s">
        <v>522</v>
      </c>
      <c r="BQ443">
        <v>1200</v>
      </c>
      <c r="BR443">
        <v>1000</v>
      </c>
      <c r="BS443">
        <v>1058</v>
      </c>
      <c r="BT443">
        <v>1</v>
      </c>
      <c r="BU443">
        <v>0</v>
      </c>
      <c r="BV443">
        <v>1</v>
      </c>
      <c r="BW443">
        <v>60</v>
      </c>
      <c r="BX443">
        <v>0</v>
      </c>
      <c r="BY443">
        <v>60</v>
      </c>
      <c r="BZ443">
        <v>23520</v>
      </c>
      <c r="CA443">
        <v>0</v>
      </c>
      <c r="CB443">
        <v>23520</v>
      </c>
      <c r="CC443">
        <v>512.26559999999995</v>
      </c>
      <c r="CD443" t="s">
        <v>799</v>
      </c>
      <c r="CE443" t="s">
        <v>1925</v>
      </c>
      <c r="CG443" t="s">
        <v>421</v>
      </c>
      <c r="CN443" t="str">
        <v>M01</v>
      </c>
      <c r="CO443" t="str">
        <v>1201-1030400EN</v>
      </c>
      <c r="CP443" t="str">
        <v>MSCU5287590</v>
      </c>
      <c r="CQ443" s="23">
        <v>224.244</v>
      </c>
      <c r="CR443" s="25">
        <f t="shared" si="18"/>
        <v>1.9477514206550684E-2</v>
      </c>
      <c r="CS443" s="21">
        <f t="shared" si="19"/>
        <v>48.693785516376707</v>
      </c>
    </row>
    <row r="444" spans="2:97" x14ac:dyDescent="0.35">
      <c r="B444" t="s">
        <v>299</v>
      </c>
      <c r="C444" t="s">
        <v>1504</v>
      </c>
      <c r="D444" t="s">
        <v>395</v>
      </c>
      <c r="E444" t="s">
        <v>395</v>
      </c>
      <c r="F444" t="s">
        <v>396</v>
      </c>
      <c r="G444" t="s">
        <v>397</v>
      </c>
      <c r="H444" t="s">
        <v>398</v>
      </c>
      <c r="I444" t="s">
        <v>399</v>
      </c>
      <c r="J444" t="s">
        <v>749</v>
      </c>
      <c r="K444" t="s">
        <v>629</v>
      </c>
      <c r="L444" t="s">
        <v>787</v>
      </c>
      <c r="M444" t="s">
        <v>403</v>
      </c>
      <c r="N444">
        <v>1</v>
      </c>
      <c r="O444">
        <v>2</v>
      </c>
      <c r="P444" t="s">
        <v>1177</v>
      </c>
      <c r="Q444" t="s">
        <v>637</v>
      </c>
      <c r="R444" t="s">
        <v>1128</v>
      </c>
      <c r="S444" t="s">
        <v>1178</v>
      </c>
      <c r="T444" t="s">
        <v>408</v>
      </c>
      <c r="U444">
        <v>50950078278</v>
      </c>
      <c r="W444">
        <v>4800</v>
      </c>
      <c r="X444" t="s">
        <v>409</v>
      </c>
      <c r="Y444" t="s">
        <v>410</v>
      </c>
      <c r="Z444" t="s">
        <v>410</v>
      </c>
      <c r="AA444" t="s">
        <v>411</v>
      </c>
      <c r="AB444" t="s">
        <v>769</v>
      </c>
      <c r="AC444" t="s">
        <v>411</v>
      </c>
      <c r="AD444">
        <v>46097</v>
      </c>
      <c r="AE444">
        <v>46153</v>
      </c>
      <c r="AF444">
        <v>46102</v>
      </c>
      <c r="AG444" t="s">
        <v>754</v>
      </c>
      <c r="AH444">
        <v>6143184</v>
      </c>
      <c r="AI444">
        <v>46095</v>
      </c>
      <c r="AJ444">
        <v>46097</v>
      </c>
      <c r="AK444">
        <v>4800</v>
      </c>
      <c r="AL444" t="s">
        <v>396</v>
      </c>
      <c r="AM444" t="s">
        <v>1926</v>
      </c>
      <c r="AN444">
        <v>46097</v>
      </c>
      <c r="AO444">
        <v>46097.377812500003</v>
      </c>
      <c r="AP444" t="s">
        <v>51</v>
      </c>
      <c r="AQ444">
        <v>1.1251800000000001</v>
      </c>
      <c r="AR444">
        <v>5400.86</v>
      </c>
      <c r="AS444" t="s">
        <v>51</v>
      </c>
      <c r="AT444">
        <v>5400.86</v>
      </c>
      <c r="AU444" t="s">
        <v>415</v>
      </c>
      <c r="AV444" t="s">
        <v>416</v>
      </c>
      <c r="AW444" t="s">
        <v>1916</v>
      </c>
      <c r="AX444">
        <v>46102</v>
      </c>
      <c r="AY444">
        <v>46151</v>
      </c>
      <c r="AZ444" t="s">
        <v>1917</v>
      </c>
      <c r="BA444" t="s">
        <v>560</v>
      </c>
      <c r="BB444" t="s">
        <v>1918</v>
      </c>
      <c r="BC444">
        <v>80</v>
      </c>
      <c r="BD444" t="s">
        <v>521</v>
      </c>
      <c r="BE444">
        <v>6.9805999999999999</v>
      </c>
      <c r="BF444">
        <v>3.0506000000000002</v>
      </c>
      <c r="BG444" t="s">
        <v>522</v>
      </c>
      <c r="BH444">
        <v>520</v>
      </c>
      <c r="BI444">
        <v>330</v>
      </c>
      <c r="BJ444">
        <v>190</v>
      </c>
      <c r="BK444">
        <v>30</v>
      </c>
      <c r="BL444" t="s">
        <v>521</v>
      </c>
      <c r="BM444">
        <v>235.41800000000001</v>
      </c>
      <c r="BN444">
        <v>91.518000000000001</v>
      </c>
      <c r="BO444">
        <v>470.83839999999998</v>
      </c>
      <c r="BP444" t="s">
        <v>522</v>
      </c>
      <c r="BQ444">
        <v>1066</v>
      </c>
      <c r="BR444">
        <v>1066</v>
      </c>
      <c r="BS444">
        <v>1100</v>
      </c>
      <c r="BT444">
        <v>2</v>
      </c>
      <c r="BU444">
        <v>0</v>
      </c>
      <c r="BV444">
        <v>2</v>
      </c>
      <c r="BW444">
        <v>60</v>
      </c>
      <c r="BX444">
        <v>0</v>
      </c>
      <c r="BY444">
        <v>60</v>
      </c>
      <c r="BZ444">
        <v>4800</v>
      </c>
      <c r="CA444">
        <v>0</v>
      </c>
      <c r="CB444">
        <v>4800</v>
      </c>
      <c r="CC444">
        <v>183.0384</v>
      </c>
      <c r="CD444" t="s">
        <v>1131</v>
      </c>
      <c r="CE444" t="s">
        <v>1132</v>
      </c>
      <c r="CG444" t="s">
        <v>421</v>
      </c>
      <c r="CN444" t="str">
        <v>M01</v>
      </c>
      <c r="CO444" t="str">
        <v>1277-1030069EN</v>
      </c>
      <c r="CP444" t="str">
        <v>MSCU5287590</v>
      </c>
      <c r="CQ444" s="23">
        <v>152.58000000000001</v>
      </c>
      <c r="CR444" s="25">
        <f t="shared" si="18"/>
        <v>1.3252881315154492E-2</v>
      </c>
      <c r="CS444" s="21">
        <f t="shared" si="19"/>
        <v>33.132203287886227</v>
      </c>
    </row>
    <row r="445" spans="2:97" x14ac:dyDescent="0.35">
      <c r="B445" t="s">
        <v>296</v>
      </c>
      <c r="C445" t="s">
        <v>1927</v>
      </c>
      <c r="D445" t="s">
        <v>395</v>
      </c>
      <c r="E445" t="s">
        <v>395</v>
      </c>
      <c r="F445" t="s">
        <v>396</v>
      </c>
      <c r="G445" t="s">
        <v>397</v>
      </c>
      <c r="H445" t="s">
        <v>398</v>
      </c>
      <c r="I445" t="s">
        <v>399</v>
      </c>
      <c r="J445" t="s">
        <v>749</v>
      </c>
      <c r="K445" t="s">
        <v>629</v>
      </c>
      <c r="L445" t="s">
        <v>787</v>
      </c>
      <c r="M445" t="s">
        <v>403</v>
      </c>
      <c r="N445">
        <v>1</v>
      </c>
      <c r="O445">
        <v>1</v>
      </c>
      <c r="P445" t="s">
        <v>1928</v>
      </c>
      <c r="Q445" t="s">
        <v>424</v>
      </c>
      <c r="R445" t="s">
        <v>803</v>
      </c>
      <c r="S445" t="s">
        <v>1929</v>
      </c>
      <c r="T445" t="s">
        <v>408</v>
      </c>
      <c r="U445">
        <v>50950078757</v>
      </c>
      <c r="W445">
        <v>28800</v>
      </c>
      <c r="X445" t="s">
        <v>409</v>
      </c>
      <c r="Y445" t="s">
        <v>410</v>
      </c>
      <c r="Z445" t="s">
        <v>410</v>
      </c>
      <c r="AA445" t="s">
        <v>411</v>
      </c>
      <c r="AB445" t="s">
        <v>769</v>
      </c>
      <c r="AC445" t="s">
        <v>411</v>
      </c>
      <c r="AD445">
        <v>46097</v>
      </c>
      <c r="AE445">
        <v>46125</v>
      </c>
      <c r="AF445">
        <v>46102</v>
      </c>
      <c r="AG445" t="s">
        <v>754</v>
      </c>
      <c r="AH445">
        <v>6143185</v>
      </c>
      <c r="AI445">
        <v>46095</v>
      </c>
      <c r="AJ445">
        <v>46097</v>
      </c>
      <c r="AK445">
        <v>28800</v>
      </c>
      <c r="AL445" t="s">
        <v>396</v>
      </c>
      <c r="AM445" t="s">
        <v>1930</v>
      </c>
      <c r="AN445">
        <v>46097</v>
      </c>
      <c r="AO445">
        <v>46097.377812500003</v>
      </c>
      <c r="AP445" t="s">
        <v>51</v>
      </c>
      <c r="AQ445">
        <v>0.46827999999999997</v>
      </c>
      <c r="AR445">
        <v>13486.47</v>
      </c>
      <c r="AS445" t="s">
        <v>51</v>
      </c>
      <c r="AT445">
        <v>13486.47</v>
      </c>
      <c r="AU445" t="s">
        <v>415</v>
      </c>
      <c r="AV445" t="s">
        <v>416</v>
      </c>
      <c r="AW445" t="s">
        <v>1916</v>
      </c>
      <c r="AX445">
        <v>46102</v>
      </c>
      <c r="AY445">
        <v>46151</v>
      </c>
      <c r="AZ445" t="s">
        <v>1917</v>
      </c>
      <c r="BA445" t="s">
        <v>560</v>
      </c>
      <c r="BB445" t="s">
        <v>1918</v>
      </c>
      <c r="BC445">
        <v>160</v>
      </c>
      <c r="BD445" t="s">
        <v>521</v>
      </c>
      <c r="BE445">
        <v>14.644299999999999</v>
      </c>
      <c r="BF445">
        <v>13.4643</v>
      </c>
      <c r="BG445" t="s">
        <v>522</v>
      </c>
      <c r="BH445">
        <v>395</v>
      </c>
      <c r="BI445">
        <v>295</v>
      </c>
      <c r="BJ445">
        <v>140</v>
      </c>
      <c r="BK445">
        <v>60</v>
      </c>
      <c r="BL445" t="s">
        <v>521</v>
      </c>
      <c r="BM445">
        <v>905.65800000000002</v>
      </c>
      <c r="BN445">
        <v>807.85799999999995</v>
      </c>
      <c r="BO445">
        <v>2716.9776000000002</v>
      </c>
      <c r="BP445" t="s">
        <v>522</v>
      </c>
      <c r="BQ445">
        <v>1200</v>
      </c>
      <c r="BR445">
        <v>1000</v>
      </c>
      <c r="BS445">
        <v>1000</v>
      </c>
      <c r="BT445">
        <v>3</v>
      </c>
      <c r="BU445">
        <v>0</v>
      </c>
      <c r="BV445">
        <v>3</v>
      </c>
      <c r="BW445">
        <v>180</v>
      </c>
      <c r="BX445">
        <v>0</v>
      </c>
      <c r="BY445">
        <v>180</v>
      </c>
      <c r="BZ445">
        <v>28800</v>
      </c>
      <c r="CA445">
        <v>0</v>
      </c>
      <c r="CB445">
        <v>28800</v>
      </c>
      <c r="CC445">
        <v>2423.5776000000001</v>
      </c>
      <c r="CD445" t="s">
        <v>850</v>
      </c>
      <c r="CE445" t="s">
        <v>1931</v>
      </c>
      <c r="CG445" t="s">
        <v>421</v>
      </c>
      <c r="CN445" t="str">
        <v>MCS</v>
      </c>
      <c r="CO445" t="str">
        <v>1326-5YY0039EN</v>
      </c>
      <c r="CP445" t="str">
        <v>MSCU5287590</v>
      </c>
      <c r="CQ445" s="23">
        <v>76.675799999999995</v>
      </c>
      <c r="CR445" s="25">
        <f t="shared" si="18"/>
        <v>6.6599506956647172E-3</v>
      </c>
      <c r="CS445" s="21">
        <f t="shared" si="19"/>
        <v>16.649876739161794</v>
      </c>
    </row>
    <row r="446" spans="2:97" x14ac:dyDescent="0.35">
      <c r="B446" t="s">
        <v>296</v>
      </c>
      <c r="C446" t="s">
        <v>1932</v>
      </c>
      <c r="D446" t="s">
        <v>395</v>
      </c>
      <c r="E446" t="s">
        <v>395</v>
      </c>
      <c r="F446" t="s">
        <v>396</v>
      </c>
      <c r="G446" t="s">
        <v>397</v>
      </c>
      <c r="H446" t="s">
        <v>398</v>
      </c>
      <c r="I446" t="s">
        <v>399</v>
      </c>
      <c r="J446" t="s">
        <v>749</v>
      </c>
      <c r="K446" t="s">
        <v>629</v>
      </c>
      <c r="L446" t="s">
        <v>787</v>
      </c>
      <c r="M446" t="s">
        <v>403</v>
      </c>
      <c r="N446">
        <v>1</v>
      </c>
      <c r="O446">
        <v>1</v>
      </c>
      <c r="P446" t="s">
        <v>802</v>
      </c>
      <c r="Q446" t="s">
        <v>405</v>
      </c>
      <c r="R446" t="s">
        <v>803</v>
      </c>
      <c r="S446" t="s">
        <v>804</v>
      </c>
      <c r="T446" t="s">
        <v>408</v>
      </c>
      <c r="U446">
        <v>50950078768</v>
      </c>
      <c r="W446">
        <v>51840</v>
      </c>
      <c r="X446" t="s">
        <v>409</v>
      </c>
      <c r="Y446" t="s">
        <v>410</v>
      </c>
      <c r="Z446" t="s">
        <v>410</v>
      </c>
      <c r="AA446" t="s">
        <v>411</v>
      </c>
      <c r="AB446" t="s">
        <v>769</v>
      </c>
      <c r="AC446" t="s">
        <v>411</v>
      </c>
      <c r="AD446">
        <v>46097</v>
      </c>
      <c r="AE446">
        <v>46132</v>
      </c>
      <c r="AF446">
        <v>46102</v>
      </c>
      <c r="AG446" t="s">
        <v>754</v>
      </c>
      <c r="AH446">
        <v>6143186</v>
      </c>
      <c r="AI446">
        <v>46095</v>
      </c>
      <c r="AJ446">
        <v>46097</v>
      </c>
      <c r="AK446">
        <v>51840</v>
      </c>
      <c r="AL446" t="s">
        <v>396</v>
      </c>
      <c r="AM446" t="s">
        <v>1933</v>
      </c>
      <c r="AN446">
        <v>46097</v>
      </c>
      <c r="AO446">
        <v>46097.377812500003</v>
      </c>
      <c r="AP446" t="s">
        <v>51</v>
      </c>
      <c r="AQ446">
        <v>0.30101</v>
      </c>
      <c r="AR446">
        <v>15604.35</v>
      </c>
      <c r="AS446" t="s">
        <v>51</v>
      </c>
      <c r="AT446">
        <v>15604.35</v>
      </c>
      <c r="AU446" t="s">
        <v>415</v>
      </c>
      <c r="AV446" t="s">
        <v>416</v>
      </c>
      <c r="AW446" t="s">
        <v>1916</v>
      </c>
      <c r="AX446">
        <v>46102</v>
      </c>
      <c r="AY446">
        <v>46151</v>
      </c>
      <c r="AZ446" t="s">
        <v>1917</v>
      </c>
      <c r="BA446" t="s">
        <v>560</v>
      </c>
      <c r="BB446" t="s">
        <v>1918</v>
      </c>
      <c r="BC446">
        <v>288</v>
      </c>
      <c r="BD446" t="s">
        <v>521</v>
      </c>
      <c r="BE446">
        <v>13.2311</v>
      </c>
      <c r="BF446">
        <v>11.8161</v>
      </c>
      <c r="BG446" t="s">
        <v>522</v>
      </c>
      <c r="BH446">
        <v>395</v>
      </c>
      <c r="BI446">
        <v>295</v>
      </c>
      <c r="BJ446">
        <v>160</v>
      </c>
      <c r="BK446">
        <v>60</v>
      </c>
      <c r="BL446" t="s">
        <v>521</v>
      </c>
      <c r="BM446">
        <v>820.86599999999999</v>
      </c>
      <c r="BN446">
        <v>708.96600000000001</v>
      </c>
      <c r="BO446">
        <v>2462.5915199999999</v>
      </c>
      <c r="BP446" t="s">
        <v>522</v>
      </c>
      <c r="BQ446">
        <v>1200</v>
      </c>
      <c r="BR446">
        <v>1000</v>
      </c>
      <c r="BS446">
        <v>1120</v>
      </c>
      <c r="BT446">
        <v>3</v>
      </c>
      <c r="BU446">
        <v>0</v>
      </c>
      <c r="BV446">
        <v>3</v>
      </c>
      <c r="BW446">
        <v>180</v>
      </c>
      <c r="BX446">
        <v>0</v>
      </c>
      <c r="BY446">
        <v>180</v>
      </c>
      <c r="BZ446">
        <v>51840</v>
      </c>
      <c r="CA446">
        <v>0</v>
      </c>
      <c r="CB446">
        <v>51840</v>
      </c>
      <c r="CC446">
        <v>2126.8915200000001</v>
      </c>
      <c r="CD446" t="s">
        <v>806</v>
      </c>
      <c r="CE446" t="s">
        <v>807</v>
      </c>
      <c r="CG446" t="s">
        <v>421</v>
      </c>
      <c r="CN446" t="str">
        <v>M19</v>
      </c>
      <c r="CO446" t="str">
        <v>1459-5YY0364EN</v>
      </c>
      <c r="CP446" t="str">
        <v>MSCU5287590</v>
      </c>
      <c r="CQ446" s="23">
        <v>29.584399999999999</v>
      </c>
      <c r="CR446" s="25">
        <f t="shared" si="18"/>
        <v>2.5696588149171353E-3</v>
      </c>
      <c r="CS446" s="21">
        <f t="shared" si="19"/>
        <v>6.4241470372928386</v>
      </c>
    </row>
    <row r="447" spans="2:97" x14ac:dyDescent="0.35">
      <c r="B447" t="s">
        <v>296</v>
      </c>
      <c r="C447" t="s">
        <v>1934</v>
      </c>
      <c r="D447" t="s">
        <v>395</v>
      </c>
      <c r="E447" t="s">
        <v>395</v>
      </c>
      <c r="F447" t="s">
        <v>396</v>
      </c>
      <c r="G447" t="s">
        <v>397</v>
      </c>
      <c r="H447" t="s">
        <v>398</v>
      </c>
      <c r="I447" t="s">
        <v>399</v>
      </c>
      <c r="J447" t="s">
        <v>749</v>
      </c>
      <c r="K447" t="s">
        <v>629</v>
      </c>
      <c r="L447" t="s">
        <v>787</v>
      </c>
      <c r="M447" t="s">
        <v>403</v>
      </c>
      <c r="N447">
        <v>1</v>
      </c>
      <c r="O447">
        <v>2</v>
      </c>
      <c r="P447" t="s">
        <v>911</v>
      </c>
      <c r="Q447" t="s">
        <v>424</v>
      </c>
      <c r="R447" t="s">
        <v>912</v>
      </c>
      <c r="S447" t="s">
        <v>913</v>
      </c>
      <c r="T447" t="s">
        <v>408</v>
      </c>
      <c r="U447">
        <v>50950079713</v>
      </c>
      <c r="W447">
        <v>60000</v>
      </c>
      <c r="X447" t="s">
        <v>409</v>
      </c>
      <c r="Y447" t="s">
        <v>410</v>
      </c>
      <c r="Z447" t="s">
        <v>410</v>
      </c>
      <c r="AA447" t="s">
        <v>411</v>
      </c>
      <c r="AB447" t="s">
        <v>769</v>
      </c>
      <c r="AC447" t="s">
        <v>411</v>
      </c>
      <c r="AD447">
        <v>46094</v>
      </c>
      <c r="AE447">
        <v>46104</v>
      </c>
      <c r="AF447">
        <v>46102</v>
      </c>
      <c r="AG447" t="s">
        <v>754</v>
      </c>
      <c r="AH447">
        <v>6143187</v>
      </c>
      <c r="AI447">
        <v>46095</v>
      </c>
      <c r="AJ447">
        <v>46097</v>
      </c>
      <c r="AK447">
        <v>60000</v>
      </c>
      <c r="AL447" t="s">
        <v>396</v>
      </c>
      <c r="AM447" t="s">
        <v>1935</v>
      </c>
      <c r="AN447">
        <v>46097</v>
      </c>
      <c r="AO447">
        <v>46097.377812500003</v>
      </c>
      <c r="AP447" t="s">
        <v>51</v>
      </c>
      <c r="AQ447">
        <v>6.123E-2</v>
      </c>
      <c r="AR447">
        <v>3673.8</v>
      </c>
      <c r="AS447" t="s">
        <v>51</v>
      </c>
      <c r="AT447">
        <v>3673.8</v>
      </c>
      <c r="AU447" t="s">
        <v>415</v>
      </c>
      <c r="AV447" t="s">
        <v>416</v>
      </c>
      <c r="AW447" t="s">
        <v>1916</v>
      </c>
      <c r="AX447">
        <v>46102</v>
      </c>
      <c r="AY447">
        <v>46151</v>
      </c>
      <c r="AZ447" t="s">
        <v>1917</v>
      </c>
      <c r="BA447" t="s">
        <v>560</v>
      </c>
      <c r="BB447" t="s">
        <v>1918</v>
      </c>
      <c r="BC447">
        <v>1200</v>
      </c>
      <c r="BD447" t="s">
        <v>521</v>
      </c>
      <c r="BE447">
        <v>7.0679999999999996</v>
      </c>
      <c r="BF447">
        <v>6.1980000000000004</v>
      </c>
      <c r="BG447" t="s">
        <v>522</v>
      </c>
      <c r="BH447">
        <v>595</v>
      </c>
      <c r="BI447">
        <v>395</v>
      </c>
      <c r="BJ447">
        <v>190</v>
      </c>
      <c r="BK447">
        <v>25</v>
      </c>
      <c r="BL447" t="s">
        <v>521</v>
      </c>
      <c r="BM447">
        <v>203.7</v>
      </c>
      <c r="BN447">
        <v>154.94999999999999</v>
      </c>
      <c r="BO447">
        <v>407.4</v>
      </c>
      <c r="BP447" t="s">
        <v>522</v>
      </c>
      <c r="BQ447">
        <v>1200</v>
      </c>
      <c r="BR447">
        <v>1000</v>
      </c>
      <c r="BS447">
        <v>1088</v>
      </c>
      <c r="BT447">
        <v>2</v>
      </c>
      <c r="BU447">
        <v>0</v>
      </c>
      <c r="BV447">
        <v>2</v>
      </c>
      <c r="BW447">
        <v>50</v>
      </c>
      <c r="BX447">
        <v>0</v>
      </c>
      <c r="BY447">
        <v>50</v>
      </c>
      <c r="BZ447">
        <v>60000</v>
      </c>
      <c r="CA447">
        <v>0</v>
      </c>
      <c r="CB447">
        <v>60000</v>
      </c>
      <c r="CC447">
        <v>309.89999999999998</v>
      </c>
      <c r="CD447" t="s">
        <v>842</v>
      </c>
      <c r="CE447" t="s">
        <v>898</v>
      </c>
      <c r="CG447" t="s">
        <v>421</v>
      </c>
      <c r="CN447" t="str">
        <v>M19</v>
      </c>
      <c r="CO447" t="str">
        <v>1459-5YY0363EN</v>
      </c>
      <c r="CP447" t="str">
        <v>MSCU5287590</v>
      </c>
      <c r="CQ447" s="23">
        <v>33.746000000000002</v>
      </c>
      <c r="CR447" s="25">
        <f t="shared" si="18"/>
        <v>2.931129459045769E-3</v>
      </c>
      <c r="CS447" s="21">
        <f t="shared" si="19"/>
        <v>7.327823647614423</v>
      </c>
    </row>
    <row r="448" spans="2:97" x14ac:dyDescent="0.35">
      <c r="B448" t="s">
        <v>299</v>
      </c>
      <c r="C448" t="s">
        <v>1380</v>
      </c>
      <c r="D448" t="s">
        <v>965</v>
      </c>
      <c r="E448" t="s">
        <v>395</v>
      </c>
      <c r="F448" t="s">
        <v>396</v>
      </c>
      <c r="G448" t="s">
        <v>397</v>
      </c>
      <c r="H448" t="s">
        <v>398</v>
      </c>
      <c r="I448" t="s">
        <v>399</v>
      </c>
      <c r="J448" t="s">
        <v>749</v>
      </c>
      <c r="K448" t="s">
        <v>809</v>
      </c>
      <c r="L448" t="s">
        <v>787</v>
      </c>
      <c r="M448" t="s">
        <v>403</v>
      </c>
      <c r="N448">
        <v>1</v>
      </c>
      <c r="O448">
        <v>8</v>
      </c>
      <c r="P448" t="s">
        <v>810</v>
      </c>
      <c r="Q448" t="s">
        <v>405</v>
      </c>
      <c r="R448" t="s">
        <v>811</v>
      </c>
      <c r="S448" t="s">
        <v>812</v>
      </c>
      <c r="T448" t="s">
        <v>408</v>
      </c>
      <c r="U448">
        <v>50950080270</v>
      </c>
      <c r="W448">
        <v>1920</v>
      </c>
      <c r="X448" t="s">
        <v>409</v>
      </c>
      <c r="Y448" t="s">
        <v>410</v>
      </c>
      <c r="Z448" t="s">
        <v>410</v>
      </c>
      <c r="AA448" t="s">
        <v>411</v>
      </c>
      <c r="AB448" t="s">
        <v>769</v>
      </c>
      <c r="AC448" t="s">
        <v>411</v>
      </c>
      <c r="AD448">
        <v>46095</v>
      </c>
      <c r="AE448">
        <v>46125</v>
      </c>
      <c r="AF448">
        <v>46102</v>
      </c>
      <c r="AG448" t="s">
        <v>754</v>
      </c>
      <c r="AH448">
        <v>6143188</v>
      </c>
      <c r="AI448">
        <v>46095</v>
      </c>
      <c r="AJ448">
        <v>46097</v>
      </c>
      <c r="AK448">
        <v>1920</v>
      </c>
      <c r="AL448" t="s">
        <v>396</v>
      </c>
      <c r="AM448" t="s">
        <v>1936</v>
      </c>
      <c r="AN448">
        <v>46097</v>
      </c>
      <c r="AO448">
        <v>46097.377812500003</v>
      </c>
      <c r="AP448" t="s">
        <v>51</v>
      </c>
      <c r="AQ448">
        <v>1.96204</v>
      </c>
      <c r="AR448">
        <v>3767.12</v>
      </c>
      <c r="AS448" t="s">
        <v>51</v>
      </c>
      <c r="AT448">
        <v>3767.12</v>
      </c>
      <c r="AU448" t="s">
        <v>415</v>
      </c>
      <c r="AV448" t="s">
        <v>416</v>
      </c>
      <c r="AW448" t="s">
        <v>1916</v>
      </c>
      <c r="AX448">
        <v>46102</v>
      </c>
      <c r="AY448">
        <v>46151</v>
      </c>
      <c r="AZ448" t="s">
        <v>1917</v>
      </c>
      <c r="BA448" t="s">
        <v>560</v>
      </c>
      <c r="BB448" t="s">
        <v>1918</v>
      </c>
      <c r="BC448">
        <v>16</v>
      </c>
      <c r="BD448" t="s">
        <v>521</v>
      </c>
      <c r="BE448">
        <v>4.9545000000000003</v>
      </c>
      <c r="BF448">
        <v>3.7555000000000001</v>
      </c>
      <c r="BG448" t="s">
        <v>522</v>
      </c>
      <c r="BH448">
        <v>495</v>
      </c>
      <c r="BI448">
        <v>395</v>
      </c>
      <c r="BJ448">
        <v>190</v>
      </c>
      <c r="BK448">
        <v>30</v>
      </c>
      <c r="BL448" t="s">
        <v>521</v>
      </c>
      <c r="BM448">
        <v>175.63499999999999</v>
      </c>
      <c r="BN448">
        <v>112.66500000000001</v>
      </c>
      <c r="BO448">
        <v>702.54240000000004</v>
      </c>
      <c r="BP448" t="s">
        <v>522</v>
      </c>
      <c r="BQ448">
        <v>1200</v>
      </c>
      <c r="BR448">
        <v>1000</v>
      </c>
      <c r="BS448">
        <v>1120</v>
      </c>
      <c r="BT448">
        <v>4</v>
      </c>
      <c r="BU448">
        <v>0</v>
      </c>
      <c r="BV448">
        <v>4</v>
      </c>
      <c r="BW448">
        <v>120</v>
      </c>
      <c r="BX448">
        <v>0</v>
      </c>
      <c r="BY448">
        <v>120</v>
      </c>
      <c r="BZ448">
        <v>1920</v>
      </c>
      <c r="CA448">
        <v>0</v>
      </c>
      <c r="CB448">
        <v>1920</v>
      </c>
      <c r="CC448">
        <v>450.66239999999999</v>
      </c>
      <c r="CD448" t="s">
        <v>806</v>
      </c>
      <c r="CE448" t="s">
        <v>816</v>
      </c>
      <c r="CG448" t="s">
        <v>421</v>
      </c>
      <c r="CN448" t="str">
        <v>M19</v>
      </c>
      <c r="CO448" t="str">
        <v>1330-5YY0167EN</v>
      </c>
      <c r="CP448" t="str">
        <v>MSCU5287590</v>
      </c>
      <c r="CQ448" s="23">
        <v>175.2276</v>
      </c>
      <c r="CR448" s="25">
        <f t="shared" si="18"/>
        <v>1.5220019569664208E-2</v>
      </c>
      <c r="CS448" s="21">
        <f t="shared" si="19"/>
        <v>38.050048924160521</v>
      </c>
    </row>
    <row r="449" spans="2:97" x14ac:dyDescent="0.35">
      <c r="B449" t="s">
        <v>299</v>
      </c>
      <c r="C449" t="s">
        <v>1937</v>
      </c>
      <c r="D449" t="s">
        <v>395</v>
      </c>
      <c r="E449" t="s">
        <v>395</v>
      </c>
      <c r="F449" t="s">
        <v>396</v>
      </c>
      <c r="G449" t="s">
        <v>397</v>
      </c>
      <c r="H449" t="s">
        <v>398</v>
      </c>
      <c r="I449" t="s">
        <v>399</v>
      </c>
      <c r="J449" t="s">
        <v>749</v>
      </c>
      <c r="K449" t="s">
        <v>809</v>
      </c>
      <c r="L449" t="s">
        <v>787</v>
      </c>
      <c r="M449" t="s">
        <v>403</v>
      </c>
      <c r="N449">
        <v>1</v>
      </c>
      <c r="O449">
        <v>1</v>
      </c>
      <c r="P449" t="s">
        <v>818</v>
      </c>
      <c r="Q449" t="s">
        <v>430</v>
      </c>
      <c r="R449" t="s">
        <v>811</v>
      </c>
      <c r="S449" t="s">
        <v>819</v>
      </c>
      <c r="T449" t="s">
        <v>408</v>
      </c>
      <c r="U449">
        <v>50950080296</v>
      </c>
      <c r="W449">
        <v>2880</v>
      </c>
      <c r="X449" t="s">
        <v>409</v>
      </c>
      <c r="Y449" t="s">
        <v>410</v>
      </c>
      <c r="Z449" t="s">
        <v>410</v>
      </c>
      <c r="AA449" t="s">
        <v>411</v>
      </c>
      <c r="AB449" t="s">
        <v>769</v>
      </c>
      <c r="AC449" t="s">
        <v>411</v>
      </c>
      <c r="AD449">
        <v>46095</v>
      </c>
      <c r="AE449">
        <v>46132</v>
      </c>
      <c r="AF449">
        <v>46102</v>
      </c>
      <c r="AG449" t="s">
        <v>754</v>
      </c>
      <c r="AH449">
        <v>6143189</v>
      </c>
      <c r="AI449">
        <v>46095</v>
      </c>
      <c r="AJ449">
        <v>46097</v>
      </c>
      <c r="AK449">
        <v>2880</v>
      </c>
      <c r="AL449" t="s">
        <v>396</v>
      </c>
      <c r="AM449" t="s">
        <v>1938</v>
      </c>
      <c r="AN449">
        <v>46097</v>
      </c>
      <c r="AO449">
        <v>46097.377812500003</v>
      </c>
      <c r="AP449" t="s">
        <v>51</v>
      </c>
      <c r="AQ449">
        <v>1.20448</v>
      </c>
      <c r="AR449">
        <v>3468.9</v>
      </c>
      <c r="AS449" t="s">
        <v>51</v>
      </c>
      <c r="AT449">
        <v>3468.9</v>
      </c>
      <c r="AU449" t="s">
        <v>415</v>
      </c>
      <c r="AV449" t="s">
        <v>416</v>
      </c>
      <c r="AW449" t="s">
        <v>1916</v>
      </c>
      <c r="AX449">
        <v>46102</v>
      </c>
      <c r="AY449">
        <v>46151</v>
      </c>
      <c r="AZ449" t="s">
        <v>1917</v>
      </c>
      <c r="BA449" t="s">
        <v>560</v>
      </c>
      <c r="BB449" t="s">
        <v>1918</v>
      </c>
      <c r="BC449">
        <v>48</v>
      </c>
      <c r="BD449" t="s">
        <v>521</v>
      </c>
      <c r="BE449">
        <v>7.6898999999999997</v>
      </c>
      <c r="BF449">
        <v>6.2298999999999998</v>
      </c>
      <c r="BG449" t="s">
        <v>522</v>
      </c>
      <c r="BH449">
        <v>495</v>
      </c>
      <c r="BI449">
        <v>395</v>
      </c>
      <c r="BJ449">
        <v>190</v>
      </c>
      <c r="BK449">
        <v>30</v>
      </c>
      <c r="BL449" t="s">
        <v>521</v>
      </c>
      <c r="BM449">
        <v>257.697</v>
      </c>
      <c r="BN449">
        <v>186.89699999999999</v>
      </c>
      <c r="BO449">
        <v>515.39520000000005</v>
      </c>
      <c r="BP449" t="s">
        <v>522</v>
      </c>
      <c r="BQ449">
        <v>1200</v>
      </c>
      <c r="BR449">
        <v>1000</v>
      </c>
      <c r="BS449">
        <v>1120</v>
      </c>
      <c r="BT449">
        <v>2</v>
      </c>
      <c r="BU449">
        <v>0</v>
      </c>
      <c r="BV449">
        <v>2</v>
      </c>
      <c r="BW449">
        <v>60</v>
      </c>
      <c r="BX449">
        <v>0</v>
      </c>
      <c r="BY449">
        <v>60</v>
      </c>
      <c r="BZ449">
        <v>2880</v>
      </c>
      <c r="CA449">
        <v>0</v>
      </c>
      <c r="CB449">
        <v>2880</v>
      </c>
      <c r="CC449">
        <v>373.79520000000002</v>
      </c>
      <c r="CD449" t="s">
        <v>806</v>
      </c>
      <c r="CE449" t="s">
        <v>821</v>
      </c>
      <c r="CG449" t="s">
        <v>421</v>
      </c>
      <c r="CN449" t="str">
        <v>MCS</v>
      </c>
      <c r="CO449" t="str">
        <v>1209-5YY0223-TKEN</v>
      </c>
      <c r="CP449" t="str">
        <v>MSCU5287590</v>
      </c>
      <c r="CQ449" s="23">
        <v>42.711399999999998</v>
      </c>
      <c r="CR449" s="25">
        <f t="shared" si="18"/>
        <v>3.7098513239224636E-3</v>
      </c>
      <c r="CS449" s="21">
        <f t="shared" si="19"/>
        <v>9.2746283098061593</v>
      </c>
    </row>
    <row r="450" spans="2:97" x14ac:dyDescent="0.35">
      <c r="B450" t="s">
        <v>297</v>
      </c>
      <c r="C450" t="s">
        <v>1939</v>
      </c>
      <c r="D450" t="s">
        <v>395</v>
      </c>
      <c r="E450" t="s">
        <v>395</v>
      </c>
      <c r="F450" t="s">
        <v>396</v>
      </c>
      <c r="G450" t="s">
        <v>397</v>
      </c>
      <c r="H450" t="s">
        <v>398</v>
      </c>
      <c r="I450" t="s">
        <v>399</v>
      </c>
      <c r="J450" t="s">
        <v>749</v>
      </c>
      <c r="K450" t="s">
        <v>629</v>
      </c>
      <c r="L450" t="s">
        <v>787</v>
      </c>
      <c r="M450" t="s">
        <v>403</v>
      </c>
      <c r="N450">
        <v>1</v>
      </c>
      <c r="O450">
        <v>1</v>
      </c>
      <c r="P450" t="s">
        <v>1117</v>
      </c>
      <c r="Q450" t="s">
        <v>405</v>
      </c>
      <c r="R450" t="s">
        <v>1112</v>
      </c>
      <c r="S450" t="s">
        <v>1113</v>
      </c>
      <c r="T450" t="s">
        <v>408</v>
      </c>
      <c r="U450">
        <v>50950080489</v>
      </c>
      <c r="W450">
        <v>12800</v>
      </c>
      <c r="X450" t="s">
        <v>409</v>
      </c>
      <c r="Y450" t="s">
        <v>410</v>
      </c>
      <c r="Z450" t="s">
        <v>410</v>
      </c>
      <c r="AA450" t="s">
        <v>411</v>
      </c>
      <c r="AB450" t="s">
        <v>769</v>
      </c>
      <c r="AC450" t="s">
        <v>411</v>
      </c>
      <c r="AD450">
        <v>46095</v>
      </c>
      <c r="AE450">
        <v>46153</v>
      </c>
      <c r="AF450">
        <v>46102</v>
      </c>
      <c r="AG450" t="s">
        <v>754</v>
      </c>
      <c r="AH450">
        <v>6143190</v>
      </c>
      <c r="AI450">
        <v>46095</v>
      </c>
      <c r="AJ450">
        <v>46097</v>
      </c>
      <c r="AK450">
        <v>12800</v>
      </c>
      <c r="AL450" t="s">
        <v>396</v>
      </c>
      <c r="AM450" t="s">
        <v>1940</v>
      </c>
      <c r="AN450">
        <v>46097</v>
      </c>
      <c r="AO450">
        <v>46097.377812500003</v>
      </c>
      <c r="AP450" t="s">
        <v>51</v>
      </c>
      <c r="AQ450">
        <v>0.11779000000000001</v>
      </c>
      <c r="AR450">
        <v>1507.71</v>
      </c>
      <c r="AS450" t="s">
        <v>51</v>
      </c>
      <c r="AT450">
        <v>1507.71</v>
      </c>
      <c r="AU450" t="s">
        <v>415</v>
      </c>
      <c r="AV450" t="s">
        <v>416</v>
      </c>
      <c r="AW450" t="s">
        <v>1916</v>
      </c>
      <c r="AX450">
        <v>46102</v>
      </c>
      <c r="AY450">
        <v>46151</v>
      </c>
      <c r="AZ450" t="s">
        <v>1917</v>
      </c>
      <c r="BA450" t="s">
        <v>560</v>
      </c>
      <c r="BB450" t="s">
        <v>1918</v>
      </c>
      <c r="BC450">
        <v>320</v>
      </c>
      <c r="BD450" t="s">
        <v>521</v>
      </c>
      <c r="BE450">
        <v>8.7653999999999996</v>
      </c>
      <c r="BF450">
        <v>7.4854000000000003</v>
      </c>
      <c r="BG450" t="s">
        <v>522</v>
      </c>
      <c r="BH450">
        <v>595</v>
      </c>
      <c r="BI450">
        <v>395</v>
      </c>
      <c r="BJ450">
        <v>225</v>
      </c>
      <c r="BK450">
        <v>20</v>
      </c>
      <c r="BL450" t="s">
        <v>521</v>
      </c>
      <c r="BM450">
        <v>202.30799999999999</v>
      </c>
      <c r="BN450">
        <v>149.708</v>
      </c>
      <c r="BO450">
        <v>404.61759999999998</v>
      </c>
      <c r="BP450" t="s">
        <v>522</v>
      </c>
      <c r="BQ450">
        <v>1200</v>
      </c>
      <c r="BR450">
        <v>1000</v>
      </c>
      <c r="BS450">
        <v>1060</v>
      </c>
      <c r="BT450">
        <v>2</v>
      </c>
      <c r="BU450">
        <v>0</v>
      </c>
      <c r="BV450">
        <v>2</v>
      </c>
      <c r="BW450">
        <v>40</v>
      </c>
      <c r="BX450">
        <v>0</v>
      </c>
      <c r="BY450">
        <v>40</v>
      </c>
      <c r="BZ450">
        <v>12800</v>
      </c>
      <c r="CA450">
        <v>0</v>
      </c>
      <c r="CB450">
        <v>12800</v>
      </c>
      <c r="CC450">
        <v>299.41759999999999</v>
      </c>
      <c r="CD450" t="s">
        <v>793</v>
      </c>
      <c r="CE450" t="s">
        <v>1115</v>
      </c>
      <c r="CG450" t="s">
        <v>421</v>
      </c>
      <c r="CN450" t="str">
        <v>MCS</v>
      </c>
      <c r="CO450" t="str">
        <v>1326-5YY0036EN</v>
      </c>
      <c r="CP450" t="str">
        <v>MSCU5287590</v>
      </c>
      <c r="CQ450" s="23">
        <v>48.875</v>
      </c>
      <c r="CR450" s="25">
        <f t="shared" si="18"/>
        <v>4.2452128344355466E-3</v>
      </c>
      <c r="CS450" s="21">
        <f t="shared" si="19"/>
        <v>10.613032086088866</v>
      </c>
    </row>
    <row r="451" spans="2:97" x14ac:dyDescent="0.35">
      <c r="B451" t="s">
        <v>297</v>
      </c>
      <c r="C451" t="s">
        <v>1941</v>
      </c>
      <c r="D451" t="s">
        <v>395</v>
      </c>
      <c r="E451" t="s">
        <v>395</v>
      </c>
      <c r="F451" t="s">
        <v>396</v>
      </c>
      <c r="G451" t="s">
        <v>397</v>
      </c>
      <c r="H451" t="s">
        <v>398</v>
      </c>
      <c r="I451" t="s">
        <v>399</v>
      </c>
      <c r="J451" t="s">
        <v>749</v>
      </c>
      <c r="K451" t="s">
        <v>629</v>
      </c>
      <c r="L451" t="s">
        <v>787</v>
      </c>
      <c r="M451" t="s">
        <v>403</v>
      </c>
      <c r="N451">
        <v>1</v>
      </c>
      <c r="O451">
        <v>1</v>
      </c>
      <c r="P451" t="s">
        <v>1589</v>
      </c>
      <c r="Q451" t="s">
        <v>637</v>
      </c>
      <c r="R451" t="s">
        <v>1483</v>
      </c>
      <c r="S451" t="s">
        <v>1484</v>
      </c>
      <c r="T451" t="s">
        <v>408</v>
      </c>
      <c r="U451">
        <v>50950080498</v>
      </c>
      <c r="W451">
        <v>18000</v>
      </c>
      <c r="X451" t="s">
        <v>409</v>
      </c>
      <c r="Y451" t="s">
        <v>410</v>
      </c>
      <c r="Z451" t="s">
        <v>410</v>
      </c>
      <c r="AA451" t="s">
        <v>411</v>
      </c>
      <c r="AB451" t="s">
        <v>769</v>
      </c>
      <c r="AC451" t="s">
        <v>411</v>
      </c>
      <c r="AD451">
        <v>46095</v>
      </c>
      <c r="AE451">
        <v>46153</v>
      </c>
      <c r="AF451">
        <v>46102</v>
      </c>
      <c r="AG451" t="s">
        <v>754</v>
      </c>
      <c r="AH451">
        <v>6143191</v>
      </c>
      <c r="AI451">
        <v>46095</v>
      </c>
      <c r="AJ451">
        <v>46097</v>
      </c>
      <c r="AK451">
        <v>18000</v>
      </c>
      <c r="AL451" t="s">
        <v>396</v>
      </c>
      <c r="AM451" t="s">
        <v>1942</v>
      </c>
      <c r="AN451">
        <v>46097</v>
      </c>
      <c r="AO451">
        <v>46097.377812500003</v>
      </c>
      <c r="AP451" t="s">
        <v>51</v>
      </c>
      <c r="AQ451">
        <v>3.8539999999999998E-2</v>
      </c>
      <c r="AR451">
        <v>693.72</v>
      </c>
      <c r="AS451" t="s">
        <v>51</v>
      </c>
      <c r="AT451">
        <v>693.72</v>
      </c>
      <c r="AU451" t="s">
        <v>415</v>
      </c>
      <c r="AV451" t="s">
        <v>416</v>
      </c>
      <c r="AW451" t="s">
        <v>1916</v>
      </c>
      <c r="AX451">
        <v>46102</v>
      </c>
      <c r="AY451">
        <v>46151</v>
      </c>
      <c r="AZ451" t="s">
        <v>1917</v>
      </c>
      <c r="BA451" t="s">
        <v>560</v>
      </c>
      <c r="BB451" t="s">
        <v>1918</v>
      </c>
      <c r="BC451">
        <v>900</v>
      </c>
      <c r="BD451" t="s">
        <v>521</v>
      </c>
      <c r="BE451">
        <v>4.2458</v>
      </c>
      <c r="BF451">
        <v>3.5388000000000002</v>
      </c>
      <c r="BG451" t="s">
        <v>522</v>
      </c>
      <c r="BH451">
        <v>395</v>
      </c>
      <c r="BI451">
        <v>295</v>
      </c>
      <c r="BJ451">
        <v>150</v>
      </c>
      <c r="BK451">
        <v>60</v>
      </c>
      <c r="BL451" t="s">
        <v>521</v>
      </c>
      <c r="BM451">
        <v>111.916</v>
      </c>
      <c r="BN451">
        <v>70.775999999999996</v>
      </c>
      <c r="BO451">
        <v>111.916</v>
      </c>
      <c r="BP451" t="s">
        <v>522</v>
      </c>
      <c r="BQ451">
        <v>1200</v>
      </c>
      <c r="BR451">
        <v>1000</v>
      </c>
      <c r="BS451">
        <v>1058</v>
      </c>
      <c r="BT451">
        <v>0</v>
      </c>
      <c r="BU451">
        <v>1</v>
      </c>
      <c r="BV451">
        <v>1</v>
      </c>
      <c r="BW451">
        <v>20</v>
      </c>
      <c r="BX451">
        <v>0</v>
      </c>
      <c r="BY451">
        <v>20</v>
      </c>
      <c r="BZ451">
        <v>0</v>
      </c>
      <c r="CA451">
        <v>18000</v>
      </c>
      <c r="CB451">
        <v>18000</v>
      </c>
      <c r="CC451">
        <v>70.775999999999996</v>
      </c>
      <c r="CD451" t="s">
        <v>799</v>
      </c>
      <c r="CE451" t="s">
        <v>1591</v>
      </c>
      <c r="CG451" t="s">
        <v>421</v>
      </c>
      <c r="CN451" t="str">
        <v>MCS</v>
      </c>
      <c r="CO451" t="str">
        <v>1326-5YY0038EN</v>
      </c>
      <c r="CP451" t="str">
        <v>MSCU5287590</v>
      </c>
      <c r="CQ451" s="23">
        <v>36.247999999999998</v>
      </c>
      <c r="CR451" s="25">
        <f t="shared" si="18"/>
        <v>3.1484496127390216E-3</v>
      </c>
      <c r="CS451" s="21">
        <f t="shared" si="19"/>
        <v>7.8711240318475539</v>
      </c>
    </row>
    <row r="452" spans="2:97" x14ac:dyDescent="0.35">
      <c r="B452" t="s">
        <v>297</v>
      </c>
      <c r="C452" t="s">
        <v>1943</v>
      </c>
      <c r="D452" t="s">
        <v>395</v>
      </c>
      <c r="E452" t="s">
        <v>395</v>
      </c>
      <c r="F452" t="s">
        <v>396</v>
      </c>
      <c r="G452" t="s">
        <v>397</v>
      </c>
      <c r="H452" t="s">
        <v>398</v>
      </c>
      <c r="I452" t="s">
        <v>399</v>
      </c>
      <c r="J452" t="s">
        <v>749</v>
      </c>
      <c r="K452" t="s">
        <v>629</v>
      </c>
      <c r="L452" t="s">
        <v>787</v>
      </c>
      <c r="M452" t="s">
        <v>403</v>
      </c>
      <c r="N452">
        <v>1</v>
      </c>
      <c r="O452">
        <v>1</v>
      </c>
      <c r="P452" t="s">
        <v>1944</v>
      </c>
      <c r="Q452" t="s">
        <v>424</v>
      </c>
      <c r="R452" t="s">
        <v>1112</v>
      </c>
      <c r="S452" t="s">
        <v>1113</v>
      </c>
      <c r="T452" t="s">
        <v>408</v>
      </c>
      <c r="U452">
        <v>50950080798</v>
      </c>
      <c r="W452">
        <v>9600</v>
      </c>
      <c r="X452" t="s">
        <v>409</v>
      </c>
      <c r="Y452" t="s">
        <v>410</v>
      </c>
      <c r="Z452" t="s">
        <v>410</v>
      </c>
      <c r="AA452" t="s">
        <v>411</v>
      </c>
      <c r="AB452" t="s">
        <v>769</v>
      </c>
      <c r="AC452" t="s">
        <v>411</v>
      </c>
      <c r="AD452">
        <v>46095</v>
      </c>
      <c r="AE452">
        <v>46153</v>
      </c>
      <c r="AF452">
        <v>46102</v>
      </c>
      <c r="AG452" t="s">
        <v>754</v>
      </c>
      <c r="AH452">
        <v>6143192</v>
      </c>
      <c r="AI452">
        <v>46095</v>
      </c>
      <c r="AJ452">
        <v>46097</v>
      </c>
      <c r="AK452">
        <v>9600</v>
      </c>
      <c r="AL452" t="s">
        <v>396</v>
      </c>
      <c r="AM452" t="s">
        <v>1945</v>
      </c>
      <c r="AN452">
        <v>46097</v>
      </c>
      <c r="AO452">
        <v>46097.377812500003</v>
      </c>
      <c r="AP452" t="s">
        <v>51</v>
      </c>
      <c r="AQ452">
        <v>0.12271</v>
      </c>
      <c r="AR452">
        <v>1178.01</v>
      </c>
      <c r="AS452" t="s">
        <v>51</v>
      </c>
      <c r="AT452">
        <v>1178.01</v>
      </c>
      <c r="AU452" t="s">
        <v>415</v>
      </c>
      <c r="AV452" t="s">
        <v>416</v>
      </c>
      <c r="AW452" t="s">
        <v>1916</v>
      </c>
      <c r="AX452">
        <v>46102</v>
      </c>
      <c r="AY452">
        <v>46151</v>
      </c>
      <c r="AZ452" t="s">
        <v>1917</v>
      </c>
      <c r="BA452" t="s">
        <v>560</v>
      </c>
      <c r="BB452" t="s">
        <v>1918</v>
      </c>
      <c r="BC452">
        <v>160</v>
      </c>
      <c r="BD452" t="s">
        <v>521</v>
      </c>
      <c r="BE452">
        <v>4.3602999999999996</v>
      </c>
      <c r="BF452">
        <v>3.4533</v>
      </c>
      <c r="BG452" t="s">
        <v>522</v>
      </c>
      <c r="BH452">
        <v>395</v>
      </c>
      <c r="BI452">
        <v>295</v>
      </c>
      <c r="BJ452">
        <v>270</v>
      </c>
      <c r="BK452">
        <v>30</v>
      </c>
      <c r="BL452" t="s">
        <v>521</v>
      </c>
      <c r="BM452">
        <v>157.809</v>
      </c>
      <c r="BN452">
        <v>103.599</v>
      </c>
      <c r="BO452">
        <v>315.61680000000001</v>
      </c>
      <c r="BP452" t="s">
        <v>522</v>
      </c>
      <c r="BQ452">
        <v>1200</v>
      </c>
      <c r="BR452">
        <v>1000</v>
      </c>
      <c r="BS452">
        <v>918</v>
      </c>
      <c r="BT452">
        <v>2</v>
      </c>
      <c r="BU452">
        <v>0</v>
      </c>
      <c r="BV452">
        <v>2</v>
      </c>
      <c r="BW452">
        <v>60</v>
      </c>
      <c r="BX452">
        <v>0</v>
      </c>
      <c r="BY452">
        <v>60</v>
      </c>
      <c r="BZ452">
        <v>9600</v>
      </c>
      <c r="CA452">
        <v>0</v>
      </c>
      <c r="CB452">
        <v>9600</v>
      </c>
      <c r="CC452">
        <v>207.1968</v>
      </c>
      <c r="CD452" t="s">
        <v>633</v>
      </c>
      <c r="CE452" t="s">
        <v>634</v>
      </c>
      <c r="CG452" t="s">
        <v>421</v>
      </c>
      <c r="CN452" t="str">
        <v>M19</v>
      </c>
      <c r="CO452" t="str">
        <v>1330-5YY0251EN</v>
      </c>
      <c r="CP452" t="str">
        <v>MSCU5287590</v>
      </c>
      <c r="CQ452" s="23">
        <v>1741.3612800000001</v>
      </c>
      <c r="CR452" s="25">
        <f t="shared" si="18"/>
        <v>0.15125215867509181</v>
      </c>
      <c r="CS452" s="21">
        <f t="shared" si="19"/>
        <v>378.13039668772956</v>
      </c>
    </row>
    <row r="453" spans="2:97" x14ac:dyDescent="0.35">
      <c r="B453" t="s">
        <v>299</v>
      </c>
      <c r="C453" t="s">
        <v>1946</v>
      </c>
      <c r="D453" t="s">
        <v>965</v>
      </c>
      <c r="E453" t="s">
        <v>395</v>
      </c>
      <c r="F453" t="s">
        <v>396</v>
      </c>
      <c r="G453" t="s">
        <v>397</v>
      </c>
      <c r="H453" t="s">
        <v>398</v>
      </c>
      <c r="I453" t="s">
        <v>399</v>
      </c>
      <c r="J453" t="s">
        <v>749</v>
      </c>
      <c r="K453" t="s">
        <v>629</v>
      </c>
      <c r="L453" t="s">
        <v>787</v>
      </c>
      <c r="M453" t="s">
        <v>403</v>
      </c>
      <c r="N453">
        <v>1</v>
      </c>
      <c r="O453">
        <v>1</v>
      </c>
      <c r="P453" t="s">
        <v>1127</v>
      </c>
      <c r="Q453" t="s">
        <v>405</v>
      </c>
      <c r="R453" t="s">
        <v>1128</v>
      </c>
      <c r="S453" t="s">
        <v>1129</v>
      </c>
      <c r="T453" t="s">
        <v>408</v>
      </c>
      <c r="U453">
        <v>50950081017</v>
      </c>
      <c r="W453">
        <v>9600</v>
      </c>
      <c r="X453" t="s">
        <v>409</v>
      </c>
      <c r="Y453" t="s">
        <v>410</v>
      </c>
      <c r="Z453" t="s">
        <v>410</v>
      </c>
      <c r="AA453" t="s">
        <v>411</v>
      </c>
      <c r="AB453" t="s">
        <v>769</v>
      </c>
      <c r="AC453" t="s">
        <v>411</v>
      </c>
      <c r="AD453">
        <v>46095</v>
      </c>
      <c r="AE453">
        <v>46153</v>
      </c>
      <c r="AF453">
        <v>46102</v>
      </c>
      <c r="AG453" t="s">
        <v>754</v>
      </c>
      <c r="AH453">
        <v>6143193</v>
      </c>
      <c r="AI453">
        <v>46095</v>
      </c>
      <c r="AJ453">
        <v>46097</v>
      </c>
      <c r="AK453">
        <v>9600</v>
      </c>
      <c r="AL453" t="s">
        <v>396</v>
      </c>
      <c r="AM453" t="s">
        <v>1947</v>
      </c>
      <c r="AN453">
        <v>46097</v>
      </c>
      <c r="AO453">
        <v>46097.377812500003</v>
      </c>
      <c r="AP453" t="s">
        <v>51</v>
      </c>
      <c r="AQ453">
        <v>2.1219100000000002</v>
      </c>
      <c r="AR453">
        <v>20370.32</v>
      </c>
      <c r="AS453" t="s">
        <v>51</v>
      </c>
      <c r="AT453">
        <v>20370.32</v>
      </c>
      <c r="AU453" t="s">
        <v>415</v>
      </c>
      <c r="AV453" t="s">
        <v>416</v>
      </c>
      <c r="AW453" t="s">
        <v>1916</v>
      </c>
      <c r="AX453">
        <v>46102</v>
      </c>
      <c r="AY453">
        <v>46151</v>
      </c>
      <c r="AZ453" t="s">
        <v>1917</v>
      </c>
      <c r="BA453" t="s">
        <v>560</v>
      </c>
      <c r="BB453" t="s">
        <v>1918</v>
      </c>
      <c r="BC453">
        <v>80</v>
      </c>
      <c r="BD453" t="s">
        <v>521</v>
      </c>
      <c r="BE453">
        <v>9.6</v>
      </c>
      <c r="BF453">
        <v>5.67</v>
      </c>
      <c r="BG453" t="s">
        <v>522</v>
      </c>
      <c r="BH453">
        <v>520</v>
      </c>
      <c r="BI453">
        <v>330</v>
      </c>
      <c r="BJ453">
        <v>190</v>
      </c>
      <c r="BK453">
        <v>30</v>
      </c>
      <c r="BL453" t="s">
        <v>521</v>
      </c>
      <c r="BM453">
        <v>314</v>
      </c>
      <c r="BN453">
        <v>170.1</v>
      </c>
      <c r="BO453">
        <v>1256</v>
      </c>
      <c r="BP453" t="s">
        <v>522</v>
      </c>
      <c r="BQ453">
        <v>1066</v>
      </c>
      <c r="BR453">
        <v>1066</v>
      </c>
      <c r="BS453">
        <v>1100</v>
      </c>
      <c r="BT453">
        <v>4</v>
      </c>
      <c r="BU453">
        <v>0</v>
      </c>
      <c r="BV453">
        <v>4</v>
      </c>
      <c r="BW453">
        <v>120</v>
      </c>
      <c r="BX453">
        <v>0</v>
      </c>
      <c r="BY453">
        <v>120</v>
      </c>
      <c r="BZ453">
        <v>9600</v>
      </c>
      <c r="CA453">
        <v>0</v>
      </c>
      <c r="CB453">
        <v>9600</v>
      </c>
      <c r="CC453">
        <v>680.4</v>
      </c>
      <c r="CD453" t="s">
        <v>1131</v>
      </c>
      <c r="CE453" t="s">
        <v>1132</v>
      </c>
      <c r="CG453" t="s">
        <v>421</v>
      </c>
      <c r="CN453" t="str">
        <v>M46</v>
      </c>
      <c r="CO453" t="str">
        <v>1318-EQN0001EN</v>
      </c>
      <c r="CP453" t="str">
        <v>MSCU5287590</v>
      </c>
      <c r="CQ453" s="23">
        <v>31.702000000000002</v>
      </c>
      <c r="CR453" s="25">
        <f t="shared" si="18"/>
        <v>2.75359053252738E-3</v>
      </c>
      <c r="CS453" s="21">
        <f t="shared" si="19"/>
        <v>6.8839763313184497</v>
      </c>
    </row>
    <row r="454" spans="2:97" x14ac:dyDescent="0.35">
      <c r="B454" t="s">
        <v>299</v>
      </c>
      <c r="C454" t="s">
        <v>1948</v>
      </c>
      <c r="D454" t="s">
        <v>395</v>
      </c>
      <c r="E454" t="s">
        <v>395</v>
      </c>
      <c r="F454" t="s">
        <v>396</v>
      </c>
      <c r="G454" t="s">
        <v>397</v>
      </c>
      <c r="H454" t="s">
        <v>398</v>
      </c>
      <c r="I454" t="s">
        <v>399</v>
      </c>
      <c r="J454" t="s">
        <v>749</v>
      </c>
      <c r="K454" t="s">
        <v>809</v>
      </c>
      <c r="L454" t="s">
        <v>787</v>
      </c>
      <c r="M454" t="s">
        <v>403</v>
      </c>
      <c r="N454">
        <v>1</v>
      </c>
      <c r="O454">
        <v>1</v>
      </c>
      <c r="P454" t="s">
        <v>828</v>
      </c>
      <c r="Q454" t="s">
        <v>587</v>
      </c>
      <c r="R454" t="s">
        <v>811</v>
      </c>
      <c r="S454" t="s">
        <v>829</v>
      </c>
      <c r="T454" t="s">
        <v>408</v>
      </c>
      <c r="U454">
        <v>50950081254</v>
      </c>
      <c r="W454">
        <v>960</v>
      </c>
      <c r="X454" t="s">
        <v>409</v>
      </c>
      <c r="Y454" t="s">
        <v>410</v>
      </c>
      <c r="Z454" t="s">
        <v>410</v>
      </c>
      <c r="AA454" t="s">
        <v>411</v>
      </c>
      <c r="AB454" t="s">
        <v>769</v>
      </c>
      <c r="AC454" t="s">
        <v>411</v>
      </c>
      <c r="AD454">
        <v>46095</v>
      </c>
      <c r="AE454">
        <v>46153</v>
      </c>
      <c r="AF454">
        <v>46102</v>
      </c>
      <c r="AG454" t="s">
        <v>754</v>
      </c>
      <c r="AH454">
        <v>6143194</v>
      </c>
      <c r="AI454">
        <v>46095</v>
      </c>
      <c r="AJ454">
        <v>46097</v>
      </c>
      <c r="AK454">
        <v>960</v>
      </c>
      <c r="AL454" t="s">
        <v>396</v>
      </c>
      <c r="AM454" t="s">
        <v>1949</v>
      </c>
      <c r="AN454">
        <v>46097</v>
      </c>
      <c r="AO454">
        <v>46097.377812500003</v>
      </c>
      <c r="AP454" t="s">
        <v>51</v>
      </c>
      <c r="AQ454">
        <v>1.8924799999999999</v>
      </c>
      <c r="AR454">
        <v>1816.78</v>
      </c>
      <c r="AS454" t="s">
        <v>51</v>
      </c>
      <c r="AT454">
        <v>1816.78</v>
      </c>
      <c r="AU454" t="s">
        <v>415</v>
      </c>
      <c r="AV454" t="s">
        <v>416</v>
      </c>
      <c r="AW454" t="s">
        <v>1916</v>
      </c>
      <c r="AX454">
        <v>46102</v>
      </c>
      <c r="AY454">
        <v>46151</v>
      </c>
      <c r="AZ454" t="s">
        <v>1917</v>
      </c>
      <c r="BA454" t="s">
        <v>560</v>
      </c>
      <c r="BB454" t="s">
        <v>1918</v>
      </c>
      <c r="BC454">
        <v>16</v>
      </c>
      <c r="BD454" t="s">
        <v>521</v>
      </c>
      <c r="BE454">
        <v>4.9409000000000001</v>
      </c>
      <c r="BF454">
        <v>3.7418999999999998</v>
      </c>
      <c r="BG454" t="s">
        <v>522</v>
      </c>
      <c r="BH454">
        <v>495</v>
      </c>
      <c r="BI454">
        <v>395</v>
      </c>
      <c r="BJ454">
        <v>190</v>
      </c>
      <c r="BK454">
        <v>30</v>
      </c>
      <c r="BL454" t="s">
        <v>521</v>
      </c>
      <c r="BM454">
        <v>175.227</v>
      </c>
      <c r="BN454">
        <v>112.25700000000001</v>
      </c>
      <c r="BO454">
        <v>350.45519999999999</v>
      </c>
      <c r="BP454" t="s">
        <v>522</v>
      </c>
      <c r="BQ454">
        <v>1200</v>
      </c>
      <c r="BR454">
        <v>1000</v>
      </c>
      <c r="BS454">
        <v>1120</v>
      </c>
      <c r="BT454">
        <v>2</v>
      </c>
      <c r="BU454">
        <v>0</v>
      </c>
      <c r="BV454">
        <v>2</v>
      </c>
      <c r="BW454">
        <v>60</v>
      </c>
      <c r="BX454">
        <v>0</v>
      </c>
      <c r="BY454">
        <v>60</v>
      </c>
      <c r="BZ454">
        <v>960</v>
      </c>
      <c r="CA454">
        <v>0</v>
      </c>
      <c r="CB454">
        <v>960</v>
      </c>
      <c r="CC454">
        <v>224.51519999999999</v>
      </c>
      <c r="CD454" t="s">
        <v>806</v>
      </c>
      <c r="CE454" t="s">
        <v>816</v>
      </c>
      <c r="CG454" t="s">
        <v>421</v>
      </c>
      <c r="CN454" t="str">
        <v>M23</v>
      </c>
      <c r="CO454" t="str">
        <v>1307-1060077EN</v>
      </c>
      <c r="CP454" t="str">
        <v>MSCU5287590</v>
      </c>
      <c r="CQ454" s="23">
        <v>776.16319999999996</v>
      </c>
      <c r="CR454" s="25">
        <f t="shared" ref="CR454:CR517" si="20">IFERROR(CQ454/(SUMIFS(CQ:CQ,CP:CP,CP454)),100%)</f>
        <v>6.7416429222640697E-2</v>
      </c>
      <c r="CS454" s="21">
        <f t="shared" si="19"/>
        <v>168.54107305660173</v>
      </c>
    </row>
    <row r="455" spans="2:97" x14ac:dyDescent="0.35">
      <c r="B455" t="s">
        <v>297</v>
      </c>
      <c r="C455" t="s">
        <v>1950</v>
      </c>
      <c r="D455" t="s">
        <v>395</v>
      </c>
      <c r="E455" t="s">
        <v>395</v>
      </c>
      <c r="F455" t="s">
        <v>396</v>
      </c>
      <c r="G455" t="s">
        <v>397</v>
      </c>
      <c r="H455" t="s">
        <v>398</v>
      </c>
      <c r="I455" t="s">
        <v>399</v>
      </c>
      <c r="J455" t="s">
        <v>749</v>
      </c>
      <c r="K455" t="s">
        <v>629</v>
      </c>
      <c r="L455" t="s">
        <v>787</v>
      </c>
      <c r="M455" t="s">
        <v>403</v>
      </c>
      <c r="N455">
        <v>1</v>
      </c>
      <c r="O455">
        <v>1</v>
      </c>
      <c r="P455" t="s">
        <v>1951</v>
      </c>
      <c r="Q455" t="s">
        <v>430</v>
      </c>
      <c r="R455" t="s">
        <v>905</v>
      </c>
      <c r="S455" t="s">
        <v>906</v>
      </c>
      <c r="T455" t="s">
        <v>408</v>
      </c>
      <c r="U455">
        <v>50950081409</v>
      </c>
      <c r="W455">
        <v>18000</v>
      </c>
      <c r="X455" t="s">
        <v>409</v>
      </c>
      <c r="Y455" t="s">
        <v>410</v>
      </c>
      <c r="Z455" t="s">
        <v>410</v>
      </c>
      <c r="AA455" t="s">
        <v>411</v>
      </c>
      <c r="AB455" t="s">
        <v>769</v>
      </c>
      <c r="AC455" t="s">
        <v>411</v>
      </c>
      <c r="AD455">
        <v>46095</v>
      </c>
      <c r="AE455">
        <v>46153</v>
      </c>
      <c r="AF455">
        <v>46102</v>
      </c>
      <c r="AG455" t="s">
        <v>754</v>
      </c>
      <c r="AH455">
        <v>6143195</v>
      </c>
      <c r="AI455">
        <v>46095</v>
      </c>
      <c r="AJ455">
        <v>46097</v>
      </c>
      <c r="AK455">
        <v>18000</v>
      </c>
      <c r="AL455" t="s">
        <v>396</v>
      </c>
      <c r="AM455" t="s">
        <v>1952</v>
      </c>
      <c r="AN455">
        <v>46097</v>
      </c>
      <c r="AO455">
        <v>46097.377812500003</v>
      </c>
      <c r="AP455" t="s">
        <v>51</v>
      </c>
      <c r="AQ455">
        <v>0.11395</v>
      </c>
      <c r="AR455">
        <v>2051.1</v>
      </c>
      <c r="AS455" t="s">
        <v>51</v>
      </c>
      <c r="AT455">
        <v>2051.1</v>
      </c>
      <c r="AU455" t="s">
        <v>415</v>
      </c>
      <c r="AV455" t="s">
        <v>416</v>
      </c>
      <c r="AW455" t="s">
        <v>1916</v>
      </c>
      <c r="AX455">
        <v>46102</v>
      </c>
      <c r="AY455">
        <v>46151</v>
      </c>
      <c r="AZ455" t="s">
        <v>1917</v>
      </c>
      <c r="BA455" t="s">
        <v>560</v>
      </c>
      <c r="BB455" t="s">
        <v>1918</v>
      </c>
      <c r="BC455">
        <v>900</v>
      </c>
      <c r="BD455" t="s">
        <v>521</v>
      </c>
      <c r="BE455">
        <v>7.319</v>
      </c>
      <c r="BF455">
        <v>6.4080000000000004</v>
      </c>
      <c r="BG455" t="s">
        <v>522</v>
      </c>
      <c r="BH455">
        <v>395</v>
      </c>
      <c r="BI455">
        <v>295</v>
      </c>
      <c r="BJ455">
        <v>270</v>
      </c>
      <c r="BK455">
        <v>30</v>
      </c>
      <c r="BL455" t="s">
        <v>521</v>
      </c>
      <c r="BM455">
        <v>173.38</v>
      </c>
      <c r="BN455">
        <v>128.16</v>
      </c>
      <c r="BO455">
        <v>173.38</v>
      </c>
      <c r="BP455" t="s">
        <v>522</v>
      </c>
      <c r="BQ455">
        <v>1200</v>
      </c>
      <c r="BR455">
        <v>1000</v>
      </c>
      <c r="BS455">
        <v>984</v>
      </c>
      <c r="BT455">
        <v>0</v>
      </c>
      <c r="BU455">
        <v>1</v>
      </c>
      <c r="BV455">
        <v>1</v>
      </c>
      <c r="BW455">
        <v>20</v>
      </c>
      <c r="BX455">
        <v>0</v>
      </c>
      <c r="BY455">
        <v>20</v>
      </c>
      <c r="BZ455">
        <v>0</v>
      </c>
      <c r="CA455">
        <v>18000</v>
      </c>
      <c r="CB455">
        <v>18000</v>
      </c>
      <c r="CC455">
        <v>128.16</v>
      </c>
      <c r="CD455" t="s">
        <v>908</v>
      </c>
      <c r="CE455" t="s">
        <v>909</v>
      </c>
      <c r="CG455" t="s">
        <v>421</v>
      </c>
      <c r="CN455" t="str">
        <v>M46</v>
      </c>
      <c r="CO455" t="str">
        <v>1318-1JC0016EN</v>
      </c>
      <c r="CP455" t="str">
        <v>MSCU5287590</v>
      </c>
      <c r="CQ455" s="23">
        <v>122.46</v>
      </c>
      <c r="CR455" s="25">
        <f t="shared" si="20"/>
        <v>1.0636701047672165E-2</v>
      </c>
      <c r="CS455" s="21">
        <f t="shared" ref="CS455:CS518" si="21">CR455*$CS$2</f>
        <v>26.591752619180411</v>
      </c>
    </row>
    <row r="456" spans="2:97" x14ac:dyDescent="0.35">
      <c r="B456" t="s">
        <v>296</v>
      </c>
      <c r="C456" t="s">
        <v>1953</v>
      </c>
      <c r="D456" t="s">
        <v>395</v>
      </c>
      <c r="E456" t="s">
        <v>395</v>
      </c>
      <c r="F456" t="s">
        <v>396</v>
      </c>
      <c r="G456" t="s">
        <v>397</v>
      </c>
      <c r="H456" t="s">
        <v>398</v>
      </c>
      <c r="I456" t="s">
        <v>399</v>
      </c>
      <c r="J456" t="s">
        <v>749</v>
      </c>
      <c r="K456" t="s">
        <v>1142</v>
      </c>
      <c r="L456" t="s">
        <v>787</v>
      </c>
      <c r="M456" t="s">
        <v>403</v>
      </c>
      <c r="N456">
        <v>1</v>
      </c>
      <c r="O456">
        <v>1</v>
      </c>
      <c r="P456" t="s">
        <v>1158</v>
      </c>
      <c r="Q456" t="s">
        <v>405</v>
      </c>
      <c r="R456" t="s">
        <v>1159</v>
      </c>
      <c r="S456" t="s">
        <v>1160</v>
      </c>
      <c r="T456" t="s">
        <v>408</v>
      </c>
      <c r="U456">
        <v>50950081425</v>
      </c>
      <c r="W456">
        <v>30240</v>
      </c>
      <c r="X456" t="s">
        <v>409</v>
      </c>
      <c r="Y456" t="s">
        <v>410</v>
      </c>
      <c r="Z456" t="s">
        <v>410</v>
      </c>
      <c r="AA456" t="s">
        <v>411</v>
      </c>
      <c r="AB456" t="s">
        <v>769</v>
      </c>
      <c r="AC456" t="s">
        <v>411</v>
      </c>
      <c r="AD456">
        <v>46095</v>
      </c>
      <c r="AE456">
        <v>46167</v>
      </c>
      <c r="AF456">
        <v>46102</v>
      </c>
      <c r="AG456" t="s">
        <v>754</v>
      </c>
      <c r="AH456">
        <v>6143196</v>
      </c>
      <c r="AI456">
        <v>46095</v>
      </c>
      <c r="AJ456">
        <v>46097</v>
      </c>
      <c r="AK456">
        <v>30240</v>
      </c>
      <c r="AL456" t="s">
        <v>396</v>
      </c>
      <c r="AM456" t="s">
        <v>1954</v>
      </c>
      <c r="AN456">
        <v>46097</v>
      </c>
      <c r="AO456">
        <v>46097.377812500003</v>
      </c>
      <c r="AP456" t="s">
        <v>51</v>
      </c>
      <c r="AQ456">
        <v>7.1290000000000006E-2</v>
      </c>
      <c r="AR456">
        <v>2155.8000000000002</v>
      </c>
      <c r="AS456" t="s">
        <v>51</v>
      </c>
      <c r="AT456">
        <v>2155.8000000000002</v>
      </c>
      <c r="AU456" t="s">
        <v>415</v>
      </c>
      <c r="AV456" t="s">
        <v>416</v>
      </c>
      <c r="AW456" t="s">
        <v>1916</v>
      </c>
      <c r="AX456">
        <v>46102</v>
      </c>
      <c r="AY456">
        <v>46151</v>
      </c>
      <c r="AZ456" t="s">
        <v>1917</v>
      </c>
      <c r="BA456" t="s">
        <v>560</v>
      </c>
      <c r="BB456" t="s">
        <v>1918</v>
      </c>
      <c r="BC456">
        <v>15120</v>
      </c>
      <c r="BD456" t="s">
        <v>521</v>
      </c>
      <c r="BE456">
        <v>659.16880000000003</v>
      </c>
      <c r="BF456">
        <v>638.66880000000003</v>
      </c>
      <c r="BG456" t="s">
        <v>522</v>
      </c>
      <c r="BH456">
        <v>1050</v>
      </c>
      <c r="BI456">
        <v>480</v>
      </c>
      <c r="BJ456">
        <v>460</v>
      </c>
      <c r="BK456">
        <v>1</v>
      </c>
      <c r="BL456" t="s">
        <v>521</v>
      </c>
      <c r="BM456">
        <v>659.16890000000001</v>
      </c>
      <c r="BN456">
        <v>638.66880000000003</v>
      </c>
      <c r="BO456">
        <v>1318.3378</v>
      </c>
      <c r="BP456" t="s">
        <v>522</v>
      </c>
      <c r="BQ456">
        <v>1050</v>
      </c>
      <c r="BR456">
        <v>480</v>
      </c>
      <c r="BS456">
        <v>480</v>
      </c>
      <c r="BT456">
        <v>2</v>
      </c>
      <c r="BU456">
        <v>0</v>
      </c>
      <c r="BV456">
        <v>2</v>
      </c>
      <c r="BW456">
        <v>2</v>
      </c>
      <c r="BX456">
        <v>0</v>
      </c>
      <c r="BY456">
        <v>2</v>
      </c>
      <c r="BZ456">
        <v>30240</v>
      </c>
      <c r="CA456">
        <v>0</v>
      </c>
      <c r="CB456">
        <v>30240</v>
      </c>
      <c r="CC456">
        <v>1277.3376000000001</v>
      </c>
      <c r="CD456" t="s">
        <v>641</v>
      </c>
      <c r="CE456" t="s">
        <v>1147</v>
      </c>
      <c r="CG456" t="s">
        <v>421</v>
      </c>
      <c r="CN456" t="str">
        <v>M23</v>
      </c>
      <c r="CO456" t="str">
        <v>1401-1060059-92EN</v>
      </c>
      <c r="CP456" t="str">
        <v>MSCU5287590</v>
      </c>
      <c r="CQ456" s="23">
        <v>214.04</v>
      </c>
      <c r="CR456" s="25">
        <f t="shared" si="20"/>
        <v>1.8591209311152622E-2</v>
      </c>
      <c r="CS456" s="21">
        <f t="shared" si="21"/>
        <v>46.478023277881555</v>
      </c>
    </row>
    <row r="457" spans="2:97" x14ac:dyDescent="0.35">
      <c r="B457" t="s">
        <v>297</v>
      </c>
      <c r="C457" t="s">
        <v>1955</v>
      </c>
      <c r="D457" t="s">
        <v>395</v>
      </c>
      <c r="E457" t="s">
        <v>395</v>
      </c>
      <c r="F457" t="s">
        <v>396</v>
      </c>
      <c r="G457" t="s">
        <v>397</v>
      </c>
      <c r="H457" t="s">
        <v>398</v>
      </c>
      <c r="I457" t="s">
        <v>399</v>
      </c>
      <c r="J457" t="s">
        <v>749</v>
      </c>
      <c r="K457" t="s">
        <v>629</v>
      </c>
      <c r="L457" t="s">
        <v>787</v>
      </c>
      <c r="M457" t="s">
        <v>403</v>
      </c>
      <c r="N457">
        <v>1</v>
      </c>
      <c r="O457">
        <v>1</v>
      </c>
      <c r="P457" t="s">
        <v>1956</v>
      </c>
      <c r="Q457" t="s">
        <v>430</v>
      </c>
      <c r="R457" t="s">
        <v>833</v>
      </c>
      <c r="S457" t="s">
        <v>834</v>
      </c>
      <c r="T457" t="s">
        <v>408</v>
      </c>
      <c r="U457">
        <v>50950081501</v>
      </c>
      <c r="W457">
        <v>9600</v>
      </c>
      <c r="X457" t="s">
        <v>409</v>
      </c>
      <c r="Y457" t="s">
        <v>410</v>
      </c>
      <c r="Z457" t="s">
        <v>410</v>
      </c>
      <c r="AA457" t="s">
        <v>411</v>
      </c>
      <c r="AB457" t="s">
        <v>769</v>
      </c>
      <c r="AC457" t="s">
        <v>411</v>
      </c>
      <c r="AD457">
        <v>46094</v>
      </c>
      <c r="AE457">
        <v>46139</v>
      </c>
      <c r="AF457">
        <v>46102</v>
      </c>
      <c r="AG457" t="s">
        <v>754</v>
      </c>
      <c r="AH457">
        <v>6143197</v>
      </c>
      <c r="AI457">
        <v>46095</v>
      </c>
      <c r="AJ457">
        <v>46097</v>
      </c>
      <c r="AK457">
        <v>9600</v>
      </c>
      <c r="AL457" t="s">
        <v>396</v>
      </c>
      <c r="AM457" t="s">
        <v>1957</v>
      </c>
      <c r="AN457">
        <v>46097</v>
      </c>
      <c r="AO457">
        <v>46097.377812500003</v>
      </c>
      <c r="AP457" t="s">
        <v>51</v>
      </c>
      <c r="AQ457">
        <v>0.11895</v>
      </c>
      <c r="AR457">
        <v>1141.92</v>
      </c>
      <c r="AS457" t="s">
        <v>51</v>
      </c>
      <c r="AT457">
        <v>1141.92</v>
      </c>
      <c r="AU457" t="s">
        <v>415</v>
      </c>
      <c r="AV457" t="s">
        <v>416</v>
      </c>
      <c r="AW457" t="s">
        <v>1916</v>
      </c>
      <c r="AX457">
        <v>46102</v>
      </c>
      <c r="AY457">
        <v>46151</v>
      </c>
      <c r="AZ457" t="s">
        <v>1917</v>
      </c>
      <c r="BA457" t="s">
        <v>560</v>
      </c>
      <c r="BB457" t="s">
        <v>1918</v>
      </c>
      <c r="BC457">
        <v>320</v>
      </c>
      <c r="BD457" t="s">
        <v>521</v>
      </c>
      <c r="BE457">
        <v>4.202</v>
      </c>
      <c r="BF457">
        <v>3.6320000000000001</v>
      </c>
      <c r="BG457" t="s">
        <v>522</v>
      </c>
      <c r="BH457">
        <v>395</v>
      </c>
      <c r="BI457">
        <v>295</v>
      </c>
      <c r="BJ457">
        <v>255</v>
      </c>
      <c r="BK457">
        <v>30</v>
      </c>
      <c r="BL457" t="s">
        <v>521</v>
      </c>
      <c r="BM457">
        <v>153.06</v>
      </c>
      <c r="BN457">
        <v>108.96</v>
      </c>
      <c r="BO457">
        <v>153.06</v>
      </c>
      <c r="BP457" t="s">
        <v>522</v>
      </c>
      <c r="BQ457">
        <v>1200</v>
      </c>
      <c r="BR457">
        <v>1000</v>
      </c>
      <c r="BS457">
        <v>918</v>
      </c>
      <c r="BT457">
        <v>1</v>
      </c>
      <c r="BU457">
        <v>0</v>
      </c>
      <c r="BV457">
        <v>1</v>
      </c>
      <c r="BW457">
        <v>30</v>
      </c>
      <c r="BX457">
        <v>0</v>
      </c>
      <c r="BY457">
        <v>30</v>
      </c>
      <c r="BZ457">
        <v>9600</v>
      </c>
      <c r="CA457">
        <v>0</v>
      </c>
      <c r="CB457">
        <v>9600</v>
      </c>
      <c r="CC457">
        <v>108.96</v>
      </c>
      <c r="CD457" t="s">
        <v>633</v>
      </c>
      <c r="CE457" t="s">
        <v>836</v>
      </c>
      <c r="CG457" t="s">
        <v>421</v>
      </c>
      <c r="CN457" t="str">
        <v>M45</v>
      </c>
      <c r="CO457" t="str">
        <v>1459-12C0014EN</v>
      </c>
      <c r="CP457" t="str">
        <v>MSCU5287590</v>
      </c>
      <c r="CQ457" s="23">
        <v>646.09439999999995</v>
      </c>
      <c r="CR457" s="25">
        <f t="shared" si="20"/>
        <v>5.6118838652418082E-2</v>
      </c>
      <c r="CS457" s="21">
        <f t="shared" si="21"/>
        <v>140.29709663104521</v>
      </c>
    </row>
    <row r="458" spans="2:97" x14ac:dyDescent="0.35">
      <c r="B458" t="s">
        <v>297</v>
      </c>
      <c r="C458" t="s">
        <v>1958</v>
      </c>
      <c r="D458" t="s">
        <v>395</v>
      </c>
      <c r="E458" t="s">
        <v>395</v>
      </c>
      <c r="F458" t="s">
        <v>396</v>
      </c>
      <c r="G458" t="s">
        <v>397</v>
      </c>
      <c r="H458" t="s">
        <v>398</v>
      </c>
      <c r="I458" t="s">
        <v>399</v>
      </c>
      <c r="J458" t="s">
        <v>749</v>
      </c>
      <c r="K458" t="s">
        <v>845</v>
      </c>
      <c r="L458" t="s">
        <v>787</v>
      </c>
      <c r="M458" t="s">
        <v>403</v>
      </c>
      <c r="N458">
        <v>2</v>
      </c>
      <c r="O458">
        <v>1</v>
      </c>
      <c r="P458" t="s">
        <v>1959</v>
      </c>
      <c r="Q458" t="s">
        <v>424</v>
      </c>
      <c r="R458" t="s">
        <v>1031</v>
      </c>
      <c r="S458" t="s">
        <v>1960</v>
      </c>
      <c r="T458" t="s">
        <v>408</v>
      </c>
      <c r="U458">
        <v>50950081502</v>
      </c>
      <c r="W458">
        <v>40000</v>
      </c>
      <c r="X458" t="s">
        <v>409</v>
      </c>
      <c r="Y458" t="s">
        <v>410</v>
      </c>
      <c r="Z458" t="s">
        <v>410</v>
      </c>
      <c r="AA458" t="s">
        <v>411</v>
      </c>
      <c r="AB458" t="s">
        <v>769</v>
      </c>
      <c r="AC458" t="s">
        <v>411</v>
      </c>
      <c r="AD458">
        <v>46095</v>
      </c>
      <c r="AE458">
        <v>46153</v>
      </c>
      <c r="AF458">
        <v>46102</v>
      </c>
      <c r="AG458" t="s">
        <v>754</v>
      </c>
      <c r="AH458">
        <v>6143198</v>
      </c>
      <c r="AI458">
        <v>46095</v>
      </c>
      <c r="AJ458">
        <v>46097</v>
      </c>
      <c r="AK458">
        <v>40000</v>
      </c>
      <c r="AL458" t="s">
        <v>396</v>
      </c>
      <c r="AM458" t="s">
        <v>1961</v>
      </c>
      <c r="AN458">
        <v>46097</v>
      </c>
      <c r="AO458">
        <v>46097.377812500003</v>
      </c>
      <c r="AP458" t="s">
        <v>51</v>
      </c>
      <c r="AQ458">
        <v>3.8600000000000002E-2</v>
      </c>
      <c r="AR458">
        <v>1544</v>
      </c>
      <c r="AS458" t="s">
        <v>51</v>
      </c>
      <c r="AT458">
        <v>1544</v>
      </c>
      <c r="AU458" t="s">
        <v>415</v>
      </c>
      <c r="AV458" t="s">
        <v>416</v>
      </c>
      <c r="AW458" t="s">
        <v>1916</v>
      </c>
      <c r="AX458">
        <v>46102</v>
      </c>
      <c r="AY458">
        <v>46151</v>
      </c>
      <c r="AZ458" t="s">
        <v>1917</v>
      </c>
      <c r="BA458" t="s">
        <v>560</v>
      </c>
      <c r="BB458" t="s">
        <v>1918</v>
      </c>
      <c r="BC458">
        <v>500</v>
      </c>
      <c r="BD458" t="s">
        <v>521</v>
      </c>
      <c r="BE458">
        <v>8.5429999999999993</v>
      </c>
      <c r="BF458">
        <v>7.62</v>
      </c>
      <c r="BG458" t="s">
        <v>522</v>
      </c>
      <c r="BH458">
        <v>395</v>
      </c>
      <c r="BI458">
        <v>295</v>
      </c>
      <c r="BJ458">
        <v>220</v>
      </c>
      <c r="BK458">
        <v>40</v>
      </c>
      <c r="BL458" t="s">
        <v>521</v>
      </c>
      <c r="BM458">
        <v>368.72</v>
      </c>
      <c r="BN458">
        <v>304.8</v>
      </c>
      <c r="BO458">
        <v>737.44</v>
      </c>
      <c r="BP458" t="s">
        <v>522</v>
      </c>
      <c r="BQ458">
        <v>1200</v>
      </c>
      <c r="BR458">
        <v>1000</v>
      </c>
      <c r="BS458">
        <v>1053</v>
      </c>
      <c r="BT458">
        <v>2</v>
      </c>
      <c r="BU458">
        <v>0</v>
      </c>
      <c r="BV458">
        <v>2</v>
      </c>
      <c r="BW458">
        <v>80</v>
      </c>
      <c r="BX458">
        <v>0</v>
      </c>
      <c r="BY458">
        <v>80</v>
      </c>
      <c r="BZ458">
        <v>40000</v>
      </c>
      <c r="CA458">
        <v>0</v>
      </c>
      <c r="CB458">
        <v>40000</v>
      </c>
      <c r="CC458">
        <v>609.6</v>
      </c>
      <c r="CD458" t="s">
        <v>856</v>
      </c>
      <c r="CE458" t="s">
        <v>1034</v>
      </c>
      <c r="CG458" t="s">
        <v>421</v>
      </c>
      <c r="CN458" t="str">
        <v>M01</v>
      </c>
      <c r="CO458" t="str">
        <v>1999-1010399E1</v>
      </c>
      <c r="CP458" t="str">
        <v>MSDU6089696</v>
      </c>
      <c r="CQ458" s="23">
        <v>417.88</v>
      </c>
      <c r="CR458" s="25">
        <f t="shared" si="20"/>
        <v>2.7924536892414843E-2</v>
      </c>
      <c r="CS458" s="21">
        <f t="shared" si="21"/>
        <v>69.811342231037102</v>
      </c>
    </row>
    <row r="459" spans="2:97" x14ac:dyDescent="0.35">
      <c r="B459" t="s">
        <v>296</v>
      </c>
      <c r="C459" t="s">
        <v>1962</v>
      </c>
      <c r="D459" t="s">
        <v>395</v>
      </c>
      <c r="E459" t="s">
        <v>395</v>
      </c>
      <c r="F459" t="s">
        <v>396</v>
      </c>
      <c r="G459" t="s">
        <v>397</v>
      </c>
      <c r="H459" t="s">
        <v>398</v>
      </c>
      <c r="I459" t="s">
        <v>399</v>
      </c>
      <c r="J459" t="s">
        <v>749</v>
      </c>
      <c r="K459" t="s">
        <v>1142</v>
      </c>
      <c r="L459" t="s">
        <v>787</v>
      </c>
      <c r="M459" t="s">
        <v>403</v>
      </c>
      <c r="N459">
        <v>1</v>
      </c>
      <c r="O459">
        <v>1</v>
      </c>
      <c r="P459" t="s">
        <v>1963</v>
      </c>
      <c r="Q459" t="s">
        <v>424</v>
      </c>
      <c r="R459" t="s">
        <v>1164</v>
      </c>
      <c r="S459" t="s">
        <v>1165</v>
      </c>
      <c r="T459" t="s">
        <v>408</v>
      </c>
      <c r="U459">
        <v>50950081519</v>
      </c>
      <c r="W459">
        <v>18000</v>
      </c>
      <c r="X459" t="s">
        <v>409</v>
      </c>
      <c r="Y459" t="s">
        <v>410</v>
      </c>
      <c r="Z459" t="s">
        <v>410</v>
      </c>
      <c r="AA459" t="s">
        <v>411</v>
      </c>
      <c r="AB459" t="s">
        <v>769</v>
      </c>
      <c r="AC459" t="s">
        <v>411</v>
      </c>
      <c r="AD459">
        <v>46097</v>
      </c>
      <c r="AE459">
        <v>46160</v>
      </c>
      <c r="AF459">
        <v>46102</v>
      </c>
      <c r="AG459" t="s">
        <v>754</v>
      </c>
      <c r="AH459">
        <v>6143199</v>
      </c>
      <c r="AI459">
        <v>46095</v>
      </c>
      <c r="AJ459">
        <v>46097</v>
      </c>
      <c r="AK459">
        <v>18000</v>
      </c>
      <c r="AL459" t="s">
        <v>396</v>
      </c>
      <c r="AM459" t="s">
        <v>1964</v>
      </c>
      <c r="AN459">
        <v>46097</v>
      </c>
      <c r="AO459">
        <v>46097.377812500003</v>
      </c>
      <c r="AP459" t="s">
        <v>51</v>
      </c>
      <c r="AQ459">
        <v>0.25989000000000001</v>
      </c>
      <c r="AR459">
        <v>4678.0200000000004</v>
      </c>
      <c r="AS459" t="s">
        <v>51</v>
      </c>
      <c r="AT459">
        <v>4678.0200000000004</v>
      </c>
      <c r="AU459" t="s">
        <v>415</v>
      </c>
      <c r="AV459" t="s">
        <v>416</v>
      </c>
      <c r="AW459" t="s">
        <v>1916</v>
      </c>
      <c r="AX459">
        <v>46102</v>
      </c>
      <c r="AY459">
        <v>46151</v>
      </c>
      <c r="AZ459" t="s">
        <v>1917</v>
      </c>
      <c r="BA459" t="s">
        <v>560</v>
      </c>
      <c r="BB459" t="s">
        <v>1918</v>
      </c>
      <c r="BC459">
        <v>3000</v>
      </c>
      <c r="BD459" t="s">
        <v>521</v>
      </c>
      <c r="BE459">
        <v>394.3</v>
      </c>
      <c r="BF459">
        <v>373.8</v>
      </c>
      <c r="BG459" t="s">
        <v>522</v>
      </c>
      <c r="BH459">
        <v>1050</v>
      </c>
      <c r="BI459">
        <v>480</v>
      </c>
      <c r="BJ459">
        <v>460</v>
      </c>
      <c r="BK459">
        <v>1</v>
      </c>
      <c r="BL459" t="s">
        <v>521</v>
      </c>
      <c r="BM459">
        <v>394.30009999999999</v>
      </c>
      <c r="BN459">
        <v>373.8</v>
      </c>
      <c r="BO459">
        <v>2365.8006</v>
      </c>
      <c r="BP459" t="s">
        <v>522</v>
      </c>
      <c r="BQ459">
        <v>1050</v>
      </c>
      <c r="BR459">
        <v>480</v>
      </c>
      <c r="BS459">
        <v>480</v>
      </c>
      <c r="BT459">
        <v>6</v>
      </c>
      <c r="BU459">
        <v>0</v>
      </c>
      <c r="BV459">
        <v>6</v>
      </c>
      <c r="BW459">
        <v>6</v>
      </c>
      <c r="BX459">
        <v>0</v>
      </c>
      <c r="BY459">
        <v>6</v>
      </c>
      <c r="BZ459">
        <v>18000</v>
      </c>
      <c r="CA459">
        <v>0</v>
      </c>
      <c r="CB459">
        <v>18000</v>
      </c>
      <c r="CC459">
        <v>2242.8000000000002</v>
      </c>
      <c r="CD459" t="s">
        <v>641</v>
      </c>
      <c r="CE459" t="s">
        <v>1147</v>
      </c>
      <c r="CG459" t="s">
        <v>421</v>
      </c>
      <c r="CN459" t="str">
        <v>M45</v>
      </c>
      <c r="CO459" t="str">
        <v>1346-12C0011EN</v>
      </c>
      <c r="CP459" t="str">
        <v>MSDU6089696</v>
      </c>
      <c r="CQ459" s="23">
        <v>1102.5658000000001</v>
      </c>
      <c r="CR459" s="25">
        <f t="shared" si="20"/>
        <v>7.3678183589582863E-2</v>
      </c>
      <c r="CS459" s="21">
        <f t="shared" si="21"/>
        <v>184.19545897395716</v>
      </c>
    </row>
    <row r="460" spans="2:97" x14ac:dyDescent="0.35">
      <c r="B460" t="s">
        <v>297</v>
      </c>
      <c r="C460" t="s">
        <v>1415</v>
      </c>
      <c r="D460" t="s">
        <v>395</v>
      </c>
      <c r="E460" t="s">
        <v>395</v>
      </c>
      <c r="F460" t="s">
        <v>396</v>
      </c>
      <c r="G460" t="s">
        <v>397</v>
      </c>
      <c r="H460" t="s">
        <v>398</v>
      </c>
      <c r="I460" t="s">
        <v>399</v>
      </c>
      <c r="J460" t="s">
        <v>749</v>
      </c>
      <c r="K460" t="s">
        <v>845</v>
      </c>
      <c r="L460" t="s">
        <v>787</v>
      </c>
      <c r="M460" t="s">
        <v>403</v>
      </c>
      <c r="N460">
        <v>1</v>
      </c>
      <c r="O460">
        <v>1</v>
      </c>
      <c r="P460" t="s">
        <v>1416</v>
      </c>
      <c r="Q460" t="s">
        <v>424</v>
      </c>
      <c r="R460" t="s">
        <v>1031</v>
      </c>
      <c r="S460" t="s">
        <v>1417</v>
      </c>
      <c r="T460" t="s">
        <v>408</v>
      </c>
      <c r="U460">
        <v>50950081527</v>
      </c>
      <c r="W460">
        <v>40000</v>
      </c>
      <c r="X460" t="s">
        <v>409</v>
      </c>
      <c r="Y460" t="s">
        <v>410</v>
      </c>
      <c r="Z460" t="s">
        <v>410</v>
      </c>
      <c r="AA460" t="s">
        <v>411</v>
      </c>
      <c r="AB460" t="s">
        <v>769</v>
      </c>
      <c r="AC460" t="s">
        <v>411</v>
      </c>
      <c r="AD460">
        <v>46097</v>
      </c>
      <c r="AE460">
        <v>46132</v>
      </c>
      <c r="AF460">
        <v>46102</v>
      </c>
      <c r="AG460" t="s">
        <v>754</v>
      </c>
      <c r="AH460">
        <v>6143200</v>
      </c>
      <c r="AI460">
        <v>46095</v>
      </c>
      <c r="AJ460">
        <v>46097</v>
      </c>
      <c r="AK460">
        <v>40000</v>
      </c>
      <c r="AL460" t="s">
        <v>396</v>
      </c>
      <c r="AM460" t="s">
        <v>1965</v>
      </c>
      <c r="AN460">
        <v>46097</v>
      </c>
      <c r="AO460">
        <v>46097.377812500003</v>
      </c>
      <c r="AP460" t="s">
        <v>51</v>
      </c>
      <c r="AQ460">
        <v>3.7580000000000002E-2</v>
      </c>
      <c r="AR460">
        <v>1503.2</v>
      </c>
      <c r="AS460" t="s">
        <v>51</v>
      </c>
      <c r="AT460">
        <v>1503.2</v>
      </c>
      <c r="AU460" t="s">
        <v>415</v>
      </c>
      <c r="AV460" t="s">
        <v>416</v>
      </c>
      <c r="AW460" t="s">
        <v>1916</v>
      </c>
      <c r="AX460">
        <v>46102</v>
      </c>
      <c r="AY460">
        <v>46151</v>
      </c>
      <c r="AZ460" t="s">
        <v>1917</v>
      </c>
      <c r="BA460" t="s">
        <v>560</v>
      </c>
      <c r="BB460" t="s">
        <v>1918</v>
      </c>
      <c r="BC460">
        <v>500</v>
      </c>
      <c r="BD460" t="s">
        <v>521</v>
      </c>
      <c r="BE460">
        <v>8.5429999999999993</v>
      </c>
      <c r="BF460">
        <v>7.62</v>
      </c>
      <c r="BG460" t="s">
        <v>522</v>
      </c>
      <c r="BH460">
        <v>395</v>
      </c>
      <c r="BI460">
        <v>295</v>
      </c>
      <c r="BJ460">
        <v>220</v>
      </c>
      <c r="BK460">
        <v>40</v>
      </c>
      <c r="BL460" t="s">
        <v>521</v>
      </c>
      <c r="BM460">
        <v>368.72</v>
      </c>
      <c r="BN460">
        <v>304.8</v>
      </c>
      <c r="BO460">
        <v>737.44</v>
      </c>
      <c r="BP460" t="s">
        <v>522</v>
      </c>
      <c r="BQ460">
        <v>1200</v>
      </c>
      <c r="BR460">
        <v>1000</v>
      </c>
      <c r="BS460">
        <v>1053</v>
      </c>
      <c r="BT460">
        <v>2</v>
      </c>
      <c r="BU460">
        <v>0</v>
      </c>
      <c r="BV460">
        <v>2</v>
      </c>
      <c r="BW460">
        <v>80</v>
      </c>
      <c r="BX460">
        <v>0</v>
      </c>
      <c r="BY460">
        <v>80</v>
      </c>
      <c r="BZ460">
        <v>40000</v>
      </c>
      <c r="CA460">
        <v>0</v>
      </c>
      <c r="CB460">
        <v>40000</v>
      </c>
      <c r="CC460">
        <v>609.6</v>
      </c>
      <c r="CD460" t="s">
        <v>856</v>
      </c>
      <c r="CE460" t="s">
        <v>1034</v>
      </c>
      <c r="CG460" t="s">
        <v>421</v>
      </c>
      <c r="CN460" t="str">
        <v>M19</v>
      </c>
      <c r="CO460" t="str">
        <v>1307-5YY0151EN</v>
      </c>
      <c r="CP460" t="str">
        <v>MSDU6089696</v>
      </c>
      <c r="CQ460" s="23">
        <v>488.23171200000002</v>
      </c>
      <c r="CR460" s="25">
        <f t="shared" si="20"/>
        <v>3.2625740532666932E-2</v>
      </c>
      <c r="CS460" s="21">
        <f t="shared" si="21"/>
        <v>81.564351331667325</v>
      </c>
    </row>
    <row r="461" spans="2:97" x14ac:dyDescent="0.35">
      <c r="B461" t="s">
        <v>297</v>
      </c>
      <c r="C461" t="s">
        <v>1966</v>
      </c>
      <c r="D461" t="s">
        <v>395</v>
      </c>
      <c r="E461" t="s">
        <v>395</v>
      </c>
      <c r="F461" t="s">
        <v>396</v>
      </c>
      <c r="G461" t="s">
        <v>397</v>
      </c>
      <c r="H461" t="s">
        <v>398</v>
      </c>
      <c r="I461" t="s">
        <v>399</v>
      </c>
      <c r="J461" t="s">
        <v>749</v>
      </c>
      <c r="K461" t="s">
        <v>845</v>
      </c>
      <c r="L461" t="s">
        <v>787</v>
      </c>
      <c r="M461" t="s">
        <v>403</v>
      </c>
      <c r="N461">
        <v>1</v>
      </c>
      <c r="O461">
        <v>1</v>
      </c>
      <c r="P461" t="s">
        <v>1030</v>
      </c>
      <c r="Q461" t="s">
        <v>424</v>
      </c>
      <c r="R461" t="s">
        <v>1031</v>
      </c>
      <c r="S461" t="s">
        <v>1032</v>
      </c>
      <c r="T461" t="s">
        <v>408</v>
      </c>
      <c r="U461">
        <v>50950081694</v>
      </c>
      <c r="W461">
        <v>40000</v>
      </c>
      <c r="X461" t="s">
        <v>409</v>
      </c>
      <c r="Y461" t="s">
        <v>410</v>
      </c>
      <c r="Z461" t="s">
        <v>410</v>
      </c>
      <c r="AA461" t="s">
        <v>411</v>
      </c>
      <c r="AB461" t="s">
        <v>769</v>
      </c>
      <c r="AC461" t="s">
        <v>411</v>
      </c>
      <c r="AD461">
        <v>46097</v>
      </c>
      <c r="AE461">
        <v>46167</v>
      </c>
      <c r="AF461">
        <v>46102</v>
      </c>
      <c r="AG461" t="s">
        <v>754</v>
      </c>
      <c r="AH461">
        <v>6143201</v>
      </c>
      <c r="AI461">
        <v>46095</v>
      </c>
      <c r="AJ461">
        <v>46097</v>
      </c>
      <c r="AK461">
        <v>40000</v>
      </c>
      <c r="AL461" t="s">
        <v>396</v>
      </c>
      <c r="AM461" t="s">
        <v>1967</v>
      </c>
      <c r="AN461">
        <v>46097</v>
      </c>
      <c r="AO461">
        <v>46097.377812500003</v>
      </c>
      <c r="AP461" t="s">
        <v>51</v>
      </c>
      <c r="AQ461">
        <v>4.0469999999999999E-2</v>
      </c>
      <c r="AR461">
        <v>1618.8</v>
      </c>
      <c r="AS461" t="s">
        <v>51</v>
      </c>
      <c r="AT461">
        <v>1618.8</v>
      </c>
      <c r="AU461" t="s">
        <v>415</v>
      </c>
      <c r="AV461" t="s">
        <v>416</v>
      </c>
      <c r="AW461" t="s">
        <v>1916</v>
      </c>
      <c r="AX461">
        <v>46102</v>
      </c>
      <c r="AY461">
        <v>46151</v>
      </c>
      <c r="AZ461" t="s">
        <v>1917</v>
      </c>
      <c r="BA461" t="s">
        <v>560</v>
      </c>
      <c r="BB461" t="s">
        <v>1918</v>
      </c>
      <c r="BC461">
        <v>500</v>
      </c>
      <c r="BD461" t="s">
        <v>521</v>
      </c>
      <c r="BE461">
        <v>8.3230000000000004</v>
      </c>
      <c r="BF461">
        <v>7.4</v>
      </c>
      <c r="BG461" t="s">
        <v>522</v>
      </c>
      <c r="BH461">
        <v>395</v>
      </c>
      <c r="BI461">
        <v>295</v>
      </c>
      <c r="BJ461">
        <v>220</v>
      </c>
      <c r="BK461">
        <v>40</v>
      </c>
      <c r="BL461" t="s">
        <v>521</v>
      </c>
      <c r="BM461">
        <v>359.92</v>
      </c>
      <c r="BN461">
        <v>296</v>
      </c>
      <c r="BO461">
        <v>719.84</v>
      </c>
      <c r="BP461" t="s">
        <v>522</v>
      </c>
      <c r="BQ461">
        <v>1200</v>
      </c>
      <c r="BR461">
        <v>1000</v>
      </c>
      <c r="BS461">
        <v>1053</v>
      </c>
      <c r="BT461">
        <v>2</v>
      </c>
      <c r="BU461">
        <v>0</v>
      </c>
      <c r="BV461">
        <v>2</v>
      </c>
      <c r="BW461">
        <v>80</v>
      </c>
      <c r="BX461">
        <v>0</v>
      </c>
      <c r="BY461">
        <v>80</v>
      </c>
      <c r="BZ461">
        <v>40000</v>
      </c>
      <c r="CA461">
        <v>0</v>
      </c>
      <c r="CB461">
        <v>40000</v>
      </c>
      <c r="CC461">
        <v>592</v>
      </c>
      <c r="CD461" t="s">
        <v>856</v>
      </c>
      <c r="CE461" t="s">
        <v>1034</v>
      </c>
      <c r="CG461" t="s">
        <v>421</v>
      </c>
      <c r="CN461" t="str">
        <v>M19</v>
      </c>
      <c r="CO461" t="str">
        <v>1307-5YY0182EN</v>
      </c>
      <c r="CP461" t="str">
        <v>MSDU6089696</v>
      </c>
      <c r="CQ461" s="23">
        <v>1678.752256</v>
      </c>
      <c r="CR461" s="25">
        <f t="shared" si="20"/>
        <v>0.11218143798673458</v>
      </c>
      <c r="CS461" s="21">
        <f t="shared" si="21"/>
        <v>280.45359496683642</v>
      </c>
    </row>
    <row r="462" spans="2:97" x14ac:dyDescent="0.35">
      <c r="B462" t="s">
        <v>296</v>
      </c>
      <c r="C462" t="s">
        <v>1968</v>
      </c>
      <c r="D462" t="s">
        <v>395</v>
      </c>
      <c r="E462" t="s">
        <v>395</v>
      </c>
      <c r="F462" t="s">
        <v>396</v>
      </c>
      <c r="G462" t="s">
        <v>397</v>
      </c>
      <c r="H462" t="s">
        <v>398</v>
      </c>
      <c r="I462" t="s">
        <v>399</v>
      </c>
      <c r="J462" t="s">
        <v>749</v>
      </c>
      <c r="K462" t="s">
        <v>629</v>
      </c>
      <c r="L462" t="s">
        <v>750</v>
      </c>
      <c r="M462" t="s">
        <v>403</v>
      </c>
      <c r="N462">
        <v>1</v>
      </c>
      <c r="O462">
        <v>1</v>
      </c>
      <c r="P462" t="s">
        <v>1969</v>
      </c>
      <c r="Q462" t="s">
        <v>405</v>
      </c>
      <c r="R462" t="s">
        <v>912</v>
      </c>
      <c r="S462" t="s">
        <v>913</v>
      </c>
      <c r="T462" t="s">
        <v>408</v>
      </c>
      <c r="U462">
        <v>50950082441</v>
      </c>
      <c r="W462">
        <v>8400</v>
      </c>
      <c r="X462" t="s">
        <v>409</v>
      </c>
      <c r="Y462" t="s">
        <v>410</v>
      </c>
      <c r="Z462" t="s">
        <v>410</v>
      </c>
      <c r="AA462" t="s">
        <v>411</v>
      </c>
      <c r="AB462" t="s">
        <v>769</v>
      </c>
      <c r="AC462" t="s">
        <v>411</v>
      </c>
      <c r="AD462">
        <v>46095</v>
      </c>
      <c r="AE462">
        <v>46153</v>
      </c>
      <c r="AF462">
        <v>46102</v>
      </c>
      <c r="AG462" t="s">
        <v>754</v>
      </c>
      <c r="AH462">
        <v>6143202</v>
      </c>
      <c r="AI462">
        <v>46095</v>
      </c>
      <c r="AJ462">
        <v>46097</v>
      </c>
      <c r="AK462">
        <v>8400</v>
      </c>
      <c r="AL462" t="s">
        <v>396</v>
      </c>
      <c r="AM462" t="s">
        <v>1970</v>
      </c>
      <c r="AN462">
        <v>46097</v>
      </c>
      <c r="AO462">
        <v>46097.377812500003</v>
      </c>
      <c r="AP462" t="s">
        <v>51</v>
      </c>
      <c r="AQ462">
        <v>6.5629999999999994E-2</v>
      </c>
      <c r="AR462">
        <v>551.29</v>
      </c>
      <c r="AS462" t="s">
        <v>51</v>
      </c>
      <c r="AT462">
        <v>551.29</v>
      </c>
      <c r="AU462" t="s">
        <v>415</v>
      </c>
      <c r="AV462" t="s">
        <v>416</v>
      </c>
      <c r="AW462" t="s">
        <v>1916</v>
      </c>
      <c r="AX462">
        <v>46102</v>
      </c>
      <c r="AY462">
        <v>46151</v>
      </c>
      <c r="AZ462" t="s">
        <v>1917</v>
      </c>
      <c r="BA462" t="s">
        <v>560</v>
      </c>
      <c r="BB462" t="s">
        <v>1918</v>
      </c>
      <c r="BC462">
        <v>1200</v>
      </c>
      <c r="BD462" t="s">
        <v>521</v>
      </c>
      <c r="BE462">
        <v>7.0679999999999996</v>
      </c>
      <c r="BF462">
        <v>6.1980000000000004</v>
      </c>
      <c r="BG462" t="s">
        <v>522</v>
      </c>
      <c r="BH462">
        <v>595</v>
      </c>
      <c r="BI462">
        <v>395</v>
      </c>
      <c r="BJ462">
        <v>190</v>
      </c>
      <c r="BK462">
        <v>25</v>
      </c>
      <c r="BL462" t="s">
        <v>521</v>
      </c>
      <c r="BM462">
        <v>76.475999999999999</v>
      </c>
      <c r="BN462">
        <v>43.386000000000003</v>
      </c>
      <c r="BO462">
        <v>76.475999999999999</v>
      </c>
      <c r="BP462" t="s">
        <v>522</v>
      </c>
      <c r="BQ462">
        <v>1200</v>
      </c>
      <c r="BR462">
        <v>1000</v>
      </c>
      <c r="BS462">
        <v>1088</v>
      </c>
      <c r="BT462">
        <v>0</v>
      </c>
      <c r="BU462">
        <v>1</v>
      </c>
      <c r="BV462">
        <v>1</v>
      </c>
      <c r="BW462">
        <v>7</v>
      </c>
      <c r="BX462">
        <v>0</v>
      </c>
      <c r="BY462">
        <v>7</v>
      </c>
      <c r="BZ462">
        <v>0</v>
      </c>
      <c r="CA462">
        <v>8400</v>
      </c>
      <c r="CB462">
        <v>8400</v>
      </c>
      <c r="CC462">
        <v>43.386000000000003</v>
      </c>
      <c r="CD462" t="s">
        <v>842</v>
      </c>
      <c r="CE462" t="s">
        <v>898</v>
      </c>
      <c r="CG462" t="s">
        <v>421</v>
      </c>
      <c r="CN462" t="str">
        <v>M19</v>
      </c>
      <c r="CO462" t="str">
        <v>1307-5YY0154EN</v>
      </c>
      <c r="CP462" t="str">
        <v>MSDU6089696</v>
      </c>
      <c r="CQ462" s="23">
        <v>1473.1232</v>
      </c>
      <c r="CR462" s="25">
        <f t="shared" si="20"/>
        <v>9.844042104305592E-2</v>
      </c>
      <c r="CS462" s="21">
        <f t="shared" si="21"/>
        <v>246.10105260763979</v>
      </c>
    </row>
    <row r="463" spans="2:97" x14ac:dyDescent="0.35">
      <c r="B463" t="s">
        <v>297</v>
      </c>
      <c r="C463" t="s">
        <v>1971</v>
      </c>
      <c r="D463" t="s">
        <v>549</v>
      </c>
      <c r="E463" t="s">
        <v>395</v>
      </c>
      <c r="F463" t="s">
        <v>396</v>
      </c>
      <c r="G463" t="s">
        <v>397</v>
      </c>
      <c r="H463" t="s">
        <v>398</v>
      </c>
      <c r="I463" t="s">
        <v>399</v>
      </c>
      <c r="J463" t="s">
        <v>749</v>
      </c>
      <c r="K463" t="s">
        <v>1081</v>
      </c>
      <c r="L463" t="s">
        <v>766</v>
      </c>
      <c r="M463" t="s">
        <v>403</v>
      </c>
      <c r="N463">
        <v>1</v>
      </c>
      <c r="O463">
        <v>1</v>
      </c>
      <c r="P463" t="s">
        <v>1463</v>
      </c>
      <c r="Q463" t="s">
        <v>424</v>
      </c>
      <c r="R463" t="s">
        <v>1083</v>
      </c>
      <c r="S463" t="s">
        <v>1464</v>
      </c>
      <c r="T463" t="s">
        <v>408</v>
      </c>
      <c r="U463">
        <v>50950080496</v>
      </c>
      <c r="W463">
        <v>5200</v>
      </c>
      <c r="X463" t="s">
        <v>409</v>
      </c>
      <c r="Y463" t="s">
        <v>410</v>
      </c>
      <c r="Z463" t="s">
        <v>410</v>
      </c>
      <c r="AA463" t="s">
        <v>411</v>
      </c>
      <c r="AB463" t="s">
        <v>554</v>
      </c>
      <c r="AC463" t="s">
        <v>411</v>
      </c>
      <c r="AD463">
        <v>46102</v>
      </c>
      <c r="AE463">
        <v>46160</v>
      </c>
      <c r="AF463">
        <v>46106</v>
      </c>
      <c r="AG463" t="s">
        <v>770</v>
      </c>
      <c r="AH463">
        <v>6144990</v>
      </c>
      <c r="AI463">
        <v>46097</v>
      </c>
      <c r="AJ463">
        <v>46098</v>
      </c>
      <c r="AK463">
        <v>5200</v>
      </c>
      <c r="AL463" t="s">
        <v>396</v>
      </c>
      <c r="AM463" t="s">
        <v>1972</v>
      </c>
      <c r="AN463">
        <v>46098</v>
      </c>
      <c r="AO463">
        <v>46098.400231481479</v>
      </c>
      <c r="AP463" t="s">
        <v>51</v>
      </c>
      <c r="AQ463">
        <v>1.0019400000000001</v>
      </c>
      <c r="AR463">
        <v>5210.09</v>
      </c>
      <c r="AS463" t="s">
        <v>51</v>
      </c>
      <c r="AT463">
        <v>5210.09</v>
      </c>
      <c r="AU463" t="s">
        <v>415</v>
      </c>
      <c r="AV463" t="s">
        <v>1420</v>
      </c>
      <c r="AW463" t="s">
        <v>1973</v>
      </c>
      <c r="AX463">
        <v>46106</v>
      </c>
      <c r="AY463">
        <v>46155</v>
      </c>
      <c r="AZ463" t="s">
        <v>1974</v>
      </c>
      <c r="BA463" t="s">
        <v>560</v>
      </c>
      <c r="BB463" t="s">
        <v>1975</v>
      </c>
      <c r="BC463">
        <v>130</v>
      </c>
      <c r="BD463" t="s">
        <v>521</v>
      </c>
      <c r="BE463">
        <v>12.355</v>
      </c>
      <c r="BF463">
        <v>10.92</v>
      </c>
      <c r="BG463" t="s">
        <v>522</v>
      </c>
      <c r="BH463">
        <v>395</v>
      </c>
      <c r="BI463">
        <v>295</v>
      </c>
      <c r="BJ463">
        <v>180</v>
      </c>
      <c r="BK463">
        <v>40</v>
      </c>
      <c r="BL463" t="s">
        <v>521</v>
      </c>
      <c r="BM463">
        <v>518.20000000000005</v>
      </c>
      <c r="BN463">
        <v>436.8</v>
      </c>
      <c r="BO463">
        <v>518.20000000000005</v>
      </c>
      <c r="BP463" t="s">
        <v>522</v>
      </c>
      <c r="BQ463">
        <v>1200</v>
      </c>
      <c r="BR463">
        <v>800</v>
      </c>
      <c r="BS463">
        <v>1060</v>
      </c>
      <c r="BT463">
        <v>1</v>
      </c>
      <c r="BU463">
        <v>0</v>
      </c>
      <c r="BV463">
        <v>1</v>
      </c>
      <c r="BW463">
        <v>40</v>
      </c>
      <c r="BX463">
        <v>0</v>
      </c>
      <c r="BY463">
        <v>40</v>
      </c>
      <c r="BZ463">
        <v>5200</v>
      </c>
      <c r="CA463">
        <v>0</v>
      </c>
      <c r="CB463">
        <v>5200</v>
      </c>
      <c r="CC463">
        <v>436.8</v>
      </c>
      <c r="CD463" t="s">
        <v>694</v>
      </c>
      <c r="CE463" t="s">
        <v>1088</v>
      </c>
      <c r="CG463" t="s">
        <v>421</v>
      </c>
      <c r="CN463" t="str">
        <v>M45</v>
      </c>
      <c r="CO463" t="str">
        <v>1205-12C0015EN</v>
      </c>
      <c r="CP463" t="str">
        <v>MSDU6089696</v>
      </c>
      <c r="CQ463" s="23">
        <v>34.801549999999999</v>
      </c>
      <c r="CR463" s="25">
        <f t="shared" si="20"/>
        <v>2.3255890851158699E-3</v>
      </c>
      <c r="CS463" s="21">
        <f t="shared" si="21"/>
        <v>5.813972712789675</v>
      </c>
    </row>
    <row r="464" spans="2:97" x14ac:dyDescent="0.35">
      <c r="B464" t="s">
        <v>297</v>
      </c>
      <c r="C464" t="s">
        <v>1976</v>
      </c>
      <c r="D464" t="s">
        <v>549</v>
      </c>
      <c r="E464" t="s">
        <v>395</v>
      </c>
      <c r="F464" t="s">
        <v>396</v>
      </c>
      <c r="G464" t="s">
        <v>397</v>
      </c>
      <c r="H464" t="s">
        <v>398</v>
      </c>
      <c r="I464" t="s">
        <v>399</v>
      </c>
      <c r="J464" t="s">
        <v>749</v>
      </c>
      <c r="K464" t="s">
        <v>1081</v>
      </c>
      <c r="L464" t="s">
        <v>766</v>
      </c>
      <c r="M464" t="s">
        <v>403</v>
      </c>
      <c r="N464">
        <v>1</v>
      </c>
      <c r="O464">
        <v>1</v>
      </c>
      <c r="P464" t="s">
        <v>1469</v>
      </c>
      <c r="Q464" t="s">
        <v>424</v>
      </c>
      <c r="R464" t="s">
        <v>1083</v>
      </c>
      <c r="S464" t="s">
        <v>1470</v>
      </c>
      <c r="T464" t="s">
        <v>408</v>
      </c>
      <c r="U464">
        <v>50950080805</v>
      </c>
      <c r="W464">
        <v>10400</v>
      </c>
      <c r="X464" t="s">
        <v>409</v>
      </c>
      <c r="Y464" t="s">
        <v>410</v>
      </c>
      <c r="Z464" t="s">
        <v>410</v>
      </c>
      <c r="AA464" t="s">
        <v>411</v>
      </c>
      <c r="AB464" t="s">
        <v>554</v>
      </c>
      <c r="AC464" t="s">
        <v>411</v>
      </c>
      <c r="AD464">
        <v>46095</v>
      </c>
      <c r="AE464">
        <v>46160</v>
      </c>
      <c r="AF464">
        <v>46106</v>
      </c>
      <c r="AG464" t="s">
        <v>770</v>
      </c>
      <c r="AH464">
        <v>6144991</v>
      </c>
      <c r="AI464">
        <v>46097</v>
      </c>
      <c r="AJ464">
        <v>46098</v>
      </c>
      <c r="AK464">
        <v>10400</v>
      </c>
      <c r="AL464" t="s">
        <v>396</v>
      </c>
      <c r="AM464" t="s">
        <v>1977</v>
      </c>
      <c r="AN464">
        <v>46098</v>
      </c>
      <c r="AO464">
        <v>46098.400231481479</v>
      </c>
      <c r="AP464" t="s">
        <v>51</v>
      </c>
      <c r="AQ464">
        <v>1.0019</v>
      </c>
      <c r="AR464">
        <v>10419.76</v>
      </c>
      <c r="AS464" t="s">
        <v>51</v>
      </c>
      <c r="AT464">
        <v>10419.76</v>
      </c>
      <c r="AU464" t="s">
        <v>415</v>
      </c>
      <c r="AV464" t="s">
        <v>1420</v>
      </c>
      <c r="AW464" t="s">
        <v>1973</v>
      </c>
      <c r="AX464">
        <v>46106</v>
      </c>
      <c r="AY464">
        <v>46155</v>
      </c>
      <c r="AZ464" t="s">
        <v>1974</v>
      </c>
      <c r="BA464" t="s">
        <v>560</v>
      </c>
      <c r="BB464" t="s">
        <v>1975</v>
      </c>
      <c r="BC464">
        <v>130</v>
      </c>
      <c r="BD464" t="s">
        <v>521</v>
      </c>
      <c r="BE464">
        <v>12.355</v>
      </c>
      <c r="BF464">
        <v>10.92</v>
      </c>
      <c r="BG464" t="s">
        <v>522</v>
      </c>
      <c r="BH464">
        <v>395</v>
      </c>
      <c r="BI464">
        <v>295</v>
      </c>
      <c r="BJ464">
        <v>180</v>
      </c>
      <c r="BK464">
        <v>40</v>
      </c>
      <c r="BL464" t="s">
        <v>521</v>
      </c>
      <c r="BM464">
        <v>518.20000000000005</v>
      </c>
      <c r="BN464">
        <v>436.8</v>
      </c>
      <c r="BO464">
        <v>1036.4000000000001</v>
      </c>
      <c r="BP464" t="s">
        <v>522</v>
      </c>
      <c r="BQ464">
        <v>1200</v>
      </c>
      <c r="BR464">
        <v>800</v>
      </c>
      <c r="BS464">
        <v>1060</v>
      </c>
      <c r="BT464">
        <v>2</v>
      </c>
      <c r="BU464">
        <v>0</v>
      </c>
      <c r="BV464">
        <v>2</v>
      </c>
      <c r="BW464">
        <v>80</v>
      </c>
      <c r="BX464">
        <v>0</v>
      </c>
      <c r="BY464">
        <v>80</v>
      </c>
      <c r="BZ464">
        <v>10400</v>
      </c>
      <c r="CA464">
        <v>0</v>
      </c>
      <c r="CB464">
        <v>10400</v>
      </c>
      <c r="CC464">
        <v>873.6</v>
      </c>
      <c r="CD464" t="s">
        <v>694</v>
      </c>
      <c r="CE464" t="s">
        <v>1088</v>
      </c>
      <c r="CG464" t="s">
        <v>421</v>
      </c>
      <c r="CN464" t="str">
        <v>M45</v>
      </c>
      <c r="CO464" t="str">
        <v>1205-12B0012EN</v>
      </c>
      <c r="CP464" t="str">
        <v>MSDU6089696</v>
      </c>
      <c r="CQ464" s="23">
        <v>69.283100000000005</v>
      </c>
      <c r="CR464" s="25">
        <f t="shared" si="20"/>
        <v>4.6297943954505287E-3</v>
      </c>
      <c r="CS464" s="21">
        <f t="shared" si="21"/>
        <v>11.574485988626321</v>
      </c>
    </row>
    <row r="465" spans="2:97" x14ac:dyDescent="0.35">
      <c r="B465" t="s">
        <v>299</v>
      </c>
      <c r="C465" t="s">
        <v>1978</v>
      </c>
      <c r="D465" t="s">
        <v>395</v>
      </c>
      <c r="E465" t="s">
        <v>395</v>
      </c>
      <c r="F465" t="s">
        <v>396</v>
      </c>
      <c r="G465" t="s">
        <v>397</v>
      </c>
      <c r="H465" t="s">
        <v>398</v>
      </c>
      <c r="I465" t="s">
        <v>399</v>
      </c>
      <c r="J465" t="s">
        <v>749</v>
      </c>
      <c r="K465" t="s">
        <v>777</v>
      </c>
      <c r="L465" t="s">
        <v>778</v>
      </c>
      <c r="M465" t="s">
        <v>403</v>
      </c>
      <c r="N465">
        <v>1</v>
      </c>
      <c r="O465">
        <v>1</v>
      </c>
      <c r="P465" t="s">
        <v>1979</v>
      </c>
      <c r="Q465" t="s">
        <v>645</v>
      </c>
      <c r="R465" t="s">
        <v>536</v>
      </c>
      <c r="S465" t="s">
        <v>1980</v>
      </c>
      <c r="T465" t="s">
        <v>408</v>
      </c>
      <c r="U465">
        <v>50950077694</v>
      </c>
      <c r="W465">
        <v>1512</v>
      </c>
      <c r="X465" t="s">
        <v>409</v>
      </c>
      <c r="Y465" t="s">
        <v>410</v>
      </c>
      <c r="Z465" t="s">
        <v>410</v>
      </c>
      <c r="AA465" t="s">
        <v>411</v>
      </c>
      <c r="AB465" t="s">
        <v>554</v>
      </c>
      <c r="AC465" t="s">
        <v>411</v>
      </c>
      <c r="AD465">
        <v>46088</v>
      </c>
      <c r="AE465">
        <v>46146</v>
      </c>
      <c r="AF465">
        <v>46106</v>
      </c>
      <c r="AG465" t="s">
        <v>781</v>
      </c>
      <c r="AH465">
        <v>6144992</v>
      </c>
      <c r="AI465">
        <v>46097</v>
      </c>
      <c r="AJ465">
        <v>46098</v>
      </c>
      <c r="AK465">
        <v>1512</v>
      </c>
      <c r="AL465" t="s">
        <v>396</v>
      </c>
      <c r="AM465" t="s">
        <v>1981</v>
      </c>
      <c r="AN465">
        <v>46098</v>
      </c>
      <c r="AO465">
        <v>46098.400231481479</v>
      </c>
      <c r="AP465" t="s">
        <v>51</v>
      </c>
      <c r="AQ465">
        <v>3.3850699999999998</v>
      </c>
      <c r="AR465">
        <v>5118.24</v>
      </c>
      <c r="AS465" t="s">
        <v>51</v>
      </c>
      <c r="AT465">
        <v>5118.24</v>
      </c>
      <c r="AU465" t="s">
        <v>415</v>
      </c>
      <c r="AV465" t="s">
        <v>1420</v>
      </c>
      <c r="AW465" t="s">
        <v>1973</v>
      </c>
      <c r="AX465">
        <v>46106</v>
      </c>
      <c r="AY465">
        <v>46155</v>
      </c>
      <c r="AZ465" t="s">
        <v>1974</v>
      </c>
      <c r="BA465" t="s">
        <v>560</v>
      </c>
      <c r="BB465" t="s">
        <v>1975</v>
      </c>
      <c r="BC465">
        <v>28</v>
      </c>
      <c r="BD465" t="s">
        <v>521</v>
      </c>
      <c r="BE465">
        <v>5.9733999999999998</v>
      </c>
      <c r="BF465">
        <v>4.1104000000000003</v>
      </c>
      <c r="BG465" t="s">
        <v>522</v>
      </c>
      <c r="BH465">
        <v>795</v>
      </c>
      <c r="BI465">
        <v>395</v>
      </c>
      <c r="BJ465">
        <v>145</v>
      </c>
      <c r="BK465">
        <v>18</v>
      </c>
      <c r="BL465" t="s">
        <v>521</v>
      </c>
      <c r="BM465">
        <v>132.52119999999999</v>
      </c>
      <c r="BN465">
        <v>73.987200000000001</v>
      </c>
      <c r="BO465">
        <v>397.56360000000001</v>
      </c>
      <c r="BP465" t="s">
        <v>522</v>
      </c>
      <c r="BQ465">
        <v>1200</v>
      </c>
      <c r="BR465">
        <v>800</v>
      </c>
      <c r="BS465">
        <v>1030</v>
      </c>
      <c r="BT465">
        <v>3</v>
      </c>
      <c r="BU465">
        <v>0</v>
      </c>
      <c r="BV465">
        <v>3</v>
      </c>
      <c r="BW465">
        <v>54</v>
      </c>
      <c r="BX465">
        <v>0</v>
      </c>
      <c r="BY465">
        <v>54</v>
      </c>
      <c r="BZ465">
        <v>1512</v>
      </c>
      <c r="CA465">
        <v>0</v>
      </c>
      <c r="CB465">
        <v>1512</v>
      </c>
      <c r="CC465">
        <v>221.9616</v>
      </c>
      <c r="CD465" t="s">
        <v>783</v>
      </c>
      <c r="CE465" t="s">
        <v>784</v>
      </c>
      <c r="CG465" t="s">
        <v>421</v>
      </c>
      <c r="CN465" t="str">
        <v>M45</v>
      </c>
      <c r="CO465" t="str">
        <v>1205-12C0014EN</v>
      </c>
      <c r="CP465" t="str">
        <v>MSDU6089696</v>
      </c>
      <c r="CQ465" s="23">
        <v>31.227699999999999</v>
      </c>
      <c r="CR465" s="25">
        <f t="shared" si="20"/>
        <v>2.0867690741726403E-3</v>
      </c>
      <c r="CS465" s="21">
        <f t="shared" si="21"/>
        <v>5.2169226854316006</v>
      </c>
    </row>
    <row r="466" spans="2:97" x14ac:dyDescent="0.35">
      <c r="B466" t="s">
        <v>299</v>
      </c>
      <c r="C466" t="s">
        <v>1982</v>
      </c>
      <c r="D466" t="s">
        <v>395</v>
      </c>
      <c r="E466" t="s">
        <v>395</v>
      </c>
      <c r="F466" t="s">
        <v>396</v>
      </c>
      <c r="G466" t="s">
        <v>397</v>
      </c>
      <c r="H466" t="s">
        <v>398</v>
      </c>
      <c r="I466" t="s">
        <v>399</v>
      </c>
      <c r="J466" t="s">
        <v>749</v>
      </c>
      <c r="K466" t="s">
        <v>777</v>
      </c>
      <c r="L466" t="s">
        <v>778</v>
      </c>
      <c r="M466" t="s">
        <v>403</v>
      </c>
      <c r="N466">
        <v>1</v>
      </c>
      <c r="O466">
        <v>1</v>
      </c>
      <c r="P466" t="s">
        <v>1979</v>
      </c>
      <c r="Q466" t="s">
        <v>645</v>
      </c>
      <c r="R466" t="s">
        <v>536</v>
      </c>
      <c r="S466" t="s">
        <v>1980</v>
      </c>
      <c r="T466" t="s">
        <v>408</v>
      </c>
      <c r="U466">
        <v>50950077713</v>
      </c>
      <c r="W466">
        <v>1512</v>
      </c>
      <c r="X466" t="s">
        <v>409</v>
      </c>
      <c r="Y466" t="s">
        <v>410</v>
      </c>
      <c r="Z466" t="s">
        <v>410</v>
      </c>
      <c r="AA466" t="s">
        <v>411</v>
      </c>
      <c r="AB466" t="s">
        <v>554</v>
      </c>
      <c r="AC466" t="s">
        <v>411</v>
      </c>
      <c r="AD466">
        <v>46095</v>
      </c>
      <c r="AE466">
        <v>46153</v>
      </c>
      <c r="AF466">
        <v>46106</v>
      </c>
      <c r="AG466" t="s">
        <v>781</v>
      </c>
      <c r="AH466">
        <v>6144993</v>
      </c>
      <c r="AI466">
        <v>46097</v>
      </c>
      <c r="AJ466">
        <v>46098</v>
      </c>
      <c r="AK466">
        <v>1512</v>
      </c>
      <c r="AL466" t="s">
        <v>396</v>
      </c>
      <c r="AM466" t="s">
        <v>1983</v>
      </c>
      <c r="AN466">
        <v>46098</v>
      </c>
      <c r="AO466">
        <v>46098.400231481479</v>
      </c>
      <c r="AP466" t="s">
        <v>51</v>
      </c>
      <c r="AQ466">
        <v>3.3850699999999998</v>
      </c>
      <c r="AR466">
        <v>5118.24</v>
      </c>
      <c r="AS466" t="s">
        <v>51</v>
      </c>
      <c r="AT466">
        <v>5118.24</v>
      </c>
      <c r="AU466" t="s">
        <v>415</v>
      </c>
      <c r="AV466" t="s">
        <v>1420</v>
      </c>
      <c r="AW466" t="s">
        <v>1973</v>
      </c>
      <c r="AX466">
        <v>46106</v>
      </c>
      <c r="AY466">
        <v>46155</v>
      </c>
      <c r="AZ466" t="s">
        <v>1974</v>
      </c>
      <c r="BA466" t="s">
        <v>560</v>
      </c>
      <c r="BB466" t="s">
        <v>1975</v>
      </c>
      <c r="BC466">
        <v>28</v>
      </c>
      <c r="BD466" t="s">
        <v>521</v>
      </c>
      <c r="BE466">
        <v>5.9733999999999998</v>
      </c>
      <c r="BF466">
        <v>4.1104000000000003</v>
      </c>
      <c r="BG466" t="s">
        <v>522</v>
      </c>
      <c r="BH466">
        <v>795</v>
      </c>
      <c r="BI466">
        <v>395</v>
      </c>
      <c r="BJ466">
        <v>145</v>
      </c>
      <c r="BK466">
        <v>18</v>
      </c>
      <c r="BL466" t="s">
        <v>521</v>
      </c>
      <c r="BM466">
        <v>132.52119999999999</v>
      </c>
      <c r="BN466">
        <v>73.987200000000001</v>
      </c>
      <c r="BO466">
        <v>397.56360000000001</v>
      </c>
      <c r="BP466" t="s">
        <v>522</v>
      </c>
      <c r="BQ466">
        <v>1200</v>
      </c>
      <c r="BR466">
        <v>800</v>
      </c>
      <c r="BS466">
        <v>1030</v>
      </c>
      <c r="BT466">
        <v>3</v>
      </c>
      <c r="BU466">
        <v>0</v>
      </c>
      <c r="BV466">
        <v>3</v>
      </c>
      <c r="BW466">
        <v>54</v>
      </c>
      <c r="BX466">
        <v>0</v>
      </c>
      <c r="BY466">
        <v>54</v>
      </c>
      <c r="BZ466">
        <v>1512</v>
      </c>
      <c r="CA466">
        <v>0</v>
      </c>
      <c r="CB466">
        <v>1512</v>
      </c>
      <c r="CC466">
        <v>221.9616</v>
      </c>
      <c r="CD466" t="s">
        <v>783</v>
      </c>
      <c r="CE466" t="s">
        <v>784</v>
      </c>
      <c r="CG466" t="s">
        <v>421</v>
      </c>
      <c r="CN466" t="str">
        <v>M19</v>
      </c>
      <c r="CO466" t="str">
        <v>1330-5YY0182EN</v>
      </c>
      <c r="CP466" t="str">
        <v>MSDU6089696</v>
      </c>
      <c r="CQ466" s="23">
        <v>2810.1696000000002</v>
      </c>
      <c r="CR466" s="25">
        <f t="shared" si="20"/>
        <v>0.1877876056981494</v>
      </c>
      <c r="CS466" s="21">
        <f t="shared" si="21"/>
        <v>469.4690142453735</v>
      </c>
    </row>
    <row r="467" spans="2:97" x14ac:dyDescent="0.35">
      <c r="B467" t="s">
        <v>299</v>
      </c>
      <c r="C467" t="s">
        <v>1984</v>
      </c>
      <c r="D467" t="s">
        <v>395</v>
      </c>
      <c r="E467" t="s">
        <v>395</v>
      </c>
      <c r="F467" t="s">
        <v>396</v>
      </c>
      <c r="G467" t="s">
        <v>397</v>
      </c>
      <c r="H467" t="s">
        <v>398</v>
      </c>
      <c r="I467" t="s">
        <v>399</v>
      </c>
      <c r="J467" t="s">
        <v>749</v>
      </c>
      <c r="K467" t="s">
        <v>777</v>
      </c>
      <c r="L467" t="s">
        <v>778</v>
      </c>
      <c r="M467" t="s">
        <v>403</v>
      </c>
      <c r="N467">
        <v>1</v>
      </c>
      <c r="O467">
        <v>1</v>
      </c>
      <c r="P467" t="s">
        <v>1979</v>
      </c>
      <c r="Q467" t="s">
        <v>645</v>
      </c>
      <c r="R467" t="s">
        <v>536</v>
      </c>
      <c r="S467" t="s">
        <v>1980</v>
      </c>
      <c r="T467" t="s">
        <v>408</v>
      </c>
      <c r="U467">
        <v>50950081016</v>
      </c>
      <c r="W467">
        <v>1008</v>
      </c>
      <c r="X467" t="s">
        <v>409</v>
      </c>
      <c r="Y467" t="s">
        <v>410</v>
      </c>
      <c r="Z467" t="s">
        <v>410</v>
      </c>
      <c r="AA467" t="s">
        <v>411</v>
      </c>
      <c r="AB467" t="s">
        <v>554</v>
      </c>
      <c r="AC467" t="s">
        <v>411</v>
      </c>
      <c r="AD467">
        <v>46088</v>
      </c>
      <c r="AE467">
        <v>46146</v>
      </c>
      <c r="AF467">
        <v>46106</v>
      </c>
      <c r="AG467" t="s">
        <v>781</v>
      </c>
      <c r="AH467">
        <v>6144994</v>
      </c>
      <c r="AI467">
        <v>46097</v>
      </c>
      <c r="AJ467">
        <v>46098</v>
      </c>
      <c r="AK467">
        <v>1008</v>
      </c>
      <c r="AL467" t="s">
        <v>396</v>
      </c>
      <c r="AM467" t="s">
        <v>1985</v>
      </c>
      <c r="AN467">
        <v>46098</v>
      </c>
      <c r="AO467">
        <v>46098.400231481479</v>
      </c>
      <c r="AP467" t="s">
        <v>51</v>
      </c>
      <c r="AQ467">
        <v>3.3850699999999998</v>
      </c>
      <c r="AR467">
        <v>3412.16</v>
      </c>
      <c r="AS467" t="s">
        <v>51</v>
      </c>
      <c r="AT467">
        <v>3412.16</v>
      </c>
      <c r="AU467" t="s">
        <v>415</v>
      </c>
      <c r="AV467" t="s">
        <v>1420</v>
      </c>
      <c r="AW467" t="s">
        <v>1973</v>
      </c>
      <c r="AX467">
        <v>46106</v>
      </c>
      <c r="AY467">
        <v>46155</v>
      </c>
      <c r="AZ467" t="s">
        <v>1974</v>
      </c>
      <c r="BA467" t="s">
        <v>560</v>
      </c>
      <c r="BB467" t="s">
        <v>1975</v>
      </c>
      <c r="BC467">
        <v>28</v>
      </c>
      <c r="BD467" t="s">
        <v>521</v>
      </c>
      <c r="BE467">
        <v>5.9733999999999998</v>
      </c>
      <c r="BF467">
        <v>4.1104000000000003</v>
      </c>
      <c r="BG467" t="s">
        <v>522</v>
      </c>
      <c r="BH467">
        <v>795</v>
      </c>
      <c r="BI467">
        <v>395</v>
      </c>
      <c r="BJ467">
        <v>145</v>
      </c>
      <c r="BK467">
        <v>18</v>
      </c>
      <c r="BL467" t="s">
        <v>521</v>
      </c>
      <c r="BM467">
        <v>132.52119999999999</v>
      </c>
      <c r="BN467">
        <v>73.987200000000001</v>
      </c>
      <c r="BO467">
        <v>265.04239999999999</v>
      </c>
      <c r="BP467" t="s">
        <v>522</v>
      </c>
      <c r="BQ467">
        <v>1200</v>
      </c>
      <c r="BR467">
        <v>800</v>
      </c>
      <c r="BS467">
        <v>1030</v>
      </c>
      <c r="BT467">
        <v>2</v>
      </c>
      <c r="BU467">
        <v>0</v>
      </c>
      <c r="BV467">
        <v>2</v>
      </c>
      <c r="BW467">
        <v>36</v>
      </c>
      <c r="BX467">
        <v>0</v>
      </c>
      <c r="BY467">
        <v>36</v>
      </c>
      <c r="BZ467">
        <v>1008</v>
      </c>
      <c r="CA467">
        <v>0</v>
      </c>
      <c r="CB467">
        <v>1008</v>
      </c>
      <c r="CC467">
        <v>147.9744</v>
      </c>
      <c r="CD467" t="s">
        <v>783</v>
      </c>
      <c r="CE467" t="s">
        <v>784</v>
      </c>
      <c r="CG467" t="s">
        <v>421</v>
      </c>
      <c r="CN467" t="str">
        <v>M19</v>
      </c>
      <c r="CO467" t="str">
        <v>1307-5YY0170EN</v>
      </c>
      <c r="CP467" t="str">
        <v>MSDU6089696</v>
      </c>
      <c r="CQ467" s="23">
        <v>1840.96</v>
      </c>
      <c r="CR467" s="25">
        <f t="shared" si="20"/>
        <v>0.12302085631631098</v>
      </c>
      <c r="CS467" s="21">
        <f t="shared" si="21"/>
        <v>307.55214079077746</v>
      </c>
    </row>
    <row r="468" spans="2:97" x14ac:dyDescent="0.35">
      <c r="B468" t="s">
        <v>296</v>
      </c>
      <c r="C468" t="s">
        <v>1641</v>
      </c>
      <c r="D468" t="s">
        <v>395</v>
      </c>
      <c r="E468" t="s">
        <v>395</v>
      </c>
      <c r="F468" t="s">
        <v>396</v>
      </c>
      <c r="G468" t="s">
        <v>397</v>
      </c>
      <c r="H468" t="s">
        <v>398</v>
      </c>
      <c r="I468" t="s">
        <v>399</v>
      </c>
      <c r="J468" t="s">
        <v>749</v>
      </c>
      <c r="K468" t="s">
        <v>629</v>
      </c>
      <c r="L468" t="s">
        <v>787</v>
      </c>
      <c r="M468" t="s">
        <v>403</v>
      </c>
      <c r="N468">
        <v>1</v>
      </c>
      <c r="O468">
        <v>2</v>
      </c>
      <c r="P468" t="s">
        <v>881</v>
      </c>
      <c r="Q468" t="s">
        <v>645</v>
      </c>
      <c r="R468" t="s">
        <v>882</v>
      </c>
      <c r="S468" t="s">
        <v>883</v>
      </c>
      <c r="T468" t="s">
        <v>408</v>
      </c>
      <c r="U468">
        <v>50950078918</v>
      </c>
      <c r="W468">
        <v>6600</v>
      </c>
      <c r="X468" t="s">
        <v>409</v>
      </c>
      <c r="Y468" t="s">
        <v>410</v>
      </c>
      <c r="Z468" t="s">
        <v>410</v>
      </c>
      <c r="AA468" t="s">
        <v>411</v>
      </c>
      <c r="AB468" t="s">
        <v>554</v>
      </c>
      <c r="AC468" t="s">
        <v>411</v>
      </c>
      <c r="AD468">
        <v>46097</v>
      </c>
      <c r="AE468">
        <v>46181</v>
      </c>
      <c r="AF468">
        <v>46106</v>
      </c>
      <c r="AG468" t="s">
        <v>754</v>
      </c>
      <c r="AH468">
        <v>6144995</v>
      </c>
      <c r="AI468">
        <v>46097</v>
      </c>
      <c r="AJ468">
        <v>46098</v>
      </c>
      <c r="AK468">
        <v>6600</v>
      </c>
      <c r="AL468" t="s">
        <v>396</v>
      </c>
      <c r="AM468" t="s">
        <v>1986</v>
      </c>
      <c r="AN468">
        <v>46098</v>
      </c>
      <c r="AO468">
        <v>46098.400231481479</v>
      </c>
      <c r="AP468" t="s">
        <v>51</v>
      </c>
      <c r="AQ468">
        <v>0.19572000000000001</v>
      </c>
      <c r="AR468">
        <v>1291.75</v>
      </c>
      <c r="AS468" t="s">
        <v>51</v>
      </c>
      <c r="AT468">
        <v>1291.75</v>
      </c>
      <c r="AU468" t="s">
        <v>415</v>
      </c>
      <c r="AV468" t="s">
        <v>1420</v>
      </c>
      <c r="AW468" t="s">
        <v>1973</v>
      </c>
      <c r="AX468">
        <v>46106</v>
      </c>
      <c r="AY468">
        <v>46155</v>
      </c>
      <c r="AZ468" t="s">
        <v>1974</v>
      </c>
      <c r="BA468" t="s">
        <v>560</v>
      </c>
      <c r="BB468" t="s">
        <v>1975</v>
      </c>
      <c r="BC468">
        <v>264</v>
      </c>
      <c r="BD468" t="s">
        <v>521</v>
      </c>
      <c r="BE468">
        <v>5.2203999999999997</v>
      </c>
      <c r="BF468">
        <v>3.8304</v>
      </c>
      <c r="BG468" t="s">
        <v>522</v>
      </c>
      <c r="BH468">
        <v>595</v>
      </c>
      <c r="BI468">
        <v>395</v>
      </c>
      <c r="BJ468">
        <v>175</v>
      </c>
      <c r="BK468">
        <v>25</v>
      </c>
      <c r="BL468" t="s">
        <v>521</v>
      </c>
      <c r="BM468">
        <v>157.5094</v>
      </c>
      <c r="BN468">
        <v>95.759399999999999</v>
      </c>
      <c r="BO468">
        <v>157.5094</v>
      </c>
      <c r="BP468" t="s">
        <v>522</v>
      </c>
      <c r="BQ468">
        <v>1200</v>
      </c>
      <c r="BR468">
        <v>1000</v>
      </c>
      <c r="BS468">
        <v>1035</v>
      </c>
      <c r="BT468">
        <v>1</v>
      </c>
      <c r="BU468">
        <v>0</v>
      </c>
      <c r="BV468">
        <v>1</v>
      </c>
      <c r="BW468">
        <v>25</v>
      </c>
      <c r="BX468">
        <v>0</v>
      </c>
      <c r="BY468">
        <v>25</v>
      </c>
      <c r="BZ468">
        <v>6600</v>
      </c>
      <c r="CA468">
        <v>0</v>
      </c>
      <c r="CB468">
        <v>6600</v>
      </c>
      <c r="CC468">
        <v>95.759399999999999</v>
      </c>
      <c r="CD468" t="s">
        <v>885</v>
      </c>
      <c r="CE468" t="s">
        <v>886</v>
      </c>
      <c r="CG468" t="s">
        <v>421</v>
      </c>
      <c r="CN468" t="str">
        <v>M45</v>
      </c>
      <c r="CO468" t="str">
        <v>1210-10C0133EN</v>
      </c>
      <c r="CP468" t="str">
        <v>MSDU6089696</v>
      </c>
      <c r="CQ468" s="23">
        <v>283.06</v>
      </c>
      <c r="CR468" s="25">
        <f t="shared" si="20"/>
        <v>1.8915285279905582E-2</v>
      </c>
      <c r="CS468" s="21">
        <f t="shared" si="21"/>
        <v>47.288213199763952</v>
      </c>
    </row>
    <row r="469" spans="2:97" x14ac:dyDescent="0.35">
      <c r="B469" t="s">
        <v>299</v>
      </c>
      <c r="C469" t="s">
        <v>1987</v>
      </c>
      <c r="D469" t="s">
        <v>965</v>
      </c>
      <c r="E469" t="s">
        <v>395</v>
      </c>
      <c r="F469" t="s">
        <v>396</v>
      </c>
      <c r="G469" t="s">
        <v>397</v>
      </c>
      <c r="H469" t="s">
        <v>398</v>
      </c>
      <c r="I469" t="s">
        <v>399</v>
      </c>
      <c r="J469" t="s">
        <v>749</v>
      </c>
      <c r="K469" t="s">
        <v>526</v>
      </c>
      <c r="L469" t="s">
        <v>787</v>
      </c>
      <c r="M469" t="s">
        <v>403</v>
      </c>
      <c r="N469">
        <v>1</v>
      </c>
      <c r="O469">
        <v>1</v>
      </c>
      <c r="P469" t="s">
        <v>966</v>
      </c>
      <c r="Q469" t="s">
        <v>424</v>
      </c>
      <c r="R469" t="s">
        <v>959</v>
      </c>
      <c r="S469" t="s">
        <v>967</v>
      </c>
      <c r="T469" t="s">
        <v>408</v>
      </c>
      <c r="U469">
        <v>50950079530</v>
      </c>
      <c r="W469">
        <v>142560</v>
      </c>
      <c r="X469" t="s">
        <v>409</v>
      </c>
      <c r="Y469" t="s">
        <v>410</v>
      </c>
      <c r="Z469" t="s">
        <v>410</v>
      </c>
      <c r="AA469" t="s">
        <v>411</v>
      </c>
      <c r="AB469" t="s">
        <v>554</v>
      </c>
      <c r="AC469" t="s">
        <v>411</v>
      </c>
      <c r="AD469">
        <v>46088</v>
      </c>
      <c r="AE469">
        <v>46111</v>
      </c>
      <c r="AF469">
        <v>46106</v>
      </c>
      <c r="AG469" t="s">
        <v>754</v>
      </c>
      <c r="AH469">
        <v>6144996</v>
      </c>
      <c r="AI469">
        <v>46097</v>
      </c>
      <c r="AJ469">
        <v>46098</v>
      </c>
      <c r="AK469">
        <v>142560</v>
      </c>
      <c r="AL469" t="s">
        <v>396</v>
      </c>
      <c r="AM469" t="s">
        <v>1988</v>
      </c>
      <c r="AN469">
        <v>46098</v>
      </c>
      <c r="AO469">
        <v>46098.400231481479</v>
      </c>
      <c r="AP469" t="s">
        <v>51</v>
      </c>
      <c r="AQ469">
        <v>5.5079999999999997E-2</v>
      </c>
      <c r="AR469">
        <v>7852.2</v>
      </c>
      <c r="AS469" t="s">
        <v>51</v>
      </c>
      <c r="AT469">
        <v>7852.2</v>
      </c>
      <c r="AU469" t="s">
        <v>415</v>
      </c>
      <c r="AV469" t="s">
        <v>1420</v>
      </c>
      <c r="AW469" t="s">
        <v>1973</v>
      </c>
      <c r="AX469">
        <v>46106</v>
      </c>
      <c r="AY469">
        <v>46155</v>
      </c>
      <c r="AZ469" t="s">
        <v>1974</v>
      </c>
      <c r="BA469" t="s">
        <v>560</v>
      </c>
      <c r="BB469" t="s">
        <v>1975</v>
      </c>
      <c r="BC469">
        <v>594</v>
      </c>
      <c r="BD469" t="s">
        <v>521</v>
      </c>
      <c r="BE469">
        <v>8.2226999999999997</v>
      </c>
      <c r="BF469">
        <v>7.9726999999999997</v>
      </c>
      <c r="BG469" t="s">
        <v>522</v>
      </c>
      <c r="BH469">
        <v>286</v>
      </c>
      <c r="BI469">
        <v>190</v>
      </c>
      <c r="BJ469">
        <v>72</v>
      </c>
      <c r="BK469">
        <v>48</v>
      </c>
      <c r="BL469" t="s">
        <v>521</v>
      </c>
      <c r="BM469">
        <v>419.68959999999998</v>
      </c>
      <c r="BN469">
        <v>382.68959999999998</v>
      </c>
      <c r="BO469">
        <v>2098.4403200000002</v>
      </c>
      <c r="BP469" t="s">
        <v>522</v>
      </c>
      <c r="BQ469">
        <v>1200</v>
      </c>
      <c r="BR469">
        <v>800</v>
      </c>
      <c r="BS469">
        <v>378</v>
      </c>
      <c r="BT469">
        <v>5</v>
      </c>
      <c r="BU469">
        <v>0</v>
      </c>
      <c r="BV469">
        <v>5</v>
      </c>
      <c r="BW469">
        <v>240</v>
      </c>
      <c r="BX469">
        <v>0</v>
      </c>
      <c r="BY469">
        <v>240</v>
      </c>
      <c r="BZ469">
        <v>142560</v>
      </c>
      <c r="CA469">
        <v>0</v>
      </c>
      <c r="CB469">
        <v>142560</v>
      </c>
      <c r="CC469">
        <v>1913.4403199999999</v>
      </c>
      <c r="CD469" t="s">
        <v>969</v>
      </c>
      <c r="CE469" t="s">
        <v>970</v>
      </c>
      <c r="CG469" t="s">
        <v>421</v>
      </c>
      <c r="CN469" t="str">
        <v>M01</v>
      </c>
      <c r="CO469" t="str">
        <v>1318-1030113EN</v>
      </c>
      <c r="CP469" t="str">
        <v>MSDU6089696</v>
      </c>
      <c r="CQ469" s="23">
        <v>32.853999999999999</v>
      </c>
      <c r="CR469" s="25">
        <f t="shared" si="20"/>
        <v>2.1954454270685297E-3</v>
      </c>
      <c r="CS469" s="21">
        <f t="shared" si="21"/>
        <v>5.4886135676713241</v>
      </c>
    </row>
    <row r="470" spans="2:97" x14ac:dyDescent="0.35">
      <c r="B470" t="s">
        <v>299</v>
      </c>
      <c r="C470" t="s">
        <v>1989</v>
      </c>
      <c r="D470" t="s">
        <v>395</v>
      </c>
      <c r="E470" t="s">
        <v>395</v>
      </c>
      <c r="F470" t="s">
        <v>396</v>
      </c>
      <c r="G470" t="s">
        <v>397</v>
      </c>
      <c r="H470" t="s">
        <v>398</v>
      </c>
      <c r="I470" t="s">
        <v>399</v>
      </c>
      <c r="J470" t="s">
        <v>749</v>
      </c>
      <c r="K470" t="s">
        <v>526</v>
      </c>
      <c r="L470" t="s">
        <v>787</v>
      </c>
      <c r="M470" t="s">
        <v>403</v>
      </c>
      <c r="N470">
        <v>1</v>
      </c>
      <c r="O470">
        <v>1</v>
      </c>
      <c r="P470" t="s">
        <v>958</v>
      </c>
      <c r="Q470" t="s">
        <v>430</v>
      </c>
      <c r="R470" t="s">
        <v>959</v>
      </c>
      <c r="S470" t="s">
        <v>960</v>
      </c>
      <c r="T470" t="s">
        <v>408</v>
      </c>
      <c r="U470">
        <v>50950079379</v>
      </c>
      <c r="W470">
        <v>31104</v>
      </c>
      <c r="X470" t="s">
        <v>409</v>
      </c>
      <c r="Y470" t="s">
        <v>410</v>
      </c>
      <c r="Z470" t="s">
        <v>410</v>
      </c>
      <c r="AA470" t="s">
        <v>411</v>
      </c>
      <c r="AB470" t="s">
        <v>554</v>
      </c>
      <c r="AC470" t="s">
        <v>411</v>
      </c>
      <c r="AD470">
        <v>46097</v>
      </c>
      <c r="AE470">
        <v>46118</v>
      </c>
      <c r="AF470">
        <v>46106</v>
      </c>
      <c r="AG470" t="s">
        <v>754</v>
      </c>
      <c r="AH470">
        <v>6144997</v>
      </c>
      <c r="AI470">
        <v>46097</v>
      </c>
      <c r="AJ470">
        <v>46098</v>
      </c>
      <c r="AK470">
        <v>31104</v>
      </c>
      <c r="AL470" t="s">
        <v>396</v>
      </c>
      <c r="AM470" t="s">
        <v>1990</v>
      </c>
      <c r="AN470">
        <v>46098</v>
      </c>
      <c r="AO470">
        <v>46098.400231481479</v>
      </c>
      <c r="AP470" t="s">
        <v>51</v>
      </c>
      <c r="AQ470">
        <v>6.0139999999999999E-2</v>
      </c>
      <c r="AR470">
        <v>1870.59</v>
      </c>
      <c r="AS470" t="s">
        <v>51</v>
      </c>
      <c r="AT470">
        <v>1870.59</v>
      </c>
      <c r="AU470" t="s">
        <v>415</v>
      </c>
      <c r="AV470" t="s">
        <v>1420</v>
      </c>
      <c r="AW470" t="s">
        <v>1973</v>
      </c>
      <c r="AX470">
        <v>46106</v>
      </c>
      <c r="AY470">
        <v>46155</v>
      </c>
      <c r="AZ470" t="s">
        <v>1974</v>
      </c>
      <c r="BA470" t="s">
        <v>560</v>
      </c>
      <c r="BB470" t="s">
        <v>1975</v>
      </c>
      <c r="BC470">
        <v>576</v>
      </c>
      <c r="BD470" t="s">
        <v>521</v>
      </c>
      <c r="BE470">
        <v>8.5412999999999997</v>
      </c>
      <c r="BF470">
        <v>8.2673000000000005</v>
      </c>
      <c r="BG470" t="s">
        <v>522</v>
      </c>
      <c r="BH470">
        <v>320</v>
      </c>
      <c r="BI470">
        <v>190</v>
      </c>
      <c r="BJ470">
        <v>65</v>
      </c>
      <c r="BK470">
        <v>54</v>
      </c>
      <c r="BL470" t="s">
        <v>521</v>
      </c>
      <c r="BM470">
        <v>488.23171200000002</v>
      </c>
      <c r="BN470">
        <v>446.43571200000002</v>
      </c>
      <c r="BO470">
        <v>488.23171200000002</v>
      </c>
      <c r="BP470" t="s">
        <v>522</v>
      </c>
      <c r="BQ470">
        <v>1200</v>
      </c>
      <c r="BR470">
        <v>1000</v>
      </c>
      <c r="BS470">
        <v>355</v>
      </c>
      <c r="BT470">
        <v>1</v>
      </c>
      <c r="BU470">
        <v>0</v>
      </c>
      <c r="BV470">
        <v>1</v>
      </c>
      <c r="BW470">
        <v>54</v>
      </c>
      <c r="BX470">
        <v>0</v>
      </c>
      <c r="BY470">
        <v>54</v>
      </c>
      <c r="BZ470">
        <v>31104</v>
      </c>
      <c r="CA470">
        <v>0</v>
      </c>
      <c r="CB470">
        <v>31104</v>
      </c>
      <c r="CC470">
        <v>446.43571200000002</v>
      </c>
      <c r="CD470" t="s">
        <v>962</v>
      </c>
      <c r="CE470" t="s">
        <v>963</v>
      </c>
      <c r="CG470" t="s">
        <v>421</v>
      </c>
      <c r="CN470" t="str">
        <v>M01</v>
      </c>
      <c r="CO470" t="str">
        <v>1426-1030016EN</v>
      </c>
      <c r="CP470" t="str">
        <v>MSDU6089696</v>
      </c>
      <c r="CQ470" s="23">
        <v>103.19</v>
      </c>
      <c r="CR470" s="25">
        <f t="shared" si="20"/>
        <v>6.8955991239788633E-3</v>
      </c>
      <c r="CS470" s="21">
        <f t="shared" si="21"/>
        <v>17.238997809947158</v>
      </c>
    </row>
    <row r="471" spans="2:97" x14ac:dyDescent="0.35">
      <c r="B471" t="s">
        <v>299</v>
      </c>
      <c r="C471" t="s">
        <v>1991</v>
      </c>
      <c r="D471" t="s">
        <v>395</v>
      </c>
      <c r="E471" t="s">
        <v>395</v>
      </c>
      <c r="F471" t="s">
        <v>396</v>
      </c>
      <c r="G471" t="s">
        <v>397</v>
      </c>
      <c r="H471" t="s">
        <v>398</v>
      </c>
      <c r="I471" t="s">
        <v>399</v>
      </c>
      <c r="J471" t="s">
        <v>749</v>
      </c>
      <c r="K471" t="s">
        <v>526</v>
      </c>
      <c r="L471" t="s">
        <v>787</v>
      </c>
      <c r="M471" t="s">
        <v>403</v>
      </c>
      <c r="N471">
        <v>1</v>
      </c>
      <c r="O471">
        <v>1</v>
      </c>
      <c r="P471" t="s">
        <v>992</v>
      </c>
      <c r="Q471" t="s">
        <v>405</v>
      </c>
      <c r="R471" t="s">
        <v>959</v>
      </c>
      <c r="S471" t="s">
        <v>993</v>
      </c>
      <c r="T471" t="s">
        <v>408</v>
      </c>
      <c r="U471">
        <v>50950080262</v>
      </c>
      <c r="W471">
        <v>48000</v>
      </c>
      <c r="X471" t="s">
        <v>409</v>
      </c>
      <c r="Y471" t="s">
        <v>410</v>
      </c>
      <c r="Z471" t="s">
        <v>410</v>
      </c>
      <c r="AA471" t="s">
        <v>411</v>
      </c>
      <c r="AB471" t="s">
        <v>554</v>
      </c>
      <c r="AC471" t="s">
        <v>411</v>
      </c>
      <c r="AD471">
        <v>46095</v>
      </c>
      <c r="AE471">
        <v>46153</v>
      </c>
      <c r="AF471">
        <v>46106</v>
      </c>
      <c r="AG471" t="s">
        <v>754</v>
      </c>
      <c r="AH471">
        <v>6144998</v>
      </c>
      <c r="AI471">
        <v>46097</v>
      </c>
      <c r="AJ471">
        <v>46098</v>
      </c>
      <c r="AK471">
        <v>48000</v>
      </c>
      <c r="AL471" t="s">
        <v>396</v>
      </c>
      <c r="AM471" t="s">
        <v>1992</v>
      </c>
      <c r="AN471">
        <v>46098</v>
      </c>
      <c r="AO471">
        <v>46098.400231481479</v>
      </c>
      <c r="AP471" t="s">
        <v>51</v>
      </c>
      <c r="AQ471">
        <v>0.10398</v>
      </c>
      <c r="AR471">
        <v>4991.04</v>
      </c>
      <c r="AS471" t="s">
        <v>51</v>
      </c>
      <c r="AT471">
        <v>4991.04</v>
      </c>
      <c r="AU471" t="s">
        <v>415</v>
      </c>
      <c r="AV471" t="s">
        <v>1420</v>
      </c>
      <c r="AW471" t="s">
        <v>1973</v>
      </c>
      <c r="AX471">
        <v>46106</v>
      </c>
      <c r="AY471">
        <v>46155</v>
      </c>
      <c r="AZ471" t="s">
        <v>1974</v>
      </c>
      <c r="BA471" t="s">
        <v>560</v>
      </c>
      <c r="BB471" t="s">
        <v>1975</v>
      </c>
      <c r="BC471">
        <v>250</v>
      </c>
      <c r="BD471" t="s">
        <v>521</v>
      </c>
      <c r="BE471">
        <v>9.0675000000000008</v>
      </c>
      <c r="BF471">
        <v>8.8175000000000008</v>
      </c>
      <c r="BG471" t="s">
        <v>522</v>
      </c>
      <c r="BH471">
        <v>286</v>
      </c>
      <c r="BI471">
        <v>190</v>
      </c>
      <c r="BJ471">
        <v>72</v>
      </c>
      <c r="BK471">
        <v>48</v>
      </c>
      <c r="BL471" t="s">
        <v>521</v>
      </c>
      <c r="BM471">
        <v>460.24</v>
      </c>
      <c r="BN471">
        <v>423.24</v>
      </c>
      <c r="BO471">
        <v>1840.96</v>
      </c>
      <c r="BP471" t="s">
        <v>522</v>
      </c>
      <c r="BQ471">
        <v>1200</v>
      </c>
      <c r="BR471">
        <v>800</v>
      </c>
      <c r="BS471">
        <v>378</v>
      </c>
      <c r="BT471">
        <v>4</v>
      </c>
      <c r="BU471">
        <v>0</v>
      </c>
      <c r="BV471">
        <v>4</v>
      </c>
      <c r="BW471">
        <v>192</v>
      </c>
      <c r="BX471">
        <v>0</v>
      </c>
      <c r="BY471">
        <v>192</v>
      </c>
      <c r="BZ471">
        <v>48000</v>
      </c>
      <c r="CA471">
        <v>0</v>
      </c>
      <c r="CB471">
        <v>48000</v>
      </c>
      <c r="CC471">
        <v>1692.96</v>
      </c>
      <c r="CD471" t="s">
        <v>969</v>
      </c>
      <c r="CE471" t="s">
        <v>970</v>
      </c>
      <c r="CG471" t="s">
        <v>421</v>
      </c>
      <c r="CN471" t="str">
        <v>M46</v>
      </c>
      <c r="CO471" t="str">
        <v>1127-EQN0006EN</v>
      </c>
      <c r="CP471" t="str">
        <v>MSDU6089696</v>
      </c>
      <c r="CQ471" s="23">
        <v>30.382000000000001</v>
      </c>
      <c r="CR471" s="25">
        <f t="shared" si="20"/>
        <v>2.0302557668836693E-3</v>
      </c>
      <c r="CS471" s="21">
        <f t="shared" si="21"/>
        <v>5.0756394172091737</v>
      </c>
    </row>
    <row r="472" spans="2:97" x14ac:dyDescent="0.35">
      <c r="B472" t="s">
        <v>299</v>
      </c>
      <c r="C472" t="s">
        <v>1380</v>
      </c>
      <c r="D472" t="s">
        <v>965</v>
      </c>
      <c r="E472" t="s">
        <v>395</v>
      </c>
      <c r="F472" t="s">
        <v>396</v>
      </c>
      <c r="G472" t="s">
        <v>397</v>
      </c>
      <c r="H472" t="s">
        <v>398</v>
      </c>
      <c r="I472" t="s">
        <v>399</v>
      </c>
      <c r="J472" t="s">
        <v>749</v>
      </c>
      <c r="K472" t="s">
        <v>809</v>
      </c>
      <c r="L472" t="s">
        <v>787</v>
      </c>
      <c r="M472" t="s">
        <v>403</v>
      </c>
      <c r="N472">
        <v>1</v>
      </c>
      <c r="O472">
        <v>11</v>
      </c>
      <c r="P472" t="s">
        <v>810</v>
      </c>
      <c r="Q472" t="s">
        <v>405</v>
      </c>
      <c r="R472" t="s">
        <v>811</v>
      </c>
      <c r="S472" t="s">
        <v>812</v>
      </c>
      <c r="T472" t="s">
        <v>408</v>
      </c>
      <c r="U472">
        <v>50950080270</v>
      </c>
      <c r="W472">
        <v>4320</v>
      </c>
      <c r="X472" t="s">
        <v>409</v>
      </c>
      <c r="Y472" t="s">
        <v>410</v>
      </c>
      <c r="Z472" t="s">
        <v>410</v>
      </c>
      <c r="AA472" t="s">
        <v>411</v>
      </c>
      <c r="AB472" t="s">
        <v>554</v>
      </c>
      <c r="AC472" t="s">
        <v>411</v>
      </c>
      <c r="AD472">
        <v>46095</v>
      </c>
      <c r="AE472">
        <v>46125</v>
      </c>
      <c r="AF472">
        <v>46106</v>
      </c>
      <c r="AG472" t="s">
        <v>754</v>
      </c>
      <c r="AH472">
        <v>6144999</v>
      </c>
      <c r="AI472">
        <v>46097</v>
      </c>
      <c r="AJ472">
        <v>46098</v>
      </c>
      <c r="AK472">
        <v>4320</v>
      </c>
      <c r="AL472" t="s">
        <v>396</v>
      </c>
      <c r="AM472" t="s">
        <v>1993</v>
      </c>
      <c r="AN472">
        <v>46098</v>
      </c>
      <c r="AO472">
        <v>46098.400231481479</v>
      </c>
      <c r="AP472" t="s">
        <v>51</v>
      </c>
      <c r="AQ472">
        <v>1.96204</v>
      </c>
      <c r="AR472">
        <v>8476.02</v>
      </c>
      <c r="AS472" t="s">
        <v>51</v>
      </c>
      <c r="AT472">
        <v>8476.02</v>
      </c>
      <c r="AU472" t="s">
        <v>415</v>
      </c>
      <c r="AV472" t="s">
        <v>1420</v>
      </c>
      <c r="AW472" t="s">
        <v>1973</v>
      </c>
      <c r="AX472">
        <v>46106</v>
      </c>
      <c r="AY472">
        <v>46155</v>
      </c>
      <c r="AZ472" t="s">
        <v>1974</v>
      </c>
      <c r="BA472" t="s">
        <v>560</v>
      </c>
      <c r="BB472" t="s">
        <v>1975</v>
      </c>
      <c r="BC472">
        <v>16</v>
      </c>
      <c r="BD472" t="s">
        <v>521</v>
      </c>
      <c r="BE472">
        <v>4.9545000000000003</v>
      </c>
      <c r="BF472">
        <v>3.7555000000000001</v>
      </c>
      <c r="BG472" t="s">
        <v>522</v>
      </c>
      <c r="BH472">
        <v>495</v>
      </c>
      <c r="BI472">
        <v>395</v>
      </c>
      <c r="BJ472">
        <v>190</v>
      </c>
      <c r="BK472">
        <v>30</v>
      </c>
      <c r="BL472" t="s">
        <v>521</v>
      </c>
      <c r="BM472">
        <v>175.63499999999999</v>
      </c>
      <c r="BN472">
        <v>112.66500000000001</v>
      </c>
      <c r="BO472">
        <v>1580.7203999999999</v>
      </c>
      <c r="BP472" t="s">
        <v>522</v>
      </c>
      <c r="BQ472">
        <v>1200</v>
      </c>
      <c r="BR472">
        <v>1000</v>
      </c>
      <c r="BS472">
        <v>1120</v>
      </c>
      <c r="BT472">
        <v>9</v>
      </c>
      <c r="BU472">
        <v>0</v>
      </c>
      <c r="BV472">
        <v>9</v>
      </c>
      <c r="BW472">
        <v>270</v>
      </c>
      <c r="BX472">
        <v>0</v>
      </c>
      <c r="BY472">
        <v>270</v>
      </c>
      <c r="BZ472">
        <v>4320</v>
      </c>
      <c r="CA472">
        <v>0</v>
      </c>
      <c r="CB472">
        <v>4320</v>
      </c>
      <c r="CC472">
        <v>1013.9904</v>
      </c>
      <c r="CD472" t="s">
        <v>806</v>
      </c>
      <c r="CE472" t="s">
        <v>816</v>
      </c>
      <c r="CG472" t="s">
        <v>421</v>
      </c>
      <c r="CN472" t="str">
        <v>MCS</v>
      </c>
      <c r="CO472" t="str">
        <v>1205-1030761EN</v>
      </c>
      <c r="CP472" t="str">
        <v>MSDU6089696</v>
      </c>
      <c r="CQ472" s="23">
        <v>93.283100000000005</v>
      </c>
      <c r="CR472" s="25">
        <f t="shared" si="20"/>
        <v>6.2335775040414064E-3</v>
      </c>
      <c r="CS472" s="21">
        <f t="shared" si="21"/>
        <v>15.583943760103516</v>
      </c>
    </row>
    <row r="473" spans="2:97" x14ac:dyDescent="0.35">
      <c r="B473" t="s">
        <v>299</v>
      </c>
      <c r="C473" t="s">
        <v>1937</v>
      </c>
      <c r="D473" t="s">
        <v>395</v>
      </c>
      <c r="E473" t="s">
        <v>395</v>
      </c>
      <c r="F473" t="s">
        <v>396</v>
      </c>
      <c r="G473" t="s">
        <v>397</v>
      </c>
      <c r="H473" t="s">
        <v>398</v>
      </c>
      <c r="I473" t="s">
        <v>399</v>
      </c>
      <c r="J473" t="s">
        <v>749</v>
      </c>
      <c r="K473" t="s">
        <v>809</v>
      </c>
      <c r="L473" t="s">
        <v>787</v>
      </c>
      <c r="M473" t="s">
        <v>403</v>
      </c>
      <c r="N473">
        <v>1</v>
      </c>
      <c r="O473">
        <v>3</v>
      </c>
      <c r="P473" t="s">
        <v>818</v>
      </c>
      <c r="Q473" t="s">
        <v>430</v>
      </c>
      <c r="R473" t="s">
        <v>811</v>
      </c>
      <c r="S473" t="s">
        <v>819</v>
      </c>
      <c r="T473" t="s">
        <v>408</v>
      </c>
      <c r="U473">
        <v>50950080296</v>
      </c>
      <c r="W473">
        <v>4320</v>
      </c>
      <c r="X473" t="s">
        <v>409</v>
      </c>
      <c r="Y473" t="s">
        <v>410</v>
      </c>
      <c r="Z473" t="s">
        <v>410</v>
      </c>
      <c r="AA473" t="s">
        <v>411</v>
      </c>
      <c r="AB473" t="s">
        <v>554</v>
      </c>
      <c r="AC473" t="s">
        <v>411</v>
      </c>
      <c r="AD473">
        <v>46095</v>
      </c>
      <c r="AE473">
        <v>46132</v>
      </c>
      <c r="AF473">
        <v>46106</v>
      </c>
      <c r="AG473" t="s">
        <v>754</v>
      </c>
      <c r="AH473">
        <v>6145000</v>
      </c>
      <c r="AI473">
        <v>46097</v>
      </c>
      <c r="AJ473">
        <v>46098</v>
      </c>
      <c r="AK473">
        <v>4320</v>
      </c>
      <c r="AL473" t="s">
        <v>396</v>
      </c>
      <c r="AM473" t="s">
        <v>1994</v>
      </c>
      <c r="AN473">
        <v>46098</v>
      </c>
      <c r="AO473">
        <v>46098.400231481479</v>
      </c>
      <c r="AP473" t="s">
        <v>51</v>
      </c>
      <c r="AQ473">
        <v>1.20448</v>
      </c>
      <c r="AR473">
        <v>5203.3500000000004</v>
      </c>
      <c r="AS473" t="s">
        <v>51</v>
      </c>
      <c r="AT473">
        <v>5203.3500000000004</v>
      </c>
      <c r="AU473" t="s">
        <v>415</v>
      </c>
      <c r="AV473" t="s">
        <v>1420</v>
      </c>
      <c r="AW473" t="s">
        <v>1973</v>
      </c>
      <c r="AX473">
        <v>46106</v>
      </c>
      <c r="AY473">
        <v>46155</v>
      </c>
      <c r="AZ473" t="s">
        <v>1974</v>
      </c>
      <c r="BA473" t="s">
        <v>560</v>
      </c>
      <c r="BB473" t="s">
        <v>1975</v>
      </c>
      <c r="BC473">
        <v>48</v>
      </c>
      <c r="BD473" t="s">
        <v>521</v>
      </c>
      <c r="BE473">
        <v>7.6898999999999997</v>
      </c>
      <c r="BF473">
        <v>6.2298999999999998</v>
      </c>
      <c r="BG473" t="s">
        <v>522</v>
      </c>
      <c r="BH473">
        <v>495</v>
      </c>
      <c r="BI473">
        <v>395</v>
      </c>
      <c r="BJ473">
        <v>190</v>
      </c>
      <c r="BK473">
        <v>30</v>
      </c>
      <c r="BL473" t="s">
        <v>521</v>
      </c>
      <c r="BM473">
        <v>257.697</v>
      </c>
      <c r="BN473">
        <v>186.89699999999999</v>
      </c>
      <c r="BO473">
        <v>773.09280000000001</v>
      </c>
      <c r="BP473" t="s">
        <v>522</v>
      </c>
      <c r="BQ473">
        <v>1200</v>
      </c>
      <c r="BR473">
        <v>1000</v>
      </c>
      <c r="BS473">
        <v>1120</v>
      </c>
      <c r="BT473">
        <v>3</v>
      </c>
      <c r="BU473">
        <v>0</v>
      </c>
      <c r="BV473">
        <v>3</v>
      </c>
      <c r="BW473">
        <v>90</v>
      </c>
      <c r="BX473">
        <v>0</v>
      </c>
      <c r="BY473">
        <v>90</v>
      </c>
      <c r="BZ473">
        <v>4320</v>
      </c>
      <c r="CA473">
        <v>0</v>
      </c>
      <c r="CB473">
        <v>4320</v>
      </c>
      <c r="CC473">
        <v>560.69280000000003</v>
      </c>
      <c r="CD473" t="s">
        <v>806</v>
      </c>
      <c r="CE473" t="s">
        <v>821</v>
      </c>
      <c r="CG473" t="s">
        <v>421</v>
      </c>
      <c r="CN473" t="str">
        <v>MCS</v>
      </c>
      <c r="CO473" t="str">
        <v>1205-1030760EN</v>
      </c>
      <c r="CP473" t="str">
        <v>MSDU6089696</v>
      </c>
      <c r="CQ473" s="23">
        <v>58.963099999999997</v>
      </c>
      <c r="CR473" s="25">
        <f t="shared" si="20"/>
        <v>3.9401676587564501E-3</v>
      </c>
      <c r="CS473" s="21">
        <f t="shared" si="21"/>
        <v>9.8504191468911255</v>
      </c>
    </row>
    <row r="474" spans="2:97" x14ac:dyDescent="0.35">
      <c r="B474" t="s">
        <v>299</v>
      </c>
      <c r="C474" t="s">
        <v>1995</v>
      </c>
      <c r="D474" t="s">
        <v>395</v>
      </c>
      <c r="E474" t="s">
        <v>395</v>
      </c>
      <c r="F474" t="s">
        <v>396</v>
      </c>
      <c r="G474" t="s">
        <v>397</v>
      </c>
      <c r="H474" t="s">
        <v>398</v>
      </c>
      <c r="I474" t="s">
        <v>399</v>
      </c>
      <c r="J474" t="s">
        <v>749</v>
      </c>
      <c r="K474" t="s">
        <v>809</v>
      </c>
      <c r="L474" t="s">
        <v>787</v>
      </c>
      <c r="M474" t="s">
        <v>403</v>
      </c>
      <c r="N474">
        <v>1</v>
      </c>
      <c r="O474">
        <v>1</v>
      </c>
      <c r="P474" t="s">
        <v>1069</v>
      </c>
      <c r="Q474" t="s">
        <v>424</v>
      </c>
      <c r="R474" t="s">
        <v>811</v>
      </c>
      <c r="S474" t="s">
        <v>1070</v>
      </c>
      <c r="T474" t="s">
        <v>408</v>
      </c>
      <c r="U474">
        <v>50950081201</v>
      </c>
      <c r="W474">
        <v>960</v>
      </c>
      <c r="X474" t="s">
        <v>409</v>
      </c>
      <c r="Y474" t="s">
        <v>410</v>
      </c>
      <c r="Z474" t="s">
        <v>410</v>
      </c>
      <c r="AA474" t="s">
        <v>411</v>
      </c>
      <c r="AB474" t="s">
        <v>554</v>
      </c>
      <c r="AC474" t="s">
        <v>411</v>
      </c>
      <c r="AD474">
        <v>46095</v>
      </c>
      <c r="AE474">
        <v>46146</v>
      </c>
      <c r="AF474">
        <v>46106</v>
      </c>
      <c r="AG474" t="s">
        <v>754</v>
      </c>
      <c r="AH474">
        <v>6145001</v>
      </c>
      <c r="AI474">
        <v>46097</v>
      </c>
      <c r="AJ474">
        <v>46098</v>
      </c>
      <c r="AK474">
        <v>960</v>
      </c>
      <c r="AL474" t="s">
        <v>396</v>
      </c>
      <c r="AM474" t="s">
        <v>1996</v>
      </c>
      <c r="AN474">
        <v>46098</v>
      </c>
      <c r="AO474">
        <v>46098.400231481479</v>
      </c>
      <c r="AP474" t="s">
        <v>51</v>
      </c>
      <c r="AQ474">
        <v>2.3610099999999998</v>
      </c>
      <c r="AR474">
        <v>2266.56</v>
      </c>
      <c r="AS474" t="s">
        <v>51</v>
      </c>
      <c r="AT474">
        <v>2266.56</v>
      </c>
      <c r="AU474" t="s">
        <v>415</v>
      </c>
      <c r="AV474" t="s">
        <v>1420</v>
      </c>
      <c r="AW474" t="s">
        <v>1973</v>
      </c>
      <c r="AX474">
        <v>46106</v>
      </c>
      <c r="AY474">
        <v>46155</v>
      </c>
      <c r="AZ474" t="s">
        <v>1974</v>
      </c>
      <c r="BA474" t="s">
        <v>560</v>
      </c>
      <c r="BB474" t="s">
        <v>1975</v>
      </c>
      <c r="BC474">
        <v>16</v>
      </c>
      <c r="BD474" t="s">
        <v>521</v>
      </c>
      <c r="BE474">
        <v>6.3334000000000001</v>
      </c>
      <c r="BF474">
        <v>5.1344000000000003</v>
      </c>
      <c r="BG474" t="s">
        <v>522</v>
      </c>
      <c r="BH474">
        <v>495</v>
      </c>
      <c r="BI474">
        <v>395</v>
      </c>
      <c r="BJ474">
        <v>190</v>
      </c>
      <c r="BK474">
        <v>30</v>
      </c>
      <c r="BL474" t="s">
        <v>521</v>
      </c>
      <c r="BM474">
        <v>217.00200000000001</v>
      </c>
      <c r="BN474">
        <v>154.03200000000001</v>
      </c>
      <c r="BO474">
        <v>434.00400000000002</v>
      </c>
      <c r="BP474" t="s">
        <v>522</v>
      </c>
      <c r="BQ474">
        <v>1200</v>
      </c>
      <c r="BR474">
        <v>1000</v>
      </c>
      <c r="BS474">
        <v>1120</v>
      </c>
      <c r="BT474">
        <v>2</v>
      </c>
      <c r="BU474">
        <v>0</v>
      </c>
      <c r="BV474">
        <v>2</v>
      </c>
      <c r="BW474">
        <v>60</v>
      </c>
      <c r="BX474">
        <v>0</v>
      </c>
      <c r="BY474">
        <v>60</v>
      </c>
      <c r="BZ474">
        <v>960</v>
      </c>
      <c r="CA474">
        <v>0</v>
      </c>
      <c r="CB474">
        <v>960</v>
      </c>
      <c r="CC474">
        <v>308.06400000000002</v>
      </c>
      <c r="CD474" t="s">
        <v>806</v>
      </c>
      <c r="CE474" t="s">
        <v>816</v>
      </c>
      <c r="CG474" t="s">
        <v>421</v>
      </c>
      <c r="CN474" t="str">
        <v>MCS</v>
      </c>
      <c r="CO474" t="str">
        <v>1205-1030762EN</v>
      </c>
      <c r="CP474" t="str">
        <v>MSDU6089696</v>
      </c>
      <c r="CQ474" s="23">
        <v>95.203100000000006</v>
      </c>
      <c r="CR474" s="25">
        <f t="shared" si="20"/>
        <v>6.3618801527286772E-3</v>
      </c>
      <c r="CS474" s="21">
        <f t="shared" si="21"/>
        <v>15.904700381821693</v>
      </c>
    </row>
    <row r="475" spans="2:97" x14ac:dyDescent="0.35">
      <c r="B475" t="s">
        <v>299</v>
      </c>
      <c r="C475" t="s">
        <v>1948</v>
      </c>
      <c r="D475" t="s">
        <v>395</v>
      </c>
      <c r="E475" t="s">
        <v>395</v>
      </c>
      <c r="F475" t="s">
        <v>396</v>
      </c>
      <c r="G475" t="s">
        <v>397</v>
      </c>
      <c r="H475" t="s">
        <v>398</v>
      </c>
      <c r="I475" t="s">
        <v>399</v>
      </c>
      <c r="J475" t="s">
        <v>749</v>
      </c>
      <c r="K475" t="s">
        <v>809</v>
      </c>
      <c r="L475" t="s">
        <v>787</v>
      </c>
      <c r="M475" t="s">
        <v>403</v>
      </c>
      <c r="N475">
        <v>1</v>
      </c>
      <c r="O475">
        <v>2</v>
      </c>
      <c r="P475" t="s">
        <v>828</v>
      </c>
      <c r="Q475" t="s">
        <v>587</v>
      </c>
      <c r="R475" t="s">
        <v>811</v>
      </c>
      <c r="S475" t="s">
        <v>829</v>
      </c>
      <c r="T475" t="s">
        <v>408</v>
      </c>
      <c r="U475">
        <v>50950081254</v>
      </c>
      <c r="W475">
        <v>7200</v>
      </c>
      <c r="X475" t="s">
        <v>409</v>
      </c>
      <c r="Y475" t="s">
        <v>410</v>
      </c>
      <c r="Z475" t="s">
        <v>410</v>
      </c>
      <c r="AA475" t="s">
        <v>411</v>
      </c>
      <c r="AB475" t="s">
        <v>554</v>
      </c>
      <c r="AC475" t="s">
        <v>411</v>
      </c>
      <c r="AD475">
        <v>46095</v>
      </c>
      <c r="AE475">
        <v>46153</v>
      </c>
      <c r="AF475">
        <v>46106</v>
      </c>
      <c r="AG475" t="s">
        <v>754</v>
      </c>
      <c r="AH475">
        <v>6145002</v>
      </c>
      <c r="AI475">
        <v>46097</v>
      </c>
      <c r="AJ475">
        <v>46098</v>
      </c>
      <c r="AK475">
        <v>7200</v>
      </c>
      <c r="AL475" t="s">
        <v>396</v>
      </c>
      <c r="AM475" t="s">
        <v>1997</v>
      </c>
      <c r="AN475">
        <v>46098</v>
      </c>
      <c r="AO475">
        <v>46098.400231481479</v>
      </c>
      <c r="AP475" t="s">
        <v>51</v>
      </c>
      <c r="AQ475">
        <v>1.8924799999999999</v>
      </c>
      <c r="AR475">
        <v>13625.85</v>
      </c>
      <c r="AS475" t="s">
        <v>51</v>
      </c>
      <c r="AT475">
        <v>13625.85</v>
      </c>
      <c r="AU475" t="s">
        <v>415</v>
      </c>
      <c r="AV475" t="s">
        <v>1420</v>
      </c>
      <c r="AW475" t="s">
        <v>1973</v>
      </c>
      <c r="AX475">
        <v>46106</v>
      </c>
      <c r="AY475">
        <v>46155</v>
      </c>
      <c r="AZ475" t="s">
        <v>1974</v>
      </c>
      <c r="BA475" t="s">
        <v>560</v>
      </c>
      <c r="BB475" t="s">
        <v>1975</v>
      </c>
      <c r="BC475">
        <v>16</v>
      </c>
      <c r="BD475" t="s">
        <v>521</v>
      </c>
      <c r="BE475">
        <v>4.9409000000000001</v>
      </c>
      <c r="BF475">
        <v>3.7418999999999998</v>
      </c>
      <c r="BG475" t="s">
        <v>522</v>
      </c>
      <c r="BH475">
        <v>495</v>
      </c>
      <c r="BI475">
        <v>395</v>
      </c>
      <c r="BJ475">
        <v>190</v>
      </c>
      <c r="BK475">
        <v>30</v>
      </c>
      <c r="BL475" t="s">
        <v>521</v>
      </c>
      <c r="BM475">
        <v>175.227</v>
      </c>
      <c r="BN475">
        <v>112.25700000000001</v>
      </c>
      <c r="BO475">
        <v>2628.4140000000002</v>
      </c>
      <c r="BP475" t="s">
        <v>522</v>
      </c>
      <c r="BQ475">
        <v>1200</v>
      </c>
      <c r="BR475">
        <v>1000</v>
      </c>
      <c r="BS475">
        <v>1120</v>
      </c>
      <c r="BT475">
        <v>15</v>
      </c>
      <c r="BU475">
        <v>0</v>
      </c>
      <c r="BV475">
        <v>15</v>
      </c>
      <c r="BW475">
        <v>450</v>
      </c>
      <c r="BX475">
        <v>0</v>
      </c>
      <c r="BY475">
        <v>450</v>
      </c>
      <c r="BZ475">
        <v>7200</v>
      </c>
      <c r="CA475">
        <v>0</v>
      </c>
      <c r="CB475">
        <v>7200</v>
      </c>
      <c r="CC475">
        <v>1683.864</v>
      </c>
      <c r="CD475" t="s">
        <v>806</v>
      </c>
      <c r="CE475" t="s">
        <v>816</v>
      </c>
      <c r="CG475" t="s">
        <v>421</v>
      </c>
      <c r="CN475" t="str">
        <v>M01</v>
      </c>
      <c r="CO475" t="str">
        <v>1301-1030478EN</v>
      </c>
      <c r="CP475" t="str">
        <v>MSDU6089696</v>
      </c>
      <c r="CQ475" s="23">
        <v>719.84</v>
      </c>
      <c r="CR475" s="25">
        <f t="shared" si="20"/>
        <v>4.8102801370335742E-2</v>
      </c>
      <c r="CS475" s="21">
        <f t="shared" si="21"/>
        <v>120.25700342583936</v>
      </c>
    </row>
    <row r="476" spans="2:97" x14ac:dyDescent="0.35">
      <c r="B476" t="s">
        <v>299</v>
      </c>
      <c r="C476" t="s">
        <v>1998</v>
      </c>
      <c r="D476" t="s">
        <v>395</v>
      </c>
      <c r="E476" t="s">
        <v>395</v>
      </c>
      <c r="F476" t="s">
        <v>396</v>
      </c>
      <c r="G476" t="s">
        <v>397</v>
      </c>
      <c r="H476" t="s">
        <v>398</v>
      </c>
      <c r="I476" t="s">
        <v>399</v>
      </c>
      <c r="J476" t="s">
        <v>749</v>
      </c>
      <c r="K476" t="s">
        <v>809</v>
      </c>
      <c r="L476" t="s">
        <v>787</v>
      </c>
      <c r="M476" t="s">
        <v>403</v>
      </c>
      <c r="N476">
        <v>1</v>
      </c>
      <c r="O476">
        <v>1</v>
      </c>
      <c r="P476" t="s">
        <v>1999</v>
      </c>
      <c r="Q476" t="s">
        <v>645</v>
      </c>
      <c r="R476" t="s">
        <v>811</v>
      </c>
      <c r="S476" t="s">
        <v>2000</v>
      </c>
      <c r="T476" t="s">
        <v>408</v>
      </c>
      <c r="U476">
        <v>50950081278</v>
      </c>
      <c r="W476">
        <v>960</v>
      </c>
      <c r="X476" t="s">
        <v>409</v>
      </c>
      <c r="Y476" t="s">
        <v>410</v>
      </c>
      <c r="Z476" t="s">
        <v>410</v>
      </c>
      <c r="AA476" t="s">
        <v>411</v>
      </c>
      <c r="AB476" t="s">
        <v>554</v>
      </c>
      <c r="AC476" t="s">
        <v>411</v>
      </c>
      <c r="AD476">
        <v>46095</v>
      </c>
      <c r="AE476">
        <v>46153</v>
      </c>
      <c r="AF476">
        <v>46106</v>
      </c>
      <c r="AG476" t="s">
        <v>754</v>
      </c>
      <c r="AH476">
        <v>6145003</v>
      </c>
      <c r="AI476">
        <v>46097</v>
      </c>
      <c r="AJ476">
        <v>46098</v>
      </c>
      <c r="AK476">
        <v>960</v>
      </c>
      <c r="AL476" t="s">
        <v>396</v>
      </c>
      <c r="AM476" t="s">
        <v>2001</v>
      </c>
      <c r="AN476">
        <v>46098</v>
      </c>
      <c r="AO476">
        <v>46098.400231481479</v>
      </c>
      <c r="AP476" t="s">
        <v>51</v>
      </c>
      <c r="AQ476">
        <v>1.85639</v>
      </c>
      <c r="AR476">
        <v>1782.14</v>
      </c>
      <c r="AS476" t="s">
        <v>51</v>
      </c>
      <c r="AT476">
        <v>1782.14</v>
      </c>
      <c r="AU476" t="s">
        <v>415</v>
      </c>
      <c r="AV476" t="s">
        <v>1420</v>
      </c>
      <c r="AW476" t="s">
        <v>1973</v>
      </c>
      <c r="AX476">
        <v>46106</v>
      </c>
      <c r="AY476">
        <v>46155</v>
      </c>
      <c r="AZ476" t="s">
        <v>1974</v>
      </c>
      <c r="BA476" t="s">
        <v>560</v>
      </c>
      <c r="BB476" t="s">
        <v>1975</v>
      </c>
      <c r="BC476">
        <v>16</v>
      </c>
      <c r="BD476" t="s">
        <v>521</v>
      </c>
      <c r="BE476">
        <v>4.843</v>
      </c>
      <c r="BF476">
        <v>3.6440000000000001</v>
      </c>
      <c r="BG476" t="s">
        <v>522</v>
      </c>
      <c r="BH476">
        <v>495</v>
      </c>
      <c r="BI476">
        <v>395</v>
      </c>
      <c r="BJ476">
        <v>190</v>
      </c>
      <c r="BK476">
        <v>30</v>
      </c>
      <c r="BL476" t="s">
        <v>521</v>
      </c>
      <c r="BM476">
        <v>172.29</v>
      </c>
      <c r="BN476">
        <v>109.32</v>
      </c>
      <c r="BO476">
        <v>344.57904000000002</v>
      </c>
      <c r="BP476" t="s">
        <v>522</v>
      </c>
      <c r="BQ476">
        <v>1200</v>
      </c>
      <c r="BR476">
        <v>1000</v>
      </c>
      <c r="BS476">
        <v>1120</v>
      </c>
      <c r="BT476">
        <v>2</v>
      </c>
      <c r="BU476">
        <v>0</v>
      </c>
      <c r="BV476">
        <v>2</v>
      </c>
      <c r="BW476">
        <v>60</v>
      </c>
      <c r="BX476">
        <v>0</v>
      </c>
      <c r="BY476">
        <v>60</v>
      </c>
      <c r="BZ476">
        <v>960</v>
      </c>
      <c r="CA476">
        <v>0</v>
      </c>
      <c r="CB476">
        <v>960</v>
      </c>
      <c r="CC476">
        <v>218.63903999999999</v>
      </c>
      <c r="CD476" t="s">
        <v>806</v>
      </c>
      <c r="CE476" t="s">
        <v>816</v>
      </c>
      <c r="CG476" t="s">
        <v>421</v>
      </c>
      <c r="CN476" t="str">
        <v>M01</v>
      </c>
      <c r="CO476" t="str">
        <v>1277-1030069EN</v>
      </c>
      <c r="CP476" t="str">
        <v>MSDU6089696</v>
      </c>
      <c r="CQ476" s="23">
        <v>152.58000000000001</v>
      </c>
      <c r="CR476" s="25">
        <f t="shared" si="20"/>
        <v>1.0196051112866509E-2</v>
      </c>
      <c r="CS476" s="21">
        <f t="shared" si="21"/>
        <v>25.490127782166272</v>
      </c>
    </row>
    <row r="477" spans="2:97" x14ac:dyDescent="0.35">
      <c r="B477" t="s">
        <v>297</v>
      </c>
      <c r="C477" t="s">
        <v>1919</v>
      </c>
      <c r="D477" t="s">
        <v>549</v>
      </c>
      <c r="E477" t="s">
        <v>395</v>
      </c>
      <c r="F477" t="s">
        <v>396</v>
      </c>
      <c r="G477" t="s">
        <v>397</v>
      </c>
      <c r="H477" t="s">
        <v>398</v>
      </c>
      <c r="I477" t="s">
        <v>399</v>
      </c>
      <c r="J477" t="s">
        <v>749</v>
      </c>
      <c r="K477" t="s">
        <v>401</v>
      </c>
      <c r="L477" t="s">
        <v>766</v>
      </c>
      <c r="M477" t="s">
        <v>403</v>
      </c>
      <c r="N477">
        <v>1</v>
      </c>
      <c r="O477">
        <v>2</v>
      </c>
      <c r="P477" t="s">
        <v>767</v>
      </c>
      <c r="Q477" t="s">
        <v>424</v>
      </c>
      <c r="R477" t="s">
        <v>552</v>
      </c>
      <c r="S477" t="s">
        <v>768</v>
      </c>
      <c r="T477" t="s">
        <v>408</v>
      </c>
      <c r="U477">
        <v>50950081375</v>
      </c>
      <c r="W477">
        <v>69120</v>
      </c>
      <c r="X477" t="s">
        <v>409</v>
      </c>
      <c r="Y477" t="s">
        <v>410</v>
      </c>
      <c r="Z477" t="s">
        <v>410</v>
      </c>
      <c r="AA477" t="s">
        <v>411</v>
      </c>
      <c r="AB477" t="s">
        <v>554</v>
      </c>
      <c r="AC477" t="s">
        <v>411</v>
      </c>
      <c r="AD477">
        <v>46095</v>
      </c>
      <c r="AE477">
        <v>46153</v>
      </c>
      <c r="AF477">
        <v>46106</v>
      </c>
      <c r="AG477" t="s">
        <v>770</v>
      </c>
      <c r="AH477">
        <v>6146871</v>
      </c>
      <c r="AI477">
        <v>46098</v>
      </c>
      <c r="AJ477">
        <v>46099</v>
      </c>
      <c r="AK477">
        <v>69120</v>
      </c>
      <c r="AL477" t="s">
        <v>396</v>
      </c>
      <c r="AM477" t="s">
        <v>2002</v>
      </c>
      <c r="AN477">
        <v>46099</v>
      </c>
      <c r="AO477">
        <v>46099.417164351849</v>
      </c>
      <c r="AP477" t="s">
        <v>51</v>
      </c>
      <c r="AQ477">
        <v>0.18359</v>
      </c>
      <c r="AR477">
        <v>12689.76</v>
      </c>
      <c r="AS477" t="s">
        <v>51</v>
      </c>
      <c r="AT477">
        <v>12689.76</v>
      </c>
      <c r="AU477" t="s">
        <v>415</v>
      </c>
      <c r="AV477" t="s">
        <v>1420</v>
      </c>
      <c r="AW477" t="s">
        <v>1973</v>
      </c>
      <c r="AX477">
        <v>46106</v>
      </c>
      <c r="AY477">
        <v>46155</v>
      </c>
      <c r="AZ477" t="s">
        <v>2003</v>
      </c>
      <c r="BA477" t="s">
        <v>560</v>
      </c>
      <c r="BB477" t="s">
        <v>2004</v>
      </c>
      <c r="BC477">
        <v>240</v>
      </c>
      <c r="BD477" t="s">
        <v>521</v>
      </c>
      <c r="BE477">
        <v>2.5634000000000001</v>
      </c>
      <c r="BF477">
        <v>1.2864</v>
      </c>
      <c r="BG477" t="s">
        <v>522</v>
      </c>
      <c r="BH477">
        <v>340</v>
      </c>
      <c r="BI477">
        <v>250</v>
      </c>
      <c r="BJ477">
        <v>230</v>
      </c>
      <c r="BK477">
        <v>48</v>
      </c>
      <c r="BL477" t="s">
        <v>521</v>
      </c>
      <c r="BM477">
        <v>144.04320000000001</v>
      </c>
      <c r="BN477">
        <v>61.747199999999999</v>
      </c>
      <c r="BO477">
        <v>864.25919999999996</v>
      </c>
      <c r="BP477" t="s">
        <v>522</v>
      </c>
      <c r="BQ477">
        <v>1066</v>
      </c>
      <c r="BR477">
        <v>1066</v>
      </c>
      <c r="BS477">
        <v>1080</v>
      </c>
      <c r="BT477">
        <v>6</v>
      </c>
      <c r="BU477">
        <v>0</v>
      </c>
      <c r="BV477">
        <v>6</v>
      </c>
      <c r="BW477">
        <v>288</v>
      </c>
      <c r="BX477">
        <v>0</v>
      </c>
      <c r="BY477">
        <v>288</v>
      </c>
      <c r="BZ477">
        <v>69120</v>
      </c>
      <c r="CA477">
        <v>0</v>
      </c>
      <c r="CB477">
        <v>69120</v>
      </c>
      <c r="CC477">
        <v>370.48320000000001</v>
      </c>
      <c r="CD477" t="s">
        <v>562</v>
      </c>
      <c r="CE477" t="s">
        <v>563</v>
      </c>
      <c r="CG477" t="s">
        <v>421</v>
      </c>
      <c r="CN477" t="str">
        <v>M01</v>
      </c>
      <c r="CO477" t="str">
        <v>1459-1030040EN</v>
      </c>
      <c r="CP477" t="str">
        <v>MSDU6089696</v>
      </c>
      <c r="CQ477" s="23">
        <v>24.597999999999999</v>
      </c>
      <c r="CR477" s="25">
        <f t="shared" si="20"/>
        <v>1.6437440377132676E-3</v>
      </c>
      <c r="CS477" s="21">
        <f t="shared" si="21"/>
        <v>4.1093600942831685</v>
      </c>
    </row>
    <row r="478" spans="2:97" x14ac:dyDescent="0.35">
      <c r="B478" t="s">
        <v>295</v>
      </c>
      <c r="C478" t="s">
        <v>868</v>
      </c>
      <c r="D478" t="s">
        <v>395</v>
      </c>
      <c r="E478" t="s">
        <v>395</v>
      </c>
      <c r="F478" t="s">
        <v>396</v>
      </c>
      <c r="G478" t="s">
        <v>397</v>
      </c>
      <c r="H478" t="s">
        <v>398</v>
      </c>
      <c r="I478" t="s">
        <v>399</v>
      </c>
      <c r="J478" t="s">
        <v>749</v>
      </c>
      <c r="K478" t="s">
        <v>629</v>
      </c>
      <c r="L478" t="s">
        <v>787</v>
      </c>
      <c r="M478" t="s">
        <v>403</v>
      </c>
      <c r="N478">
        <v>1</v>
      </c>
      <c r="O478">
        <v>4</v>
      </c>
      <c r="P478" t="s">
        <v>869</v>
      </c>
      <c r="Q478" t="s">
        <v>637</v>
      </c>
      <c r="R478" t="s">
        <v>870</v>
      </c>
      <c r="S478" t="s">
        <v>871</v>
      </c>
      <c r="T478" t="s">
        <v>408</v>
      </c>
      <c r="U478">
        <v>50950076250</v>
      </c>
      <c r="W478">
        <v>1200</v>
      </c>
      <c r="X478" t="s">
        <v>409</v>
      </c>
      <c r="Y478" t="s">
        <v>410</v>
      </c>
      <c r="Z478" t="s">
        <v>410</v>
      </c>
      <c r="AA478" t="s">
        <v>411</v>
      </c>
      <c r="AB478" t="s">
        <v>554</v>
      </c>
      <c r="AC478" t="s">
        <v>411</v>
      </c>
      <c r="AD478">
        <v>46097</v>
      </c>
      <c r="AE478">
        <v>46118</v>
      </c>
      <c r="AF478">
        <v>46106</v>
      </c>
      <c r="AG478" t="s">
        <v>754</v>
      </c>
      <c r="AH478">
        <v>6146872</v>
      </c>
      <c r="AI478">
        <v>46098</v>
      </c>
      <c r="AJ478">
        <v>46099</v>
      </c>
      <c r="AK478">
        <v>1200</v>
      </c>
      <c r="AL478" t="s">
        <v>396</v>
      </c>
      <c r="AM478" t="s">
        <v>2005</v>
      </c>
      <c r="AN478">
        <v>46099</v>
      </c>
      <c r="AO478">
        <v>46099.417164351849</v>
      </c>
      <c r="AP478" t="s">
        <v>51</v>
      </c>
      <c r="AQ478">
        <v>1.03729</v>
      </c>
      <c r="AR478">
        <v>1244.75</v>
      </c>
      <c r="AS478" t="s">
        <v>51</v>
      </c>
      <c r="AT478">
        <v>1244.75</v>
      </c>
      <c r="AU478" t="s">
        <v>415</v>
      </c>
      <c r="AV478" t="s">
        <v>1420</v>
      </c>
      <c r="AW478" t="s">
        <v>1973</v>
      </c>
      <c r="AX478">
        <v>46106</v>
      </c>
      <c r="AY478">
        <v>46155</v>
      </c>
      <c r="AZ478" t="s">
        <v>2003</v>
      </c>
      <c r="BA478" t="s">
        <v>560</v>
      </c>
      <c r="BB478" t="s">
        <v>2004</v>
      </c>
      <c r="BC478">
        <v>40</v>
      </c>
      <c r="BD478" t="s">
        <v>521</v>
      </c>
      <c r="BE478">
        <v>4.4851000000000001</v>
      </c>
      <c r="BF478">
        <v>3.3351000000000002</v>
      </c>
      <c r="BG478" t="s">
        <v>522</v>
      </c>
      <c r="BH478">
        <v>495</v>
      </c>
      <c r="BI478">
        <v>395</v>
      </c>
      <c r="BJ478">
        <v>1800</v>
      </c>
      <c r="BK478">
        <v>30</v>
      </c>
      <c r="BL478" t="s">
        <v>521</v>
      </c>
      <c r="BM478">
        <v>161.55359999999999</v>
      </c>
      <c r="BN478">
        <v>100.0536</v>
      </c>
      <c r="BO478">
        <v>161.55359999999999</v>
      </c>
      <c r="BP478" t="s">
        <v>522</v>
      </c>
      <c r="BQ478">
        <v>1200</v>
      </c>
      <c r="BR478">
        <v>1000</v>
      </c>
      <c r="BS478">
        <v>1058</v>
      </c>
      <c r="BT478">
        <v>1</v>
      </c>
      <c r="BU478">
        <v>0</v>
      </c>
      <c r="BV478">
        <v>1</v>
      </c>
      <c r="BW478">
        <v>30</v>
      </c>
      <c r="BX478">
        <v>0</v>
      </c>
      <c r="BY478">
        <v>30</v>
      </c>
      <c r="BZ478">
        <v>1200</v>
      </c>
      <c r="CA478">
        <v>0</v>
      </c>
      <c r="CB478">
        <v>1200</v>
      </c>
      <c r="CC478">
        <v>100.0536</v>
      </c>
      <c r="CD478" t="s">
        <v>799</v>
      </c>
      <c r="CE478" t="s">
        <v>873</v>
      </c>
      <c r="CG478" t="s">
        <v>421</v>
      </c>
      <c r="CN478" t="str">
        <v>M23</v>
      </c>
      <c r="CO478" t="str">
        <v>1307-1060077EN</v>
      </c>
      <c r="CP478" t="str">
        <v>MSDU6089696</v>
      </c>
      <c r="CQ478" s="23">
        <v>776.16319999999996</v>
      </c>
      <c r="CR478" s="25">
        <f t="shared" si="20"/>
        <v>5.1866559569576809E-2</v>
      </c>
      <c r="CS478" s="21">
        <f t="shared" si="21"/>
        <v>129.66639892394201</v>
      </c>
    </row>
    <row r="479" spans="2:97" x14ac:dyDescent="0.35">
      <c r="B479" t="s">
        <v>296</v>
      </c>
      <c r="C479" t="s">
        <v>1641</v>
      </c>
      <c r="D479" t="s">
        <v>395</v>
      </c>
      <c r="E479" t="s">
        <v>395</v>
      </c>
      <c r="F479" t="s">
        <v>396</v>
      </c>
      <c r="G479" t="s">
        <v>397</v>
      </c>
      <c r="H479" t="s">
        <v>398</v>
      </c>
      <c r="I479" t="s">
        <v>399</v>
      </c>
      <c r="J479" t="s">
        <v>749</v>
      </c>
      <c r="K479" t="s">
        <v>629</v>
      </c>
      <c r="L479" t="s">
        <v>787</v>
      </c>
      <c r="M479" t="s">
        <v>403</v>
      </c>
      <c r="N479">
        <v>1</v>
      </c>
      <c r="O479">
        <v>3</v>
      </c>
      <c r="P479" t="s">
        <v>881</v>
      </c>
      <c r="Q479" t="s">
        <v>645</v>
      </c>
      <c r="R479" t="s">
        <v>882</v>
      </c>
      <c r="S479" t="s">
        <v>883</v>
      </c>
      <c r="T479" t="s">
        <v>408</v>
      </c>
      <c r="U479">
        <v>50950078918</v>
      </c>
      <c r="W479">
        <v>19800</v>
      </c>
      <c r="X479" t="s">
        <v>409</v>
      </c>
      <c r="Y479" t="s">
        <v>410</v>
      </c>
      <c r="Z479" t="s">
        <v>410</v>
      </c>
      <c r="AA479" t="s">
        <v>411</v>
      </c>
      <c r="AB479" t="s">
        <v>554</v>
      </c>
      <c r="AC479" t="s">
        <v>411</v>
      </c>
      <c r="AD479">
        <v>46097</v>
      </c>
      <c r="AE479">
        <v>46181</v>
      </c>
      <c r="AF479">
        <v>46106</v>
      </c>
      <c r="AG479" t="s">
        <v>754</v>
      </c>
      <c r="AH479">
        <v>6146873</v>
      </c>
      <c r="AI479">
        <v>46098</v>
      </c>
      <c r="AJ479">
        <v>46099</v>
      </c>
      <c r="AK479">
        <v>19800</v>
      </c>
      <c r="AL479" t="s">
        <v>396</v>
      </c>
      <c r="AM479" t="s">
        <v>2006</v>
      </c>
      <c r="AN479">
        <v>46099</v>
      </c>
      <c r="AO479">
        <v>46099.417164351849</v>
      </c>
      <c r="AP479" t="s">
        <v>51</v>
      </c>
      <c r="AQ479">
        <v>0.19572000000000001</v>
      </c>
      <c r="AR479">
        <v>3875.25</v>
      </c>
      <c r="AS479" t="s">
        <v>51</v>
      </c>
      <c r="AT479">
        <v>3875.25</v>
      </c>
      <c r="AU479" t="s">
        <v>415</v>
      </c>
      <c r="AV479" t="s">
        <v>1420</v>
      </c>
      <c r="AW479" t="s">
        <v>1973</v>
      </c>
      <c r="AX479">
        <v>46106</v>
      </c>
      <c r="AY479">
        <v>46155</v>
      </c>
      <c r="AZ479" t="s">
        <v>2003</v>
      </c>
      <c r="BA479" t="s">
        <v>560</v>
      </c>
      <c r="BB479" t="s">
        <v>2004</v>
      </c>
      <c r="BC479">
        <v>264</v>
      </c>
      <c r="BD479" t="s">
        <v>521</v>
      </c>
      <c r="BE479">
        <v>5.2203999999999997</v>
      </c>
      <c r="BF479">
        <v>3.8304</v>
      </c>
      <c r="BG479" t="s">
        <v>522</v>
      </c>
      <c r="BH479">
        <v>595</v>
      </c>
      <c r="BI479">
        <v>395</v>
      </c>
      <c r="BJ479">
        <v>175</v>
      </c>
      <c r="BK479">
        <v>25</v>
      </c>
      <c r="BL479" t="s">
        <v>521</v>
      </c>
      <c r="BM479">
        <v>157.51</v>
      </c>
      <c r="BN479">
        <v>95.76</v>
      </c>
      <c r="BO479">
        <v>472.52820000000003</v>
      </c>
      <c r="BP479" t="s">
        <v>522</v>
      </c>
      <c r="BQ479">
        <v>1200</v>
      </c>
      <c r="BR479">
        <v>1000</v>
      </c>
      <c r="BS479">
        <v>1035</v>
      </c>
      <c r="BT479">
        <v>3</v>
      </c>
      <c r="BU479">
        <v>0</v>
      </c>
      <c r="BV479">
        <v>3</v>
      </c>
      <c r="BW479">
        <v>75</v>
      </c>
      <c r="BX479">
        <v>0</v>
      </c>
      <c r="BY479">
        <v>75</v>
      </c>
      <c r="BZ479">
        <v>19800</v>
      </c>
      <c r="CA479">
        <v>0</v>
      </c>
      <c r="CB479">
        <v>19800</v>
      </c>
      <c r="CC479">
        <v>287.27820000000003</v>
      </c>
      <c r="CD479" t="s">
        <v>885</v>
      </c>
      <c r="CE479" t="s">
        <v>886</v>
      </c>
      <c r="CG479" t="s">
        <v>421</v>
      </c>
      <c r="CN479" t="str">
        <v>M01</v>
      </c>
      <c r="CO479" t="str">
        <v>1209-1030065EN</v>
      </c>
      <c r="CP479" t="str">
        <v>MSDU6089696</v>
      </c>
      <c r="CQ479" s="23">
        <v>79.274000000000001</v>
      </c>
      <c r="CR479" s="25">
        <f t="shared" si="20"/>
        <v>5.2974292562680539E-3</v>
      </c>
      <c r="CS479" s="21">
        <f t="shared" si="21"/>
        <v>13.243573140670135</v>
      </c>
    </row>
    <row r="480" spans="2:97" x14ac:dyDescent="0.35">
      <c r="B480" t="s">
        <v>296</v>
      </c>
      <c r="C480" t="s">
        <v>1378</v>
      </c>
      <c r="D480" t="s">
        <v>395</v>
      </c>
      <c r="E480" t="s">
        <v>395</v>
      </c>
      <c r="F480" t="s">
        <v>396</v>
      </c>
      <c r="G480" t="s">
        <v>397</v>
      </c>
      <c r="H480" t="s">
        <v>398</v>
      </c>
      <c r="I480" t="s">
        <v>399</v>
      </c>
      <c r="J480" t="s">
        <v>749</v>
      </c>
      <c r="K480" t="s">
        <v>629</v>
      </c>
      <c r="L480" t="s">
        <v>787</v>
      </c>
      <c r="M480" t="s">
        <v>403</v>
      </c>
      <c r="N480">
        <v>1</v>
      </c>
      <c r="O480">
        <v>4</v>
      </c>
      <c r="P480" t="s">
        <v>881</v>
      </c>
      <c r="Q480" t="s">
        <v>645</v>
      </c>
      <c r="R480" t="s">
        <v>882</v>
      </c>
      <c r="S480" t="s">
        <v>883</v>
      </c>
      <c r="T480" t="s">
        <v>408</v>
      </c>
      <c r="U480">
        <v>50950078919</v>
      </c>
      <c r="W480">
        <v>6600</v>
      </c>
      <c r="X480" t="s">
        <v>409</v>
      </c>
      <c r="Y480" t="s">
        <v>410</v>
      </c>
      <c r="Z480" t="s">
        <v>410</v>
      </c>
      <c r="AA480" t="s">
        <v>411</v>
      </c>
      <c r="AB480" t="s">
        <v>554</v>
      </c>
      <c r="AC480" t="s">
        <v>411</v>
      </c>
      <c r="AD480">
        <v>46090</v>
      </c>
      <c r="AE480">
        <v>46174</v>
      </c>
      <c r="AF480">
        <v>46106</v>
      </c>
      <c r="AG480" t="s">
        <v>754</v>
      </c>
      <c r="AH480">
        <v>6146874</v>
      </c>
      <c r="AI480">
        <v>46098</v>
      </c>
      <c r="AJ480">
        <v>46099</v>
      </c>
      <c r="AK480">
        <v>6600</v>
      </c>
      <c r="AL480" t="s">
        <v>396</v>
      </c>
      <c r="AM480" t="s">
        <v>2007</v>
      </c>
      <c r="AN480">
        <v>46099</v>
      </c>
      <c r="AO480">
        <v>46099.417164351849</v>
      </c>
      <c r="AP480" t="s">
        <v>51</v>
      </c>
      <c r="AQ480">
        <v>0.19572000000000001</v>
      </c>
      <c r="AR480">
        <v>1291.75</v>
      </c>
      <c r="AS480" t="s">
        <v>51</v>
      </c>
      <c r="AT480">
        <v>1291.75</v>
      </c>
      <c r="AU480" t="s">
        <v>415</v>
      </c>
      <c r="AV480" t="s">
        <v>1420</v>
      </c>
      <c r="AW480" t="s">
        <v>1973</v>
      </c>
      <c r="AX480">
        <v>46106</v>
      </c>
      <c r="AY480">
        <v>46155</v>
      </c>
      <c r="AZ480" t="s">
        <v>2003</v>
      </c>
      <c r="BA480" t="s">
        <v>560</v>
      </c>
      <c r="BB480" t="s">
        <v>2004</v>
      </c>
      <c r="BC480">
        <v>264</v>
      </c>
      <c r="BD480" t="s">
        <v>521</v>
      </c>
      <c r="BE480">
        <v>5.2203999999999997</v>
      </c>
      <c r="BF480">
        <v>3.8304</v>
      </c>
      <c r="BG480" t="s">
        <v>522</v>
      </c>
      <c r="BH480">
        <v>595</v>
      </c>
      <c r="BI480">
        <v>395</v>
      </c>
      <c r="BJ480">
        <v>175</v>
      </c>
      <c r="BK480">
        <v>25</v>
      </c>
      <c r="BL480" t="s">
        <v>521</v>
      </c>
      <c r="BM480">
        <v>157.5094</v>
      </c>
      <c r="BN480">
        <v>95.759399999999999</v>
      </c>
      <c r="BO480">
        <v>157.5094</v>
      </c>
      <c r="BP480" t="s">
        <v>522</v>
      </c>
      <c r="BQ480">
        <v>1200</v>
      </c>
      <c r="BR480">
        <v>1000</v>
      </c>
      <c r="BS480">
        <v>1035</v>
      </c>
      <c r="BT480">
        <v>1</v>
      </c>
      <c r="BU480">
        <v>0</v>
      </c>
      <c r="BV480">
        <v>1</v>
      </c>
      <c r="BW480">
        <v>25</v>
      </c>
      <c r="BX480">
        <v>0</v>
      </c>
      <c r="BY480">
        <v>25</v>
      </c>
      <c r="BZ480">
        <v>6600</v>
      </c>
      <c r="CA480">
        <v>0</v>
      </c>
      <c r="CB480">
        <v>6600</v>
      </c>
      <c r="CC480">
        <v>95.759399999999999</v>
      </c>
      <c r="CD480" t="s">
        <v>885</v>
      </c>
      <c r="CE480" t="s">
        <v>886</v>
      </c>
      <c r="CG480" t="s">
        <v>421</v>
      </c>
      <c r="CN480" t="str">
        <v>M45</v>
      </c>
      <c r="CO480" t="str">
        <v>1484-12C0012EN</v>
      </c>
      <c r="CP480" t="str">
        <v>MSDU6089696</v>
      </c>
      <c r="CQ480" s="23">
        <v>203.7</v>
      </c>
      <c r="CR480" s="25">
        <f t="shared" si="20"/>
        <v>1.3612109134165079E-2</v>
      </c>
      <c r="CS480" s="21">
        <f t="shared" si="21"/>
        <v>34.030272835412696</v>
      </c>
    </row>
    <row r="481" spans="2:97" x14ac:dyDescent="0.35">
      <c r="B481" t="s">
        <v>296</v>
      </c>
      <c r="C481" t="s">
        <v>1927</v>
      </c>
      <c r="D481" t="s">
        <v>395</v>
      </c>
      <c r="E481" t="s">
        <v>395</v>
      </c>
      <c r="F481" t="s">
        <v>396</v>
      </c>
      <c r="G481" t="s">
        <v>397</v>
      </c>
      <c r="H481" t="s">
        <v>398</v>
      </c>
      <c r="I481" t="s">
        <v>399</v>
      </c>
      <c r="J481" t="s">
        <v>749</v>
      </c>
      <c r="K481" t="s">
        <v>629</v>
      </c>
      <c r="L481" t="s">
        <v>787</v>
      </c>
      <c r="M481" t="s">
        <v>403</v>
      </c>
      <c r="N481">
        <v>1</v>
      </c>
      <c r="O481">
        <v>2</v>
      </c>
      <c r="P481" t="s">
        <v>1928</v>
      </c>
      <c r="Q481" t="s">
        <v>424</v>
      </c>
      <c r="R481" t="s">
        <v>803</v>
      </c>
      <c r="S481" t="s">
        <v>1929</v>
      </c>
      <c r="T481" t="s">
        <v>408</v>
      </c>
      <c r="U481">
        <v>50950078757</v>
      </c>
      <c r="W481">
        <v>9600</v>
      </c>
      <c r="X481" t="s">
        <v>409</v>
      </c>
      <c r="Y481" t="s">
        <v>410</v>
      </c>
      <c r="Z481" t="s">
        <v>410</v>
      </c>
      <c r="AA481" t="s">
        <v>411</v>
      </c>
      <c r="AB481" t="s">
        <v>554</v>
      </c>
      <c r="AC481" t="s">
        <v>411</v>
      </c>
      <c r="AD481">
        <v>46097</v>
      </c>
      <c r="AE481">
        <v>46125</v>
      </c>
      <c r="AF481">
        <v>46106</v>
      </c>
      <c r="AG481" t="s">
        <v>754</v>
      </c>
      <c r="AH481">
        <v>6146875</v>
      </c>
      <c r="AI481">
        <v>46098</v>
      </c>
      <c r="AJ481">
        <v>46099</v>
      </c>
      <c r="AK481">
        <v>9600</v>
      </c>
      <c r="AL481" t="s">
        <v>396</v>
      </c>
      <c r="AM481" t="s">
        <v>2008</v>
      </c>
      <c r="AN481">
        <v>46099</v>
      </c>
      <c r="AO481">
        <v>46099.417164351849</v>
      </c>
      <c r="AP481" t="s">
        <v>51</v>
      </c>
      <c r="AQ481">
        <v>0.46827999999999997</v>
      </c>
      <c r="AR481">
        <v>4495.49</v>
      </c>
      <c r="AS481" t="s">
        <v>51</v>
      </c>
      <c r="AT481">
        <v>4495.49</v>
      </c>
      <c r="AU481" t="s">
        <v>415</v>
      </c>
      <c r="AV481" t="s">
        <v>1420</v>
      </c>
      <c r="AW481" t="s">
        <v>1973</v>
      </c>
      <c r="AX481">
        <v>46106</v>
      </c>
      <c r="AY481">
        <v>46155</v>
      </c>
      <c r="AZ481" t="s">
        <v>2003</v>
      </c>
      <c r="BA481" t="s">
        <v>560</v>
      </c>
      <c r="BB481" t="s">
        <v>2004</v>
      </c>
      <c r="BC481">
        <v>160</v>
      </c>
      <c r="BD481" t="s">
        <v>521</v>
      </c>
      <c r="BE481">
        <v>14.644299999999999</v>
      </c>
      <c r="BF481">
        <v>13.4643</v>
      </c>
      <c r="BG481" t="s">
        <v>522</v>
      </c>
      <c r="BH481">
        <v>395</v>
      </c>
      <c r="BI481">
        <v>295</v>
      </c>
      <c r="BJ481">
        <v>140</v>
      </c>
      <c r="BK481">
        <v>60</v>
      </c>
      <c r="BL481" t="s">
        <v>521</v>
      </c>
      <c r="BM481">
        <v>905.65920000000006</v>
      </c>
      <c r="BN481">
        <v>807.85919999999999</v>
      </c>
      <c r="BO481">
        <v>905.65920000000006</v>
      </c>
      <c r="BP481" t="s">
        <v>522</v>
      </c>
      <c r="BQ481">
        <v>1200</v>
      </c>
      <c r="BR481">
        <v>1000</v>
      </c>
      <c r="BS481">
        <v>1000</v>
      </c>
      <c r="BT481">
        <v>1</v>
      </c>
      <c r="BU481">
        <v>0</v>
      </c>
      <c r="BV481">
        <v>1</v>
      </c>
      <c r="BW481">
        <v>60</v>
      </c>
      <c r="BX481">
        <v>0</v>
      </c>
      <c r="BY481">
        <v>60</v>
      </c>
      <c r="BZ481">
        <v>9600</v>
      </c>
      <c r="CA481">
        <v>0</v>
      </c>
      <c r="CB481">
        <v>9600</v>
      </c>
      <c r="CC481">
        <v>807.85919999999999</v>
      </c>
      <c r="CD481" t="s">
        <v>850</v>
      </c>
      <c r="CE481" t="s">
        <v>1931</v>
      </c>
      <c r="CG481" t="s">
        <v>421</v>
      </c>
      <c r="CN481" t="str">
        <v>MCS</v>
      </c>
      <c r="CO481" t="str">
        <v>1205-1030759EN</v>
      </c>
      <c r="CP481" t="str">
        <v>MSDU6089696</v>
      </c>
      <c r="CQ481" s="23">
        <v>58.243099999999998</v>
      </c>
      <c r="CR481" s="25">
        <f t="shared" si="20"/>
        <v>3.8920541654987239E-3</v>
      </c>
      <c r="CS481" s="21">
        <f t="shared" si="21"/>
        <v>9.7301354137468099</v>
      </c>
    </row>
    <row r="482" spans="2:97" x14ac:dyDescent="0.35">
      <c r="B482" t="s">
        <v>299</v>
      </c>
      <c r="C482" t="s">
        <v>1380</v>
      </c>
      <c r="D482" t="s">
        <v>965</v>
      </c>
      <c r="E482" t="s">
        <v>395</v>
      </c>
      <c r="F482" t="s">
        <v>396</v>
      </c>
      <c r="G482" t="s">
        <v>397</v>
      </c>
      <c r="H482" t="s">
        <v>398</v>
      </c>
      <c r="I482" t="s">
        <v>399</v>
      </c>
      <c r="J482" t="s">
        <v>749</v>
      </c>
      <c r="K482" t="s">
        <v>809</v>
      </c>
      <c r="L482" t="s">
        <v>787</v>
      </c>
      <c r="M482" t="s">
        <v>403</v>
      </c>
      <c r="N482">
        <v>1</v>
      </c>
      <c r="O482">
        <v>12</v>
      </c>
      <c r="P482" t="s">
        <v>810</v>
      </c>
      <c r="Q482" t="s">
        <v>405</v>
      </c>
      <c r="R482" t="s">
        <v>811</v>
      </c>
      <c r="S482" t="s">
        <v>812</v>
      </c>
      <c r="T482" t="s">
        <v>408</v>
      </c>
      <c r="U482">
        <v>50950080270</v>
      </c>
      <c r="W482">
        <v>960</v>
      </c>
      <c r="X482" t="s">
        <v>409</v>
      </c>
      <c r="Y482" t="s">
        <v>410</v>
      </c>
      <c r="Z482" t="s">
        <v>410</v>
      </c>
      <c r="AA482" t="s">
        <v>411</v>
      </c>
      <c r="AB482" t="s">
        <v>554</v>
      </c>
      <c r="AC482" t="s">
        <v>411</v>
      </c>
      <c r="AD482">
        <v>46095</v>
      </c>
      <c r="AE482">
        <v>46125</v>
      </c>
      <c r="AF482">
        <v>46106</v>
      </c>
      <c r="AG482" t="s">
        <v>754</v>
      </c>
      <c r="AH482">
        <v>6146876</v>
      </c>
      <c r="AI482">
        <v>46098</v>
      </c>
      <c r="AJ482">
        <v>46099</v>
      </c>
      <c r="AK482">
        <v>960</v>
      </c>
      <c r="AL482" t="s">
        <v>396</v>
      </c>
      <c r="AM482" t="s">
        <v>2009</v>
      </c>
      <c r="AN482">
        <v>46099</v>
      </c>
      <c r="AO482">
        <v>46099.417164351849</v>
      </c>
      <c r="AP482" t="s">
        <v>51</v>
      </c>
      <c r="AQ482">
        <v>1.96204</v>
      </c>
      <c r="AR482">
        <v>1883.56</v>
      </c>
      <c r="AS482" t="s">
        <v>51</v>
      </c>
      <c r="AT482">
        <v>1883.56</v>
      </c>
      <c r="AU482" t="s">
        <v>415</v>
      </c>
      <c r="AV482" t="s">
        <v>1420</v>
      </c>
      <c r="AW482" t="s">
        <v>1973</v>
      </c>
      <c r="AX482">
        <v>46106</v>
      </c>
      <c r="AY482">
        <v>46155</v>
      </c>
      <c r="AZ482" t="s">
        <v>2003</v>
      </c>
      <c r="BA482" t="s">
        <v>560</v>
      </c>
      <c r="BB482" t="s">
        <v>2004</v>
      </c>
      <c r="BC482">
        <v>16</v>
      </c>
      <c r="BD482" t="s">
        <v>521</v>
      </c>
      <c r="BE482">
        <v>4.9545000000000003</v>
      </c>
      <c r="BF482">
        <v>3.7555000000000001</v>
      </c>
      <c r="BG482" t="s">
        <v>522</v>
      </c>
      <c r="BH482">
        <v>495</v>
      </c>
      <c r="BI482">
        <v>395</v>
      </c>
      <c r="BJ482">
        <v>190</v>
      </c>
      <c r="BK482">
        <v>30</v>
      </c>
      <c r="BL482" t="s">
        <v>521</v>
      </c>
      <c r="BM482">
        <v>175.63499999999999</v>
      </c>
      <c r="BN482">
        <v>112.66500000000001</v>
      </c>
      <c r="BO482">
        <v>351.27120000000002</v>
      </c>
      <c r="BP482" t="s">
        <v>522</v>
      </c>
      <c r="BQ482">
        <v>1200</v>
      </c>
      <c r="BR482">
        <v>1000</v>
      </c>
      <c r="BS482">
        <v>1120</v>
      </c>
      <c r="BT482">
        <v>2</v>
      </c>
      <c r="BU482">
        <v>0</v>
      </c>
      <c r="BV482">
        <v>2</v>
      </c>
      <c r="BW482">
        <v>60</v>
      </c>
      <c r="BX482">
        <v>0</v>
      </c>
      <c r="BY482">
        <v>60</v>
      </c>
      <c r="BZ482">
        <v>960</v>
      </c>
      <c r="CA482">
        <v>0</v>
      </c>
      <c r="CB482">
        <v>960</v>
      </c>
      <c r="CC482">
        <v>225.3312</v>
      </c>
      <c r="CD482" t="s">
        <v>806</v>
      </c>
      <c r="CE482" t="s">
        <v>816</v>
      </c>
      <c r="CG482" t="s">
        <v>421</v>
      </c>
      <c r="CN482" t="str">
        <v>MCS</v>
      </c>
      <c r="CO482" t="str">
        <v>1209-5YY0205-T2EN</v>
      </c>
      <c r="CP482" t="str">
        <v>MSDU6089696</v>
      </c>
      <c r="CQ482" s="23">
        <v>34.771099999999997</v>
      </c>
      <c r="CR482" s="25">
        <f t="shared" si="20"/>
        <v>2.323554285296845E-3</v>
      </c>
      <c r="CS482" s="21">
        <f t="shared" si="21"/>
        <v>5.8088857132421126</v>
      </c>
    </row>
    <row r="483" spans="2:97" x14ac:dyDescent="0.35">
      <c r="B483" t="s">
        <v>299</v>
      </c>
      <c r="C483" t="s">
        <v>1937</v>
      </c>
      <c r="D483" t="s">
        <v>395</v>
      </c>
      <c r="E483" t="s">
        <v>395</v>
      </c>
      <c r="F483" t="s">
        <v>396</v>
      </c>
      <c r="G483" t="s">
        <v>397</v>
      </c>
      <c r="H483" t="s">
        <v>398</v>
      </c>
      <c r="I483" t="s">
        <v>399</v>
      </c>
      <c r="J483" t="s">
        <v>749</v>
      </c>
      <c r="K483" t="s">
        <v>809</v>
      </c>
      <c r="L483" t="s">
        <v>787</v>
      </c>
      <c r="M483" t="s">
        <v>403</v>
      </c>
      <c r="N483">
        <v>1</v>
      </c>
      <c r="O483">
        <v>4</v>
      </c>
      <c r="P483" t="s">
        <v>818</v>
      </c>
      <c r="Q483" t="s">
        <v>430</v>
      </c>
      <c r="R483" t="s">
        <v>811</v>
      </c>
      <c r="S483" t="s">
        <v>819</v>
      </c>
      <c r="T483" t="s">
        <v>408</v>
      </c>
      <c r="U483">
        <v>50950080296</v>
      </c>
      <c r="W483">
        <v>4320</v>
      </c>
      <c r="X483" t="s">
        <v>409</v>
      </c>
      <c r="Y483" t="s">
        <v>410</v>
      </c>
      <c r="Z483" t="s">
        <v>410</v>
      </c>
      <c r="AA483" t="s">
        <v>411</v>
      </c>
      <c r="AB483" t="s">
        <v>554</v>
      </c>
      <c r="AC483" t="s">
        <v>411</v>
      </c>
      <c r="AD483">
        <v>46095</v>
      </c>
      <c r="AE483">
        <v>46132</v>
      </c>
      <c r="AF483">
        <v>46106</v>
      </c>
      <c r="AG483" t="s">
        <v>754</v>
      </c>
      <c r="AH483">
        <v>6146877</v>
      </c>
      <c r="AI483">
        <v>46098</v>
      </c>
      <c r="AJ483">
        <v>46099</v>
      </c>
      <c r="AK483">
        <v>4320</v>
      </c>
      <c r="AL483" t="s">
        <v>396</v>
      </c>
      <c r="AM483" t="s">
        <v>2010</v>
      </c>
      <c r="AN483">
        <v>46099</v>
      </c>
      <c r="AO483">
        <v>46099.417164351849</v>
      </c>
      <c r="AP483" t="s">
        <v>51</v>
      </c>
      <c r="AQ483">
        <v>1.20448</v>
      </c>
      <c r="AR483">
        <v>5203.3500000000004</v>
      </c>
      <c r="AS483" t="s">
        <v>51</v>
      </c>
      <c r="AT483">
        <v>5203.3500000000004</v>
      </c>
      <c r="AU483" t="s">
        <v>415</v>
      </c>
      <c r="AV483" t="s">
        <v>1420</v>
      </c>
      <c r="AW483" t="s">
        <v>1973</v>
      </c>
      <c r="AX483">
        <v>46106</v>
      </c>
      <c r="AY483">
        <v>46155</v>
      </c>
      <c r="AZ483" t="s">
        <v>2003</v>
      </c>
      <c r="BA483" t="s">
        <v>560</v>
      </c>
      <c r="BB483" t="s">
        <v>2004</v>
      </c>
      <c r="BC483">
        <v>48</v>
      </c>
      <c r="BD483" t="s">
        <v>521</v>
      </c>
      <c r="BE483">
        <v>7.6898999999999997</v>
      </c>
      <c r="BF483">
        <v>6.2298999999999998</v>
      </c>
      <c r="BG483" t="s">
        <v>522</v>
      </c>
      <c r="BH483">
        <v>495</v>
      </c>
      <c r="BI483">
        <v>395</v>
      </c>
      <c r="BJ483">
        <v>190</v>
      </c>
      <c r="BK483">
        <v>30</v>
      </c>
      <c r="BL483" t="s">
        <v>521</v>
      </c>
      <c r="BM483">
        <v>257.697</v>
      </c>
      <c r="BN483">
        <v>186.89699999999999</v>
      </c>
      <c r="BO483">
        <v>773.09280000000001</v>
      </c>
      <c r="BP483" t="s">
        <v>522</v>
      </c>
      <c r="BQ483">
        <v>1200</v>
      </c>
      <c r="BR483">
        <v>1000</v>
      </c>
      <c r="BS483">
        <v>1120</v>
      </c>
      <c r="BT483">
        <v>3</v>
      </c>
      <c r="BU483">
        <v>0</v>
      </c>
      <c r="BV483">
        <v>3</v>
      </c>
      <c r="BW483">
        <v>90</v>
      </c>
      <c r="BX483">
        <v>0</v>
      </c>
      <c r="BY483">
        <v>90</v>
      </c>
      <c r="BZ483">
        <v>4320</v>
      </c>
      <c r="CA483">
        <v>0</v>
      </c>
      <c r="CB483">
        <v>4320</v>
      </c>
      <c r="CC483">
        <v>560.69280000000003</v>
      </c>
      <c r="CD483" t="s">
        <v>806</v>
      </c>
      <c r="CE483" t="s">
        <v>821</v>
      </c>
      <c r="CG483" t="s">
        <v>421</v>
      </c>
      <c r="CN483" t="str">
        <v>M19</v>
      </c>
      <c r="CO483" t="str">
        <v>1307-5YY0174EN</v>
      </c>
      <c r="CP483" t="str">
        <v>MSDU6089696</v>
      </c>
      <c r="CQ483" s="23">
        <v>403.34800000000001</v>
      </c>
      <c r="CR483" s="25">
        <f t="shared" si="20"/>
        <v>2.6953446220163067E-2</v>
      </c>
      <c r="CS483" s="21">
        <f t="shared" si="21"/>
        <v>67.383615550407669</v>
      </c>
    </row>
    <row r="484" spans="2:97" x14ac:dyDescent="0.35">
      <c r="B484" t="s">
        <v>297</v>
      </c>
      <c r="C484" t="s">
        <v>2011</v>
      </c>
      <c r="D484" t="s">
        <v>395</v>
      </c>
      <c r="E484" t="s">
        <v>395</v>
      </c>
      <c r="F484" t="s">
        <v>396</v>
      </c>
      <c r="G484" t="s">
        <v>397</v>
      </c>
      <c r="H484" t="s">
        <v>398</v>
      </c>
      <c r="I484" t="s">
        <v>399</v>
      </c>
      <c r="J484" t="s">
        <v>749</v>
      </c>
      <c r="K484" t="s">
        <v>629</v>
      </c>
      <c r="L484" t="s">
        <v>787</v>
      </c>
      <c r="M484" t="s">
        <v>403</v>
      </c>
      <c r="N484">
        <v>1</v>
      </c>
      <c r="O484">
        <v>1</v>
      </c>
      <c r="P484" t="s">
        <v>900</v>
      </c>
      <c r="Q484" t="s">
        <v>789</v>
      </c>
      <c r="R484" t="s">
        <v>631</v>
      </c>
      <c r="S484" t="s">
        <v>901</v>
      </c>
      <c r="T484" t="s">
        <v>408</v>
      </c>
      <c r="U484">
        <v>50950080455</v>
      </c>
      <c r="W484">
        <v>28000</v>
      </c>
      <c r="X484" t="s">
        <v>409</v>
      </c>
      <c r="Y484" t="s">
        <v>410</v>
      </c>
      <c r="Z484" t="s">
        <v>410</v>
      </c>
      <c r="AA484" t="s">
        <v>411</v>
      </c>
      <c r="AB484" t="s">
        <v>554</v>
      </c>
      <c r="AC484" t="s">
        <v>411</v>
      </c>
      <c r="AD484">
        <v>46095</v>
      </c>
      <c r="AE484">
        <v>46104</v>
      </c>
      <c r="AF484">
        <v>46106</v>
      </c>
      <c r="AG484" t="s">
        <v>754</v>
      </c>
      <c r="AH484">
        <v>6146878</v>
      </c>
      <c r="AI484">
        <v>46098</v>
      </c>
      <c r="AJ484">
        <v>46099</v>
      </c>
      <c r="AK484">
        <v>28000</v>
      </c>
      <c r="AL484" t="s">
        <v>396</v>
      </c>
      <c r="AM484" t="s">
        <v>2012</v>
      </c>
      <c r="AN484">
        <v>46099</v>
      </c>
      <c r="AO484">
        <v>46099.417164351849</v>
      </c>
      <c r="AP484" t="s">
        <v>51</v>
      </c>
      <c r="AQ484">
        <v>0.11025</v>
      </c>
      <c r="AR484">
        <v>3087</v>
      </c>
      <c r="AS484" t="s">
        <v>51</v>
      </c>
      <c r="AT484">
        <v>3087</v>
      </c>
      <c r="AU484" t="s">
        <v>415</v>
      </c>
      <c r="AV484" t="s">
        <v>1420</v>
      </c>
      <c r="AW484" t="s">
        <v>1973</v>
      </c>
      <c r="AX484">
        <v>46106</v>
      </c>
      <c r="AY484">
        <v>46155</v>
      </c>
      <c r="AZ484" t="s">
        <v>2003</v>
      </c>
      <c r="BA484" t="s">
        <v>560</v>
      </c>
      <c r="BB484" t="s">
        <v>2004</v>
      </c>
      <c r="BC484">
        <v>1400</v>
      </c>
      <c r="BD484" t="s">
        <v>521</v>
      </c>
      <c r="BE484">
        <v>9.8621999999999996</v>
      </c>
      <c r="BF484">
        <v>8.9922000000000004</v>
      </c>
      <c r="BG484" t="s">
        <v>522</v>
      </c>
      <c r="BH484">
        <v>595</v>
      </c>
      <c r="BI484">
        <v>395</v>
      </c>
      <c r="BJ484">
        <v>190</v>
      </c>
      <c r="BK484">
        <v>25</v>
      </c>
      <c r="BL484" t="s">
        <v>521</v>
      </c>
      <c r="BM484">
        <v>224.244</v>
      </c>
      <c r="BN484">
        <v>179.84399999999999</v>
      </c>
      <c r="BO484">
        <v>224.244</v>
      </c>
      <c r="BP484" t="s">
        <v>522</v>
      </c>
      <c r="BQ484">
        <v>1200</v>
      </c>
      <c r="BR484">
        <v>1000</v>
      </c>
      <c r="BS484">
        <v>1088</v>
      </c>
      <c r="BT484">
        <v>0</v>
      </c>
      <c r="BU484">
        <v>1</v>
      </c>
      <c r="BV484">
        <v>1</v>
      </c>
      <c r="BW484">
        <v>20</v>
      </c>
      <c r="BX484">
        <v>0</v>
      </c>
      <c r="BY484">
        <v>20</v>
      </c>
      <c r="BZ484">
        <v>0</v>
      </c>
      <c r="CA484">
        <v>28000</v>
      </c>
      <c r="CB484">
        <v>28000</v>
      </c>
      <c r="CC484">
        <v>179.84399999999999</v>
      </c>
      <c r="CD484" t="s">
        <v>842</v>
      </c>
      <c r="CE484" t="s">
        <v>898</v>
      </c>
      <c r="CG484" t="s">
        <v>421</v>
      </c>
      <c r="CN484" t="str">
        <v>M19</v>
      </c>
      <c r="CO484" t="str">
        <v>1330-5YY0256EN</v>
      </c>
      <c r="CP484" t="str">
        <v>MSDU6089696</v>
      </c>
      <c r="CQ484" s="23">
        <v>868.00800000000004</v>
      </c>
      <c r="CR484" s="25">
        <f t="shared" si="20"/>
        <v>5.8004023688406299E-2</v>
      </c>
      <c r="CS484" s="21">
        <f t="shared" si="21"/>
        <v>145.01005922101575</v>
      </c>
    </row>
    <row r="485" spans="2:97" x14ac:dyDescent="0.35">
      <c r="B485" t="s">
        <v>297</v>
      </c>
      <c r="C485" t="s">
        <v>831</v>
      </c>
      <c r="D485" t="s">
        <v>395</v>
      </c>
      <c r="E485" t="s">
        <v>395</v>
      </c>
      <c r="F485" t="s">
        <v>396</v>
      </c>
      <c r="G485" t="s">
        <v>397</v>
      </c>
      <c r="H485" t="s">
        <v>398</v>
      </c>
      <c r="I485" t="s">
        <v>399</v>
      </c>
      <c r="J485" t="s">
        <v>749</v>
      </c>
      <c r="K485" t="s">
        <v>629</v>
      </c>
      <c r="L485" t="s">
        <v>787</v>
      </c>
      <c r="M485" t="s">
        <v>403</v>
      </c>
      <c r="N485">
        <v>6</v>
      </c>
      <c r="O485">
        <v>2</v>
      </c>
      <c r="P485" t="s">
        <v>832</v>
      </c>
      <c r="Q485" t="s">
        <v>645</v>
      </c>
      <c r="R485" t="s">
        <v>833</v>
      </c>
      <c r="S485" t="s">
        <v>834</v>
      </c>
      <c r="T485" t="s">
        <v>408</v>
      </c>
      <c r="U485">
        <v>50950080792</v>
      </c>
      <c r="W485">
        <v>19200</v>
      </c>
      <c r="X485" t="s">
        <v>409</v>
      </c>
      <c r="Y485" t="s">
        <v>410</v>
      </c>
      <c r="Z485" t="s">
        <v>410</v>
      </c>
      <c r="AA485" t="s">
        <v>411</v>
      </c>
      <c r="AB485" t="s">
        <v>554</v>
      </c>
      <c r="AC485" t="s">
        <v>411</v>
      </c>
      <c r="AD485">
        <v>46095</v>
      </c>
      <c r="AE485">
        <v>46139</v>
      </c>
      <c r="AF485">
        <v>46106</v>
      </c>
      <c r="AG485" t="s">
        <v>754</v>
      </c>
      <c r="AH485">
        <v>6146879</v>
      </c>
      <c r="AI485">
        <v>46098</v>
      </c>
      <c r="AJ485">
        <v>46099</v>
      </c>
      <c r="AK485">
        <v>19200</v>
      </c>
      <c r="AL485" t="s">
        <v>396</v>
      </c>
      <c r="AM485" t="s">
        <v>2013</v>
      </c>
      <c r="AN485">
        <v>46099</v>
      </c>
      <c r="AO485">
        <v>46099.417164351849</v>
      </c>
      <c r="AP485" t="s">
        <v>51</v>
      </c>
      <c r="AQ485">
        <v>0.11833</v>
      </c>
      <c r="AR485">
        <v>2271.94</v>
      </c>
      <c r="AS485" t="s">
        <v>51</v>
      </c>
      <c r="AT485">
        <v>2271.94</v>
      </c>
      <c r="AU485" t="s">
        <v>415</v>
      </c>
      <c r="AV485" t="s">
        <v>1420</v>
      </c>
      <c r="AW485" t="s">
        <v>1973</v>
      </c>
      <c r="AX485">
        <v>46106</v>
      </c>
      <c r="AY485">
        <v>46155</v>
      </c>
      <c r="AZ485" t="s">
        <v>2003</v>
      </c>
      <c r="BA485" t="s">
        <v>560</v>
      </c>
      <c r="BB485" t="s">
        <v>2004</v>
      </c>
      <c r="BC485">
        <v>320</v>
      </c>
      <c r="BD485" t="s">
        <v>521</v>
      </c>
      <c r="BE485">
        <v>4.1859999999999999</v>
      </c>
      <c r="BF485">
        <v>3.6160000000000001</v>
      </c>
      <c r="BG485" t="s">
        <v>522</v>
      </c>
      <c r="BH485">
        <v>395</v>
      </c>
      <c r="BI485">
        <v>295</v>
      </c>
      <c r="BJ485">
        <v>255</v>
      </c>
      <c r="BK485">
        <v>30</v>
      </c>
      <c r="BL485" t="s">
        <v>521</v>
      </c>
      <c r="BM485">
        <v>152.58000000000001</v>
      </c>
      <c r="BN485">
        <v>108.48</v>
      </c>
      <c r="BO485">
        <v>305.16000000000003</v>
      </c>
      <c r="BP485" t="s">
        <v>522</v>
      </c>
      <c r="BQ485">
        <v>1200</v>
      </c>
      <c r="BR485">
        <v>1000</v>
      </c>
      <c r="BS485">
        <v>918</v>
      </c>
      <c r="BT485">
        <v>2</v>
      </c>
      <c r="BU485">
        <v>0</v>
      </c>
      <c r="BV485">
        <v>2</v>
      </c>
      <c r="BW485">
        <v>60</v>
      </c>
      <c r="BX485">
        <v>0</v>
      </c>
      <c r="BY485">
        <v>60</v>
      </c>
      <c r="BZ485">
        <v>19200</v>
      </c>
      <c r="CA485">
        <v>0</v>
      </c>
      <c r="CB485">
        <v>19200</v>
      </c>
      <c r="CC485">
        <v>216.96</v>
      </c>
      <c r="CD485" t="s">
        <v>633</v>
      </c>
      <c r="CE485" t="s">
        <v>836</v>
      </c>
      <c r="CG485" t="s">
        <v>421</v>
      </c>
      <c r="CN485" t="str">
        <v>M19</v>
      </c>
      <c r="CO485" t="str">
        <v>1330-5YY0177EN</v>
      </c>
      <c r="CP485" t="str">
        <v>MSDU6089696</v>
      </c>
      <c r="CQ485" s="23">
        <v>811.67520000000002</v>
      </c>
      <c r="CR485" s="25">
        <f t="shared" si="20"/>
        <v>5.4239623975921789E-2</v>
      </c>
      <c r="CS485" s="21">
        <f t="shared" si="21"/>
        <v>135.59905993980448</v>
      </c>
    </row>
    <row r="486" spans="2:97" x14ac:dyDescent="0.35">
      <c r="B486" t="s">
        <v>299</v>
      </c>
      <c r="C486" t="s">
        <v>2014</v>
      </c>
      <c r="D486" t="s">
        <v>395</v>
      </c>
      <c r="E486" t="s">
        <v>395</v>
      </c>
      <c r="F486" t="s">
        <v>396</v>
      </c>
      <c r="G486" t="s">
        <v>397</v>
      </c>
      <c r="H486" t="s">
        <v>398</v>
      </c>
      <c r="I486" t="s">
        <v>399</v>
      </c>
      <c r="J486" t="s">
        <v>749</v>
      </c>
      <c r="K486" t="s">
        <v>629</v>
      </c>
      <c r="L486" t="s">
        <v>787</v>
      </c>
      <c r="M486" t="s">
        <v>403</v>
      </c>
      <c r="N486">
        <v>1</v>
      </c>
      <c r="O486">
        <v>1</v>
      </c>
      <c r="P486" t="s">
        <v>2015</v>
      </c>
      <c r="Q486" t="s">
        <v>405</v>
      </c>
      <c r="R486" t="s">
        <v>1128</v>
      </c>
      <c r="S486" t="s">
        <v>2016</v>
      </c>
      <c r="T486" t="s">
        <v>408</v>
      </c>
      <c r="U486">
        <v>50950081173</v>
      </c>
      <c r="W486">
        <v>3000</v>
      </c>
      <c r="X486" t="s">
        <v>409</v>
      </c>
      <c r="Y486" t="s">
        <v>410</v>
      </c>
      <c r="Z486" t="s">
        <v>410</v>
      </c>
      <c r="AA486" t="s">
        <v>411</v>
      </c>
      <c r="AB486" t="s">
        <v>554</v>
      </c>
      <c r="AC486" t="s">
        <v>411</v>
      </c>
      <c r="AD486">
        <v>46102</v>
      </c>
      <c r="AE486">
        <v>46174</v>
      </c>
      <c r="AF486">
        <v>46106</v>
      </c>
      <c r="AG486" t="s">
        <v>754</v>
      </c>
      <c r="AH486">
        <v>6146880</v>
      </c>
      <c r="AI486">
        <v>46098</v>
      </c>
      <c r="AJ486">
        <v>46099</v>
      </c>
      <c r="AK486">
        <v>3000</v>
      </c>
      <c r="AL486" t="s">
        <v>396</v>
      </c>
      <c r="AM486" t="s">
        <v>2017</v>
      </c>
      <c r="AN486">
        <v>46099</v>
      </c>
      <c r="AO486">
        <v>46099.417164351849</v>
      </c>
      <c r="AP486" t="s">
        <v>51</v>
      </c>
      <c r="AQ486">
        <v>1.23437</v>
      </c>
      <c r="AR486">
        <v>3703.11</v>
      </c>
      <c r="AS486" t="s">
        <v>51</v>
      </c>
      <c r="AT486">
        <v>3703.11</v>
      </c>
      <c r="AU486" t="s">
        <v>415</v>
      </c>
      <c r="AV486" t="s">
        <v>1420</v>
      </c>
      <c r="AW486" t="s">
        <v>1973</v>
      </c>
      <c r="AX486">
        <v>46106</v>
      </c>
      <c r="AY486">
        <v>46155</v>
      </c>
      <c r="AZ486" t="s">
        <v>2003</v>
      </c>
      <c r="BA486" t="s">
        <v>560</v>
      </c>
      <c r="BB486" t="s">
        <v>2004</v>
      </c>
      <c r="BC486">
        <v>100</v>
      </c>
      <c r="BD486" t="s">
        <v>521</v>
      </c>
      <c r="BE486">
        <v>7.8579999999999997</v>
      </c>
      <c r="BF486">
        <v>3.9279999999999999</v>
      </c>
      <c r="BG486" t="s">
        <v>522</v>
      </c>
      <c r="BH486">
        <v>520</v>
      </c>
      <c r="BI486">
        <v>330</v>
      </c>
      <c r="BJ486">
        <v>190</v>
      </c>
      <c r="BK486">
        <v>30</v>
      </c>
      <c r="BL486" t="s">
        <v>521</v>
      </c>
      <c r="BM486">
        <v>261.74</v>
      </c>
      <c r="BN486">
        <v>117.84</v>
      </c>
      <c r="BO486">
        <v>261.74</v>
      </c>
      <c r="BP486" t="s">
        <v>522</v>
      </c>
      <c r="BQ486">
        <v>1066</v>
      </c>
      <c r="BR486">
        <v>1066</v>
      </c>
      <c r="BS486">
        <v>1100</v>
      </c>
      <c r="BT486">
        <v>1</v>
      </c>
      <c r="BU486">
        <v>0</v>
      </c>
      <c r="BV486">
        <v>1</v>
      </c>
      <c r="BW486">
        <v>30</v>
      </c>
      <c r="BX486">
        <v>0</v>
      </c>
      <c r="BY486">
        <v>30</v>
      </c>
      <c r="BZ486">
        <v>3000</v>
      </c>
      <c r="CA486">
        <v>0</v>
      </c>
      <c r="CB486">
        <v>3000</v>
      </c>
      <c r="CC486">
        <v>117.84</v>
      </c>
      <c r="CD486" t="s">
        <v>1131</v>
      </c>
      <c r="CE486" t="s">
        <v>1132</v>
      </c>
      <c r="CG486" t="s">
        <v>421</v>
      </c>
      <c r="CN486" t="str">
        <v>MCS</v>
      </c>
      <c r="CO486" t="str">
        <v>1205-1030761EN</v>
      </c>
      <c r="CP486" t="str">
        <v>MSDU6089696</v>
      </c>
      <c r="CQ486" s="23">
        <v>93.283100000000005</v>
      </c>
      <c r="CR486" s="25">
        <f t="shared" si="20"/>
        <v>6.2335775040414064E-3</v>
      </c>
      <c r="CS486" s="21">
        <f t="shared" si="21"/>
        <v>15.583943760103516</v>
      </c>
    </row>
    <row r="487" spans="2:97" x14ac:dyDescent="0.35">
      <c r="B487" t="s">
        <v>299</v>
      </c>
      <c r="C487" t="s">
        <v>2018</v>
      </c>
      <c r="D487" t="s">
        <v>395</v>
      </c>
      <c r="E487" t="s">
        <v>395</v>
      </c>
      <c r="F487" t="s">
        <v>396</v>
      </c>
      <c r="G487" t="s">
        <v>397</v>
      </c>
      <c r="H487" t="s">
        <v>398</v>
      </c>
      <c r="I487" t="s">
        <v>399</v>
      </c>
      <c r="J487" t="s">
        <v>749</v>
      </c>
      <c r="K487" t="s">
        <v>629</v>
      </c>
      <c r="L487" t="s">
        <v>787</v>
      </c>
      <c r="M487" t="s">
        <v>403</v>
      </c>
      <c r="N487">
        <v>1</v>
      </c>
      <c r="O487">
        <v>1</v>
      </c>
      <c r="P487" t="s">
        <v>2015</v>
      </c>
      <c r="Q487" t="s">
        <v>405</v>
      </c>
      <c r="R487" t="s">
        <v>1128</v>
      </c>
      <c r="S487" t="s">
        <v>2016</v>
      </c>
      <c r="T487" t="s">
        <v>408</v>
      </c>
      <c r="U487">
        <v>50950081178</v>
      </c>
      <c r="W487">
        <v>6000</v>
      </c>
      <c r="X487" t="s">
        <v>409</v>
      </c>
      <c r="Y487" t="s">
        <v>410</v>
      </c>
      <c r="Z487" t="s">
        <v>410</v>
      </c>
      <c r="AA487" t="s">
        <v>411</v>
      </c>
      <c r="AB487" t="s">
        <v>554</v>
      </c>
      <c r="AC487" t="s">
        <v>411</v>
      </c>
      <c r="AD487">
        <v>46102</v>
      </c>
      <c r="AE487">
        <v>46167</v>
      </c>
      <c r="AF487">
        <v>46106</v>
      </c>
      <c r="AG487" t="s">
        <v>754</v>
      </c>
      <c r="AH487">
        <v>6146881</v>
      </c>
      <c r="AI487">
        <v>46098</v>
      </c>
      <c r="AJ487">
        <v>46099</v>
      </c>
      <c r="AK487">
        <v>6000</v>
      </c>
      <c r="AL487" t="s">
        <v>396</v>
      </c>
      <c r="AM487" t="s">
        <v>2019</v>
      </c>
      <c r="AN487">
        <v>46099</v>
      </c>
      <c r="AO487">
        <v>46099.417164351849</v>
      </c>
      <c r="AP487" t="s">
        <v>51</v>
      </c>
      <c r="AQ487">
        <v>1.23437</v>
      </c>
      <c r="AR487">
        <v>7406.22</v>
      </c>
      <c r="AS487" t="s">
        <v>51</v>
      </c>
      <c r="AT487">
        <v>7406.22</v>
      </c>
      <c r="AU487" t="s">
        <v>415</v>
      </c>
      <c r="AV487" t="s">
        <v>1420</v>
      </c>
      <c r="AW487" t="s">
        <v>1973</v>
      </c>
      <c r="AX487">
        <v>46106</v>
      </c>
      <c r="AY487">
        <v>46155</v>
      </c>
      <c r="AZ487" t="s">
        <v>2003</v>
      </c>
      <c r="BA487" t="s">
        <v>560</v>
      </c>
      <c r="BB487" t="s">
        <v>2004</v>
      </c>
      <c r="BC487">
        <v>100</v>
      </c>
      <c r="BD487" t="s">
        <v>521</v>
      </c>
      <c r="BE487">
        <v>7.8579999999999997</v>
      </c>
      <c r="BF487">
        <v>3.9279999999999999</v>
      </c>
      <c r="BG487" t="s">
        <v>522</v>
      </c>
      <c r="BH487">
        <v>520</v>
      </c>
      <c r="BI487">
        <v>330</v>
      </c>
      <c r="BJ487">
        <v>190</v>
      </c>
      <c r="BK487">
        <v>30</v>
      </c>
      <c r="BL487" t="s">
        <v>521</v>
      </c>
      <c r="BM487">
        <v>261.74</v>
      </c>
      <c r="BN487">
        <v>117.84</v>
      </c>
      <c r="BO487">
        <v>523.48</v>
      </c>
      <c r="BP487" t="s">
        <v>522</v>
      </c>
      <c r="BQ487">
        <v>1066</v>
      </c>
      <c r="BR487">
        <v>1066</v>
      </c>
      <c r="BS487">
        <v>1100</v>
      </c>
      <c r="BT487">
        <v>2</v>
      </c>
      <c r="BU487">
        <v>0</v>
      </c>
      <c r="BV487">
        <v>2</v>
      </c>
      <c r="BW487">
        <v>60</v>
      </c>
      <c r="BX487">
        <v>0</v>
      </c>
      <c r="BY487">
        <v>60</v>
      </c>
      <c r="BZ487">
        <v>6000</v>
      </c>
      <c r="CA487">
        <v>0</v>
      </c>
      <c r="CB487">
        <v>6000</v>
      </c>
      <c r="CC487">
        <v>235.68</v>
      </c>
      <c r="CD487" t="s">
        <v>1131</v>
      </c>
      <c r="CE487" t="s">
        <v>1132</v>
      </c>
      <c r="CG487" t="s">
        <v>421</v>
      </c>
      <c r="CN487" t="str">
        <v>MCS</v>
      </c>
      <c r="CO487" t="str">
        <v>1205-1030762EN</v>
      </c>
      <c r="CP487" t="str">
        <v>MSDU6089696</v>
      </c>
      <c r="CQ487" s="23">
        <v>95.203100000000006</v>
      </c>
      <c r="CR487" s="25">
        <f t="shared" si="20"/>
        <v>6.3618801527286772E-3</v>
      </c>
      <c r="CS487" s="21">
        <f t="shared" si="21"/>
        <v>15.904700381821693</v>
      </c>
    </row>
    <row r="488" spans="2:97" x14ac:dyDescent="0.35">
      <c r="B488" t="s">
        <v>299</v>
      </c>
      <c r="C488" t="s">
        <v>2020</v>
      </c>
      <c r="D488" t="s">
        <v>395</v>
      </c>
      <c r="E488" t="s">
        <v>395</v>
      </c>
      <c r="F488" t="s">
        <v>396</v>
      </c>
      <c r="G488" t="s">
        <v>397</v>
      </c>
      <c r="H488" t="s">
        <v>398</v>
      </c>
      <c r="I488" t="s">
        <v>399</v>
      </c>
      <c r="J488" t="s">
        <v>749</v>
      </c>
      <c r="K488" t="s">
        <v>629</v>
      </c>
      <c r="L488" t="s">
        <v>787</v>
      </c>
      <c r="M488" t="s">
        <v>403</v>
      </c>
      <c r="N488">
        <v>1</v>
      </c>
      <c r="O488">
        <v>1</v>
      </c>
      <c r="P488" t="s">
        <v>1127</v>
      </c>
      <c r="Q488" t="s">
        <v>405</v>
      </c>
      <c r="R488" t="s">
        <v>1128</v>
      </c>
      <c r="S488" t="s">
        <v>1129</v>
      </c>
      <c r="T488" t="s">
        <v>408</v>
      </c>
      <c r="U488">
        <v>50950081179</v>
      </c>
      <c r="W488">
        <v>9600</v>
      </c>
      <c r="X488" t="s">
        <v>409</v>
      </c>
      <c r="Y488" t="s">
        <v>410</v>
      </c>
      <c r="Z488" t="s">
        <v>410</v>
      </c>
      <c r="AA488" t="s">
        <v>411</v>
      </c>
      <c r="AB488" t="s">
        <v>554</v>
      </c>
      <c r="AC488" t="s">
        <v>411</v>
      </c>
      <c r="AD488">
        <v>46102</v>
      </c>
      <c r="AE488">
        <v>46160</v>
      </c>
      <c r="AF488">
        <v>46106</v>
      </c>
      <c r="AG488" t="s">
        <v>754</v>
      </c>
      <c r="AH488">
        <v>6146882</v>
      </c>
      <c r="AI488">
        <v>46098</v>
      </c>
      <c r="AJ488">
        <v>46099</v>
      </c>
      <c r="AK488">
        <v>9600</v>
      </c>
      <c r="AL488" t="s">
        <v>396</v>
      </c>
      <c r="AM488" t="s">
        <v>2021</v>
      </c>
      <c r="AN488">
        <v>46099</v>
      </c>
      <c r="AO488">
        <v>46099.417164351849</v>
      </c>
      <c r="AP488" t="s">
        <v>51</v>
      </c>
      <c r="AQ488">
        <v>2.1219100000000002</v>
      </c>
      <c r="AR488">
        <v>20370.32</v>
      </c>
      <c r="AS488" t="s">
        <v>51</v>
      </c>
      <c r="AT488">
        <v>20370.32</v>
      </c>
      <c r="AU488" t="s">
        <v>415</v>
      </c>
      <c r="AV488" t="s">
        <v>1420</v>
      </c>
      <c r="AW488" t="s">
        <v>1973</v>
      </c>
      <c r="AX488">
        <v>46106</v>
      </c>
      <c r="AY488">
        <v>46155</v>
      </c>
      <c r="AZ488" t="s">
        <v>2003</v>
      </c>
      <c r="BA488" t="s">
        <v>560</v>
      </c>
      <c r="BB488" t="s">
        <v>2004</v>
      </c>
      <c r="BC488">
        <v>80</v>
      </c>
      <c r="BD488" t="s">
        <v>521</v>
      </c>
      <c r="BE488">
        <v>9.6</v>
      </c>
      <c r="BF488">
        <v>5.67</v>
      </c>
      <c r="BG488" t="s">
        <v>522</v>
      </c>
      <c r="BH488">
        <v>520</v>
      </c>
      <c r="BI488">
        <v>330</v>
      </c>
      <c r="BJ488">
        <v>190</v>
      </c>
      <c r="BK488">
        <v>30</v>
      </c>
      <c r="BL488" t="s">
        <v>521</v>
      </c>
      <c r="BM488">
        <v>314</v>
      </c>
      <c r="BN488">
        <v>170.1</v>
      </c>
      <c r="BO488">
        <v>1256</v>
      </c>
      <c r="BP488" t="s">
        <v>522</v>
      </c>
      <c r="BQ488">
        <v>1066</v>
      </c>
      <c r="BR488">
        <v>1066</v>
      </c>
      <c r="BS488">
        <v>1100</v>
      </c>
      <c r="BT488">
        <v>4</v>
      </c>
      <c r="BU488">
        <v>0</v>
      </c>
      <c r="BV488">
        <v>4</v>
      </c>
      <c r="BW488">
        <v>120</v>
      </c>
      <c r="BX488">
        <v>0</v>
      </c>
      <c r="BY488">
        <v>120</v>
      </c>
      <c r="BZ488">
        <v>9600</v>
      </c>
      <c r="CA488">
        <v>0</v>
      </c>
      <c r="CB488">
        <v>9600</v>
      </c>
      <c r="CC488">
        <v>680.4</v>
      </c>
      <c r="CD488" t="s">
        <v>1131</v>
      </c>
      <c r="CE488" t="s">
        <v>1132</v>
      </c>
      <c r="CG488" t="s">
        <v>421</v>
      </c>
      <c r="CN488" t="str">
        <v>M23</v>
      </c>
      <c r="CO488" t="str">
        <v>1200-1060992EN</v>
      </c>
      <c r="CP488" t="str">
        <v>MSMU2474387</v>
      </c>
      <c r="CQ488" s="23">
        <v>555.75127680000003</v>
      </c>
      <c r="CR488" s="25">
        <f t="shared" si="20"/>
        <v>7.6879545868907037E-2</v>
      </c>
      <c r="CS488" s="21">
        <f t="shared" si="21"/>
        <v>192.1988646722676</v>
      </c>
    </row>
    <row r="489" spans="2:97" x14ac:dyDescent="0.35">
      <c r="B489" t="s">
        <v>299</v>
      </c>
      <c r="C489" t="s">
        <v>1948</v>
      </c>
      <c r="D489" t="s">
        <v>395</v>
      </c>
      <c r="E489" t="s">
        <v>395</v>
      </c>
      <c r="F489" t="s">
        <v>396</v>
      </c>
      <c r="G489" t="s">
        <v>397</v>
      </c>
      <c r="H489" t="s">
        <v>398</v>
      </c>
      <c r="I489" t="s">
        <v>399</v>
      </c>
      <c r="J489" t="s">
        <v>749</v>
      </c>
      <c r="K489" t="s">
        <v>809</v>
      </c>
      <c r="L489" t="s">
        <v>787</v>
      </c>
      <c r="M489" t="s">
        <v>403</v>
      </c>
      <c r="N489">
        <v>1</v>
      </c>
      <c r="O489">
        <v>3</v>
      </c>
      <c r="P489" t="s">
        <v>828</v>
      </c>
      <c r="Q489" t="s">
        <v>587</v>
      </c>
      <c r="R489" t="s">
        <v>811</v>
      </c>
      <c r="S489" t="s">
        <v>829</v>
      </c>
      <c r="T489" t="s">
        <v>408</v>
      </c>
      <c r="U489">
        <v>50950081254</v>
      </c>
      <c r="W489">
        <v>480</v>
      </c>
      <c r="X489" t="s">
        <v>409</v>
      </c>
      <c r="Y489" t="s">
        <v>410</v>
      </c>
      <c r="Z489" t="s">
        <v>410</v>
      </c>
      <c r="AA489" t="s">
        <v>411</v>
      </c>
      <c r="AB489" t="s">
        <v>554</v>
      </c>
      <c r="AC489" t="s">
        <v>411</v>
      </c>
      <c r="AD489">
        <v>46095</v>
      </c>
      <c r="AE489">
        <v>46153</v>
      </c>
      <c r="AF489">
        <v>46106</v>
      </c>
      <c r="AG489" t="s">
        <v>754</v>
      </c>
      <c r="AH489">
        <v>6146883</v>
      </c>
      <c r="AI489">
        <v>46098</v>
      </c>
      <c r="AJ489">
        <v>46099</v>
      </c>
      <c r="AK489">
        <v>480</v>
      </c>
      <c r="AL489" t="s">
        <v>396</v>
      </c>
      <c r="AM489" t="s">
        <v>2022</v>
      </c>
      <c r="AN489">
        <v>46099</v>
      </c>
      <c r="AO489">
        <v>46099.417164351849</v>
      </c>
      <c r="AP489" t="s">
        <v>51</v>
      </c>
      <c r="AQ489">
        <v>1.8924799999999999</v>
      </c>
      <c r="AR489">
        <v>908.39</v>
      </c>
      <c r="AS489" t="s">
        <v>51</v>
      </c>
      <c r="AT489">
        <v>908.39</v>
      </c>
      <c r="AU489" t="s">
        <v>415</v>
      </c>
      <c r="AV489" t="s">
        <v>1420</v>
      </c>
      <c r="AW489" t="s">
        <v>1973</v>
      </c>
      <c r="AX489">
        <v>46106</v>
      </c>
      <c r="AY489">
        <v>46155</v>
      </c>
      <c r="AZ489" t="s">
        <v>2003</v>
      </c>
      <c r="BA489" t="s">
        <v>560</v>
      </c>
      <c r="BB489" t="s">
        <v>2004</v>
      </c>
      <c r="BC489">
        <v>16</v>
      </c>
      <c r="BD489" t="s">
        <v>521</v>
      </c>
      <c r="BE489">
        <v>4.9409000000000001</v>
      </c>
      <c r="BF489">
        <v>3.7418999999999998</v>
      </c>
      <c r="BG489" t="s">
        <v>522</v>
      </c>
      <c r="BH489">
        <v>495</v>
      </c>
      <c r="BI489">
        <v>395</v>
      </c>
      <c r="BJ489">
        <v>190</v>
      </c>
      <c r="BK489">
        <v>30</v>
      </c>
      <c r="BL489" t="s">
        <v>521</v>
      </c>
      <c r="BM489">
        <v>175.2276</v>
      </c>
      <c r="BN489">
        <v>112.2576</v>
      </c>
      <c r="BO489">
        <v>175.2276</v>
      </c>
      <c r="BP489" t="s">
        <v>522</v>
      </c>
      <c r="BQ489">
        <v>1200</v>
      </c>
      <c r="BR489">
        <v>1000</v>
      </c>
      <c r="BS489">
        <v>1120</v>
      </c>
      <c r="BT489">
        <v>1</v>
      </c>
      <c r="BU489">
        <v>0</v>
      </c>
      <c r="BV489">
        <v>1</v>
      </c>
      <c r="BW489">
        <v>30</v>
      </c>
      <c r="BX489">
        <v>0</v>
      </c>
      <c r="BY489">
        <v>30</v>
      </c>
      <c r="BZ489">
        <v>480</v>
      </c>
      <c r="CA489">
        <v>0</v>
      </c>
      <c r="CB489">
        <v>480</v>
      </c>
      <c r="CC489">
        <v>112.2576</v>
      </c>
      <c r="CD489" t="s">
        <v>806</v>
      </c>
      <c r="CE489" t="s">
        <v>816</v>
      </c>
      <c r="CG489" t="s">
        <v>421</v>
      </c>
      <c r="CN489" t="str">
        <v>M46</v>
      </c>
      <c r="CO489" t="str">
        <v>1415-EQN0005EN</v>
      </c>
      <c r="CP489" t="str">
        <v>MSMU2474387</v>
      </c>
      <c r="CQ489" s="23">
        <v>219.40539999999999</v>
      </c>
      <c r="CR489" s="25">
        <f t="shared" si="20"/>
        <v>3.035132480542399E-2</v>
      </c>
      <c r="CS489" s="21">
        <f t="shared" si="21"/>
        <v>75.878312013559977</v>
      </c>
    </row>
    <row r="490" spans="2:97" x14ac:dyDescent="0.35">
      <c r="B490" t="s">
        <v>299</v>
      </c>
      <c r="C490" t="s">
        <v>2023</v>
      </c>
      <c r="D490" t="s">
        <v>395</v>
      </c>
      <c r="E490" t="s">
        <v>395</v>
      </c>
      <c r="F490" t="s">
        <v>396</v>
      </c>
      <c r="G490" t="s">
        <v>397</v>
      </c>
      <c r="H490" t="s">
        <v>398</v>
      </c>
      <c r="I490" t="s">
        <v>399</v>
      </c>
      <c r="J490" t="s">
        <v>749</v>
      </c>
      <c r="K490" t="s">
        <v>845</v>
      </c>
      <c r="L490" t="s">
        <v>787</v>
      </c>
      <c r="M490" t="s">
        <v>403</v>
      </c>
      <c r="N490">
        <v>1</v>
      </c>
      <c r="O490">
        <v>1</v>
      </c>
      <c r="P490" t="s">
        <v>846</v>
      </c>
      <c r="Q490" t="s">
        <v>405</v>
      </c>
      <c r="R490" t="s">
        <v>847</v>
      </c>
      <c r="S490" t="s">
        <v>848</v>
      </c>
      <c r="T490" t="s">
        <v>408</v>
      </c>
      <c r="U490">
        <v>50950081261</v>
      </c>
      <c r="W490">
        <v>5670</v>
      </c>
      <c r="X490" t="s">
        <v>409</v>
      </c>
      <c r="Y490" t="s">
        <v>410</v>
      </c>
      <c r="Z490" t="s">
        <v>410</v>
      </c>
      <c r="AA490" t="s">
        <v>411</v>
      </c>
      <c r="AB490" t="s">
        <v>554</v>
      </c>
      <c r="AC490" t="s">
        <v>411</v>
      </c>
      <c r="AD490">
        <v>46095</v>
      </c>
      <c r="AE490">
        <v>46153</v>
      </c>
      <c r="AF490">
        <v>46106</v>
      </c>
      <c r="AG490" t="s">
        <v>754</v>
      </c>
      <c r="AH490">
        <v>6146884</v>
      </c>
      <c r="AI490">
        <v>46098</v>
      </c>
      <c r="AJ490">
        <v>46099</v>
      </c>
      <c r="AK490">
        <v>5670</v>
      </c>
      <c r="AL490" t="s">
        <v>396</v>
      </c>
      <c r="AM490" t="s">
        <v>2024</v>
      </c>
      <c r="AN490">
        <v>46099</v>
      </c>
      <c r="AO490">
        <v>46099.417164351849</v>
      </c>
      <c r="AP490" t="s">
        <v>51</v>
      </c>
      <c r="AQ490">
        <v>1.3785799999999999</v>
      </c>
      <c r="AR490">
        <v>7816.55</v>
      </c>
      <c r="AS490" t="s">
        <v>51</v>
      </c>
      <c r="AT490">
        <v>7816.55</v>
      </c>
      <c r="AU490" t="s">
        <v>415</v>
      </c>
      <c r="AV490" t="s">
        <v>1420</v>
      </c>
      <c r="AW490" t="s">
        <v>1973</v>
      </c>
      <c r="AX490">
        <v>46106</v>
      </c>
      <c r="AY490">
        <v>46155</v>
      </c>
      <c r="AZ490" t="s">
        <v>2003</v>
      </c>
      <c r="BA490" t="s">
        <v>560</v>
      </c>
      <c r="BB490" t="s">
        <v>2004</v>
      </c>
      <c r="BC490">
        <v>27</v>
      </c>
      <c r="BD490" t="s">
        <v>521</v>
      </c>
      <c r="BE490">
        <v>14.865399999999999</v>
      </c>
      <c r="BF490">
        <v>13.6374</v>
      </c>
      <c r="BG490" t="s">
        <v>522</v>
      </c>
      <c r="BH490">
        <v>495</v>
      </c>
      <c r="BI490">
        <v>395</v>
      </c>
      <c r="BJ490">
        <v>170</v>
      </c>
      <c r="BK490">
        <v>30</v>
      </c>
      <c r="BL490" t="s">
        <v>521</v>
      </c>
      <c r="BM490">
        <v>472.96199999999999</v>
      </c>
      <c r="BN490">
        <v>409.12200000000001</v>
      </c>
      <c r="BO490">
        <v>3310.7402999999999</v>
      </c>
      <c r="BP490" t="s">
        <v>522</v>
      </c>
      <c r="BQ490">
        <v>1200</v>
      </c>
      <c r="BR490">
        <v>1000</v>
      </c>
      <c r="BS490">
        <v>1000</v>
      </c>
      <c r="BT490">
        <v>7</v>
      </c>
      <c r="BU490">
        <v>0</v>
      </c>
      <c r="BV490">
        <v>7</v>
      </c>
      <c r="BW490">
        <v>210</v>
      </c>
      <c r="BX490">
        <v>0</v>
      </c>
      <c r="BY490">
        <v>210</v>
      </c>
      <c r="BZ490">
        <v>5670</v>
      </c>
      <c r="CA490">
        <v>0</v>
      </c>
      <c r="CB490">
        <v>5670</v>
      </c>
      <c r="CC490">
        <v>2863.8602999999998</v>
      </c>
      <c r="CD490" t="s">
        <v>850</v>
      </c>
      <c r="CE490" t="s">
        <v>851</v>
      </c>
      <c r="CG490" t="s">
        <v>421</v>
      </c>
      <c r="CN490" t="str">
        <v>M19</v>
      </c>
      <c r="CO490" t="str">
        <v>1140-5YY0004EN</v>
      </c>
      <c r="CP490" t="str">
        <v>MSMU2474387</v>
      </c>
      <c r="CQ490" s="23">
        <v>302.87920000000003</v>
      </c>
      <c r="CR490" s="25">
        <f t="shared" si="20"/>
        <v>4.1898626815962486E-2</v>
      </c>
      <c r="CS490" s="21">
        <f t="shared" si="21"/>
        <v>104.74656703990621</v>
      </c>
    </row>
    <row r="491" spans="2:97" x14ac:dyDescent="0.35">
      <c r="B491" t="s">
        <v>299</v>
      </c>
      <c r="C491" t="s">
        <v>1998</v>
      </c>
      <c r="D491" t="s">
        <v>395</v>
      </c>
      <c r="E491" t="s">
        <v>395</v>
      </c>
      <c r="F491" t="s">
        <v>396</v>
      </c>
      <c r="G491" t="s">
        <v>397</v>
      </c>
      <c r="H491" t="s">
        <v>398</v>
      </c>
      <c r="I491" t="s">
        <v>399</v>
      </c>
      <c r="J491" t="s">
        <v>749</v>
      </c>
      <c r="K491" t="s">
        <v>809</v>
      </c>
      <c r="L491" t="s">
        <v>787</v>
      </c>
      <c r="M491" t="s">
        <v>403</v>
      </c>
      <c r="N491">
        <v>1</v>
      </c>
      <c r="O491">
        <v>2</v>
      </c>
      <c r="P491" t="s">
        <v>1999</v>
      </c>
      <c r="Q491" t="s">
        <v>645</v>
      </c>
      <c r="R491" t="s">
        <v>811</v>
      </c>
      <c r="S491" t="s">
        <v>2000</v>
      </c>
      <c r="T491" t="s">
        <v>408</v>
      </c>
      <c r="U491">
        <v>50950081278</v>
      </c>
      <c r="W491">
        <v>1920</v>
      </c>
      <c r="X491" t="s">
        <v>409</v>
      </c>
      <c r="Y491" t="s">
        <v>410</v>
      </c>
      <c r="Z491" t="s">
        <v>410</v>
      </c>
      <c r="AA491" t="s">
        <v>411</v>
      </c>
      <c r="AB491" t="s">
        <v>554</v>
      </c>
      <c r="AC491" t="s">
        <v>411</v>
      </c>
      <c r="AD491">
        <v>46095</v>
      </c>
      <c r="AE491">
        <v>46153</v>
      </c>
      <c r="AF491">
        <v>46106</v>
      </c>
      <c r="AG491" t="s">
        <v>754</v>
      </c>
      <c r="AH491">
        <v>6146885</v>
      </c>
      <c r="AI491">
        <v>46098</v>
      </c>
      <c r="AJ491">
        <v>46099</v>
      </c>
      <c r="AK491">
        <v>1920</v>
      </c>
      <c r="AL491" t="s">
        <v>396</v>
      </c>
      <c r="AM491" t="s">
        <v>2025</v>
      </c>
      <c r="AN491">
        <v>46099</v>
      </c>
      <c r="AO491">
        <v>46099.417164351849</v>
      </c>
      <c r="AP491" t="s">
        <v>51</v>
      </c>
      <c r="AQ491">
        <v>1.85639</v>
      </c>
      <c r="AR491">
        <v>3564.28</v>
      </c>
      <c r="AS491" t="s">
        <v>51</v>
      </c>
      <c r="AT491">
        <v>3564.28</v>
      </c>
      <c r="AU491" t="s">
        <v>415</v>
      </c>
      <c r="AV491" t="s">
        <v>1420</v>
      </c>
      <c r="AW491" t="s">
        <v>1973</v>
      </c>
      <c r="AX491">
        <v>46106</v>
      </c>
      <c r="AY491">
        <v>46155</v>
      </c>
      <c r="AZ491" t="s">
        <v>2003</v>
      </c>
      <c r="BA491" t="s">
        <v>560</v>
      </c>
      <c r="BB491" t="s">
        <v>2004</v>
      </c>
      <c r="BC491">
        <v>16</v>
      </c>
      <c r="BD491" t="s">
        <v>521</v>
      </c>
      <c r="BE491">
        <v>4.843</v>
      </c>
      <c r="BF491">
        <v>3.6440000000000001</v>
      </c>
      <c r="BG491" t="s">
        <v>522</v>
      </c>
      <c r="BH491">
        <v>495</v>
      </c>
      <c r="BI491">
        <v>395</v>
      </c>
      <c r="BJ491">
        <v>190</v>
      </c>
      <c r="BK491">
        <v>30</v>
      </c>
      <c r="BL491" t="s">
        <v>521</v>
      </c>
      <c r="BM491">
        <v>172.29</v>
      </c>
      <c r="BN491">
        <v>109.32</v>
      </c>
      <c r="BO491">
        <v>689.15808000000004</v>
      </c>
      <c r="BP491" t="s">
        <v>522</v>
      </c>
      <c r="BQ491">
        <v>1200</v>
      </c>
      <c r="BR491">
        <v>1000</v>
      </c>
      <c r="BS491">
        <v>1120</v>
      </c>
      <c r="BT491">
        <v>4</v>
      </c>
      <c r="BU491">
        <v>0</v>
      </c>
      <c r="BV491">
        <v>4</v>
      </c>
      <c r="BW491">
        <v>120</v>
      </c>
      <c r="BX491">
        <v>0</v>
      </c>
      <c r="BY491">
        <v>120</v>
      </c>
      <c r="BZ491">
        <v>1920</v>
      </c>
      <c r="CA491">
        <v>0</v>
      </c>
      <c r="CB491">
        <v>1920</v>
      </c>
      <c r="CC491">
        <v>437.27807999999999</v>
      </c>
      <c r="CD491" t="s">
        <v>806</v>
      </c>
      <c r="CE491" t="s">
        <v>816</v>
      </c>
      <c r="CG491" t="s">
        <v>421</v>
      </c>
      <c r="CN491" t="str">
        <v>MCS</v>
      </c>
      <c r="CO491" t="str">
        <v>1209-5YY0476EN</v>
      </c>
      <c r="CP491" t="str">
        <v>MSMU2474387</v>
      </c>
      <c r="CQ491" s="23">
        <v>46.318399999999997</v>
      </c>
      <c r="CR491" s="25">
        <f t="shared" si="20"/>
        <v>6.4074302768644276E-3</v>
      </c>
      <c r="CS491" s="21">
        <f t="shared" si="21"/>
        <v>16.018575692161068</v>
      </c>
    </row>
    <row r="492" spans="2:97" x14ac:dyDescent="0.35">
      <c r="B492" t="s">
        <v>299</v>
      </c>
      <c r="C492" t="s">
        <v>1546</v>
      </c>
      <c r="D492" t="s">
        <v>395</v>
      </c>
      <c r="E492" t="s">
        <v>395</v>
      </c>
      <c r="F492" t="s">
        <v>396</v>
      </c>
      <c r="G492" t="s">
        <v>397</v>
      </c>
      <c r="H492" t="s">
        <v>398</v>
      </c>
      <c r="I492" t="s">
        <v>399</v>
      </c>
      <c r="J492" t="s">
        <v>749</v>
      </c>
      <c r="K492" t="s">
        <v>845</v>
      </c>
      <c r="L492" t="s">
        <v>787</v>
      </c>
      <c r="M492" t="s">
        <v>403</v>
      </c>
      <c r="N492">
        <v>1</v>
      </c>
      <c r="O492">
        <v>2</v>
      </c>
      <c r="P492" t="s">
        <v>853</v>
      </c>
      <c r="Q492" t="s">
        <v>789</v>
      </c>
      <c r="R492" t="s">
        <v>847</v>
      </c>
      <c r="S492" t="s">
        <v>854</v>
      </c>
      <c r="T492" t="s">
        <v>408</v>
      </c>
      <c r="U492">
        <v>50950081249</v>
      </c>
      <c r="W492">
        <v>1188</v>
      </c>
      <c r="X492" t="s">
        <v>409</v>
      </c>
      <c r="Y492" t="s">
        <v>410</v>
      </c>
      <c r="Z492" t="s">
        <v>410</v>
      </c>
      <c r="AA492" t="s">
        <v>411</v>
      </c>
      <c r="AB492" t="s">
        <v>554</v>
      </c>
      <c r="AC492" t="s">
        <v>411</v>
      </c>
      <c r="AD492">
        <v>46095</v>
      </c>
      <c r="AE492">
        <v>46153</v>
      </c>
      <c r="AF492">
        <v>46106</v>
      </c>
      <c r="AG492" t="s">
        <v>754</v>
      </c>
      <c r="AH492">
        <v>6146886</v>
      </c>
      <c r="AI492">
        <v>46098</v>
      </c>
      <c r="AJ492">
        <v>46099</v>
      </c>
      <c r="AK492">
        <v>1188</v>
      </c>
      <c r="AL492" t="s">
        <v>396</v>
      </c>
      <c r="AM492" t="s">
        <v>2026</v>
      </c>
      <c r="AN492">
        <v>46099</v>
      </c>
      <c r="AO492">
        <v>46099.417164351849</v>
      </c>
      <c r="AP492" t="s">
        <v>51</v>
      </c>
      <c r="AQ492">
        <v>1.00054</v>
      </c>
      <c r="AR492">
        <v>1188.6400000000001</v>
      </c>
      <c r="AS492" t="s">
        <v>51</v>
      </c>
      <c r="AT492">
        <v>1188.6400000000001</v>
      </c>
      <c r="AU492" t="s">
        <v>415</v>
      </c>
      <c r="AV492" t="s">
        <v>1420</v>
      </c>
      <c r="AW492" t="s">
        <v>1973</v>
      </c>
      <c r="AX492">
        <v>46106</v>
      </c>
      <c r="AY492">
        <v>46155</v>
      </c>
      <c r="AZ492" t="s">
        <v>2003</v>
      </c>
      <c r="BA492" t="s">
        <v>560</v>
      </c>
      <c r="BB492" t="s">
        <v>2004</v>
      </c>
      <c r="BC492">
        <v>33</v>
      </c>
      <c r="BD492" t="s">
        <v>521</v>
      </c>
      <c r="BE492">
        <v>12.9557</v>
      </c>
      <c r="BF492">
        <v>12.005699999999999</v>
      </c>
      <c r="BG492" t="s">
        <v>522</v>
      </c>
      <c r="BH492">
        <v>495</v>
      </c>
      <c r="BI492">
        <v>395</v>
      </c>
      <c r="BJ492">
        <v>150</v>
      </c>
      <c r="BK492">
        <v>36</v>
      </c>
      <c r="BL492" t="s">
        <v>521</v>
      </c>
      <c r="BM492">
        <v>493.40627999999998</v>
      </c>
      <c r="BN492">
        <v>432.20627999999999</v>
      </c>
      <c r="BO492">
        <v>493.40627999999998</v>
      </c>
      <c r="BP492" t="s">
        <v>522</v>
      </c>
      <c r="BQ492">
        <v>1200</v>
      </c>
      <c r="BR492">
        <v>1000</v>
      </c>
      <c r="BS492">
        <v>1053</v>
      </c>
      <c r="BT492">
        <v>1</v>
      </c>
      <c r="BU492">
        <v>0</v>
      </c>
      <c r="BV492">
        <v>1</v>
      </c>
      <c r="BW492">
        <v>36</v>
      </c>
      <c r="BX492">
        <v>0</v>
      </c>
      <c r="BY492">
        <v>36</v>
      </c>
      <c r="BZ492">
        <v>1188</v>
      </c>
      <c r="CA492">
        <v>0</v>
      </c>
      <c r="CB492">
        <v>1188</v>
      </c>
      <c r="CC492">
        <v>432.20627999999999</v>
      </c>
      <c r="CD492" t="s">
        <v>856</v>
      </c>
      <c r="CE492" t="s">
        <v>857</v>
      </c>
      <c r="CG492" t="s">
        <v>421</v>
      </c>
      <c r="CN492" t="str">
        <v>M19</v>
      </c>
      <c r="CO492" t="str">
        <v>1220-5YY0030EN</v>
      </c>
      <c r="CP492" t="str">
        <v>MSMU2474387</v>
      </c>
      <c r="CQ492" s="23">
        <v>1118.5989500000001</v>
      </c>
      <c r="CR492" s="25">
        <f t="shared" si="20"/>
        <v>0.15474076781362825</v>
      </c>
      <c r="CS492" s="21">
        <f t="shared" si="21"/>
        <v>386.85191953407065</v>
      </c>
    </row>
    <row r="493" spans="2:97" x14ac:dyDescent="0.35">
      <c r="B493" t="s">
        <v>296</v>
      </c>
      <c r="C493" t="s">
        <v>2027</v>
      </c>
      <c r="D493" t="s">
        <v>395</v>
      </c>
      <c r="E493" t="s">
        <v>395</v>
      </c>
      <c r="F493" t="s">
        <v>396</v>
      </c>
      <c r="G493" t="s">
        <v>397</v>
      </c>
      <c r="H493" t="s">
        <v>398</v>
      </c>
      <c r="I493" t="s">
        <v>399</v>
      </c>
      <c r="J493" t="s">
        <v>749</v>
      </c>
      <c r="K493" t="s">
        <v>1142</v>
      </c>
      <c r="L493" t="s">
        <v>787</v>
      </c>
      <c r="M493" t="s">
        <v>403</v>
      </c>
      <c r="N493">
        <v>1</v>
      </c>
      <c r="O493">
        <v>1</v>
      </c>
      <c r="P493" t="s">
        <v>1168</v>
      </c>
      <c r="Q493" t="s">
        <v>430</v>
      </c>
      <c r="R493" t="s">
        <v>1164</v>
      </c>
      <c r="S493" t="s">
        <v>1165</v>
      </c>
      <c r="T493" t="s">
        <v>408</v>
      </c>
      <c r="U493">
        <v>50950081458</v>
      </c>
      <c r="W493">
        <v>22680</v>
      </c>
      <c r="X493" t="s">
        <v>409</v>
      </c>
      <c r="Y493" t="s">
        <v>410</v>
      </c>
      <c r="Z493" t="s">
        <v>410</v>
      </c>
      <c r="AA493" t="s">
        <v>411</v>
      </c>
      <c r="AB493" t="s">
        <v>554</v>
      </c>
      <c r="AC493" t="s">
        <v>411</v>
      </c>
      <c r="AD493">
        <v>46095</v>
      </c>
      <c r="AE493">
        <v>46167</v>
      </c>
      <c r="AF493">
        <v>46106</v>
      </c>
      <c r="AG493" t="s">
        <v>754</v>
      </c>
      <c r="AH493">
        <v>6146887</v>
      </c>
      <c r="AI493">
        <v>46098</v>
      </c>
      <c r="AJ493">
        <v>46099</v>
      </c>
      <c r="AK493">
        <v>22680</v>
      </c>
      <c r="AL493" t="s">
        <v>396</v>
      </c>
      <c r="AM493" t="s">
        <v>2028</v>
      </c>
      <c r="AN493">
        <v>46099</v>
      </c>
      <c r="AO493">
        <v>46099.417164351849</v>
      </c>
      <c r="AP493" t="s">
        <v>51</v>
      </c>
      <c r="AQ493">
        <v>0.12003</v>
      </c>
      <c r="AR493">
        <v>2722.29</v>
      </c>
      <c r="AS493" t="s">
        <v>51</v>
      </c>
      <c r="AT493">
        <v>2722.29</v>
      </c>
      <c r="AU493" t="s">
        <v>415</v>
      </c>
      <c r="AV493" t="s">
        <v>1420</v>
      </c>
      <c r="AW493" t="s">
        <v>1973</v>
      </c>
      <c r="AX493">
        <v>46106</v>
      </c>
      <c r="AY493">
        <v>46155</v>
      </c>
      <c r="AZ493" t="s">
        <v>2003</v>
      </c>
      <c r="BA493" t="s">
        <v>560</v>
      </c>
      <c r="BB493" t="s">
        <v>2004</v>
      </c>
      <c r="BC493">
        <v>7560</v>
      </c>
      <c r="BD493" t="s">
        <v>521</v>
      </c>
      <c r="BE493">
        <v>638.45439999999996</v>
      </c>
      <c r="BF493">
        <v>617.95439999999996</v>
      </c>
      <c r="BG493" t="s">
        <v>522</v>
      </c>
      <c r="BH493">
        <v>1050</v>
      </c>
      <c r="BI493">
        <v>480</v>
      </c>
      <c r="BJ493">
        <v>460</v>
      </c>
      <c r="BK493">
        <v>1</v>
      </c>
      <c r="BL493" t="s">
        <v>521</v>
      </c>
      <c r="BM493">
        <v>638.45450000000005</v>
      </c>
      <c r="BN493">
        <v>617.95439999999996</v>
      </c>
      <c r="BO493">
        <v>1915.3634999999999</v>
      </c>
      <c r="BP493" t="s">
        <v>522</v>
      </c>
      <c r="BQ493">
        <v>1050</v>
      </c>
      <c r="BR493">
        <v>480</v>
      </c>
      <c r="BS493">
        <v>480</v>
      </c>
      <c r="BT493">
        <v>3</v>
      </c>
      <c r="BU493">
        <v>0</v>
      </c>
      <c r="BV493">
        <v>3</v>
      </c>
      <c r="BW493">
        <v>3</v>
      </c>
      <c r="BX493">
        <v>0</v>
      </c>
      <c r="BY493">
        <v>3</v>
      </c>
      <c r="BZ493">
        <v>22680</v>
      </c>
      <c r="CA493">
        <v>0</v>
      </c>
      <c r="CB493">
        <v>22680</v>
      </c>
      <c r="CC493">
        <v>1853.8632</v>
      </c>
      <c r="CD493" t="s">
        <v>641</v>
      </c>
      <c r="CE493" t="s">
        <v>1147</v>
      </c>
      <c r="CG493" t="s">
        <v>421</v>
      </c>
      <c r="CN493" t="str">
        <v>M19</v>
      </c>
      <c r="CO493" t="str">
        <v>1252-5YY0073EN</v>
      </c>
      <c r="CP493" t="str">
        <v>MSMU2474387</v>
      </c>
      <c r="CQ493" s="23">
        <v>103.98439999999999</v>
      </c>
      <c r="CR493" s="25">
        <f t="shared" si="20"/>
        <v>1.4384624531106028E-2</v>
      </c>
      <c r="CS493" s="21">
        <f t="shared" si="21"/>
        <v>35.961561327765068</v>
      </c>
    </row>
    <row r="494" spans="2:97" x14ac:dyDescent="0.35">
      <c r="B494" t="s">
        <v>296</v>
      </c>
      <c r="C494" t="s">
        <v>2029</v>
      </c>
      <c r="D494" t="s">
        <v>395</v>
      </c>
      <c r="E494" t="s">
        <v>395</v>
      </c>
      <c r="F494" t="s">
        <v>396</v>
      </c>
      <c r="G494" t="s">
        <v>397</v>
      </c>
      <c r="H494" t="s">
        <v>398</v>
      </c>
      <c r="I494" t="s">
        <v>399</v>
      </c>
      <c r="J494" t="s">
        <v>749</v>
      </c>
      <c r="K494" t="s">
        <v>1142</v>
      </c>
      <c r="L494" t="s">
        <v>787</v>
      </c>
      <c r="M494" t="s">
        <v>403</v>
      </c>
      <c r="N494">
        <v>1</v>
      </c>
      <c r="O494">
        <v>1</v>
      </c>
      <c r="P494" t="s">
        <v>1163</v>
      </c>
      <c r="Q494" t="s">
        <v>430</v>
      </c>
      <c r="R494" t="s">
        <v>1164</v>
      </c>
      <c r="S494" t="s">
        <v>1165</v>
      </c>
      <c r="T494" t="s">
        <v>408</v>
      </c>
      <c r="U494">
        <v>50950081420</v>
      </c>
      <c r="W494">
        <v>30240</v>
      </c>
      <c r="X494" t="s">
        <v>409</v>
      </c>
      <c r="Y494" t="s">
        <v>410</v>
      </c>
      <c r="Z494" t="s">
        <v>410</v>
      </c>
      <c r="AA494" t="s">
        <v>411</v>
      </c>
      <c r="AB494" t="s">
        <v>554</v>
      </c>
      <c r="AC494" t="s">
        <v>411</v>
      </c>
      <c r="AD494">
        <v>46095</v>
      </c>
      <c r="AE494">
        <v>46167</v>
      </c>
      <c r="AF494">
        <v>46106</v>
      </c>
      <c r="AG494" t="s">
        <v>754</v>
      </c>
      <c r="AH494">
        <v>6146888</v>
      </c>
      <c r="AI494">
        <v>46098</v>
      </c>
      <c r="AJ494">
        <v>46099</v>
      </c>
      <c r="AK494">
        <v>30240</v>
      </c>
      <c r="AL494" t="s">
        <v>396</v>
      </c>
      <c r="AM494" t="s">
        <v>2030</v>
      </c>
      <c r="AN494">
        <v>46099</v>
      </c>
      <c r="AO494">
        <v>46099.417164351849</v>
      </c>
      <c r="AP494" t="s">
        <v>51</v>
      </c>
      <c r="AQ494">
        <v>0.11984</v>
      </c>
      <c r="AR494">
        <v>3623.96</v>
      </c>
      <c r="AS494" t="s">
        <v>51</v>
      </c>
      <c r="AT494">
        <v>3623.96</v>
      </c>
      <c r="AU494" t="s">
        <v>415</v>
      </c>
      <c r="AV494" t="s">
        <v>1420</v>
      </c>
      <c r="AW494" t="s">
        <v>1973</v>
      </c>
      <c r="AX494">
        <v>46106</v>
      </c>
      <c r="AY494">
        <v>46155</v>
      </c>
      <c r="AZ494" t="s">
        <v>2003</v>
      </c>
      <c r="BA494" t="s">
        <v>560</v>
      </c>
      <c r="BB494" t="s">
        <v>2004</v>
      </c>
      <c r="BC494">
        <v>7560</v>
      </c>
      <c r="BD494" t="s">
        <v>521</v>
      </c>
      <c r="BE494">
        <v>637.24480000000005</v>
      </c>
      <c r="BF494">
        <v>616.74480000000005</v>
      </c>
      <c r="BG494" t="s">
        <v>522</v>
      </c>
      <c r="BH494">
        <v>1050</v>
      </c>
      <c r="BI494">
        <v>480</v>
      </c>
      <c r="BJ494">
        <v>460</v>
      </c>
      <c r="BK494">
        <v>1</v>
      </c>
      <c r="BL494" t="s">
        <v>521</v>
      </c>
      <c r="BM494">
        <v>637.24490000000003</v>
      </c>
      <c r="BN494">
        <v>616.74480000000005</v>
      </c>
      <c r="BO494">
        <v>2548.9796000000001</v>
      </c>
      <c r="BP494" t="s">
        <v>522</v>
      </c>
      <c r="BQ494">
        <v>1050</v>
      </c>
      <c r="BR494">
        <v>480</v>
      </c>
      <c r="BS494">
        <v>480</v>
      </c>
      <c r="BT494">
        <v>4</v>
      </c>
      <c r="BU494">
        <v>0</v>
      </c>
      <c r="BV494">
        <v>4</v>
      </c>
      <c r="BW494">
        <v>4</v>
      </c>
      <c r="BX494">
        <v>0</v>
      </c>
      <c r="BY494">
        <v>4</v>
      </c>
      <c r="BZ494">
        <v>30240</v>
      </c>
      <c r="CA494">
        <v>0</v>
      </c>
      <c r="CB494">
        <v>30240</v>
      </c>
      <c r="CC494">
        <v>2466.9792000000002</v>
      </c>
      <c r="CD494" t="s">
        <v>641</v>
      </c>
      <c r="CE494" t="s">
        <v>1147</v>
      </c>
      <c r="CG494" t="s">
        <v>421</v>
      </c>
      <c r="CN494" t="str">
        <v>M46</v>
      </c>
      <c r="CO494" t="str">
        <v>1415-EQN0004EN</v>
      </c>
      <c r="CP494" t="str">
        <v>MSMU2474387</v>
      </c>
      <c r="CQ494" s="23">
        <v>708.09659280000005</v>
      </c>
      <c r="CR494" s="25">
        <f t="shared" si="20"/>
        <v>9.7954150999414111E-2</v>
      </c>
      <c r="CS494" s="21">
        <f t="shared" si="21"/>
        <v>244.88537749853526</v>
      </c>
    </row>
    <row r="495" spans="2:97" x14ac:dyDescent="0.35">
      <c r="B495" t="s">
        <v>296</v>
      </c>
      <c r="C495" t="s">
        <v>1953</v>
      </c>
      <c r="D495" t="s">
        <v>395</v>
      </c>
      <c r="E495" t="s">
        <v>395</v>
      </c>
      <c r="F495" t="s">
        <v>396</v>
      </c>
      <c r="G495" t="s">
        <v>397</v>
      </c>
      <c r="H495" t="s">
        <v>398</v>
      </c>
      <c r="I495" t="s">
        <v>399</v>
      </c>
      <c r="J495" t="s">
        <v>749</v>
      </c>
      <c r="K495" t="s">
        <v>1142</v>
      </c>
      <c r="L495" t="s">
        <v>787</v>
      </c>
      <c r="M495" t="s">
        <v>403</v>
      </c>
      <c r="N495">
        <v>1</v>
      </c>
      <c r="O495">
        <v>2</v>
      </c>
      <c r="P495" t="s">
        <v>1158</v>
      </c>
      <c r="Q495" t="s">
        <v>405</v>
      </c>
      <c r="R495" t="s">
        <v>1159</v>
      </c>
      <c r="S495" t="s">
        <v>1160</v>
      </c>
      <c r="T495" t="s">
        <v>408</v>
      </c>
      <c r="U495">
        <v>50950081425</v>
      </c>
      <c r="W495">
        <v>30240</v>
      </c>
      <c r="X495" t="s">
        <v>409</v>
      </c>
      <c r="Y495" t="s">
        <v>410</v>
      </c>
      <c r="Z495" t="s">
        <v>410</v>
      </c>
      <c r="AA495" t="s">
        <v>411</v>
      </c>
      <c r="AB495" t="s">
        <v>554</v>
      </c>
      <c r="AC495" t="s">
        <v>411</v>
      </c>
      <c r="AD495">
        <v>46095</v>
      </c>
      <c r="AE495">
        <v>46167</v>
      </c>
      <c r="AF495">
        <v>46106</v>
      </c>
      <c r="AG495" t="s">
        <v>754</v>
      </c>
      <c r="AH495">
        <v>6146889</v>
      </c>
      <c r="AI495">
        <v>46098</v>
      </c>
      <c r="AJ495">
        <v>46099</v>
      </c>
      <c r="AK495">
        <v>30240</v>
      </c>
      <c r="AL495" t="s">
        <v>396</v>
      </c>
      <c r="AM495" t="s">
        <v>2031</v>
      </c>
      <c r="AN495">
        <v>46099</v>
      </c>
      <c r="AO495">
        <v>46099.417164351849</v>
      </c>
      <c r="AP495" t="s">
        <v>51</v>
      </c>
      <c r="AQ495">
        <v>7.1290000000000006E-2</v>
      </c>
      <c r="AR495">
        <v>2155.8000000000002</v>
      </c>
      <c r="AS495" t="s">
        <v>51</v>
      </c>
      <c r="AT495">
        <v>2155.8000000000002</v>
      </c>
      <c r="AU495" t="s">
        <v>415</v>
      </c>
      <c r="AV495" t="s">
        <v>1420</v>
      </c>
      <c r="AW495" t="s">
        <v>1973</v>
      </c>
      <c r="AX495">
        <v>46106</v>
      </c>
      <c r="AY495">
        <v>46155</v>
      </c>
      <c r="AZ495" t="s">
        <v>2003</v>
      </c>
      <c r="BA495" t="s">
        <v>560</v>
      </c>
      <c r="BB495" t="s">
        <v>2004</v>
      </c>
      <c r="BC495">
        <v>15120</v>
      </c>
      <c r="BD495" t="s">
        <v>521</v>
      </c>
      <c r="BE495">
        <v>659.16880000000003</v>
      </c>
      <c r="BF495">
        <v>638.66880000000003</v>
      </c>
      <c r="BG495" t="s">
        <v>522</v>
      </c>
      <c r="BH495">
        <v>1050</v>
      </c>
      <c r="BI495">
        <v>480</v>
      </c>
      <c r="BJ495">
        <v>460</v>
      </c>
      <c r="BK495">
        <v>1</v>
      </c>
      <c r="BL495" t="s">
        <v>521</v>
      </c>
      <c r="BM495">
        <v>659.16890000000001</v>
      </c>
      <c r="BN495">
        <v>638.66880000000003</v>
      </c>
      <c r="BO495">
        <v>1318.3378</v>
      </c>
      <c r="BP495" t="s">
        <v>522</v>
      </c>
      <c r="BQ495">
        <v>1050</v>
      </c>
      <c r="BR495">
        <v>480</v>
      </c>
      <c r="BS495">
        <v>480</v>
      </c>
      <c r="BT495">
        <v>2</v>
      </c>
      <c r="BU495">
        <v>0</v>
      </c>
      <c r="BV495">
        <v>2</v>
      </c>
      <c r="BW495">
        <v>2</v>
      </c>
      <c r="BX495">
        <v>0</v>
      </c>
      <c r="BY495">
        <v>2</v>
      </c>
      <c r="BZ495">
        <v>30240</v>
      </c>
      <c r="CA495">
        <v>0</v>
      </c>
      <c r="CB495">
        <v>30240</v>
      </c>
      <c r="CC495">
        <v>1277.3376000000001</v>
      </c>
      <c r="CD495" t="s">
        <v>641</v>
      </c>
      <c r="CE495" t="s">
        <v>1147</v>
      </c>
      <c r="CG495" t="s">
        <v>421</v>
      </c>
      <c r="CN495" t="str">
        <v>M01</v>
      </c>
      <c r="CO495" t="str">
        <v>1202-1030350EN</v>
      </c>
      <c r="CP495" t="str">
        <v>MSMU2474387</v>
      </c>
      <c r="CQ495" s="23">
        <v>196.8768</v>
      </c>
      <c r="CR495" s="25">
        <f t="shared" si="20"/>
        <v>2.7234843369636746E-2</v>
      </c>
      <c r="CS495" s="21">
        <f t="shared" si="21"/>
        <v>68.087108424091866</v>
      </c>
    </row>
    <row r="496" spans="2:97" x14ac:dyDescent="0.35">
      <c r="B496" t="s">
        <v>296</v>
      </c>
      <c r="C496" t="s">
        <v>1568</v>
      </c>
      <c r="D496" t="s">
        <v>395</v>
      </c>
      <c r="E496" t="s">
        <v>395</v>
      </c>
      <c r="F496" t="s">
        <v>396</v>
      </c>
      <c r="G496" t="s">
        <v>397</v>
      </c>
      <c r="H496" t="s">
        <v>398</v>
      </c>
      <c r="I496" t="s">
        <v>399</v>
      </c>
      <c r="J496" t="s">
        <v>749</v>
      </c>
      <c r="K496" t="s">
        <v>1142</v>
      </c>
      <c r="L496" t="s">
        <v>787</v>
      </c>
      <c r="M496" t="s">
        <v>403</v>
      </c>
      <c r="N496">
        <v>5</v>
      </c>
      <c r="O496">
        <v>3</v>
      </c>
      <c r="P496" t="s">
        <v>1143</v>
      </c>
      <c r="Q496" t="s">
        <v>424</v>
      </c>
      <c r="R496" t="s">
        <v>1144</v>
      </c>
      <c r="S496" t="s">
        <v>1145</v>
      </c>
      <c r="T496" t="s">
        <v>408</v>
      </c>
      <c r="U496">
        <v>50950081520</v>
      </c>
      <c r="W496">
        <v>9000</v>
      </c>
      <c r="X496" t="s">
        <v>409</v>
      </c>
      <c r="Y496" t="s">
        <v>410</v>
      </c>
      <c r="Z496" t="s">
        <v>410</v>
      </c>
      <c r="AA496" t="s">
        <v>411</v>
      </c>
      <c r="AB496" t="s">
        <v>554</v>
      </c>
      <c r="AC496" t="s">
        <v>411</v>
      </c>
      <c r="AD496">
        <v>46097</v>
      </c>
      <c r="AE496">
        <v>46167</v>
      </c>
      <c r="AF496">
        <v>46106</v>
      </c>
      <c r="AG496" t="s">
        <v>754</v>
      </c>
      <c r="AH496">
        <v>6146890</v>
      </c>
      <c r="AI496">
        <v>46098</v>
      </c>
      <c r="AJ496">
        <v>46099</v>
      </c>
      <c r="AK496">
        <v>9000</v>
      </c>
      <c r="AL496" t="s">
        <v>396</v>
      </c>
      <c r="AM496" t="s">
        <v>2032</v>
      </c>
      <c r="AN496">
        <v>46099</v>
      </c>
      <c r="AO496">
        <v>46099.417164351849</v>
      </c>
      <c r="AP496" t="s">
        <v>51</v>
      </c>
      <c r="AQ496">
        <v>0.15309</v>
      </c>
      <c r="AR496">
        <v>1377.81</v>
      </c>
      <c r="AS496" t="s">
        <v>51</v>
      </c>
      <c r="AT496">
        <v>1377.81</v>
      </c>
      <c r="AU496" t="s">
        <v>415</v>
      </c>
      <c r="AV496" t="s">
        <v>1420</v>
      </c>
      <c r="AW496" t="s">
        <v>1973</v>
      </c>
      <c r="AX496">
        <v>46106</v>
      </c>
      <c r="AY496">
        <v>46155</v>
      </c>
      <c r="AZ496" t="s">
        <v>2003</v>
      </c>
      <c r="BA496" t="s">
        <v>560</v>
      </c>
      <c r="BB496" t="s">
        <v>2004</v>
      </c>
      <c r="BC496">
        <v>9000</v>
      </c>
      <c r="BD496" t="s">
        <v>521</v>
      </c>
      <c r="BE496">
        <v>382.048</v>
      </c>
      <c r="BF496">
        <v>361.548</v>
      </c>
      <c r="BG496" t="s">
        <v>522</v>
      </c>
      <c r="BH496">
        <v>1050</v>
      </c>
      <c r="BI496">
        <v>480</v>
      </c>
      <c r="BJ496">
        <v>460</v>
      </c>
      <c r="BK496">
        <v>1</v>
      </c>
      <c r="BL496" t="s">
        <v>521</v>
      </c>
      <c r="BM496">
        <v>382.04809999999998</v>
      </c>
      <c r="BN496">
        <v>361.548</v>
      </c>
      <c r="BO496">
        <v>382.04809999999998</v>
      </c>
      <c r="BP496" t="s">
        <v>522</v>
      </c>
      <c r="BQ496">
        <v>1050</v>
      </c>
      <c r="BR496">
        <v>480</v>
      </c>
      <c r="BS496">
        <v>480</v>
      </c>
      <c r="BT496">
        <v>1</v>
      </c>
      <c r="BU496">
        <v>0</v>
      </c>
      <c r="BV496">
        <v>1</v>
      </c>
      <c r="BW496">
        <v>1</v>
      </c>
      <c r="BX496">
        <v>0</v>
      </c>
      <c r="BY496">
        <v>1</v>
      </c>
      <c r="BZ496">
        <v>9000</v>
      </c>
      <c r="CA496">
        <v>0</v>
      </c>
      <c r="CB496">
        <v>9000</v>
      </c>
      <c r="CC496">
        <v>361.548</v>
      </c>
      <c r="CD496" t="s">
        <v>641</v>
      </c>
      <c r="CE496" t="s">
        <v>1147</v>
      </c>
      <c r="CG496" t="s">
        <v>421</v>
      </c>
      <c r="CN496" t="str">
        <v>M01</v>
      </c>
      <c r="CO496" t="str">
        <v>1101-0037350EN</v>
      </c>
      <c r="CP496" t="str">
        <v>MSMU2474387</v>
      </c>
      <c r="CQ496" s="23">
        <v>351.31</v>
      </c>
      <c r="CR496" s="25">
        <f t="shared" si="20"/>
        <v>4.8598274779898316E-2</v>
      </c>
      <c r="CS496" s="21">
        <f t="shared" si="21"/>
        <v>121.49568694974579</v>
      </c>
    </row>
    <row r="497" spans="1:97" x14ac:dyDescent="0.35">
      <c r="B497" s="34" t="s">
        <v>298</v>
      </c>
      <c r="C497" t="s">
        <v>2033</v>
      </c>
      <c r="D497" t="s">
        <v>395</v>
      </c>
      <c r="E497" t="s">
        <v>395</v>
      </c>
      <c r="F497" t="s">
        <v>396</v>
      </c>
      <c r="G497" t="s">
        <v>397</v>
      </c>
      <c r="H497" t="s">
        <v>398</v>
      </c>
      <c r="I497" t="s">
        <v>399</v>
      </c>
      <c r="J497" t="s">
        <v>749</v>
      </c>
      <c r="K497" t="s">
        <v>629</v>
      </c>
      <c r="L497" t="s">
        <v>750</v>
      </c>
      <c r="M497" t="s">
        <v>751</v>
      </c>
      <c r="N497">
        <v>1</v>
      </c>
      <c r="O497">
        <v>1</v>
      </c>
      <c r="P497" t="s">
        <v>2034</v>
      </c>
      <c r="Q497" t="s">
        <v>424</v>
      </c>
      <c r="R497" t="s">
        <v>753</v>
      </c>
      <c r="S497" t="s">
        <v>426</v>
      </c>
      <c r="T497" t="s">
        <v>408</v>
      </c>
      <c r="U497">
        <v>50950082288</v>
      </c>
      <c r="W497">
        <v>6400</v>
      </c>
      <c r="X497" t="s">
        <v>448</v>
      </c>
      <c r="Y497" t="s">
        <v>410</v>
      </c>
      <c r="Z497" t="s">
        <v>410</v>
      </c>
      <c r="AA497" t="s">
        <v>411</v>
      </c>
      <c r="AB497" t="s">
        <v>412</v>
      </c>
      <c r="AC497" t="s">
        <v>411</v>
      </c>
      <c r="AD497">
        <v>46100</v>
      </c>
      <c r="AE497">
        <v>46111</v>
      </c>
      <c r="AF497">
        <v>46104</v>
      </c>
      <c r="AG497" t="s">
        <v>754</v>
      </c>
      <c r="AH497">
        <v>6147199</v>
      </c>
      <c r="AI497">
        <v>46098</v>
      </c>
      <c r="AJ497">
        <v>46099</v>
      </c>
      <c r="AK497">
        <v>6400</v>
      </c>
      <c r="AL497" t="s">
        <v>396</v>
      </c>
      <c r="AM497" t="s">
        <v>2035</v>
      </c>
      <c r="AN497">
        <v>46099</v>
      </c>
      <c r="AO497">
        <v>46099.382638888892</v>
      </c>
      <c r="AP497" t="s">
        <v>51</v>
      </c>
      <c r="AQ497">
        <v>0.16442999999999999</v>
      </c>
      <c r="AR497">
        <v>1052.3499999999999</v>
      </c>
      <c r="AS497" t="s">
        <v>51</v>
      </c>
      <c r="AT497">
        <v>1052.3499999999999</v>
      </c>
      <c r="AU497" t="s">
        <v>450</v>
      </c>
      <c r="AV497" t="s">
        <v>756</v>
      </c>
      <c r="AW497" t="s">
        <v>2036</v>
      </c>
      <c r="AX497">
        <v>46103</v>
      </c>
      <c r="AY497">
        <v>46111</v>
      </c>
      <c r="BA497" t="s">
        <v>448</v>
      </c>
      <c r="BB497" t="s">
        <v>2037</v>
      </c>
      <c r="BC497">
        <v>1600</v>
      </c>
      <c r="BD497" t="s">
        <v>521</v>
      </c>
      <c r="BE497">
        <v>5</v>
      </c>
      <c r="BF497">
        <v>4.2</v>
      </c>
      <c r="BG497" t="s">
        <v>522</v>
      </c>
      <c r="BH497">
        <v>395</v>
      </c>
      <c r="BI497">
        <v>295</v>
      </c>
      <c r="BJ497">
        <v>210</v>
      </c>
      <c r="BK497">
        <v>6</v>
      </c>
      <c r="BL497" t="s">
        <v>521</v>
      </c>
      <c r="BM497">
        <v>28</v>
      </c>
      <c r="BN497">
        <v>16.8</v>
      </c>
      <c r="BO497">
        <v>28</v>
      </c>
      <c r="BP497" t="s">
        <v>522</v>
      </c>
      <c r="BQ497">
        <v>800</v>
      </c>
      <c r="BR497">
        <v>300</v>
      </c>
      <c r="BS497">
        <v>790</v>
      </c>
      <c r="BT497">
        <v>0</v>
      </c>
      <c r="BU497">
        <v>1</v>
      </c>
      <c r="BV497">
        <v>1</v>
      </c>
      <c r="BW497">
        <v>4</v>
      </c>
      <c r="BX497">
        <v>0</v>
      </c>
      <c r="BY497">
        <v>4</v>
      </c>
      <c r="BZ497">
        <v>0</v>
      </c>
      <c r="CA497">
        <v>6400</v>
      </c>
      <c r="CB497">
        <v>6400</v>
      </c>
      <c r="CC497">
        <v>16.8</v>
      </c>
      <c r="CD497" t="s">
        <v>626</v>
      </c>
      <c r="CE497" t="s">
        <v>760</v>
      </c>
      <c r="CG497" t="s">
        <v>421</v>
      </c>
      <c r="CN497" t="str">
        <v>M01</v>
      </c>
      <c r="CO497" t="str">
        <v>1308-0033550EN</v>
      </c>
      <c r="CP497" t="str">
        <v>MSMU2474387</v>
      </c>
      <c r="CQ497" s="23">
        <v>141.04400000000001</v>
      </c>
      <c r="CR497" s="25">
        <f t="shared" si="20"/>
        <v>1.951124382470177E-2</v>
      </c>
      <c r="CS497" s="21">
        <f t="shared" si="21"/>
        <v>48.778109561754427</v>
      </c>
    </row>
    <row r="498" spans="1:97" x14ac:dyDescent="0.35">
      <c r="A498" t="str">
        <f>IF(ISNA(B498),_xlfn.XLOOKUP(P498,$P$5:$P$1201,B498),"")</f>
        <v/>
      </c>
      <c r="B498" s="34" t="s">
        <v>298</v>
      </c>
      <c r="C498" t="s">
        <v>2038</v>
      </c>
      <c r="D498" t="s">
        <v>395</v>
      </c>
      <c r="E498" t="s">
        <v>395</v>
      </c>
      <c r="F498" t="s">
        <v>396</v>
      </c>
      <c r="G498" t="s">
        <v>397</v>
      </c>
      <c r="H498" t="s">
        <v>398</v>
      </c>
      <c r="I498" t="s">
        <v>399</v>
      </c>
      <c r="J498" t="s">
        <v>749</v>
      </c>
      <c r="K498" t="s">
        <v>629</v>
      </c>
      <c r="L498" t="s">
        <v>750</v>
      </c>
      <c r="M498" t="s">
        <v>751</v>
      </c>
      <c r="N498">
        <v>1</v>
      </c>
      <c r="O498">
        <v>1</v>
      </c>
      <c r="P498" t="s">
        <v>2039</v>
      </c>
      <c r="Q498" t="s">
        <v>424</v>
      </c>
      <c r="R498" t="s">
        <v>2040</v>
      </c>
      <c r="S498" t="s">
        <v>2041</v>
      </c>
      <c r="T498" t="s">
        <v>408</v>
      </c>
      <c r="U498">
        <v>50950082290</v>
      </c>
      <c r="W498">
        <v>7200</v>
      </c>
      <c r="X498" t="s">
        <v>448</v>
      </c>
      <c r="Y498" t="s">
        <v>410</v>
      </c>
      <c r="Z498" t="s">
        <v>410</v>
      </c>
      <c r="AA498" t="s">
        <v>411</v>
      </c>
      <c r="AB498" t="s">
        <v>412</v>
      </c>
      <c r="AC498" t="s">
        <v>411</v>
      </c>
      <c r="AD498">
        <v>46097</v>
      </c>
      <c r="AE498">
        <v>46111</v>
      </c>
      <c r="AF498">
        <v>46104</v>
      </c>
      <c r="AG498" t="s">
        <v>754</v>
      </c>
      <c r="AH498">
        <v>6147200</v>
      </c>
      <c r="AI498">
        <v>46098</v>
      </c>
      <c r="AJ498">
        <v>46099</v>
      </c>
      <c r="AK498">
        <v>7200</v>
      </c>
      <c r="AL498" t="s">
        <v>396</v>
      </c>
      <c r="AM498" t="s">
        <v>2042</v>
      </c>
      <c r="AN498">
        <v>46099</v>
      </c>
      <c r="AO498">
        <v>46099.382638888892</v>
      </c>
      <c r="AP498" t="s">
        <v>51</v>
      </c>
      <c r="AQ498">
        <v>2.903E-2</v>
      </c>
      <c r="AR498">
        <v>209.02</v>
      </c>
      <c r="AS498" t="s">
        <v>51</v>
      </c>
      <c r="AT498">
        <v>209.02</v>
      </c>
      <c r="AU498" t="s">
        <v>450</v>
      </c>
      <c r="AV498" t="s">
        <v>756</v>
      </c>
      <c r="AW498" t="s">
        <v>2036</v>
      </c>
      <c r="AX498">
        <v>46103</v>
      </c>
      <c r="AY498">
        <v>46111</v>
      </c>
      <c r="BA498" t="s">
        <v>448</v>
      </c>
      <c r="BB498" t="s">
        <v>2037</v>
      </c>
      <c r="BC498">
        <v>1200</v>
      </c>
      <c r="BD498" t="s">
        <v>521</v>
      </c>
      <c r="BE498">
        <v>3.3262</v>
      </c>
      <c r="BF498">
        <v>2.6472000000000002</v>
      </c>
      <c r="BG498" t="s">
        <v>522</v>
      </c>
      <c r="BH498">
        <v>395</v>
      </c>
      <c r="BI498">
        <v>295</v>
      </c>
      <c r="BJ498">
        <v>174</v>
      </c>
      <c r="BK498">
        <v>40</v>
      </c>
      <c r="BL498" t="s">
        <v>521</v>
      </c>
      <c r="BM498">
        <v>44.9572</v>
      </c>
      <c r="BN498">
        <v>15.8832</v>
      </c>
      <c r="BO498">
        <v>44.9572</v>
      </c>
      <c r="BP498" t="s">
        <v>522</v>
      </c>
      <c r="BQ498">
        <v>1200</v>
      </c>
      <c r="BR498">
        <v>800</v>
      </c>
      <c r="BS498">
        <v>1030</v>
      </c>
      <c r="BT498">
        <v>0</v>
      </c>
      <c r="BU498">
        <v>1</v>
      </c>
      <c r="BV498">
        <v>1</v>
      </c>
      <c r="BW498">
        <v>6</v>
      </c>
      <c r="BX498">
        <v>0</v>
      </c>
      <c r="BY498">
        <v>6</v>
      </c>
      <c r="BZ498">
        <v>0</v>
      </c>
      <c r="CA498">
        <v>7200</v>
      </c>
      <c r="CB498">
        <v>7200</v>
      </c>
      <c r="CC498">
        <v>15.8832</v>
      </c>
      <c r="CD498" t="s">
        <v>783</v>
      </c>
      <c r="CE498" t="s">
        <v>1006</v>
      </c>
      <c r="CG498" t="s">
        <v>421</v>
      </c>
      <c r="CN498" t="str">
        <v>M01</v>
      </c>
      <c r="CO498" t="str">
        <v>1110-0035030EN</v>
      </c>
      <c r="CP498" t="str">
        <v>MSMU2474387</v>
      </c>
      <c r="CQ498" s="23">
        <v>13.156000000000001</v>
      </c>
      <c r="CR498" s="25">
        <f t="shared" si="20"/>
        <v>1.8199279923837703E-3</v>
      </c>
      <c r="CS498" s="21">
        <f t="shared" si="21"/>
        <v>4.549819980959426</v>
      </c>
    </row>
    <row r="499" spans="1:97" x14ac:dyDescent="0.35">
      <c r="B499" t="s">
        <v>297</v>
      </c>
      <c r="C499" t="s">
        <v>1363</v>
      </c>
      <c r="D499" t="s">
        <v>549</v>
      </c>
      <c r="E499" t="s">
        <v>395</v>
      </c>
      <c r="F499" t="s">
        <v>396</v>
      </c>
      <c r="G499" t="s">
        <v>397</v>
      </c>
      <c r="H499" t="s">
        <v>398</v>
      </c>
      <c r="I499" t="s">
        <v>399</v>
      </c>
      <c r="J499" t="s">
        <v>749</v>
      </c>
      <c r="K499" t="s">
        <v>401</v>
      </c>
      <c r="L499" t="s">
        <v>766</v>
      </c>
      <c r="M499" t="s">
        <v>403</v>
      </c>
      <c r="N499">
        <v>2</v>
      </c>
      <c r="O499">
        <v>1</v>
      </c>
      <c r="P499" t="s">
        <v>767</v>
      </c>
      <c r="Q499" t="s">
        <v>424</v>
      </c>
      <c r="R499" t="s">
        <v>552</v>
      </c>
      <c r="S499" t="s">
        <v>768</v>
      </c>
      <c r="T499" t="s">
        <v>408</v>
      </c>
      <c r="U499">
        <v>50950080815</v>
      </c>
      <c r="W499">
        <v>46080</v>
      </c>
      <c r="X499" t="s">
        <v>409</v>
      </c>
      <c r="Y499" t="s">
        <v>410</v>
      </c>
      <c r="Z499" t="s">
        <v>410</v>
      </c>
      <c r="AA499" t="s">
        <v>411</v>
      </c>
      <c r="AB499" t="s">
        <v>554</v>
      </c>
      <c r="AC499" t="s">
        <v>411</v>
      </c>
      <c r="AD499">
        <v>46102</v>
      </c>
      <c r="AE499">
        <v>46160</v>
      </c>
      <c r="AF499">
        <v>46106</v>
      </c>
      <c r="AG499" t="s">
        <v>770</v>
      </c>
      <c r="AH499">
        <v>6148835</v>
      </c>
      <c r="AI499">
        <v>46099</v>
      </c>
      <c r="AJ499">
        <v>46100</v>
      </c>
      <c r="AK499">
        <v>46080</v>
      </c>
      <c r="AL499" t="s">
        <v>396</v>
      </c>
      <c r="AM499" t="s">
        <v>2043</v>
      </c>
      <c r="AN499">
        <v>46100</v>
      </c>
      <c r="AO499">
        <v>46100.413935185185</v>
      </c>
      <c r="AP499" t="s">
        <v>51</v>
      </c>
      <c r="AQ499">
        <v>0.18359</v>
      </c>
      <c r="AR499">
        <v>8459.84</v>
      </c>
      <c r="AS499" t="s">
        <v>51</v>
      </c>
      <c r="AT499">
        <v>8459.84</v>
      </c>
      <c r="AU499" t="s">
        <v>415</v>
      </c>
      <c r="AV499" t="s">
        <v>557</v>
      </c>
      <c r="AW499" t="s">
        <v>2044</v>
      </c>
      <c r="AX499">
        <v>46106</v>
      </c>
      <c r="AY499">
        <v>46155</v>
      </c>
      <c r="AZ499" t="s">
        <v>2045</v>
      </c>
      <c r="BA499" t="s">
        <v>560</v>
      </c>
      <c r="BB499" t="s">
        <v>2046</v>
      </c>
      <c r="BC499">
        <v>240</v>
      </c>
      <c r="BD499" t="s">
        <v>521</v>
      </c>
      <c r="BE499">
        <v>2.5634000000000001</v>
      </c>
      <c r="BF499">
        <v>1.2864</v>
      </c>
      <c r="BG499" t="s">
        <v>522</v>
      </c>
      <c r="BH499">
        <v>340</v>
      </c>
      <c r="BI499">
        <v>250</v>
      </c>
      <c r="BJ499">
        <v>230</v>
      </c>
      <c r="BK499">
        <v>48</v>
      </c>
      <c r="BL499" t="s">
        <v>521</v>
      </c>
      <c r="BM499">
        <v>144.04320000000001</v>
      </c>
      <c r="BN499">
        <v>61.747199999999999</v>
      </c>
      <c r="BO499">
        <v>576.17280000000005</v>
      </c>
      <c r="BP499" t="s">
        <v>522</v>
      </c>
      <c r="BQ499">
        <v>1066</v>
      </c>
      <c r="BR499">
        <v>1066</v>
      </c>
      <c r="BS499">
        <v>1080</v>
      </c>
      <c r="BT499">
        <v>4</v>
      </c>
      <c r="BU499">
        <v>0</v>
      </c>
      <c r="BV499">
        <v>4</v>
      </c>
      <c r="BW499">
        <v>192</v>
      </c>
      <c r="BX499">
        <v>0</v>
      </c>
      <c r="BY499">
        <v>192</v>
      </c>
      <c r="BZ499">
        <v>46080</v>
      </c>
      <c r="CA499">
        <v>0</v>
      </c>
      <c r="CB499">
        <v>46080</v>
      </c>
      <c r="CC499">
        <v>246.9888</v>
      </c>
      <c r="CD499" t="s">
        <v>562</v>
      </c>
      <c r="CE499" t="s">
        <v>563</v>
      </c>
      <c r="CG499" t="s">
        <v>421</v>
      </c>
      <c r="CN499" t="str">
        <v>M01</v>
      </c>
      <c r="CO499" t="str">
        <v>1109-0037210EN</v>
      </c>
      <c r="CP499" t="str">
        <v>MSMU2474387</v>
      </c>
      <c r="CQ499" s="23">
        <v>15.78</v>
      </c>
      <c r="CR499" s="25">
        <f t="shared" si="20"/>
        <v>2.1829175828379363E-3</v>
      </c>
      <c r="CS499" s="21">
        <f t="shared" si="21"/>
        <v>5.4572939570948407</v>
      </c>
    </row>
    <row r="500" spans="1:97" x14ac:dyDescent="0.35">
      <c r="B500" t="s">
        <v>299</v>
      </c>
      <c r="C500" t="s">
        <v>2047</v>
      </c>
      <c r="D500" t="s">
        <v>395</v>
      </c>
      <c r="E500" t="s">
        <v>395</v>
      </c>
      <c r="F500" t="s">
        <v>396</v>
      </c>
      <c r="G500" t="s">
        <v>397</v>
      </c>
      <c r="H500" t="s">
        <v>398</v>
      </c>
      <c r="I500" t="s">
        <v>399</v>
      </c>
      <c r="J500" t="s">
        <v>749</v>
      </c>
      <c r="K500" t="s">
        <v>777</v>
      </c>
      <c r="L500" t="s">
        <v>778</v>
      </c>
      <c r="M500" t="s">
        <v>403</v>
      </c>
      <c r="N500">
        <v>1</v>
      </c>
      <c r="O500">
        <v>1</v>
      </c>
      <c r="P500" t="s">
        <v>933</v>
      </c>
      <c r="Q500" t="s">
        <v>934</v>
      </c>
      <c r="R500" t="s">
        <v>536</v>
      </c>
      <c r="S500" t="s">
        <v>935</v>
      </c>
      <c r="T500" t="s">
        <v>408</v>
      </c>
      <c r="U500">
        <v>50950075807</v>
      </c>
      <c r="W500">
        <v>2700</v>
      </c>
      <c r="X500" t="s">
        <v>409</v>
      </c>
      <c r="Y500" t="s">
        <v>410</v>
      </c>
      <c r="Z500" t="s">
        <v>410</v>
      </c>
      <c r="AA500" t="s">
        <v>411</v>
      </c>
      <c r="AB500" t="s">
        <v>554</v>
      </c>
      <c r="AC500" t="s">
        <v>411</v>
      </c>
      <c r="AD500">
        <v>46104</v>
      </c>
      <c r="AE500">
        <v>46132</v>
      </c>
      <c r="AF500">
        <v>46106</v>
      </c>
      <c r="AG500" t="s">
        <v>936</v>
      </c>
      <c r="AH500">
        <v>6148836</v>
      </c>
      <c r="AI500">
        <v>46099</v>
      </c>
      <c r="AJ500">
        <v>46100</v>
      </c>
      <c r="AK500">
        <v>2700</v>
      </c>
      <c r="AL500" t="s">
        <v>396</v>
      </c>
      <c r="AM500" t="s">
        <v>2048</v>
      </c>
      <c r="AN500">
        <v>46100</v>
      </c>
      <c r="AO500">
        <v>46100.413935185185</v>
      </c>
      <c r="AP500" t="s">
        <v>51</v>
      </c>
      <c r="AQ500">
        <v>4.1398799999999998</v>
      </c>
      <c r="AR500">
        <v>11177.7</v>
      </c>
      <c r="AS500" t="s">
        <v>51</v>
      </c>
      <c r="AT500">
        <v>11177.7</v>
      </c>
      <c r="AU500" t="s">
        <v>415</v>
      </c>
      <c r="AV500" t="s">
        <v>557</v>
      </c>
      <c r="AW500" t="s">
        <v>2044</v>
      </c>
      <c r="AX500">
        <v>46106</v>
      </c>
      <c r="AY500">
        <v>46155</v>
      </c>
      <c r="AZ500" t="s">
        <v>2045</v>
      </c>
      <c r="BA500" t="s">
        <v>560</v>
      </c>
      <c r="BB500" t="s">
        <v>2046</v>
      </c>
      <c r="BC500">
        <v>36</v>
      </c>
      <c r="BD500" t="s">
        <v>521</v>
      </c>
      <c r="BE500">
        <v>8.7870000000000008</v>
      </c>
      <c r="BF500">
        <v>6.5519999999999996</v>
      </c>
      <c r="BG500" t="s">
        <v>522</v>
      </c>
      <c r="BH500">
        <v>595</v>
      </c>
      <c r="BI500">
        <v>395</v>
      </c>
      <c r="BJ500">
        <v>290</v>
      </c>
      <c r="BK500">
        <v>15</v>
      </c>
      <c r="BL500" t="s">
        <v>521</v>
      </c>
      <c r="BM500">
        <v>158.80500000000001</v>
      </c>
      <c r="BN500">
        <v>98.28</v>
      </c>
      <c r="BO500">
        <v>794.02499999999998</v>
      </c>
      <c r="BP500" t="s">
        <v>522</v>
      </c>
      <c r="BQ500">
        <v>1200</v>
      </c>
      <c r="BR500">
        <v>1000</v>
      </c>
      <c r="BS500">
        <v>1025</v>
      </c>
      <c r="BT500">
        <v>5</v>
      </c>
      <c r="BU500">
        <v>0</v>
      </c>
      <c r="BV500">
        <v>5</v>
      </c>
      <c r="BW500">
        <v>75</v>
      </c>
      <c r="BX500">
        <v>0</v>
      </c>
      <c r="BY500">
        <v>75</v>
      </c>
      <c r="BZ500">
        <v>2700</v>
      </c>
      <c r="CA500">
        <v>0</v>
      </c>
      <c r="CB500">
        <v>2700</v>
      </c>
      <c r="CC500">
        <v>491.4</v>
      </c>
      <c r="CD500" t="s">
        <v>938</v>
      </c>
      <c r="CE500" t="s">
        <v>939</v>
      </c>
      <c r="CG500" t="s">
        <v>421</v>
      </c>
      <c r="CN500" t="str">
        <v>M19</v>
      </c>
      <c r="CO500" t="str">
        <v>1101-5YY0361EN</v>
      </c>
      <c r="CP500" t="str">
        <v>MSMU2474387</v>
      </c>
      <c r="CQ500" s="23">
        <v>494.18649599999998</v>
      </c>
      <c r="CR500" s="25">
        <f t="shared" si="20"/>
        <v>6.8363015926455606E-2</v>
      </c>
      <c r="CS500" s="21">
        <f t="shared" si="21"/>
        <v>170.90753981613901</v>
      </c>
    </row>
    <row r="501" spans="1:97" x14ac:dyDescent="0.35">
      <c r="B501" t="s">
        <v>299</v>
      </c>
      <c r="C501" t="s">
        <v>2049</v>
      </c>
      <c r="D501" t="s">
        <v>395</v>
      </c>
      <c r="E501" t="s">
        <v>395</v>
      </c>
      <c r="F501" t="s">
        <v>396</v>
      </c>
      <c r="G501" t="s">
        <v>397</v>
      </c>
      <c r="H501" t="s">
        <v>398</v>
      </c>
      <c r="I501" t="s">
        <v>399</v>
      </c>
      <c r="J501" t="s">
        <v>749</v>
      </c>
      <c r="K501" t="s">
        <v>777</v>
      </c>
      <c r="L501" t="s">
        <v>778</v>
      </c>
      <c r="M501" t="s">
        <v>403</v>
      </c>
      <c r="N501">
        <v>1</v>
      </c>
      <c r="O501">
        <v>1</v>
      </c>
      <c r="P501" t="s">
        <v>779</v>
      </c>
      <c r="Q501" t="s">
        <v>587</v>
      </c>
      <c r="R501" t="s">
        <v>536</v>
      </c>
      <c r="S501" t="s">
        <v>780</v>
      </c>
      <c r="T501" t="s">
        <v>408</v>
      </c>
      <c r="U501">
        <v>50950076725</v>
      </c>
      <c r="W501">
        <v>1008</v>
      </c>
      <c r="X501" t="s">
        <v>409</v>
      </c>
      <c r="Y501" t="s">
        <v>410</v>
      </c>
      <c r="Z501" t="s">
        <v>410</v>
      </c>
      <c r="AA501" t="s">
        <v>411</v>
      </c>
      <c r="AB501" t="s">
        <v>554</v>
      </c>
      <c r="AC501" t="s">
        <v>411</v>
      </c>
      <c r="AD501">
        <v>46097</v>
      </c>
      <c r="AE501">
        <v>46153</v>
      </c>
      <c r="AF501">
        <v>46106</v>
      </c>
      <c r="AG501" t="s">
        <v>781</v>
      </c>
      <c r="AH501">
        <v>6148837</v>
      </c>
      <c r="AI501">
        <v>46099</v>
      </c>
      <c r="AJ501">
        <v>46100</v>
      </c>
      <c r="AK501">
        <v>1008</v>
      </c>
      <c r="AL501" t="s">
        <v>396</v>
      </c>
      <c r="AM501" t="s">
        <v>2050</v>
      </c>
      <c r="AN501">
        <v>46100</v>
      </c>
      <c r="AO501">
        <v>46100.413935185185</v>
      </c>
      <c r="AP501" t="s">
        <v>51</v>
      </c>
      <c r="AQ501">
        <v>2.1913299999999998</v>
      </c>
      <c r="AR501">
        <v>2208.86</v>
      </c>
      <c r="AS501" t="s">
        <v>51</v>
      </c>
      <c r="AT501">
        <v>2208.86</v>
      </c>
      <c r="AU501" t="s">
        <v>415</v>
      </c>
      <c r="AV501" t="s">
        <v>557</v>
      </c>
      <c r="AW501" t="s">
        <v>2044</v>
      </c>
      <c r="AX501">
        <v>46106</v>
      </c>
      <c r="AY501">
        <v>46155</v>
      </c>
      <c r="AZ501" t="s">
        <v>2045</v>
      </c>
      <c r="BA501" t="s">
        <v>560</v>
      </c>
      <c r="BB501" t="s">
        <v>2046</v>
      </c>
      <c r="BC501">
        <v>28</v>
      </c>
      <c r="BD501" t="s">
        <v>521</v>
      </c>
      <c r="BE501">
        <v>4.1197999999999997</v>
      </c>
      <c r="BF501">
        <v>2.2568000000000001</v>
      </c>
      <c r="BG501" t="s">
        <v>522</v>
      </c>
      <c r="BH501">
        <v>795</v>
      </c>
      <c r="BI501">
        <v>395</v>
      </c>
      <c r="BJ501">
        <v>145</v>
      </c>
      <c r="BK501">
        <v>18</v>
      </c>
      <c r="BL501" t="s">
        <v>521</v>
      </c>
      <c r="BM501">
        <v>99.156400000000005</v>
      </c>
      <c r="BN501">
        <v>40.622399999999999</v>
      </c>
      <c r="BO501">
        <v>198.31280000000001</v>
      </c>
      <c r="BP501" t="s">
        <v>522</v>
      </c>
      <c r="BQ501">
        <v>1200</v>
      </c>
      <c r="BR501">
        <v>800</v>
      </c>
      <c r="BS501">
        <v>1030</v>
      </c>
      <c r="BT501">
        <v>2</v>
      </c>
      <c r="BU501">
        <v>0</v>
      </c>
      <c r="BV501">
        <v>2</v>
      </c>
      <c r="BW501">
        <v>36</v>
      </c>
      <c r="BX501">
        <v>0</v>
      </c>
      <c r="BY501">
        <v>36</v>
      </c>
      <c r="BZ501">
        <v>1008</v>
      </c>
      <c r="CA501">
        <v>0</v>
      </c>
      <c r="CB501">
        <v>1008</v>
      </c>
      <c r="CC501">
        <v>81.244799999999998</v>
      </c>
      <c r="CD501" t="s">
        <v>783</v>
      </c>
      <c r="CE501" t="s">
        <v>784</v>
      </c>
      <c r="CG501" t="s">
        <v>421</v>
      </c>
      <c r="CN501" t="str">
        <v>M19</v>
      </c>
      <c r="CO501" t="str">
        <v>1106-5YY0032EN</v>
      </c>
      <c r="CP501" t="str">
        <v>MSMU2474387</v>
      </c>
      <c r="CQ501" s="23">
        <v>198.37559999999999</v>
      </c>
      <c r="CR501" s="25">
        <f t="shared" si="20"/>
        <v>2.7442179039672075E-2</v>
      </c>
      <c r="CS501" s="21">
        <f t="shared" si="21"/>
        <v>68.605447599180195</v>
      </c>
    </row>
    <row r="502" spans="1:97" x14ac:dyDescent="0.35">
      <c r="B502" t="s">
        <v>299</v>
      </c>
      <c r="C502" t="s">
        <v>1978</v>
      </c>
      <c r="D502" t="s">
        <v>395</v>
      </c>
      <c r="E502" t="s">
        <v>395</v>
      </c>
      <c r="F502" t="s">
        <v>396</v>
      </c>
      <c r="G502" t="s">
        <v>397</v>
      </c>
      <c r="H502" t="s">
        <v>398</v>
      </c>
      <c r="I502" t="s">
        <v>399</v>
      </c>
      <c r="J502" t="s">
        <v>749</v>
      </c>
      <c r="K502" t="s">
        <v>777</v>
      </c>
      <c r="L502" t="s">
        <v>778</v>
      </c>
      <c r="M502" t="s">
        <v>403</v>
      </c>
      <c r="N502">
        <v>1</v>
      </c>
      <c r="O502">
        <v>2</v>
      </c>
      <c r="P502" t="s">
        <v>1979</v>
      </c>
      <c r="Q502" t="s">
        <v>645</v>
      </c>
      <c r="R502" t="s">
        <v>536</v>
      </c>
      <c r="S502" t="s">
        <v>1980</v>
      </c>
      <c r="T502" t="s">
        <v>408</v>
      </c>
      <c r="U502">
        <v>50950077694</v>
      </c>
      <c r="W502">
        <v>504</v>
      </c>
      <c r="X502" t="s">
        <v>409</v>
      </c>
      <c r="Y502" t="s">
        <v>410</v>
      </c>
      <c r="Z502" t="s">
        <v>410</v>
      </c>
      <c r="AA502" t="s">
        <v>411</v>
      </c>
      <c r="AB502" t="s">
        <v>554</v>
      </c>
      <c r="AC502" t="s">
        <v>411</v>
      </c>
      <c r="AD502">
        <v>46088</v>
      </c>
      <c r="AE502">
        <v>46146</v>
      </c>
      <c r="AF502">
        <v>46106</v>
      </c>
      <c r="AG502" t="s">
        <v>781</v>
      </c>
      <c r="AH502">
        <v>6148838</v>
      </c>
      <c r="AI502">
        <v>46099</v>
      </c>
      <c r="AJ502">
        <v>46100</v>
      </c>
      <c r="AK502">
        <v>504</v>
      </c>
      <c r="AL502" t="s">
        <v>396</v>
      </c>
      <c r="AM502" t="s">
        <v>2051</v>
      </c>
      <c r="AN502">
        <v>46100</v>
      </c>
      <c r="AO502">
        <v>46100.413935185185</v>
      </c>
      <c r="AP502" t="s">
        <v>51</v>
      </c>
      <c r="AQ502">
        <v>3.3850699999999998</v>
      </c>
      <c r="AR502">
        <v>1706.08</v>
      </c>
      <c r="AS502" t="s">
        <v>51</v>
      </c>
      <c r="AT502">
        <v>1706.08</v>
      </c>
      <c r="AU502" t="s">
        <v>415</v>
      </c>
      <c r="AV502" t="s">
        <v>557</v>
      </c>
      <c r="AW502" t="s">
        <v>2044</v>
      </c>
      <c r="AX502">
        <v>46106</v>
      </c>
      <c r="AY502">
        <v>46155</v>
      </c>
      <c r="AZ502" t="s">
        <v>2045</v>
      </c>
      <c r="BA502" t="s">
        <v>560</v>
      </c>
      <c r="BB502" t="s">
        <v>2046</v>
      </c>
      <c r="BC502">
        <v>28</v>
      </c>
      <c r="BD502" t="s">
        <v>521</v>
      </c>
      <c r="BE502">
        <v>5.9733999999999998</v>
      </c>
      <c r="BF502">
        <v>4.1104000000000003</v>
      </c>
      <c r="BG502" t="s">
        <v>522</v>
      </c>
      <c r="BH502">
        <v>795</v>
      </c>
      <c r="BI502">
        <v>395</v>
      </c>
      <c r="BJ502">
        <v>145</v>
      </c>
      <c r="BK502">
        <v>18</v>
      </c>
      <c r="BL502" t="s">
        <v>521</v>
      </c>
      <c r="BM502">
        <v>132.52119999999999</v>
      </c>
      <c r="BN502">
        <v>73.987200000000001</v>
      </c>
      <c r="BO502">
        <v>132.52119999999999</v>
      </c>
      <c r="BP502" t="s">
        <v>522</v>
      </c>
      <c r="BQ502">
        <v>1200</v>
      </c>
      <c r="BR502">
        <v>800</v>
      </c>
      <c r="BS502">
        <v>1030</v>
      </c>
      <c r="BT502">
        <v>1</v>
      </c>
      <c r="BU502">
        <v>0</v>
      </c>
      <c r="BV502">
        <v>1</v>
      </c>
      <c r="BW502">
        <v>18</v>
      </c>
      <c r="BX502">
        <v>0</v>
      </c>
      <c r="BY502">
        <v>18</v>
      </c>
      <c r="BZ502">
        <v>504</v>
      </c>
      <c r="CA502">
        <v>0</v>
      </c>
      <c r="CB502">
        <v>504</v>
      </c>
      <c r="CC502">
        <v>73.987200000000001</v>
      </c>
      <c r="CD502" t="s">
        <v>783</v>
      </c>
      <c r="CE502" t="s">
        <v>784</v>
      </c>
      <c r="CG502" t="s">
        <v>421</v>
      </c>
      <c r="CN502" t="str">
        <v>M19</v>
      </c>
      <c r="CO502" t="str">
        <v>1106-5YY0031EN</v>
      </c>
      <c r="CP502" t="str">
        <v>MSMU2474387</v>
      </c>
      <c r="CQ502" s="23">
        <v>132.75839999999999</v>
      </c>
      <c r="CR502" s="25">
        <f t="shared" si="20"/>
        <v>1.8365059925819511E-2</v>
      </c>
      <c r="CS502" s="21">
        <f t="shared" si="21"/>
        <v>45.912649814548779</v>
      </c>
    </row>
    <row r="503" spans="1:97" x14ac:dyDescent="0.35">
      <c r="B503" t="s">
        <v>299</v>
      </c>
      <c r="C503" t="s">
        <v>1982</v>
      </c>
      <c r="D503" t="s">
        <v>395</v>
      </c>
      <c r="E503" t="s">
        <v>395</v>
      </c>
      <c r="F503" t="s">
        <v>396</v>
      </c>
      <c r="G503" t="s">
        <v>397</v>
      </c>
      <c r="H503" t="s">
        <v>398</v>
      </c>
      <c r="I503" t="s">
        <v>399</v>
      </c>
      <c r="J503" t="s">
        <v>749</v>
      </c>
      <c r="K503" t="s">
        <v>777</v>
      </c>
      <c r="L503" t="s">
        <v>778</v>
      </c>
      <c r="M503" t="s">
        <v>403</v>
      </c>
      <c r="N503">
        <v>1</v>
      </c>
      <c r="O503">
        <v>2</v>
      </c>
      <c r="P503" t="s">
        <v>1979</v>
      </c>
      <c r="Q503" t="s">
        <v>645</v>
      </c>
      <c r="R503" t="s">
        <v>536</v>
      </c>
      <c r="S503" t="s">
        <v>1980</v>
      </c>
      <c r="T503" t="s">
        <v>408</v>
      </c>
      <c r="U503">
        <v>50950077713</v>
      </c>
      <c r="W503">
        <v>504</v>
      </c>
      <c r="X503" t="s">
        <v>409</v>
      </c>
      <c r="Y503" t="s">
        <v>410</v>
      </c>
      <c r="Z503" t="s">
        <v>410</v>
      </c>
      <c r="AA503" t="s">
        <v>411</v>
      </c>
      <c r="AB503" t="s">
        <v>554</v>
      </c>
      <c r="AC503" t="s">
        <v>411</v>
      </c>
      <c r="AD503">
        <v>46095</v>
      </c>
      <c r="AE503">
        <v>46153</v>
      </c>
      <c r="AF503">
        <v>46106</v>
      </c>
      <c r="AG503" t="s">
        <v>781</v>
      </c>
      <c r="AH503">
        <v>6148839</v>
      </c>
      <c r="AI503">
        <v>46099</v>
      </c>
      <c r="AJ503">
        <v>46100</v>
      </c>
      <c r="AK503">
        <v>504</v>
      </c>
      <c r="AL503" t="s">
        <v>396</v>
      </c>
      <c r="AM503" t="s">
        <v>2052</v>
      </c>
      <c r="AN503">
        <v>46100</v>
      </c>
      <c r="AO503">
        <v>46100.413935185185</v>
      </c>
      <c r="AP503" t="s">
        <v>51</v>
      </c>
      <c r="AQ503">
        <v>3.3850699999999998</v>
      </c>
      <c r="AR503">
        <v>1706.08</v>
      </c>
      <c r="AS503" t="s">
        <v>51</v>
      </c>
      <c r="AT503">
        <v>1706.08</v>
      </c>
      <c r="AU503" t="s">
        <v>415</v>
      </c>
      <c r="AV503" t="s">
        <v>557</v>
      </c>
      <c r="AW503" t="s">
        <v>2044</v>
      </c>
      <c r="AX503">
        <v>46106</v>
      </c>
      <c r="AY503">
        <v>46155</v>
      </c>
      <c r="AZ503" t="s">
        <v>2045</v>
      </c>
      <c r="BA503" t="s">
        <v>560</v>
      </c>
      <c r="BB503" t="s">
        <v>2046</v>
      </c>
      <c r="BC503">
        <v>28</v>
      </c>
      <c r="BD503" t="s">
        <v>521</v>
      </c>
      <c r="BE503">
        <v>5.9733999999999998</v>
      </c>
      <c r="BF503">
        <v>4.1104000000000003</v>
      </c>
      <c r="BG503" t="s">
        <v>522</v>
      </c>
      <c r="BH503">
        <v>795</v>
      </c>
      <c r="BI503">
        <v>395</v>
      </c>
      <c r="BJ503">
        <v>145</v>
      </c>
      <c r="BK503">
        <v>18</v>
      </c>
      <c r="BL503" t="s">
        <v>521</v>
      </c>
      <c r="BM503">
        <v>132.52119999999999</v>
      </c>
      <c r="BN503">
        <v>73.987200000000001</v>
      </c>
      <c r="BO503">
        <v>132.52119999999999</v>
      </c>
      <c r="BP503" t="s">
        <v>522</v>
      </c>
      <c r="BQ503">
        <v>1200</v>
      </c>
      <c r="BR503">
        <v>800</v>
      </c>
      <c r="BS503">
        <v>1030</v>
      </c>
      <c r="BT503">
        <v>1</v>
      </c>
      <c r="BU503">
        <v>0</v>
      </c>
      <c r="BV503">
        <v>1</v>
      </c>
      <c r="BW503">
        <v>18</v>
      </c>
      <c r="BX503">
        <v>0</v>
      </c>
      <c r="BY503">
        <v>18</v>
      </c>
      <c r="BZ503">
        <v>504</v>
      </c>
      <c r="CA503">
        <v>0</v>
      </c>
      <c r="CB503">
        <v>504</v>
      </c>
      <c r="CC503">
        <v>73.987200000000001</v>
      </c>
      <c r="CD503" t="s">
        <v>783</v>
      </c>
      <c r="CE503" t="s">
        <v>784</v>
      </c>
      <c r="CG503" t="s">
        <v>421</v>
      </c>
      <c r="CN503" t="str">
        <v>M19</v>
      </c>
      <c r="CO503" t="str">
        <v>1106-5YY0033EN</v>
      </c>
      <c r="CP503" t="str">
        <v>MSMU2474387</v>
      </c>
      <c r="CQ503" s="23">
        <v>207.95160000000001</v>
      </c>
      <c r="CR503" s="25">
        <f t="shared" si="20"/>
        <v>2.8766869709713653E-2</v>
      </c>
      <c r="CS503" s="21">
        <f t="shared" si="21"/>
        <v>71.917174274284136</v>
      </c>
    </row>
    <row r="504" spans="1:97" x14ac:dyDescent="0.35">
      <c r="B504" t="s">
        <v>299</v>
      </c>
      <c r="C504" t="s">
        <v>1495</v>
      </c>
      <c r="D504" t="s">
        <v>395</v>
      </c>
      <c r="E504" t="s">
        <v>395</v>
      </c>
      <c r="F504" t="s">
        <v>396</v>
      </c>
      <c r="G504" t="s">
        <v>397</v>
      </c>
      <c r="H504" t="s">
        <v>398</v>
      </c>
      <c r="I504" t="s">
        <v>399</v>
      </c>
      <c r="J504" t="s">
        <v>749</v>
      </c>
      <c r="K504" t="s">
        <v>777</v>
      </c>
      <c r="L504" t="s">
        <v>778</v>
      </c>
      <c r="M504" t="s">
        <v>403</v>
      </c>
      <c r="N504">
        <v>1</v>
      </c>
      <c r="O504">
        <v>3</v>
      </c>
      <c r="P504" t="s">
        <v>1367</v>
      </c>
      <c r="Q504" t="s">
        <v>645</v>
      </c>
      <c r="R504" t="s">
        <v>536</v>
      </c>
      <c r="S504" t="s">
        <v>1368</v>
      </c>
      <c r="T504" t="s">
        <v>408</v>
      </c>
      <c r="U504">
        <v>50950077714</v>
      </c>
      <c r="W504">
        <v>1680</v>
      </c>
      <c r="X504" t="s">
        <v>409</v>
      </c>
      <c r="Y504" t="s">
        <v>410</v>
      </c>
      <c r="Z504" t="s">
        <v>410</v>
      </c>
      <c r="AA504" t="s">
        <v>411</v>
      </c>
      <c r="AB504" t="s">
        <v>554</v>
      </c>
      <c r="AC504" t="s">
        <v>411</v>
      </c>
      <c r="AD504">
        <v>46095</v>
      </c>
      <c r="AE504">
        <v>46153</v>
      </c>
      <c r="AF504">
        <v>46106</v>
      </c>
      <c r="AG504" t="s">
        <v>781</v>
      </c>
      <c r="AH504">
        <v>6148840</v>
      </c>
      <c r="AI504">
        <v>46099</v>
      </c>
      <c r="AJ504">
        <v>46100</v>
      </c>
      <c r="AK504">
        <v>1680</v>
      </c>
      <c r="AL504" t="s">
        <v>396</v>
      </c>
      <c r="AM504" t="s">
        <v>2053</v>
      </c>
      <c r="AN504">
        <v>46100</v>
      </c>
      <c r="AO504">
        <v>46100.413935185185</v>
      </c>
      <c r="AP504" t="s">
        <v>51</v>
      </c>
      <c r="AQ504">
        <v>2.85012</v>
      </c>
      <c r="AR504">
        <v>4788.2</v>
      </c>
      <c r="AS504" t="s">
        <v>51</v>
      </c>
      <c r="AT504">
        <v>4788.2</v>
      </c>
      <c r="AU504" t="s">
        <v>415</v>
      </c>
      <c r="AV504" t="s">
        <v>557</v>
      </c>
      <c r="AW504" t="s">
        <v>2044</v>
      </c>
      <c r="AX504">
        <v>46106</v>
      </c>
      <c r="AY504">
        <v>46155</v>
      </c>
      <c r="AZ504" t="s">
        <v>2045</v>
      </c>
      <c r="BA504" t="s">
        <v>560</v>
      </c>
      <c r="BB504" t="s">
        <v>2046</v>
      </c>
      <c r="BC504">
        <v>14</v>
      </c>
      <c r="BD504" t="s">
        <v>521</v>
      </c>
      <c r="BE504">
        <v>3.2919999999999998</v>
      </c>
      <c r="BF504">
        <v>1.792</v>
      </c>
      <c r="BG504" t="s">
        <v>522</v>
      </c>
      <c r="BH504">
        <v>595</v>
      </c>
      <c r="BI504">
        <v>395</v>
      </c>
      <c r="BJ504">
        <v>145</v>
      </c>
      <c r="BK504">
        <v>24</v>
      </c>
      <c r="BL504" t="s">
        <v>521</v>
      </c>
      <c r="BM504">
        <v>104.008</v>
      </c>
      <c r="BN504">
        <v>43.008000000000003</v>
      </c>
      <c r="BO504">
        <v>520.04</v>
      </c>
      <c r="BP504" t="s">
        <v>522</v>
      </c>
      <c r="BQ504">
        <v>1200</v>
      </c>
      <c r="BR504">
        <v>800</v>
      </c>
      <c r="BS504">
        <v>1030</v>
      </c>
      <c r="BT504">
        <v>5</v>
      </c>
      <c r="BU504">
        <v>0</v>
      </c>
      <c r="BV504">
        <v>5</v>
      </c>
      <c r="BW504">
        <v>120</v>
      </c>
      <c r="BX504">
        <v>0</v>
      </c>
      <c r="BY504">
        <v>120</v>
      </c>
      <c r="BZ504">
        <v>1680</v>
      </c>
      <c r="CA504">
        <v>0</v>
      </c>
      <c r="CB504">
        <v>1680</v>
      </c>
      <c r="CC504">
        <v>215.04</v>
      </c>
      <c r="CD504" t="s">
        <v>783</v>
      </c>
      <c r="CE504" t="s">
        <v>1370</v>
      </c>
      <c r="CG504" t="s">
        <v>421</v>
      </c>
      <c r="CN504" t="str">
        <v>MCS</v>
      </c>
      <c r="CO504" t="str">
        <v>1209-5YY0495EN</v>
      </c>
      <c r="CP504" t="str">
        <v>MSMU2474387</v>
      </c>
      <c r="CQ504" s="23">
        <v>84.08</v>
      </c>
      <c r="CR504" s="25">
        <f t="shared" si="20"/>
        <v>1.1631160352662465E-2</v>
      </c>
      <c r="CS504" s="21">
        <f t="shared" si="21"/>
        <v>29.077900881656163</v>
      </c>
    </row>
    <row r="505" spans="1:97" x14ac:dyDescent="0.35">
      <c r="B505" t="s">
        <v>299</v>
      </c>
      <c r="C505" t="s">
        <v>2054</v>
      </c>
      <c r="D505" t="s">
        <v>395</v>
      </c>
      <c r="E505" t="s">
        <v>395</v>
      </c>
      <c r="F505" t="s">
        <v>396</v>
      </c>
      <c r="G505" t="s">
        <v>397</v>
      </c>
      <c r="H505" t="s">
        <v>398</v>
      </c>
      <c r="I505" t="s">
        <v>399</v>
      </c>
      <c r="J505" t="s">
        <v>749</v>
      </c>
      <c r="K505" t="s">
        <v>777</v>
      </c>
      <c r="L505" t="s">
        <v>778</v>
      </c>
      <c r="M505" t="s">
        <v>403</v>
      </c>
      <c r="N505">
        <v>1</v>
      </c>
      <c r="O505">
        <v>1</v>
      </c>
      <c r="P505" t="s">
        <v>2055</v>
      </c>
      <c r="Q505" t="s">
        <v>645</v>
      </c>
      <c r="R505" t="s">
        <v>536</v>
      </c>
      <c r="S505" t="s">
        <v>2056</v>
      </c>
      <c r="T505" t="s">
        <v>408</v>
      </c>
      <c r="U505">
        <v>50950078274</v>
      </c>
      <c r="W505">
        <v>1596</v>
      </c>
      <c r="X505" t="s">
        <v>409</v>
      </c>
      <c r="Y505" t="s">
        <v>410</v>
      </c>
      <c r="Z505" t="s">
        <v>410</v>
      </c>
      <c r="AA505" t="s">
        <v>411</v>
      </c>
      <c r="AB505" t="s">
        <v>554</v>
      </c>
      <c r="AC505" t="s">
        <v>411</v>
      </c>
      <c r="AD505">
        <v>46095</v>
      </c>
      <c r="AE505">
        <v>46153</v>
      </c>
      <c r="AF505">
        <v>46106</v>
      </c>
      <c r="AG505" t="s">
        <v>781</v>
      </c>
      <c r="AH505">
        <v>6148841</v>
      </c>
      <c r="AI505">
        <v>46099</v>
      </c>
      <c r="AJ505">
        <v>46100</v>
      </c>
      <c r="AK505">
        <v>1596</v>
      </c>
      <c r="AL505" t="s">
        <v>396</v>
      </c>
      <c r="AM505" t="s">
        <v>2057</v>
      </c>
      <c r="AN505">
        <v>46100</v>
      </c>
      <c r="AO505">
        <v>46100.413935185185</v>
      </c>
      <c r="AP505" t="s">
        <v>51</v>
      </c>
      <c r="AQ505">
        <v>3.09341</v>
      </c>
      <c r="AR505">
        <v>4937.1000000000004</v>
      </c>
      <c r="AS505" t="s">
        <v>51</v>
      </c>
      <c r="AT505">
        <v>4937.1000000000004</v>
      </c>
      <c r="AU505" t="s">
        <v>415</v>
      </c>
      <c r="AV505" t="s">
        <v>557</v>
      </c>
      <c r="AW505" t="s">
        <v>2044</v>
      </c>
      <c r="AX505">
        <v>46106</v>
      </c>
      <c r="AY505">
        <v>46155</v>
      </c>
      <c r="AZ505" t="s">
        <v>2045</v>
      </c>
      <c r="BA505" t="s">
        <v>560</v>
      </c>
      <c r="BB505" t="s">
        <v>2046</v>
      </c>
      <c r="BC505">
        <v>14</v>
      </c>
      <c r="BD505" t="s">
        <v>521</v>
      </c>
      <c r="BE505">
        <v>3.4628000000000001</v>
      </c>
      <c r="BF505">
        <v>1.9628000000000001</v>
      </c>
      <c r="BG505" t="s">
        <v>522</v>
      </c>
      <c r="BH505">
        <v>595</v>
      </c>
      <c r="BI505">
        <v>395</v>
      </c>
      <c r="BJ505">
        <v>145</v>
      </c>
      <c r="BK505">
        <v>24</v>
      </c>
      <c r="BL505" t="s">
        <v>521</v>
      </c>
      <c r="BM505">
        <v>108.10720000000001</v>
      </c>
      <c r="BN505">
        <v>47.107199999999999</v>
      </c>
      <c r="BO505">
        <v>519.75919999999996</v>
      </c>
      <c r="BP505" t="s">
        <v>522</v>
      </c>
      <c r="BQ505">
        <v>1200</v>
      </c>
      <c r="BR505">
        <v>800</v>
      </c>
      <c r="BS505">
        <v>1030</v>
      </c>
      <c r="BT505">
        <v>4</v>
      </c>
      <c r="BU505">
        <v>1</v>
      </c>
      <c r="BV505">
        <v>5</v>
      </c>
      <c r="BW505">
        <v>114</v>
      </c>
      <c r="BX505">
        <v>0</v>
      </c>
      <c r="BY505">
        <v>114</v>
      </c>
      <c r="BZ505">
        <v>1344</v>
      </c>
      <c r="CA505">
        <v>252</v>
      </c>
      <c r="CB505">
        <v>1596</v>
      </c>
      <c r="CC505">
        <v>223.75919999999999</v>
      </c>
      <c r="CD505" t="s">
        <v>783</v>
      </c>
      <c r="CE505" t="s">
        <v>1370</v>
      </c>
      <c r="CG505" t="s">
        <v>421</v>
      </c>
      <c r="CN505" t="str">
        <v>M19</v>
      </c>
      <c r="CO505" t="str">
        <v>1140-5YY0004EN</v>
      </c>
      <c r="CP505" t="str">
        <v>MSMU2474387</v>
      </c>
      <c r="CQ505" s="23">
        <v>302.87920000000003</v>
      </c>
      <c r="CR505" s="25">
        <f t="shared" si="20"/>
        <v>4.1898626815962486E-2</v>
      </c>
      <c r="CS505" s="21">
        <f t="shared" si="21"/>
        <v>104.74656703990621</v>
      </c>
    </row>
    <row r="506" spans="1:97" x14ac:dyDescent="0.35">
      <c r="B506" t="s">
        <v>299</v>
      </c>
      <c r="C506" t="s">
        <v>1984</v>
      </c>
      <c r="D506" t="s">
        <v>395</v>
      </c>
      <c r="E506" t="s">
        <v>395</v>
      </c>
      <c r="F506" t="s">
        <v>396</v>
      </c>
      <c r="G506" t="s">
        <v>397</v>
      </c>
      <c r="H506" t="s">
        <v>398</v>
      </c>
      <c r="I506" t="s">
        <v>399</v>
      </c>
      <c r="J506" t="s">
        <v>749</v>
      </c>
      <c r="K506" t="s">
        <v>777</v>
      </c>
      <c r="L506" t="s">
        <v>778</v>
      </c>
      <c r="M506" t="s">
        <v>403</v>
      </c>
      <c r="N506">
        <v>1</v>
      </c>
      <c r="O506">
        <v>2</v>
      </c>
      <c r="P506" t="s">
        <v>1979</v>
      </c>
      <c r="Q506" t="s">
        <v>645</v>
      </c>
      <c r="R506" t="s">
        <v>536</v>
      </c>
      <c r="S506" t="s">
        <v>1980</v>
      </c>
      <c r="T506" t="s">
        <v>408</v>
      </c>
      <c r="U506">
        <v>50950081016</v>
      </c>
      <c r="W506">
        <v>1008</v>
      </c>
      <c r="X506" t="s">
        <v>409</v>
      </c>
      <c r="Y506" t="s">
        <v>410</v>
      </c>
      <c r="Z506" t="s">
        <v>410</v>
      </c>
      <c r="AA506" t="s">
        <v>411</v>
      </c>
      <c r="AB506" t="s">
        <v>554</v>
      </c>
      <c r="AC506" t="s">
        <v>411</v>
      </c>
      <c r="AD506">
        <v>46088</v>
      </c>
      <c r="AE506">
        <v>46146</v>
      </c>
      <c r="AF506">
        <v>46106</v>
      </c>
      <c r="AG506" t="s">
        <v>781</v>
      </c>
      <c r="AH506">
        <v>6148913</v>
      </c>
      <c r="AI506">
        <v>46099</v>
      </c>
      <c r="AJ506">
        <v>46100</v>
      </c>
      <c r="AK506">
        <v>1008</v>
      </c>
      <c r="AL506" t="s">
        <v>396</v>
      </c>
      <c r="AM506" t="s">
        <v>2058</v>
      </c>
      <c r="AN506">
        <v>46100</v>
      </c>
      <c r="AO506">
        <v>46100.601875</v>
      </c>
      <c r="AP506" t="s">
        <v>51</v>
      </c>
      <c r="AQ506">
        <v>3.3850699999999998</v>
      </c>
      <c r="AR506">
        <v>3412.16</v>
      </c>
      <c r="AS506" t="s">
        <v>51</v>
      </c>
      <c r="AT506">
        <v>3412.16</v>
      </c>
      <c r="AU506" t="s">
        <v>415</v>
      </c>
      <c r="AV506" t="s">
        <v>1420</v>
      </c>
      <c r="AW506" t="s">
        <v>1973</v>
      </c>
      <c r="AX506">
        <v>46106</v>
      </c>
      <c r="AY506">
        <v>46155</v>
      </c>
      <c r="AZ506" t="s">
        <v>2059</v>
      </c>
      <c r="BA506" t="s">
        <v>560</v>
      </c>
      <c r="BB506" t="s">
        <v>2060</v>
      </c>
      <c r="BC506">
        <v>28</v>
      </c>
      <c r="BD506" t="s">
        <v>521</v>
      </c>
      <c r="BE506">
        <v>5.9733999999999998</v>
      </c>
      <c r="BF506">
        <v>4.1104000000000003</v>
      </c>
      <c r="BG506" t="s">
        <v>522</v>
      </c>
      <c r="BH506">
        <v>795</v>
      </c>
      <c r="BI506">
        <v>395</v>
      </c>
      <c r="BJ506">
        <v>145</v>
      </c>
      <c r="BK506">
        <v>18</v>
      </c>
      <c r="BL506" t="s">
        <v>521</v>
      </c>
      <c r="BM506">
        <v>132.52119999999999</v>
      </c>
      <c r="BN506">
        <v>73.987200000000001</v>
      </c>
      <c r="BO506">
        <v>265.04239999999999</v>
      </c>
      <c r="BP506" t="s">
        <v>522</v>
      </c>
      <c r="BQ506">
        <v>1200</v>
      </c>
      <c r="BR506">
        <v>800</v>
      </c>
      <c r="BS506">
        <v>1030</v>
      </c>
      <c r="BT506">
        <v>2</v>
      </c>
      <c r="BU506">
        <v>0</v>
      </c>
      <c r="BV506">
        <v>2</v>
      </c>
      <c r="BW506">
        <v>36</v>
      </c>
      <c r="BX506">
        <v>0</v>
      </c>
      <c r="BY506">
        <v>36</v>
      </c>
      <c r="BZ506">
        <v>1008</v>
      </c>
      <c r="CA506">
        <v>0</v>
      </c>
      <c r="CB506">
        <v>1008</v>
      </c>
      <c r="CC506">
        <v>147.9744</v>
      </c>
      <c r="CD506" t="s">
        <v>783</v>
      </c>
      <c r="CE506" t="s">
        <v>784</v>
      </c>
      <c r="CG506" t="s">
        <v>421</v>
      </c>
      <c r="CN506" t="str">
        <v>MCS</v>
      </c>
      <c r="CO506" t="str">
        <v>1209-5YY0465EN</v>
      </c>
      <c r="CP506" t="str">
        <v>MSMU2474387</v>
      </c>
      <c r="CQ506" s="23">
        <v>88.255359999999996</v>
      </c>
      <c r="CR506" s="25">
        <f t="shared" si="20"/>
        <v>1.2208756471716851E-2</v>
      </c>
      <c r="CS506" s="21">
        <f t="shared" si="21"/>
        <v>30.521891179292126</v>
      </c>
    </row>
    <row r="507" spans="1:97" x14ac:dyDescent="0.35">
      <c r="B507" t="s">
        <v>296</v>
      </c>
      <c r="C507" t="s">
        <v>2061</v>
      </c>
      <c r="D507" t="s">
        <v>395</v>
      </c>
      <c r="E507" t="s">
        <v>395</v>
      </c>
      <c r="F507" t="s">
        <v>396</v>
      </c>
      <c r="G507" t="s">
        <v>397</v>
      </c>
      <c r="H507" t="s">
        <v>398</v>
      </c>
      <c r="I507" t="s">
        <v>399</v>
      </c>
      <c r="J507" t="s">
        <v>749</v>
      </c>
      <c r="K507" t="s">
        <v>786</v>
      </c>
      <c r="L507" t="s">
        <v>787</v>
      </c>
      <c r="M507" t="s">
        <v>403</v>
      </c>
      <c r="N507">
        <v>1</v>
      </c>
      <c r="O507">
        <v>1</v>
      </c>
      <c r="P507" t="s">
        <v>949</v>
      </c>
      <c r="Q507" t="s">
        <v>430</v>
      </c>
      <c r="R507" t="s">
        <v>790</v>
      </c>
      <c r="S507" t="s">
        <v>950</v>
      </c>
      <c r="T507" t="s">
        <v>408</v>
      </c>
      <c r="U507">
        <v>50950075120</v>
      </c>
      <c r="W507">
        <v>25200</v>
      </c>
      <c r="X507" t="s">
        <v>409</v>
      </c>
      <c r="Y507" t="s">
        <v>410</v>
      </c>
      <c r="Z507" t="s">
        <v>410</v>
      </c>
      <c r="AA507" t="s">
        <v>411</v>
      </c>
      <c r="AB507" t="s">
        <v>554</v>
      </c>
      <c r="AC507" t="s">
        <v>411</v>
      </c>
      <c r="AD507">
        <v>46099</v>
      </c>
      <c r="AE507">
        <v>46216</v>
      </c>
      <c r="AF507">
        <v>46106</v>
      </c>
      <c r="AG507" t="s">
        <v>754</v>
      </c>
      <c r="AH507">
        <v>6148914</v>
      </c>
      <c r="AI507">
        <v>46099</v>
      </c>
      <c r="AJ507">
        <v>46100</v>
      </c>
      <c r="AK507">
        <v>25200</v>
      </c>
      <c r="AL507" t="s">
        <v>396</v>
      </c>
      <c r="AM507" t="s">
        <v>2062</v>
      </c>
      <c r="AN507">
        <v>46100</v>
      </c>
      <c r="AO507">
        <v>46100.601875</v>
      </c>
      <c r="AP507" t="s">
        <v>51</v>
      </c>
      <c r="AQ507">
        <v>0.63771999999999995</v>
      </c>
      <c r="AR507">
        <v>16070.54</v>
      </c>
      <c r="AS507" t="s">
        <v>51</v>
      </c>
      <c r="AT507">
        <v>16070.54</v>
      </c>
      <c r="AU507" t="s">
        <v>415</v>
      </c>
      <c r="AV507" t="s">
        <v>1420</v>
      </c>
      <c r="AW507" t="s">
        <v>1973</v>
      </c>
      <c r="AX507">
        <v>46106</v>
      </c>
      <c r="AY507">
        <v>46155</v>
      </c>
      <c r="AZ507" t="s">
        <v>2059</v>
      </c>
      <c r="BA507" t="s">
        <v>560</v>
      </c>
      <c r="BB507" t="s">
        <v>2060</v>
      </c>
      <c r="BC507">
        <v>350</v>
      </c>
      <c r="BD507" t="s">
        <v>521</v>
      </c>
      <c r="BE507">
        <v>3.74</v>
      </c>
      <c r="BF507">
        <v>2.0299999999999998</v>
      </c>
      <c r="BG507" t="s">
        <v>522</v>
      </c>
      <c r="BH507">
        <v>400</v>
      </c>
      <c r="BI507">
        <v>335</v>
      </c>
      <c r="BJ507">
        <v>230</v>
      </c>
      <c r="BK507">
        <v>36</v>
      </c>
      <c r="BL507" t="s">
        <v>521</v>
      </c>
      <c r="BM507">
        <v>159.63999999999999</v>
      </c>
      <c r="BN507">
        <v>73.08</v>
      </c>
      <c r="BO507">
        <v>319.27999999999997</v>
      </c>
      <c r="BP507" t="s">
        <v>522</v>
      </c>
      <c r="BQ507">
        <v>1219</v>
      </c>
      <c r="BR507">
        <v>1016</v>
      </c>
      <c r="BS507">
        <v>1080</v>
      </c>
      <c r="BT507">
        <v>2</v>
      </c>
      <c r="BU507">
        <v>0</v>
      </c>
      <c r="BV507">
        <v>2</v>
      </c>
      <c r="BW507">
        <v>72</v>
      </c>
      <c r="BX507">
        <v>0</v>
      </c>
      <c r="BY507">
        <v>72</v>
      </c>
      <c r="BZ507">
        <v>25200</v>
      </c>
      <c r="CA507">
        <v>0</v>
      </c>
      <c r="CB507">
        <v>25200</v>
      </c>
      <c r="CC507">
        <v>146.16</v>
      </c>
      <c r="CD507" t="s">
        <v>952</v>
      </c>
      <c r="CE507" t="s">
        <v>953</v>
      </c>
      <c r="CG507" t="s">
        <v>421</v>
      </c>
      <c r="CN507" t="str">
        <v>M19</v>
      </c>
      <c r="CO507" t="str">
        <v>1322-5YY0003EP</v>
      </c>
      <c r="CP507" t="str">
        <v>MSMU2474387</v>
      </c>
      <c r="CQ507" s="23">
        <v>56.984000000000002</v>
      </c>
      <c r="CR507" s="25">
        <f t="shared" si="20"/>
        <v>7.8828501609909361E-3</v>
      </c>
      <c r="CS507" s="21">
        <f t="shared" si="21"/>
        <v>19.707125402477342</v>
      </c>
    </row>
    <row r="508" spans="1:97" x14ac:dyDescent="0.35">
      <c r="B508" t="s">
        <v>296</v>
      </c>
      <c r="C508" t="s">
        <v>1174</v>
      </c>
      <c r="D508" t="s">
        <v>395</v>
      </c>
      <c r="E508" t="s">
        <v>395</v>
      </c>
      <c r="F508" t="s">
        <v>396</v>
      </c>
      <c r="G508" t="s">
        <v>397</v>
      </c>
      <c r="H508" t="s">
        <v>398</v>
      </c>
      <c r="I508" t="s">
        <v>399</v>
      </c>
      <c r="J508" t="s">
        <v>749</v>
      </c>
      <c r="K508" t="s">
        <v>786</v>
      </c>
      <c r="L508" t="s">
        <v>787</v>
      </c>
      <c r="M508" t="s">
        <v>403</v>
      </c>
      <c r="N508">
        <v>1</v>
      </c>
      <c r="O508">
        <v>3</v>
      </c>
      <c r="P508" t="s">
        <v>949</v>
      </c>
      <c r="Q508" t="s">
        <v>430</v>
      </c>
      <c r="R508" t="s">
        <v>790</v>
      </c>
      <c r="S508" t="s">
        <v>950</v>
      </c>
      <c r="T508" t="s">
        <v>408</v>
      </c>
      <c r="U508">
        <v>50950078180</v>
      </c>
      <c r="W508">
        <v>12600</v>
      </c>
      <c r="X508" t="s">
        <v>409</v>
      </c>
      <c r="Y508" t="s">
        <v>410</v>
      </c>
      <c r="Z508" t="s">
        <v>410</v>
      </c>
      <c r="AA508" t="s">
        <v>411</v>
      </c>
      <c r="AB508" t="s">
        <v>554</v>
      </c>
      <c r="AC508" t="s">
        <v>411</v>
      </c>
      <c r="AD508">
        <v>46099</v>
      </c>
      <c r="AE508">
        <v>46314</v>
      </c>
      <c r="AF508">
        <v>46106</v>
      </c>
      <c r="AG508" t="s">
        <v>754</v>
      </c>
      <c r="AH508">
        <v>6148915</v>
      </c>
      <c r="AI508">
        <v>46099</v>
      </c>
      <c r="AJ508">
        <v>46100</v>
      </c>
      <c r="AK508">
        <v>12600</v>
      </c>
      <c r="AL508" t="s">
        <v>396</v>
      </c>
      <c r="AM508" t="s">
        <v>2063</v>
      </c>
      <c r="AN508">
        <v>46100</v>
      </c>
      <c r="AO508">
        <v>46100.601875</v>
      </c>
      <c r="AP508" t="s">
        <v>51</v>
      </c>
      <c r="AQ508">
        <v>0.63771999999999995</v>
      </c>
      <c r="AR508">
        <v>8035.27</v>
      </c>
      <c r="AS508" t="s">
        <v>51</v>
      </c>
      <c r="AT508">
        <v>8035.27</v>
      </c>
      <c r="AU508" t="s">
        <v>415</v>
      </c>
      <c r="AV508" t="s">
        <v>1420</v>
      </c>
      <c r="AW508" t="s">
        <v>1973</v>
      </c>
      <c r="AX508">
        <v>46106</v>
      </c>
      <c r="AY508">
        <v>46155</v>
      </c>
      <c r="AZ508" t="s">
        <v>2059</v>
      </c>
      <c r="BA508" t="s">
        <v>560</v>
      </c>
      <c r="BB508" t="s">
        <v>2060</v>
      </c>
      <c r="BC508">
        <v>350</v>
      </c>
      <c r="BD508" t="s">
        <v>521</v>
      </c>
      <c r="BE508">
        <v>3.74</v>
      </c>
      <c r="BF508">
        <v>2.0299999999999998</v>
      </c>
      <c r="BG508" t="s">
        <v>522</v>
      </c>
      <c r="BH508">
        <v>400</v>
      </c>
      <c r="BI508">
        <v>335</v>
      </c>
      <c r="BJ508">
        <v>230</v>
      </c>
      <c r="BK508">
        <v>36</v>
      </c>
      <c r="BL508" t="s">
        <v>521</v>
      </c>
      <c r="BM508">
        <v>159.63999999999999</v>
      </c>
      <c r="BN508">
        <v>73.08</v>
      </c>
      <c r="BO508">
        <v>159.63999999999999</v>
      </c>
      <c r="BP508" t="s">
        <v>522</v>
      </c>
      <c r="BQ508">
        <v>1219</v>
      </c>
      <c r="BR508">
        <v>1016</v>
      </c>
      <c r="BS508">
        <v>1080</v>
      </c>
      <c r="BT508">
        <v>1</v>
      </c>
      <c r="BU508">
        <v>0</v>
      </c>
      <c r="BV508">
        <v>1</v>
      </c>
      <c r="BW508">
        <v>36</v>
      </c>
      <c r="BX508">
        <v>0</v>
      </c>
      <c r="BY508">
        <v>36</v>
      </c>
      <c r="BZ508">
        <v>12600</v>
      </c>
      <c r="CA508">
        <v>0</v>
      </c>
      <c r="CB508">
        <v>12600</v>
      </c>
      <c r="CC508">
        <v>73.08</v>
      </c>
      <c r="CD508" t="s">
        <v>952</v>
      </c>
      <c r="CE508" t="s">
        <v>953</v>
      </c>
      <c r="CG508" t="s">
        <v>421</v>
      </c>
      <c r="CN508" t="str">
        <v>M19</v>
      </c>
      <c r="CO508" t="str">
        <v>1326-5YY0082EN</v>
      </c>
      <c r="CP508" t="str">
        <v>MSMU2474387</v>
      </c>
      <c r="CQ508" s="23">
        <v>66.947199999999995</v>
      </c>
      <c r="CR508" s="25">
        <f t="shared" si="20"/>
        <v>9.261103929136115E-3</v>
      </c>
      <c r="CS508" s="21">
        <f t="shared" si="21"/>
        <v>23.152759822840288</v>
      </c>
    </row>
    <row r="509" spans="1:97" x14ac:dyDescent="0.35">
      <c r="B509" t="s">
        <v>299</v>
      </c>
      <c r="C509" t="s">
        <v>1987</v>
      </c>
      <c r="D509" t="s">
        <v>965</v>
      </c>
      <c r="E509" t="s">
        <v>395</v>
      </c>
      <c r="F509" t="s">
        <v>396</v>
      </c>
      <c r="G509" t="s">
        <v>397</v>
      </c>
      <c r="H509" t="s">
        <v>398</v>
      </c>
      <c r="I509" t="s">
        <v>399</v>
      </c>
      <c r="J509" t="s">
        <v>749</v>
      </c>
      <c r="K509" t="s">
        <v>526</v>
      </c>
      <c r="L509" t="s">
        <v>787</v>
      </c>
      <c r="M509" t="s">
        <v>403</v>
      </c>
      <c r="N509">
        <v>1</v>
      </c>
      <c r="O509">
        <v>3</v>
      </c>
      <c r="P509" t="s">
        <v>966</v>
      </c>
      <c r="Q509" t="s">
        <v>424</v>
      </c>
      <c r="R509" t="s">
        <v>959</v>
      </c>
      <c r="S509" t="s">
        <v>967</v>
      </c>
      <c r="T509" t="s">
        <v>408</v>
      </c>
      <c r="U509">
        <v>50950079530</v>
      </c>
      <c r="W509">
        <v>85536</v>
      </c>
      <c r="X509" t="s">
        <v>409</v>
      </c>
      <c r="Y509" t="s">
        <v>410</v>
      </c>
      <c r="Z509" t="s">
        <v>410</v>
      </c>
      <c r="AA509" t="s">
        <v>411</v>
      </c>
      <c r="AB509" t="s">
        <v>554</v>
      </c>
      <c r="AC509" t="s">
        <v>411</v>
      </c>
      <c r="AD509">
        <v>46088</v>
      </c>
      <c r="AE509">
        <v>46111</v>
      </c>
      <c r="AF509">
        <v>46106</v>
      </c>
      <c r="AG509" t="s">
        <v>754</v>
      </c>
      <c r="AH509">
        <v>6148916</v>
      </c>
      <c r="AI509">
        <v>46099</v>
      </c>
      <c r="AJ509">
        <v>46100</v>
      </c>
      <c r="AK509">
        <v>85536</v>
      </c>
      <c r="AL509" t="s">
        <v>396</v>
      </c>
      <c r="AM509" t="s">
        <v>2064</v>
      </c>
      <c r="AN509">
        <v>46100</v>
      </c>
      <c r="AO509">
        <v>46100.601875</v>
      </c>
      <c r="AP509" t="s">
        <v>51</v>
      </c>
      <c r="AQ509">
        <v>5.5079999999999997E-2</v>
      </c>
      <c r="AR509">
        <v>4711.32</v>
      </c>
      <c r="AS509" t="s">
        <v>51</v>
      </c>
      <c r="AT509">
        <v>4711.32</v>
      </c>
      <c r="AU509" t="s">
        <v>415</v>
      </c>
      <c r="AV509" t="s">
        <v>1420</v>
      </c>
      <c r="AW509" t="s">
        <v>1973</v>
      </c>
      <c r="AX509">
        <v>46106</v>
      </c>
      <c r="AY509">
        <v>46155</v>
      </c>
      <c r="AZ509" t="s">
        <v>2059</v>
      </c>
      <c r="BA509" t="s">
        <v>560</v>
      </c>
      <c r="BB509" t="s">
        <v>2060</v>
      </c>
      <c r="BC509">
        <v>594</v>
      </c>
      <c r="BD509" t="s">
        <v>521</v>
      </c>
      <c r="BE509">
        <v>8.2226999999999997</v>
      </c>
      <c r="BF509">
        <v>7.9726999999999997</v>
      </c>
      <c r="BG509" t="s">
        <v>522</v>
      </c>
      <c r="BH509">
        <v>286</v>
      </c>
      <c r="BI509">
        <v>190</v>
      </c>
      <c r="BJ509">
        <v>72</v>
      </c>
      <c r="BK509">
        <v>48</v>
      </c>
      <c r="BL509" t="s">
        <v>521</v>
      </c>
      <c r="BM509">
        <v>419.68959999999998</v>
      </c>
      <c r="BN509">
        <v>382.68959999999998</v>
      </c>
      <c r="BO509">
        <v>1259.064192</v>
      </c>
      <c r="BP509" t="s">
        <v>522</v>
      </c>
      <c r="BQ509">
        <v>1200</v>
      </c>
      <c r="BR509">
        <v>800</v>
      </c>
      <c r="BS509">
        <v>378</v>
      </c>
      <c r="BT509">
        <v>3</v>
      </c>
      <c r="BU509">
        <v>0</v>
      </c>
      <c r="BV509">
        <v>3</v>
      </c>
      <c r="BW509">
        <v>144</v>
      </c>
      <c r="BX509">
        <v>0</v>
      </c>
      <c r="BY509">
        <v>144</v>
      </c>
      <c r="BZ509">
        <v>85536</v>
      </c>
      <c r="CA509">
        <v>0</v>
      </c>
      <c r="CB509">
        <v>85536</v>
      </c>
      <c r="CC509">
        <v>1148.064192</v>
      </c>
      <c r="CD509" t="s">
        <v>969</v>
      </c>
      <c r="CE509" t="s">
        <v>970</v>
      </c>
      <c r="CG509" t="s">
        <v>421</v>
      </c>
      <c r="CN509" t="str">
        <v>MCS</v>
      </c>
      <c r="CO509" t="str">
        <v>1209-5YY0496EN</v>
      </c>
      <c r="CP509" t="str">
        <v>MSMU2474387</v>
      </c>
      <c r="CQ509" s="23">
        <v>84.926000000000002</v>
      </c>
      <c r="CR509" s="25">
        <f t="shared" si="20"/>
        <v>1.1748191295316514E-2</v>
      </c>
      <c r="CS509" s="21">
        <f t="shared" si="21"/>
        <v>29.370478238291284</v>
      </c>
    </row>
    <row r="510" spans="1:97" x14ac:dyDescent="0.35">
      <c r="B510" t="s">
        <v>299</v>
      </c>
      <c r="C510" t="s">
        <v>1989</v>
      </c>
      <c r="D510" t="s">
        <v>395</v>
      </c>
      <c r="E510" t="s">
        <v>395</v>
      </c>
      <c r="F510" t="s">
        <v>396</v>
      </c>
      <c r="G510" t="s">
        <v>397</v>
      </c>
      <c r="H510" t="s">
        <v>398</v>
      </c>
      <c r="I510" t="s">
        <v>399</v>
      </c>
      <c r="J510" t="s">
        <v>749</v>
      </c>
      <c r="K510" t="s">
        <v>526</v>
      </c>
      <c r="L510" t="s">
        <v>787</v>
      </c>
      <c r="M510" t="s">
        <v>403</v>
      </c>
      <c r="N510">
        <v>1</v>
      </c>
      <c r="O510">
        <v>2</v>
      </c>
      <c r="P510" t="s">
        <v>958</v>
      </c>
      <c r="Q510" t="s">
        <v>430</v>
      </c>
      <c r="R510" t="s">
        <v>959</v>
      </c>
      <c r="S510" t="s">
        <v>960</v>
      </c>
      <c r="T510" t="s">
        <v>408</v>
      </c>
      <c r="U510">
        <v>50950079379</v>
      </c>
      <c r="W510">
        <v>31104</v>
      </c>
      <c r="X510" t="s">
        <v>409</v>
      </c>
      <c r="Y510" t="s">
        <v>410</v>
      </c>
      <c r="Z510" t="s">
        <v>410</v>
      </c>
      <c r="AA510" t="s">
        <v>411</v>
      </c>
      <c r="AB510" t="s">
        <v>554</v>
      </c>
      <c r="AC510" t="s">
        <v>411</v>
      </c>
      <c r="AD510">
        <v>46097</v>
      </c>
      <c r="AE510">
        <v>46118</v>
      </c>
      <c r="AF510">
        <v>46106</v>
      </c>
      <c r="AG510" t="s">
        <v>754</v>
      </c>
      <c r="AH510">
        <v>6148917</v>
      </c>
      <c r="AI510">
        <v>46099</v>
      </c>
      <c r="AJ510">
        <v>46100</v>
      </c>
      <c r="AK510">
        <v>31104</v>
      </c>
      <c r="AL510" t="s">
        <v>396</v>
      </c>
      <c r="AM510" t="s">
        <v>2065</v>
      </c>
      <c r="AN510">
        <v>46100</v>
      </c>
      <c r="AO510">
        <v>46100.601875</v>
      </c>
      <c r="AP510" t="s">
        <v>51</v>
      </c>
      <c r="AQ510">
        <v>6.0139999999999999E-2</v>
      </c>
      <c r="AR510">
        <v>1870.59</v>
      </c>
      <c r="AS510" t="s">
        <v>51</v>
      </c>
      <c r="AT510">
        <v>1870.59</v>
      </c>
      <c r="AU510" t="s">
        <v>415</v>
      </c>
      <c r="AV510" t="s">
        <v>1420</v>
      </c>
      <c r="AW510" t="s">
        <v>1973</v>
      </c>
      <c r="AX510">
        <v>46106</v>
      </c>
      <c r="AY510">
        <v>46155</v>
      </c>
      <c r="AZ510" t="s">
        <v>2059</v>
      </c>
      <c r="BA510" t="s">
        <v>560</v>
      </c>
      <c r="BB510" t="s">
        <v>2060</v>
      </c>
      <c r="BC510">
        <v>576</v>
      </c>
      <c r="BD510" t="s">
        <v>521</v>
      </c>
      <c r="BE510">
        <v>8.5412999999999997</v>
      </c>
      <c r="BF510">
        <v>8.2673000000000005</v>
      </c>
      <c r="BG510" t="s">
        <v>522</v>
      </c>
      <c r="BH510">
        <v>320</v>
      </c>
      <c r="BI510">
        <v>190</v>
      </c>
      <c r="BJ510">
        <v>65</v>
      </c>
      <c r="BK510">
        <v>54</v>
      </c>
      <c r="BL510" t="s">
        <v>521</v>
      </c>
      <c r="BM510">
        <v>488.23171200000002</v>
      </c>
      <c r="BN510">
        <v>446.43571200000002</v>
      </c>
      <c r="BO510">
        <v>488.23171200000002</v>
      </c>
      <c r="BP510" t="s">
        <v>522</v>
      </c>
      <c r="BQ510">
        <v>1200</v>
      </c>
      <c r="BR510">
        <v>1000</v>
      </c>
      <c r="BS510">
        <v>355</v>
      </c>
      <c r="BT510">
        <v>1</v>
      </c>
      <c r="BU510">
        <v>0</v>
      </c>
      <c r="BV510">
        <v>1</v>
      </c>
      <c r="BW510">
        <v>54</v>
      </c>
      <c r="BX510">
        <v>0</v>
      </c>
      <c r="BY510">
        <v>54</v>
      </c>
      <c r="BZ510">
        <v>31104</v>
      </c>
      <c r="CA510">
        <v>0</v>
      </c>
      <c r="CB510">
        <v>31104</v>
      </c>
      <c r="CC510">
        <v>446.43571200000002</v>
      </c>
      <c r="CD510" t="s">
        <v>962</v>
      </c>
      <c r="CE510" t="s">
        <v>963</v>
      </c>
      <c r="CG510" t="s">
        <v>421</v>
      </c>
      <c r="CN510" t="str">
        <v>MCS</v>
      </c>
      <c r="CO510" t="str">
        <v>1209-5YY0494EN</v>
      </c>
      <c r="CP510" t="str">
        <v>MSMU2474387</v>
      </c>
      <c r="CQ510" s="23">
        <v>120.66816</v>
      </c>
      <c r="CR510" s="25">
        <f t="shared" si="20"/>
        <v>1.6692563254290329E-2</v>
      </c>
      <c r="CS510" s="21">
        <f t="shared" si="21"/>
        <v>41.731408135725822</v>
      </c>
    </row>
    <row r="511" spans="1:97" x14ac:dyDescent="0.35">
      <c r="B511" t="s">
        <v>296</v>
      </c>
      <c r="C511" t="s">
        <v>2066</v>
      </c>
      <c r="D511" t="s">
        <v>395</v>
      </c>
      <c r="E511" t="s">
        <v>395</v>
      </c>
      <c r="F511" t="s">
        <v>396</v>
      </c>
      <c r="G511" t="s">
        <v>397</v>
      </c>
      <c r="H511" t="s">
        <v>398</v>
      </c>
      <c r="I511" t="s">
        <v>399</v>
      </c>
      <c r="J511" t="s">
        <v>749</v>
      </c>
      <c r="K511" t="s">
        <v>515</v>
      </c>
      <c r="L511" t="s">
        <v>787</v>
      </c>
      <c r="M511" t="s">
        <v>403</v>
      </c>
      <c r="N511">
        <v>1</v>
      </c>
      <c r="O511">
        <v>1</v>
      </c>
      <c r="P511" t="s">
        <v>996</v>
      </c>
      <c r="Q511" t="s">
        <v>424</v>
      </c>
      <c r="R511" t="s">
        <v>997</v>
      </c>
      <c r="S511" t="s">
        <v>998</v>
      </c>
      <c r="T511" t="s">
        <v>408</v>
      </c>
      <c r="U511">
        <v>50950079794</v>
      </c>
      <c r="W511">
        <v>23000</v>
      </c>
      <c r="X511" t="s">
        <v>409</v>
      </c>
      <c r="Y511" t="s">
        <v>410</v>
      </c>
      <c r="Z511" t="s">
        <v>410</v>
      </c>
      <c r="AA511" t="s">
        <v>411</v>
      </c>
      <c r="AB511" t="s">
        <v>554</v>
      </c>
      <c r="AC511" t="s">
        <v>411</v>
      </c>
      <c r="AD511">
        <v>46097</v>
      </c>
      <c r="AE511">
        <v>46160</v>
      </c>
      <c r="AF511">
        <v>46106</v>
      </c>
      <c r="AG511" t="s">
        <v>754</v>
      </c>
      <c r="AH511">
        <v>6148918</v>
      </c>
      <c r="AI511">
        <v>46099</v>
      </c>
      <c r="AJ511">
        <v>46100</v>
      </c>
      <c r="AK511">
        <v>23000</v>
      </c>
      <c r="AL511" t="s">
        <v>396</v>
      </c>
      <c r="AM511" t="s">
        <v>2067</v>
      </c>
      <c r="AN511">
        <v>46100</v>
      </c>
      <c r="AO511">
        <v>46100.601875</v>
      </c>
      <c r="AP511" t="s">
        <v>51</v>
      </c>
      <c r="AQ511">
        <v>0.23293</v>
      </c>
      <c r="AR511">
        <v>5357.39</v>
      </c>
      <c r="AS511" t="s">
        <v>51</v>
      </c>
      <c r="AT511">
        <v>5357.39</v>
      </c>
      <c r="AU511" t="s">
        <v>415</v>
      </c>
      <c r="AV511" t="s">
        <v>1420</v>
      </c>
      <c r="AW511" t="s">
        <v>1973</v>
      </c>
      <c r="AX511">
        <v>46106</v>
      </c>
      <c r="AY511">
        <v>46155</v>
      </c>
      <c r="AZ511" t="s">
        <v>2059</v>
      </c>
      <c r="BA511" t="s">
        <v>560</v>
      </c>
      <c r="BB511" t="s">
        <v>2060</v>
      </c>
      <c r="BC511">
        <v>1000</v>
      </c>
      <c r="BD511" t="s">
        <v>521</v>
      </c>
      <c r="BE511">
        <v>11.22</v>
      </c>
      <c r="BF511">
        <v>10.5</v>
      </c>
      <c r="BG511" t="s">
        <v>522</v>
      </c>
      <c r="BH511">
        <v>395</v>
      </c>
      <c r="BI511">
        <v>295</v>
      </c>
      <c r="BJ511">
        <v>220</v>
      </c>
      <c r="BK511">
        <v>32</v>
      </c>
      <c r="BL511" t="s">
        <v>521</v>
      </c>
      <c r="BM511">
        <v>283.06</v>
      </c>
      <c r="BN511">
        <v>241.5</v>
      </c>
      <c r="BO511">
        <v>283.06</v>
      </c>
      <c r="BP511" t="s">
        <v>522</v>
      </c>
      <c r="BQ511">
        <v>1200</v>
      </c>
      <c r="BR511">
        <v>800</v>
      </c>
      <c r="BS511">
        <v>1040</v>
      </c>
      <c r="BT511">
        <v>0</v>
      </c>
      <c r="BU511">
        <v>1</v>
      </c>
      <c r="BV511">
        <v>1</v>
      </c>
      <c r="BW511">
        <v>23</v>
      </c>
      <c r="BX511">
        <v>0</v>
      </c>
      <c r="BY511">
        <v>23</v>
      </c>
      <c r="BZ511">
        <v>0</v>
      </c>
      <c r="CA511">
        <v>23000</v>
      </c>
      <c r="CB511">
        <v>23000</v>
      </c>
      <c r="CC511">
        <v>241.5</v>
      </c>
      <c r="CD511" t="s">
        <v>1000</v>
      </c>
      <c r="CE511" t="s">
        <v>620</v>
      </c>
      <c r="CG511" t="s">
        <v>421</v>
      </c>
      <c r="CN511" t="str">
        <v>M46</v>
      </c>
      <c r="CO511" t="str">
        <v>1101-EQN0004EN</v>
      </c>
      <c r="CP511" t="str">
        <v>MSMU2474387</v>
      </c>
      <c r="CQ511" s="23">
        <v>88.147199999999998</v>
      </c>
      <c r="CR511" s="25">
        <f t="shared" si="20"/>
        <v>1.2193794217866422E-2</v>
      </c>
      <c r="CS511" s="21">
        <f t="shared" si="21"/>
        <v>30.484485544666054</v>
      </c>
    </row>
    <row r="512" spans="1:97" x14ac:dyDescent="0.35">
      <c r="B512" t="s">
        <v>299</v>
      </c>
      <c r="C512" t="s">
        <v>1380</v>
      </c>
      <c r="D512" t="s">
        <v>965</v>
      </c>
      <c r="E512" t="s">
        <v>395</v>
      </c>
      <c r="F512" t="s">
        <v>396</v>
      </c>
      <c r="G512" t="s">
        <v>397</v>
      </c>
      <c r="H512" t="s">
        <v>398</v>
      </c>
      <c r="I512" t="s">
        <v>399</v>
      </c>
      <c r="J512" t="s">
        <v>749</v>
      </c>
      <c r="K512" t="s">
        <v>809</v>
      </c>
      <c r="L512" t="s">
        <v>787</v>
      </c>
      <c r="M512" t="s">
        <v>403</v>
      </c>
      <c r="N512">
        <v>1</v>
      </c>
      <c r="O512">
        <v>3</v>
      </c>
      <c r="P512" t="s">
        <v>810</v>
      </c>
      <c r="Q512" t="s">
        <v>405</v>
      </c>
      <c r="R512" t="s">
        <v>811</v>
      </c>
      <c r="S512" t="s">
        <v>812</v>
      </c>
      <c r="T512" t="s">
        <v>408</v>
      </c>
      <c r="U512">
        <v>50950080270</v>
      </c>
      <c r="W512">
        <v>2880</v>
      </c>
      <c r="X512" t="s">
        <v>409</v>
      </c>
      <c r="Y512" t="s">
        <v>410</v>
      </c>
      <c r="Z512" t="s">
        <v>410</v>
      </c>
      <c r="AA512" t="s">
        <v>411</v>
      </c>
      <c r="AB512" t="s">
        <v>554</v>
      </c>
      <c r="AC512" t="s">
        <v>411</v>
      </c>
      <c r="AD512">
        <v>46102</v>
      </c>
      <c r="AE512">
        <v>46125</v>
      </c>
      <c r="AF512">
        <v>46106</v>
      </c>
      <c r="AG512" t="s">
        <v>754</v>
      </c>
      <c r="AH512">
        <v>6148919</v>
      </c>
      <c r="AI512">
        <v>46099</v>
      </c>
      <c r="AJ512">
        <v>46100</v>
      </c>
      <c r="AK512">
        <v>2880</v>
      </c>
      <c r="AL512" t="s">
        <v>396</v>
      </c>
      <c r="AM512" t="s">
        <v>2068</v>
      </c>
      <c r="AN512">
        <v>46100</v>
      </c>
      <c r="AO512">
        <v>46100.601875</v>
      </c>
      <c r="AP512" t="s">
        <v>51</v>
      </c>
      <c r="AQ512">
        <v>1.96204</v>
      </c>
      <c r="AR512">
        <v>5650.68</v>
      </c>
      <c r="AS512" t="s">
        <v>51</v>
      </c>
      <c r="AT512">
        <v>5650.68</v>
      </c>
      <c r="AU512" t="s">
        <v>415</v>
      </c>
      <c r="AV512" t="s">
        <v>1420</v>
      </c>
      <c r="AW512" t="s">
        <v>1973</v>
      </c>
      <c r="AX512">
        <v>46106</v>
      </c>
      <c r="AY512">
        <v>46155</v>
      </c>
      <c r="AZ512" t="s">
        <v>2059</v>
      </c>
      <c r="BA512" t="s">
        <v>560</v>
      </c>
      <c r="BB512" t="s">
        <v>2060</v>
      </c>
      <c r="BC512">
        <v>16</v>
      </c>
      <c r="BD512" t="s">
        <v>521</v>
      </c>
      <c r="BE512">
        <v>4.9545000000000003</v>
      </c>
      <c r="BF512">
        <v>3.7555000000000001</v>
      </c>
      <c r="BG512" t="s">
        <v>522</v>
      </c>
      <c r="BH512">
        <v>495</v>
      </c>
      <c r="BI512">
        <v>395</v>
      </c>
      <c r="BJ512">
        <v>190</v>
      </c>
      <c r="BK512">
        <v>30</v>
      </c>
      <c r="BL512" t="s">
        <v>521</v>
      </c>
      <c r="BM512">
        <v>175.63499999999999</v>
      </c>
      <c r="BN512">
        <v>112.66500000000001</v>
      </c>
      <c r="BO512">
        <v>1053.8136</v>
      </c>
      <c r="BP512" t="s">
        <v>522</v>
      </c>
      <c r="BQ512">
        <v>1200</v>
      </c>
      <c r="BR512">
        <v>1000</v>
      </c>
      <c r="BS512">
        <v>1120</v>
      </c>
      <c r="BT512">
        <v>6</v>
      </c>
      <c r="BU512">
        <v>0</v>
      </c>
      <c r="BV512">
        <v>6</v>
      </c>
      <c r="BW512">
        <v>180</v>
      </c>
      <c r="BX512">
        <v>0</v>
      </c>
      <c r="BY512">
        <v>180</v>
      </c>
      <c r="BZ512">
        <v>2880</v>
      </c>
      <c r="CA512">
        <v>0</v>
      </c>
      <c r="CB512">
        <v>2880</v>
      </c>
      <c r="CC512">
        <v>675.99360000000001</v>
      </c>
      <c r="CD512" t="s">
        <v>806</v>
      </c>
      <c r="CE512" t="s">
        <v>816</v>
      </c>
      <c r="CG512" t="s">
        <v>421</v>
      </c>
      <c r="CN512" t="str">
        <v>M46</v>
      </c>
      <c r="CO512" t="str">
        <v>1308-1040009EN</v>
      </c>
      <c r="CP512" t="str">
        <v>MSMU2474387</v>
      </c>
      <c r="CQ512" s="23">
        <v>23.239000000000001</v>
      </c>
      <c r="CR512" s="25">
        <f t="shared" si="20"/>
        <v>3.2147542273492273E-3</v>
      </c>
      <c r="CS512" s="21">
        <f t="shared" si="21"/>
        <v>8.0368855683730676</v>
      </c>
    </row>
    <row r="513" spans="2:97" x14ac:dyDescent="0.35">
      <c r="B513" t="s">
        <v>299</v>
      </c>
      <c r="C513" t="s">
        <v>1937</v>
      </c>
      <c r="D513" t="s">
        <v>395</v>
      </c>
      <c r="E513" t="s">
        <v>395</v>
      </c>
      <c r="F513" t="s">
        <v>396</v>
      </c>
      <c r="G513" t="s">
        <v>397</v>
      </c>
      <c r="H513" t="s">
        <v>398</v>
      </c>
      <c r="I513" t="s">
        <v>399</v>
      </c>
      <c r="J513" t="s">
        <v>749</v>
      </c>
      <c r="K513" t="s">
        <v>809</v>
      </c>
      <c r="L513" t="s">
        <v>787</v>
      </c>
      <c r="M513" t="s">
        <v>403</v>
      </c>
      <c r="N513">
        <v>1</v>
      </c>
      <c r="O513">
        <v>2</v>
      </c>
      <c r="P513" t="s">
        <v>818</v>
      </c>
      <c r="Q513" t="s">
        <v>430</v>
      </c>
      <c r="R513" t="s">
        <v>811</v>
      </c>
      <c r="S513" t="s">
        <v>819</v>
      </c>
      <c r="T513" t="s">
        <v>408</v>
      </c>
      <c r="U513">
        <v>50950080296</v>
      </c>
      <c r="W513">
        <v>4320</v>
      </c>
      <c r="X513" t="s">
        <v>409</v>
      </c>
      <c r="Y513" t="s">
        <v>410</v>
      </c>
      <c r="Z513" t="s">
        <v>410</v>
      </c>
      <c r="AA513" t="s">
        <v>411</v>
      </c>
      <c r="AB513" t="s">
        <v>554</v>
      </c>
      <c r="AC513" t="s">
        <v>411</v>
      </c>
      <c r="AD513">
        <v>46102</v>
      </c>
      <c r="AE513">
        <v>46132</v>
      </c>
      <c r="AF513">
        <v>46106</v>
      </c>
      <c r="AG513" t="s">
        <v>754</v>
      </c>
      <c r="AH513">
        <v>6148920</v>
      </c>
      <c r="AI513">
        <v>46099</v>
      </c>
      <c r="AJ513">
        <v>46100</v>
      </c>
      <c r="AK513">
        <v>4320</v>
      </c>
      <c r="AL513" t="s">
        <v>396</v>
      </c>
      <c r="AM513" t="s">
        <v>2069</v>
      </c>
      <c r="AN513">
        <v>46100</v>
      </c>
      <c r="AO513">
        <v>46100.601875</v>
      </c>
      <c r="AP513" t="s">
        <v>51</v>
      </c>
      <c r="AQ513">
        <v>1.20448</v>
      </c>
      <c r="AR513">
        <v>5203.3500000000004</v>
      </c>
      <c r="AS513" t="s">
        <v>51</v>
      </c>
      <c r="AT513">
        <v>5203.3500000000004</v>
      </c>
      <c r="AU513" t="s">
        <v>415</v>
      </c>
      <c r="AV513" t="s">
        <v>1420</v>
      </c>
      <c r="AW513" t="s">
        <v>1973</v>
      </c>
      <c r="AX513">
        <v>46106</v>
      </c>
      <c r="AY513">
        <v>46155</v>
      </c>
      <c r="AZ513" t="s">
        <v>2059</v>
      </c>
      <c r="BA513" t="s">
        <v>560</v>
      </c>
      <c r="BB513" t="s">
        <v>2060</v>
      </c>
      <c r="BC513">
        <v>48</v>
      </c>
      <c r="BD513" t="s">
        <v>521</v>
      </c>
      <c r="BE513">
        <v>7.6898999999999997</v>
      </c>
      <c r="BF513">
        <v>6.2298999999999998</v>
      </c>
      <c r="BG513" t="s">
        <v>522</v>
      </c>
      <c r="BH513">
        <v>495</v>
      </c>
      <c r="BI513">
        <v>395</v>
      </c>
      <c r="BJ513">
        <v>190</v>
      </c>
      <c r="BK513">
        <v>30</v>
      </c>
      <c r="BL513" t="s">
        <v>521</v>
      </c>
      <c r="BM513">
        <v>257.697</v>
      </c>
      <c r="BN513">
        <v>186.89699999999999</v>
      </c>
      <c r="BO513">
        <v>773.09280000000001</v>
      </c>
      <c r="BP513" t="s">
        <v>522</v>
      </c>
      <c r="BQ513">
        <v>1200</v>
      </c>
      <c r="BR513">
        <v>1000</v>
      </c>
      <c r="BS513">
        <v>1120</v>
      </c>
      <c r="BT513">
        <v>3</v>
      </c>
      <c r="BU513">
        <v>0</v>
      </c>
      <c r="BV513">
        <v>3</v>
      </c>
      <c r="BW513">
        <v>90</v>
      </c>
      <c r="BX513">
        <v>0</v>
      </c>
      <c r="BY513">
        <v>90</v>
      </c>
      <c r="BZ513">
        <v>4320</v>
      </c>
      <c r="CA513">
        <v>0</v>
      </c>
      <c r="CB513">
        <v>4320</v>
      </c>
      <c r="CC513">
        <v>560.69280000000003</v>
      </c>
      <c r="CD513" t="s">
        <v>806</v>
      </c>
      <c r="CE513" t="s">
        <v>821</v>
      </c>
      <c r="CG513" t="s">
        <v>421</v>
      </c>
      <c r="CN513" t="str">
        <v>M46</v>
      </c>
      <c r="CO513" t="str">
        <v>1313-1060051EN</v>
      </c>
      <c r="CP513" t="str">
        <v>MSMU2474387</v>
      </c>
      <c r="CQ513" s="23">
        <v>323.55</v>
      </c>
      <c r="CR513" s="25">
        <f t="shared" si="20"/>
        <v>4.4758110515032597E-2</v>
      </c>
      <c r="CS513" s="21">
        <f t="shared" si="21"/>
        <v>111.8952762875815</v>
      </c>
    </row>
    <row r="514" spans="2:97" x14ac:dyDescent="0.35">
      <c r="B514" t="s">
        <v>299</v>
      </c>
      <c r="C514" t="s">
        <v>1937</v>
      </c>
      <c r="D514" t="s">
        <v>395</v>
      </c>
      <c r="E514" t="s">
        <v>395</v>
      </c>
      <c r="F514" t="s">
        <v>396</v>
      </c>
      <c r="G514" t="s">
        <v>397</v>
      </c>
      <c r="H514" t="s">
        <v>398</v>
      </c>
      <c r="I514" t="s">
        <v>399</v>
      </c>
      <c r="J514" t="s">
        <v>749</v>
      </c>
      <c r="K514" t="s">
        <v>809</v>
      </c>
      <c r="L514" t="s">
        <v>787</v>
      </c>
      <c r="M514" t="s">
        <v>403</v>
      </c>
      <c r="N514">
        <v>1</v>
      </c>
      <c r="O514">
        <v>5</v>
      </c>
      <c r="P514" t="s">
        <v>818</v>
      </c>
      <c r="Q514" t="s">
        <v>430</v>
      </c>
      <c r="R514" t="s">
        <v>811</v>
      </c>
      <c r="S514" t="s">
        <v>819</v>
      </c>
      <c r="T514" t="s">
        <v>408</v>
      </c>
      <c r="U514">
        <v>50950080296</v>
      </c>
      <c r="W514">
        <v>2880</v>
      </c>
      <c r="X514" t="s">
        <v>409</v>
      </c>
      <c r="Y514" t="s">
        <v>410</v>
      </c>
      <c r="Z514" t="s">
        <v>410</v>
      </c>
      <c r="AA514" t="s">
        <v>411</v>
      </c>
      <c r="AB514" t="s">
        <v>554</v>
      </c>
      <c r="AC514" t="s">
        <v>411</v>
      </c>
      <c r="AD514">
        <v>46095</v>
      </c>
      <c r="AE514">
        <v>46132</v>
      </c>
      <c r="AF514">
        <v>46106</v>
      </c>
      <c r="AG514" t="s">
        <v>754</v>
      </c>
      <c r="AH514">
        <v>6148920</v>
      </c>
      <c r="AI514">
        <v>46099</v>
      </c>
      <c r="AJ514">
        <v>46100</v>
      </c>
      <c r="AK514">
        <v>2880</v>
      </c>
      <c r="AL514" t="s">
        <v>396</v>
      </c>
      <c r="AM514" t="s">
        <v>2069</v>
      </c>
      <c r="AN514">
        <v>46100</v>
      </c>
      <c r="AO514">
        <v>46100.601875</v>
      </c>
      <c r="AP514" t="s">
        <v>51</v>
      </c>
      <c r="AQ514">
        <v>1.20448</v>
      </c>
      <c r="AR514">
        <v>3468.9</v>
      </c>
      <c r="AS514" t="s">
        <v>51</v>
      </c>
      <c r="AT514">
        <v>3468.9</v>
      </c>
      <c r="AU514" t="s">
        <v>415</v>
      </c>
      <c r="AV514" t="s">
        <v>1420</v>
      </c>
      <c r="AW514" t="s">
        <v>1973</v>
      </c>
      <c r="AX514">
        <v>46106</v>
      </c>
      <c r="AY514">
        <v>46155</v>
      </c>
      <c r="AZ514" t="s">
        <v>2059</v>
      </c>
      <c r="BA514" t="s">
        <v>560</v>
      </c>
      <c r="BB514" t="s">
        <v>2060</v>
      </c>
      <c r="BC514">
        <v>48</v>
      </c>
      <c r="BD514" t="s">
        <v>521</v>
      </c>
      <c r="BE514">
        <v>7.6898999999999997</v>
      </c>
      <c r="BF514">
        <v>6.2298999999999998</v>
      </c>
      <c r="BG514" t="s">
        <v>522</v>
      </c>
      <c r="BH514">
        <v>495</v>
      </c>
      <c r="BI514">
        <v>395</v>
      </c>
      <c r="BJ514">
        <v>190</v>
      </c>
      <c r="BK514">
        <v>30</v>
      </c>
      <c r="BL514" t="s">
        <v>521</v>
      </c>
      <c r="BM514">
        <v>257.697</v>
      </c>
      <c r="BN514">
        <v>186.89699999999999</v>
      </c>
      <c r="BO514">
        <v>515.39520000000005</v>
      </c>
      <c r="BP514" t="s">
        <v>522</v>
      </c>
      <c r="BQ514">
        <v>1200</v>
      </c>
      <c r="BR514">
        <v>1000</v>
      </c>
      <c r="BS514">
        <v>1120</v>
      </c>
      <c r="BT514">
        <v>2</v>
      </c>
      <c r="BU514">
        <v>0</v>
      </c>
      <c r="BV514">
        <v>2</v>
      </c>
      <c r="BW514">
        <v>60</v>
      </c>
      <c r="BX514">
        <v>0</v>
      </c>
      <c r="BY514">
        <v>60</v>
      </c>
      <c r="BZ514">
        <v>2880</v>
      </c>
      <c r="CA514">
        <v>0</v>
      </c>
      <c r="CB514">
        <v>2880</v>
      </c>
      <c r="CC514">
        <v>373.79520000000002</v>
      </c>
      <c r="CD514" t="s">
        <v>806</v>
      </c>
      <c r="CE514" t="s">
        <v>821</v>
      </c>
      <c r="CG514" t="s">
        <v>421</v>
      </c>
      <c r="CN514" t="str">
        <v>M45</v>
      </c>
      <c r="CO514" t="str">
        <v>1101-10C0357EN</v>
      </c>
      <c r="CP514" t="str">
        <v>MSMU2474387</v>
      </c>
      <c r="CQ514" s="23">
        <v>810.24</v>
      </c>
      <c r="CR514" s="25">
        <f t="shared" si="20"/>
        <v>0.1120841028085304</v>
      </c>
      <c r="CS514" s="21">
        <f t="shared" si="21"/>
        <v>280.21025702132602</v>
      </c>
    </row>
    <row r="515" spans="2:97" x14ac:dyDescent="0.35">
      <c r="B515" t="s">
        <v>297</v>
      </c>
      <c r="C515" t="s">
        <v>1382</v>
      </c>
      <c r="D515" t="s">
        <v>395</v>
      </c>
      <c r="E515" t="s">
        <v>395</v>
      </c>
      <c r="F515" t="s">
        <v>396</v>
      </c>
      <c r="G515" t="s">
        <v>397</v>
      </c>
      <c r="H515" t="s">
        <v>398</v>
      </c>
      <c r="I515" t="s">
        <v>399</v>
      </c>
      <c r="J515" t="s">
        <v>749</v>
      </c>
      <c r="K515" t="s">
        <v>1142</v>
      </c>
      <c r="L515" t="s">
        <v>787</v>
      </c>
      <c r="M515" t="s">
        <v>403</v>
      </c>
      <c r="N515">
        <v>4</v>
      </c>
      <c r="O515">
        <v>1</v>
      </c>
      <c r="P515" t="s">
        <v>1383</v>
      </c>
      <c r="Q515" t="s">
        <v>430</v>
      </c>
      <c r="R515" t="s">
        <v>1384</v>
      </c>
      <c r="S515" t="s">
        <v>1385</v>
      </c>
      <c r="T515" t="s">
        <v>408</v>
      </c>
      <c r="U515">
        <v>50950080797</v>
      </c>
      <c r="W515">
        <v>2280000</v>
      </c>
      <c r="X515" t="s">
        <v>409</v>
      </c>
      <c r="Y515" t="s">
        <v>410</v>
      </c>
      <c r="Z515" t="s">
        <v>410</v>
      </c>
      <c r="AA515" t="s">
        <v>411</v>
      </c>
      <c r="AB515" t="s">
        <v>554</v>
      </c>
      <c r="AC515" t="s">
        <v>411</v>
      </c>
      <c r="AD515">
        <v>46102</v>
      </c>
      <c r="AE515">
        <v>46160</v>
      </c>
      <c r="AF515">
        <v>46106</v>
      </c>
      <c r="AG515" t="s">
        <v>754</v>
      </c>
      <c r="AH515">
        <v>6148842</v>
      </c>
      <c r="AI515">
        <v>46099</v>
      </c>
      <c r="AJ515">
        <v>46100</v>
      </c>
      <c r="AK515">
        <v>2280000</v>
      </c>
      <c r="AL515" t="s">
        <v>396</v>
      </c>
      <c r="AM515" t="s">
        <v>2070</v>
      </c>
      <c r="AN515">
        <v>46100</v>
      </c>
      <c r="AO515">
        <v>46100.413935185185</v>
      </c>
      <c r="AP515" t="s">
        <v>51</v>
      </c>
      <c r="AQ515">
        <v>1.17E-3</v>
      </c>
      <c r="AR515">
        <v>2667.6</v>
      </c>
      <c r="AS515" t="s">
        <v>51</v>
      </c>
      <c r="AT515">
        <v>2667.6</v>
      </c>
      <c r="AU515" t="s">
        <v>415</v>
      </c>
      <c r="AV515" t="s">
        <v>557</v>
      </c>
      <c r="AW515" t="s">
        <v>2044</v>
      </c>
      <c r="AX515">
        <v>46106</v>
      </c>
      <c r="AY515">
        <v>46155</v>
      </c>
      <c r="AZ515" t="s">
        <v>2045</v>
      </c>
      <c r="BA515" t="s">
        <v>560</v>
      </c>
      <c r="BB515" t="s">
        <v>2046</v>
      </c>
      <c r="BC515">
        <v>760000</v>
      </c>
      <c r="BD515" t="s">
        <v>521</v>
      </c>
      <c r="BE515">
        <v>382.68</v>
      </c>
      <c r="BF515">
        <v>317.68</v>
      </c>
      <c r="BG515" t="s">
        <v>522</v>
      </c>
      <c r="BH515">
        <v>1050</v>
      </c>
      <c r="BI515">
        <v>480</v>
      </c>
      <c r="BJ515">
        <v>460</v>
      </c>
      <c r="BK515">
        <v>1</v>
      </c>
      <c r="BL515" t="s">
        <v>521</v>
      </c>
      <c r="BM515">
        <v>399.08</v>
      </c>
      <c r="BN515">
        <v>317.68</v>
      </c>
      <c r="BO515">
        <v>1197.24</v>
      </c>
      <c r="BP515" t="s">
        <v>522</v>
      </c>
      <c r="BQ515">
        <v>1050</v>
      </c>
      <c r="BR515">
        <v>480</v>
      </c>
      <c r="BS515">
        <v>480</v>
      </c>
      <c r="BT515">
        <v>3</v>
      </c>
      <c r="BU515">
        <v>0</v>
      </c>
      <c r="BV515">
        <v>3</v>
      </c>
      <c r="BW515">
        <v>3</v>
      </c>
      <c r="BX515">
        <v>0</v>
      </c>
      <c r="BY515">
        <v>3</v>
      </c>
      <c r="BZ515">
        <v>2280000</v>
      </c>
      <c r="CA515">
        <v>0</v>
      </c>
      <c r="CB515">
        <v>2280000</v>
      </c>
      <c r="CC515">
        <v>953.04</v>
      </c>
      <c r="CD515" t="s">
        <v>1387</v>
      </c>
      <c r="CE515" t="s">
        <v>1388</v>
      </c>
      <c r="CG515" t="s">
        <v>421</v>
      </c>
      <c r="CN515" t="str">
        <v>M46</v>
      </c>
      <c r="CO515" t="str">
        <v>1110-EQN0001EN</v>
      </c>
      <c r="CP515" t="str">
        <v>MSMU2474387</v>
      </c>
      <c r="CQ515" s="23">
        <v>9.85</v>
      </c>
      <c r="CR515" s="25">
        <f t="shared" si="20"/>
        <v>1.36259430867894E-3</v>
      </c>
      <c r="CS515" s="21">
        <f t="shared" si="21"/>
        <v>3.40648577169735</v>
      </c>
    </row>
    <row r="516" spans="2:97" x14ac:dyDescent="0.35">
      <c r="B516" t="s">
        <v>299</v>
      </c>
      <c r="C516" t="s">
        <v>2071</v>
      </c>
      <c r="D516" t="s">
        <v>395</v>
      </c>
      <c r="E516" t="s">
        <v>395</v>
      </c>
      <c r="F516" t="s">
        <v>396</v>
      </c>
      <c r="G516" t="s">
        <v>397</v>
      </c>
      <c r="H516" t="s">
        <v>398</v>
      </c>
      <c r="I516" t="s">
        <v>399</v>
      </c>
      <c r="J516" t="s">
        <v>749</v>
      </c>
      <c r="K516" t="s">
        <v>809</v>
      </c>
      <c r="L516" t="s">
        <v>787</v>
      </c>
      <c r="M516" t="s">
        <v>403</v>
      </c>
      <c r="N516">
        <v>1</v>
      </c>
      <c r="O516">
        <v>1</v>
      </c>
      <c r="P516" t="s">
        <v>1138</v>
      </c>
      <c r="Q516" t="s">
        <v>943</v>
      </c>
      <c r="R516" t="s">
        <v>811</v>
      </c>
      <c r="S516" t="s">
        <v>1139</v>
      </c>
      <c r="T516" t="s">
        <v>408</v>
      </c>
      <c r="U516">
        <v>50950081253</v>
      </c>
      <c r="W516">
        <v>6720</v>
      </c>
      <c r="X516" t="s">
        <v>409</v>
      </c>
      <c r="Y516" t="s">
        <v>410</v>
      </c>
      <c r="Z516" t="s">
        <v>410</v>
      </c>
      <c r="AA516" t="s">
        <v>411</v>
      </c>
      <c r="AB516" t="s">
        <v>554</v>
      </c>
      <c r="AC516" t="s">
        <v>411</v>
      </c>
      <c r="AD516">
        <v>46095</v>
      </c>
      <c r="AE516">
        <v>46153</v>
      </c>
      <c r="AF516">
        <v>46106</v>
      </c>
      <c r="AG516" t="s">
        <v>754</v>
      </c>
      <c r="AH516">
        <v>6148921</v>
      </c>
      <c r="AI516">
        <v>46099</v>
      </c>
      <c r="AJ516">
        <v>46100</v>
      </c>
      <c r="AK516">
        <v>6720</v>
      </c>
      <c r="AL516" t="s">
        <v>396</v>
      </c>
      <c r="AM516" t="s">
        <v>2072</v>
      </c>
      <c r="AN516">
        <v>46100</v>
      </c>
      <c r="AO516">
        <v>46100.601875</v>
      </c>
      <c r="AP516" t="s">
        <v>51</v>
      </c>
      <c r="AQ516">
        <v>1.50905</v>
      </c>
      <c r="AR516">
        <v>10140.76</v>
      </c>
      <c r="AS516" t="s">
        <v>51</v>
      </c>
      <c r="AT516">
        <v>10140.76</v>
      </c>
      <c r="AU516" t="s">
        <v>415</v>
      </c>
      <c r="AV516" t="s">
        <v>1420</v>
      </c>
      <c r="AW516" t="s">
        <v>1973</v>
      </c>
      <c r="AX516">
        <v>46106</v>
      </c>
      <c r="AY516">
        <v>46155</v>
      </c>
      <c r="AZ516" t="s">
        <v>2059</v>
      </c>
      <c r="BA516" t="s">
        <v>560</v>
      </c>
      <c r="BB516" t="s">
        <v>2060</v>
      </c>
      <c r="BC516">
        <v>16</v>
      </c>
      <c r="BD516" t="s">
        <v>521</v>
      </c>
      <c r="BE516">
        <v>4.0369000000000002</v>
      </c>
      <c r="BF516">
        <v>2.8378999999999999</v>
      </c>
      <c r="BG516" t="s">
        <v>522</v>
      </c>
      <c r="BH516">
        <v>495</v>
      </c>
      <c r="BI516">
        <v>395</v>
      </c>
      <c r="BJ516">
        <v>190</v>
      </c>
      <c r="BK516">
        <v>30</v>
      </c>
      <c r="BL516" t="s">
        <v>521</v>
      </c>
      <c r="BM516">
        <v>148.107</v>
      </c>
      <c r="BN516">
        <v>85.137</v>
      </c>
      <c r="BO516">
        <v>2073.4795199999999</v>
      </c>
      <c r="BP516" t="s">
        <v>522</v>
      </c>
      <c r="BQ516">
        <v>1200</v>
      </c>
      <c r="BR516">
        <v>1000</v>
      </c>
      <c r="BS516">
        <v>1120</v>
      </c>
      <c r="BT516">
        <v>14</v>
      </c>
      <c r="BU516">
        <v>0</v>
      </c>
      <c r="BV516">
        <v>14</v>
      </c>
      <c r="BW516">
        <v>420</v>
      </c>
      <c r="BX516">
        <v>0</v>
      </c>
      <c r="BY516">
        <v>420</v>
      </c>
      <c r="BZ516">
        <v>6720</v>
      </c>
      <c r="CA516">
        <v>0</v>
      </c>
      <c r="CB516">
        <v>6720</v>
      </c>
      <c r="CC516">
        <v>1191.8995199999999</v>
      </c>
      <c r="CD516" t="s">
        <v>806</v>
      </c>
      <c r="CE516" t="s">
        <v>816</v>
      </c>
      <c r="CG516" t="s">
        <v>421</v>
      </c>
      <c r="CN516" t="str">
        <v>M01</v>
      </c>
      <c r="CO516" t="str">
        <v>1101-1130211EN</v>
      </c>
      <c r="CP516" t="str">
        <v>MSMU2474387</v>
      </c>
      <c r="CQ516" s="23">
        <v>59.164999999999999</v>
      </c>
      <c r="CR516" s="25">
        <f t="shared" si="20"/>
        <v>8.1845575911664459E-3</v>
      </c>
      <c r="CS516" s="21">
        <f t="shared" si="21"/>
        <v>20.461393977916114</v>
      </c>
    </row>
    <row r="517" spans="2:97" x14ac:dyDescent="0.35">
      <c r="B517" t="s">
        <v>299</v>
      </c>
      <c r="C517" t="s">
        <v>2073</v>
      </c>
      <c r="D517" t="s">
        <v>395</v>
      </c>
      <c r="E517" t="s">
        <v>395</v>
      </c>
      <c r="F517" t="s">
        <v>396</v>
      </c>
      <c r="G517" t="s">
        <v>397</v>
      </c>
      <c r="H517" t="s">
        <v>398</v>
      </c>
      <c r="I517" t="s">
        <v>399</v>
      </c>
      <c r="J517" t="s">
        <v>749</v>
      </c>
      <c r="K517" t="s">
        <v>809</v>
      </c>
      <c r="L517" t="s">
        <v>787</v>
      </c>
      <c r="M517" t="s">
        <v>403</v>
      </c>
      <c r="N517">
        <v>1</v>
      </c>
      <c r="O517">
        <v>1</v>
      </c>
      <c r="P517" t="s">
        <v>892</v>
      </c>
      <c r="Q517" t="s">
        <v>424</v>
      </c>
      <c r="R517" t="s">
        <v>811</v>
      </c>
      <c r="S517" t="s">
        <v>893</v>
      </c>
      <c r="T517" t="s">
        <v>408</v>
      </c>
      <c r="U517">
        <v>50950081285</v>
      </c>
      <c r="W517">
        <v>7200</v>
      </c>
      <c r="X517" t="s">
        <v>409</v>
      </c>
      <c r="Y517" t="s">
        <v>410</v>
      </c>
      <c r="Z517" t="s">
        <v>410</v>
      </c>
      <c r="AA517" t="s">
        <v>411</v>
      </c>
      <c r="AB517" t="s">
        <v>554</v>
      </c>
      <c r="AC517" t="s">
        <v>411</v>
      </c>
      <c r="AD517">
        <v>46102</v>
      </c>
      <c r="AE517">
        <v>46160</v>
      </c>
      <c r="AF517">
        <v>46106</v>
      </c>
      <c r="AG517" t="s">
        <v>754</v>
      </c>
      <c r="AH517">
        <v>6148922</v>
      </c>
      <c r="AI517">
        <v>46099</v>
      </c>
      <c r="AJ517">
        <v>46100</v>
      </c>
      <c r="AK517">
        <v>7200</v>
      </c>
      <c r="AL517" t="s">
        <v>396</v>
      </c>
      <c r="AM517" t="s">
        <v>2074</v>
      </c>
      <c r="AN517">
        <v>46100</v>
      </c>
      <c r="AO517">
        <v>46100.601875</v>
      </c>
      <c r="AP517" t="s">
        <v>51</v>
      </c>
      <c r="AQ517">
        <v>1.0937699999999999</v>
      </c>
      <c r="AR517">
        <v>7875.15</v>
      </c>
      <c r="AS517" t="s">
        <v>51</v>
      </c>
      <c r="AT517">
        <v>7875.15</v>
      </c>
      <c r="AU517" t="s">
        <v>415</v>
      </c>
      <c r="AV517" t="s">
        <v>1420</v>
      </c>
      <c r="AW517" t="s">
        <v>1973</v>
      </c>
      <c r="AX517">
        <v>46106</v>
      </c>
      <c r="AY517">
        <v>46155</v>
      </c>
      <c r="AZ517" t="s">
        <v>2059</v>
      </c>
      <c r="BA517" t="s">
        <v>560</v>
      </c>
      <c r="BB517" t="s">
        <v>2060</v>
      </c>
      <c r="BC517">
        <v>48</v>
      </c>
      <c r="BD517" t="s">
        <v>521</v>
      </c>
      <c r="BE517">
        <v>7.6664000000000003</v>
      </c>
      <c r="BF517">
        <v>6.2064000000000004</v>
      </c>
      <c r="BG517" t="s">
        <v>522</v>
      </c>
      <c r="BH517">
        <v>495</v>
      </c>
      <c r="BI517">
        <v>395</v>
      </c>
      <c r="BJ517">
        <v>190</v>
      </c>
      <c r="BK517">
        <v>30</v>
      </c>
      <c r="BL517" t="s">
        <v>521</v>
      </c>
      <c r="BM517">
        <v>256.99200000000002</v>
      </c>
      <c r="BN517">
        <v>186.19200000000001</v>
      </c>
      <c r="BO517">
        <v>1284.96</v>
      </c>
      <c r="BP517" t="s">
        <v>522</v>
      </c>
      <c r="BQ517">
        <v>1200</v>
      </c>
      <c r="BR517">
        <v>1000</v>
      </c>
      <c r="BS517">
        <v>1120</v>
      </c>
      <c r="BT517">
        <v>5</v>
      </c>
      <c r="BU517">
        <v>0</v>
      </c>
      <c r="BV517">
        <v>5</v>
      </c>
      <c r="BW517">
        <v>150</v>
      </c>
      <c r="BX517">
        <v>0</v>
      </c>
      <c r="BY517">
        <v>150</v>
      </c>
      <c r="BZ517">
        <v>7200</v>
      </c>
      <c r="CA517">
        <v>0</v>
      </c>
      <c r="CB517">
        <v>7200</v>
      </c>
      <c r="CC517">
        <v>930.96</v>
      </c>
      <c r="CD517" t="s">
        <v>806</v>
      </c>
      <c r="CE517" t="s">
        <v>821</v>
      </c>
      <c r="CG517" t="s">
        <v>421</v>
      </c>
      <c r="CN517" t="str">
        <v>M23</v>
      </c>
      <c r="CO517" t="str">
        <v>1101-1060600EN</v>
      </c>
      <c r="CP517" t="str">
        <v>MSMU2474387</v>
      </c>
      <c r="CQ517" s="23">
        <v>259.62</v>
      </c>
      <c r="CR517" s="25">
        <f t="shared" si="20"/>
        <v>3.5914389281139741E-2</v>
      </c>
      <c r="CS517" s="21">
        <f t="shared" si="21"/>
        <v>89.785973202849348</v>
      </c>
    </row>
    <row r="518" spans="2:97" x14ac:dyDescent="0.35">
      <c r="B518" t="s">
        <v>297</v>
      </c>
      <c r="C518" t="s">
        <v>2075</v>
      </c>
      <c r="D518" t="s">
        <v>395</v>
      </c>
      <c r="E518" t="s">
        <v>395</v>
      </c>
      <c r="F518" t="s">
        <v>396</v>
      </c>
      <c r="G518" t="s">
        <v>397</v>
      </c>
      <c r="H518" t="s">
        <v>398</v>
      </c>
      <c r="I518" t="s">
        <v>399</v>
      </c>
      <c r="J518" t="s">
        <v>749</v>
      </c>
      <c r="K518" t="s">
        <v>845</v>
      </c>
      <c r="L518" t="s">
        <v>787</v>
      </c>
      <c r="M518" t="s">
        <v>403</v>
      </c>
      <c r="N518">
        <v>1</v>
      </c>
      <c r="O518">
        <v>1</v>
      </c>
      <c r="P518" t="s">
        <v>1959</v>
      </c>
      <c r="Q518" t="s">
        <v>424</v>
      </c>
      <c r="R518" t="s">
        <v>1031</v>
      </c>
      <c r="S518" t="s">
        <v>1960</v>
      </c>
      <c r="T518" t="s">
        <v>408</v>
      </c>
      <c r="U518">
        <v>50950081410</v>
      </c>
      <c r="W518">
        <v>40000</v>
      </c>
      <c r="X518" t="s">
        <v>409</v>
      </c>
      <c r="Y518" t="s">
        <v>410</v>
      </c>
      <c r="Z518" t="s">
        <v>410</v>
      </c>
      <c r="AA518" t="s">
        <v>411</v>
      </c>
      <c r="AB518" t="s">
        <v>554</v>
      </c>
      <c r="AC518" t="s">
        <v>411</v>
      </c>
      <c r="AD518">
        <v>46102</v>
      </c>
      <c r="AE518">
        <v>46160</v>
      </c>
      <c r="AF518">
        <v>46106</v>
      </c>
      <c r="AG518" t="s">
        <v>754</v>
      </c>
      <c r="AH518">
        <v>6148923</v>
      </c>
      <c r="AI518">
        <v>46099</v>
      </c>
      <c r="AJ518">
        <v>46100</v>
      </c>
      <c r="AK518">
        <v>40000</v>
      </c>
      <c r="AL518" t="s">
        <v>396</v>
      </c>
      <c r="AM518" t="s">
        <v>2076</v>
      </c>
      <c r="AN518">
        <v>46100</v>
      </c>
      <c r="AO518">
        <v>46100.601875</v>
      </c>
      <c r="AP518" t="s">
        <v>51</v>
      </c>
      <c r="AQ518">
        <v>3.8600000000000002E-2</v>
      </c>
      <c r="AR518">
        <v>1544</v>
      </c>
      <c r="AS518" t="s">
        <v>51</v>
      </c>
      <c r="AT518">
        <v>1544</v>
      </c>
      <c r="AU518" t="s">
        <v>415</v>
      </c>
      <c r="AV518" t="s">
        <v>1420</v>
      </c>
      <c r="AW518" t="s">
        <v>1973</v>
      </c>
      <c r="AX518">
        <v>46106</v>
      </c>
      <c r="AY518">
        <v>46155</v>
      </c>
      <c r="AZ518" t="s">
        <v>2059</v>
      </c>
      <c r="BA518" t="s">
        <v>560</v>
      </c>
      <c r="BB518" t="s">
        <v>2060</v>
      </c>
      <c r="BC518">
        <v>500</v>
      </c>
      <c r="BD518" t="s">
        <v>521</v>
      </c>
      <c r="BE518">
        <v>8.5429999999999993</v>
      </c>
      <c r="BF518">
        <v>7.62</v>
      </c>
      <c r="BG518" t="s">
        <v>522</v>
      </c>
      <c r="BH518">
        <v>395</v>
      </c>
      <c r="BI518">
        <v>295</v>
      </c>
      <c r="BJ518">
        <v>220</v>
      </c>
      <c r="BK518">
        <v>40</v>
      </c>
      <c r="BL518" t="s">
        <v>521</v>
      </c>
      <c r="BM518">
        <v>368.72</v>
      </c>
      <c r="BN518">
        <v>304.8</v>
      </c>
      <c r="BO518">
        <v>737.44</v>
      </c>
      <c r="BP518" t="s">
        <v>522</v>
      </c>
      <c r="BQ518">
        <v>1200</v>
      </c>
      <c r="BR518">
        <v>1000</v>
      </c>
      <c r="BS518">
        <v>1053</v>
      </c>
      <c r="BT518">
        <v>2</v>
      </c>
      <c r="BU518">
        <v>0</v>
      </c>
      <c r="BV518">
        <v>2</v>
      </c>
      <c r="BW518">
        <v>80</v>
      </c>
      <c r="BX518">
        <v>0</v>
      </c>
      <c r="BY518">
        <v>80</v>
      </c>
      <c r="BZ518">
        <v>40000</v>
      </c>
      <c r="CA518">
        <v>0</v>
      </c>
      <c r="CB518">
        <v>40000</v>
      </c>
      <c r="CC518">
        <v>609.6</v>
      </c>
      <c r="CD518" t="s">
        <v>856</v>
      </c>
      <c r="CE518" t="s">
        <v>1034</v>
      </c>
      <c r="CG518" t="s">
        <v>421</v>
      </c>
      <c r="CN518" t="str">
        <v>M23</v>
      </c>
      <c r="CO518" t="str">
        <v>1109-1060034EN</v>
      </c>
      <c r="CP518" t="str">
        <v>MSMU2474387</v>
      </c>
      <c r="CQ518" s="23">
        <v>12.319699999999999</v>
      </c>
      <c r="CR518" s="25">
        <f t="shared" ref="CR518:CR581" si="22">IFERROR(CQ518/(SUMIFS(CQ:CQ,CP:CP,CP518)),100%)</f>
        <v>1.7042388938712627E-3</v>
      </c>
      <c r="CS518" s="21">
        <f t="shared" si="21"/>
        <v>4.2605972346781567</v>
      </c>
    </row>
    <row r="519" spans="2:97" x14ac:dyDescent="0.35">
      <c r="B519" t="s">
        <v>296</v>
      </c>
      <c r="C519" t="s">
        <v>2077</v>
      </c>
      <c r="D519" t="s">
        <v>395</v>
      </c>
      <c r="E519" t="s">
        <v>395</v>
      </c>
      <c r="F519" t="s">
        <v>396</v>
      </c>
      <c r="G519" t="s">
        <v>397</v>
      </c>
      <c r="H519" t="s">
        <v>398</v>
      </c>
      <c r="I519" t="s">
        <v>399</v>
      </c>
      <c r="J519" t="s">
        <v>749</v>
      </c>
      <c r="K519" t="s">
        <v>629</v>
      </c>
      <c r="L519" t="s">
        <v>787</v>
      </c>
      <c r="M519" t="s">
        <v>403</v>
      </c>
      <c r="N519">
        <v>1</v>
      </c>
      <c r="O519">
        <v>1</v>
      </c>
      <c r="P519" t="s">
        <v>1482</v>
      </c>
      <c r="Q519" t="s">
        <v>934</v>
      </c>
      <c r="R519" t="s">
        <v>1483</v>
      </c>
      <c r="S519" t="s">
        <v>1484</v>
      </c>
      <c r="T519" t="s">
        <v>408</v>
      </c>
      <c r="U519">
        <v>50950081464</v>
      </c>
      <c r="W519">
        <v>28800</v>
      </c>
      <c r="X519" t="s">
        <v>409</v>
      </c>
      <c r="Y519" t="s">
        <v>410</v>
      </c>
      <c r="Z519" t="s">
        <v>410</v>
      </c>
      <c r="AA519" t="s">
        <v>411</v>
      </c>
      <c r="AB519" t="s">
        <v>554</v>
      </c>
      <c r="AC519" t="s">
        <v>411</v>
      </c>
      <c r="AD519">
        <v>46102</v>
      </c>
      <c r="AE519">
        <v>46160</v>
      </c>
      <c r="AF519">
        <v>46106</v>
      </c>
      <c r="AG519" t="s">
        <v>754</v>
      </c>
      <c r="AH519">
        <v>6148843</v>
      </c>
      <c r="AI519">
        <v>46099</v>
      </c>
      <c r="AJ519">
        <v>46100</v>
      </c>
      <c r="AK519">
        <v>28800</v>
      </c>
      <c r="AL519" t="s">
        <v>396</v>
      </c>
      <c r="AM519" t="s">
        <v>2078</v>
      </c>
      <c r="AN519">
        <v>46100</v>
      </c>
      <c r="AO519">
        <v>46100.413935185185</v>
      </c>
      <c r="AP519" t="s">
        <v>51</v>
      </c>
      <c r="AQ519">
        <v>0.38090000000000002</v>
      </c>
      <c r="AR519">
        <v>10970</v>
      </c>
      <c r="AS519" t="s">
        <v>51</v>
      </c>
      <c r="AT519">
        <v>10970</v>
      </c>
      <c r="AU519" t="s">
        <v>415</v>
      </c>
      <c r="AV519" t="s">
        <v>557</v>
      </c>
      <c r="AW519" t="s">
        <v>2044</v>
      </c>
      <c r="AX519">
        <v>46106</v>
      </c>
      <c r="AY519">
        <v>46155</v>
      </c>
      <c r="AZ519" t="s">
        <v>2045</v>
      </c>
      <c r="BA519" t="s">
        <v>560</v>
      </c>
      <c r="BB519" t="s">
        <v>2046</v>
      </c>
      <c r="BC519">
        <v>120</v>
      </c>
      <c r="BD519" t="s">
        <v>521</v>
      </c>
      <c r="BE519">
        <v>10.095499999999999</v>
      </c>
      <c r="BF519">
        <v>8.5655000000000001</v>
      </c>
      <c r="BG519" t="s">
        <v>522</v>
      </c>
      <c r="BH519">
        <v>595</v>
      </c>
      <c r="BI519">
        <v>495</v>
      </c>
      <c r="BJ519">
        <v>310</v>
      </c>
      <c r="BK519">
        <v>12</v>
      </c>
      <c r="BL519" t="s">
        <v>521</v>
      </c>
      <c r="BM519">
        <v>148.14599999999999</v>
      </c>
      <c r="BN519">
        <v>102.786</v>
      </c>
      <c r="BO519">
        <v>2962.9151999999999</v>
      </c>
      <c r="BP519" t="s">
        <v>522</v>
      </c>
      <c r="BQ519">
        <v>1200</v>
      </c>
      <c r="BR519">
        <v>1000</v>
      </c>
      <c r="BS519">
        <v>1088</v>
      </c>
      <c r="BT519">
        <v>20</v>
      </c>
      <c r="BU519">
        <v>0</v>
      </c>
      <c r="BV519">
        <v>20</v>
      </c>
      <c r="BW519">
        <v>240</v>
      </c>
      <c r="BX519">
        <v>0</v>
      </c>
      <c r="BY519">
        <v>240</v>
      </c>
      <c r="BZ519">
        <v>28800</v>
      </c>
      <c r="CA519">
        <v>0</v>
      </c>
      <c r="CB519">
        <v>28800</v>
      </c>
      <c r="CC519">
        <v>2055.7152000000001</v>
      </c>
      <c r="CD519" t="s">
        <v>842</v>
      </c>
      <c r="CE519" t="s">
        <v>843</v>
      </c>
      <c r="CG519" t="s">
        <v>421</v>
      </c>
      <c r="CN519" t="str">
        <v>M23</v>
      </c>
      <c r="CO519" t="str">
        <v>1110-1060119-56EN</v>
      </c>
      <c r="CP519" t="str">
        <v>MSMU2474387</v>
      </c>
      <c r="CQ519" s="23">
        <v>15.087</v>
      </c>
      <c r="CR519" s="25">
        <f t="shared" si="22"/>
        <v>2.0870518106638749E-3</v>
      </c>
      <c r="CS519" s="21">
        <f t="shared" ref="CS519:CS582" si="23">CR519*$CS$2</f>
        <v>5.217629526659687</v>
      </c>
    </row>
    <row r="520" spans="2:97" x14ac:dyDescent="0.35">
      <c r="B520" t="s">
        <v>296</v>
      </c>
      <c r="C520" t="s">
        <v>2029</v>
      </c>
      <c r="D520" t="s">
        <v>395</v>
      </c>
      <c r="E520" t="s">
        <v>395</v>
      </c>
      <c r="F520" t="s">
        <v>396</v>
      </c>
      <c r="G520" t="s">
        <v>397</v>
      </c>
      <c r="H520" t="s">
        <v>398</v>
      </c>
      <c r="I520" t="s">
        <v>399</v>
      </c>
      <c r="J520" t="s">
        <v>749</v>
      </c>
      <c r="K520" t="s">
        <v>1142</v>
      </c>
      <c r="L520" t="s">
        <v>787</v>
      </c>
      <c r="M520" t="s">
        <v>403</v>
      </c>
      <c r="N520">
        <v>1</v>
      </c>
      <c r="O520">
        <v>2</v>
      </c>
      <c r="P520" t="s">
        <v>1163</v>
      </c>
      <c r="Q520" t="s">
        <v>430</v>
      </c>
      <c r="R520" t="s">
        <v>1164</v>
      </c>
      <c r="S520" t="s">
        <v>1165</v>
      </c>
      <c r="T520" t="s">
        <v>408</v>
      </c>
      <c r="U520">
        <v>50950081420</v>
      </c>
      <c r="W520">
        <v>22680</v>
      </c>
      <c r="X520" t="s">
        <v>409</v>
      </c>
      <c r="Y520" t="s">
        <v>410</v>
      </c>
      <c r="Z520" t="s">
        <v>410</v>
      </c>
      <c r="AA520" t="s">
        <v>411</v>
      </c>
      <c r="AB520" t="s">
        <v>554</v>
      </c>
      <c r="AC520" t="s">
        <v>411</v>
      </c>
      <c r="AD520">
        <v>46095</v>
      </c>
      <c r="AE520">
        <v>46167</v>
      </c>
      <c r="AF520">
        <v>46106</v>
      </c>
      <c r="AG520" t="s">
        <v>754</v>
      </c>
      <c r="AH520">
        <v>6148844</v>
      </c>
      <c r="AI520">
        <v>46099</v>
      </c>
      <c r="AJ520">
        <v>46100</v>
      </c>
      <c r="AK520">
        <v>22680</v>
      </c>
      <c r="AL520" t="s">
        <v>396</v>
      </c>
      <c r="AM520" t="s">
        <v>2079</v>
      </c>
      <c r="AN520">
        <v>46100</v>
      </c>
      <c r="AO520">
        <v>46100.413935185185</v>
      </c>
      <c r="AP520" t="s">
        <v>51</v>
      </c>
      <c r="AQ520">
        <v>0.11984</v>
      </c>
      <c r="AR520">
        <v>2717.97</v>
      </c>
      <c r="AS520" t="s">
        <v>51</v>
      </c>
      <c r="AT520">
        <v>2717.97</v>
      </c>
      <c r="AU520" t="s">
        <v>415</v>
      </c>
      <c r="AV520" t="s">
        <v>557</v>
      </c>
      <c r="AW520" t="s">
        <v>2044</v>
      </c>
      <c r="AX520">
        <v>46106</v>
      </c>
      <c r="AY520">
        <v>46155</v>
      </c>
      <c r="AZ520" t="s">
        <v>2045</v>
      </c>
      <c r="BA520" t="s">
        <v>560</v>
      </c>
      <c r="BB520" t="s">
        <v>2046</v>
      </c>
      <c r="BC520">
        <v>7560</v>
      </c>
      <c r="BD520" t="s">
        <v>521</v>
      </c>
      <c r="BE520">
        <v>637.24480000000005</v>
      </c>
      <c r="BF520">
        <v>616.74480000000005</v>
      </c>
      <c r="BG520" t="s">
        <v>522</v>
      </c>
      <c r="BH520">
        <v>1050</v>
      </c>
      <c r="BI520">
        <v>480</v>
      </c>
      <c r="BJ520">
        <v>460</v>
      </c>
      <c r="BK520">
        <v>1</v>
      </c>
      <c r="BL520" t="s">
        <v>521</v>
      </c>
      <c r="BM520">
        <v>637.24490000000003</v>
      </c>
      <c r="BN520">
        <v>616.74480000000005</v>
      </c>
      <c r="BO520">
        <v>1911.7347</v>
      </c>
      <c r="BP520" t="s">
        <v>522</v>
      </c>
      <c r="BQ520">
        <v>1050</v>
      </c>
      <c r="BR520">
        <v>480</v>
      </c>
      <c r="BS520">
        <v>480</v>
      </c>
      <c r="BT520">
        <v>3</v>
      </c>
      <c r="BU520">
        <v>0</v>
      </c>
      <c r="BV520">
        <v>3</v>
      </c>
      <c r="BW520">
        <v>3</v>
      </c>
      <c r="BX520">
        <v>0</v>
      </c>
      <c r="BY520">
        <v>3</v>
      </c>
      <c r="BZ520">
        <v>22680</v>
      </c>
      <c r="CA520">
        <v>0</v>
      </c>
      <c r="CB520">
        <v>22680</v>
      </c>
      <c r="CC520">
        <v>1850.2344000000001</v>
      </c>
      <c r="CD520" t="s">
        <v>641</v>
      </c>
      <c r="CE520" t="s">
        <v>1147</v>
      </c>
      <c r="CG520" t="s">
        <v>421</v>
      </c>
      <c r="CN520" t="str">
        <v>M45</v>
      </c>
      <c r="CO520" t="str">
        <v>1127-12B0001EN</v>
      </c>
      <c r="CP520" t="str">
        <v>MSMU2474387</v>
      </c>
      <c r="CQ520" s="23">
        <v>16.426500000000001</v>
      </c>
      <c r="CR520" s="25">
        <f t="shared" si="22"/>
        <v>2.2723508031994529E-3</v>
      </c>
      <c r="CS520" s="21">
        <f t="shared" si="23"/>
        <v>5.6808770079986326</v>
      </c>
    </row>
    <row r="521" spans="2:97" x14ac:dyDescent="0.35">
      <c r="B521" t="s">
        <v>297</v>
      </c>
      <c r="C521" t="s">
        <v>1958</v>
      </c>
      <c r="D521" t="s">
        <v>395</v>
      </c>
      <c r="E521" t="s">
        <v>395</v>
      </c>
      <c r="F521" t="s">
        <v>396</v>
      </c>
      <c r="G521" t="s">
        <v>397</v>
      </c>
      <c r="H521" t="s">
        <v>398</v>
      </c>
      <c r="I521" t="s">
        <v>399</v>
      </c>
      <c r="J521" t="s">
        <v>749</v>
      </c>
      <c r="K521" t="s">
        <v>845</v>
      </c>
      <c r="L521" t="s">
        <v>787</v>
      </c>
      <c r="M521" t="s">
        <v>403</v>
      </c>
      <c r="N521">
        <v>1</v>
      </c>
      <c r="O521">
        <v>1</v>
      </c>
      <c r="P521" t="s">
        <v>1959</v>
      </c>
      <c r="Q521" t="s">
        <v>424</v>
      </c>
      <c r="R521" t="s">
        <v>1031</v>
      </c>
      <c r="S521" t="s">
        <v>1960</v>
      </c>
      <c r="T521" t="s">
        <v>408</v>
      </c>
      <c r="U521">
        <v>50950081502</v>
      </c>
      <c r="W521">
        <v>20000</v>
      </c>
      <c r="X521" t="s">
        <v>409</v>
      </c>
      <c r="Y521" t="s">
        <v>410</v>
      </c>
      <c r="Z521" t="s">
        <v>410</v>
      </c>
      <c r="AA521" t="s">
        <v>411</v>
      </c>
      <c r="AB521" t="s">
        <v>554</v>
      </c>
      <c r="AC521" t="s">
        <v>411</v>
      </c>
      <c r="AD521">
        <v>46104</v>
      </c>
      <c r="AE521">
        <v>46160</v>
      </c>
      <c r="AF521">
        <v>46106</v>
      </c>
      <c r="AG521" t="s">
        <v>754</v>
      </c>
      <c r="AH521">
        <v>6148924</v>
      </c>
      <c r="AI521">
        <v>46099</v>
      </c>
      <c r="AJ521">
        <v>46100</v>
      </c>
      <c r="AK521">
        <v>20000</v>
      </c>
      <c r="AL521" t="s">
        <v>396</v>
      </c>
      <c r="AM521" t="s">
        <v>2080</v>
      </c>
      <c r="AN521">
        <v>46100</v>
      </c>
      <c r="AO521">
        <v>46100.601875</v>
      </c>
      <c r="AP521" t="s">
        <v>51</v>
      </c>
      <c r="AQ521">
        <v>3.8600000000000002E-2</v>
      </c>
      <c r="AR521">
        <v>772</v>
      </c>
      <c r="AS521" t="s">
        <v>51</v>
      </c>
      <c r="AT521">
        <v>772</v>
      </c>
      <c r="AU521" t="s">
        <v>415</v>
      </c>
      <c r="AV521" t="s">
        <v>1420</v>
      </c>
      <c r="AW521" t="s">
        <v>1973</v>
      </c>
      <c r="AX521">
        <v>46106</v>
      </c>
      <c r="AY521">
        <v>46155</v>
      </c>
      <c r="AZ521" t="s">
        <v>2059</v>
      </c>
      <c r="BA521" t="s">
        <v>560</v>
      </c>
      <c r="BB521" t="s">
        <v>2060</v>
      </c>
      <c r="BC521">
        <v>500</v>
      </c>
      <c r="BD521" t="s">
        <v>521</v>
      </c>
      <c r="BE521">
        <v>8.5429999999999993</v>
      </c>
      <c r="BF521">
        <v>7.62</v>
      </c>
      <c r="BG521" t="s">
        <v>522</v>
      </c>
      <c r="BH521">
        <v>395</v>
      </c>
      <c r="BI521">
        <v>295</v>
      </c>
      <c r="BJ521">
        <v>220</v>
      </c>
      <c r="BK521">
        <v>40</v>
      </c>
      <c r="BL521" t="s">
        <v>521</v>
      </c>
      <c r="BM521">
        <v>368.72</v>
      </c>
      <c r="BN521">
        <v>304.8</v>
      </c>
      <c r="BO521">
        <v>368.72</v>
      </c>
      <c r="BP521" t="s">
        <v>522</v>
      </c>
      <c r="BQ521">
        <v>1200</v>
      </c>
      <c r="BR521">
        <v>1000</v>
      </c>
      <c r="BS521">
        <v>1053</v>
      </c>
      <c r="BT521">
        <v>1</v>
      </c>
      <c r="BU521">
        <v>0</v>
      </c>
      <c r="BV521">
        <v>1</v>
      </c>
      <c r="BW521">
        <v>40</v>
      </c>
      <c r="BX521">
        <v>0</v>
      </c>
      <c r="BY521">
        <v>40</v>
      </c>
      <c r="BZ521">
        <v>20000</v>
      </c>
      <c r="CA521">
        <v>0</v>
      </c>
      <c r="CB521">
        <v>20000</v>
      </c>
      <c r="CC521">
        <v>304.8</v>
      </c>
      <c r="CD521" t="s">
        <v>856</v>
      </c>
      <c r="CE521" t="s">
        <v>1034</v>
      </c>
      <c r="CG521" t="s">
        <v>421</v>
      </c>
      <c r="CN521" t="str">
        <v>M01</v>
      </c>
      <c r="CO521" t="str">
        <v>1999-1010399E1</v>
      </c>
      <c r="CP521" t="str">
        <v>MSMU5349558</v>
      </c>
      <c r="CQ521" s="23">
        <v>417.88</v>
      </c>
      <c r="CR521" s="25">
        <f t="shared" si="22"/>
        <v>2.6306348888800731E-2</v>
      </c>
      <c r="CS521" s="21">
        <f t="shared" si="23"/>
        <v>65.765872222001832</v>
      </c>
    </row>
    <row r="522" spans="2:97" x14ac:dyDescent="0.35">
      <c r="B522" t="s">
        <v>297</v>
      </c>
      <c r="C522" t="s">
        <v>2081</v>
      </c>
      <c r="D522" t="s">
        <v>395</v>
      </c>
      <c r="E522" t="s">
        <v>395</v>
      </c>
      <c r="F522" t="s">
        <v>396</v>
      </c>
      <c r="G522" t="s">
        <v>397</v>
      </c>
      <c r="H522" t="s">
        <v>398</v>
      </c>
      <c r="I522" t="s">
        <v>399</v>
      </c>
      <c r="J522" t="s">
        <v>749</v>
      </c>
      <c r="K522" t="s">
        <v>845</v>
      </c>
      <c r="L522" t="s">
        <v>787</v>
      </c>
      <c r="M522" t="s">
        <v>403</v>
      </c>
      <c r="N522">
        <v>1</v>
      </c>
      <c r="O522">
        <v>1</v>
      </c>
      <c r="P522" t="s">
        <v>1416</v>
      </c>
      <c r="Q522" t="s">
        <v>424</v>
      </c>
      <c r="R522" t="s">
        <v>1031</v>
      </c>
      <c r="S522" t="s">
        <v>1417</v>
      </c>
      <c r="T522" t="s">
        <v>408</v>
      </c>
      <c r="U522">
        <v>50950081503</v>
      </c>
      <c r="W522">
        <v>80000</v>
      </c>
      <c r="X522" t="s">
        <v>409</v>
      </c>
      <c r="Y522" t="s">
        <v>410</v>
      </c>
      <c r="Z522" t="s">
        <v>410</v>
      </c>
      <c r="AA522" t="s">
        <v>411</v>
      </c>
      <c r="AB522" t="s">
        <v>554</v>
      </c>
      <c r="AC522" t="s">
        <v>411</v>
      </c>
      <c r="AD522">
        <v>46104</v>
      </c>
      <c r="AE522">
        <v>46160</v>
      </c>
      <c r="AF522">
        <v>46106</v>
      </c>
      <c r="AG522" t="s">
        <v>754</v>
      </c>
      <c r="AH522">
        <v>6148925</v>
      </c>
      <c r="AI522">
        <v>46099</v>
      </c>
      <c r="AJ522">
        <v>46100</v>
      </c>
      <c r="AK522">
        <v>80000</v>
      </c>
      <c r="AL522" t="s">
        <v>396</v>
      </c>
      <c r="AM522" t="s">
        <v>2082</v>
      </c>
      <c r="AN522">
        <v>46100</v>
      </c>
      <c r="AO522">
        <v>46100.601875</v>
      </c>
      <c r="AP522" t="s">
        <v>51</v>
      </c>
      <c r="AQ522">
        <v>3.7580000000000002E-2</v>
      </c>
      <c r="AR522">
        <v>3006.4</v>
      </c>
      <c r="AS522" t="s">
        <v>51</v>
      </c>
      <c r="AT522">
        <v>3006.4</v>
      </c>
      <c r="AU522" t="s">
        <v>415</v>
      </c>
      <c r="AV522" t="s">
        <v>1420</v>
      </c>
      <c r="AW522" t="s">
        <v>1973</v>
      </c>
      <c r="AX522">
        <v>46106</v>
      </c>
      <c r="AY522">
        <v>46155</v>
      </c>
      <c r="AZ522" t="s">
        <v>2059</v>
      </c>
      <c r="BA522" t="s">
        <v>560</v>
      </c>
      <c r="BB522" t="s">
        <v>2060</v>
      </c>
      <c r="BC522">
        <v>500</v>
      </c>
      <c r="BD522" t="s">
        <v>521</v>
      </c>
      <c r="BE522">
        <v>8.5429999999999993</v>
      </c>
      <c r="BF522">
        <v>7.62</v>
      </c>
      <c r="BG522" t="s">
        <v>522</v>
      </c>
      <c r="BH522">
        <v>395</v>
      </c>
      <c r="BI522">
        <v>295</v>
      </c>
      <c r="BJ522">
        <v>220</v>
      </c>
      <c r="BK522">
        <v>40</v>
      </c>
      <c r="BL522" t="s">
        <v>521</v>
      </c>
      <c r="BM522">
        <v>368.72</v>
      </c>
      <c r="BN522">
        <v>304.8</v>
      </c>
      <c r="BO522">
        <v>1474.88</v>
      </c>
      <c r="BP522" t="s">
        <v>522</v>
      </c>
      <c r="BQ522">
        <v>1200</v>
      </c>
      <c r="BR522">
        <v>1000</v>
      </c>
      <c r="BS522">
        <v>1053</v>
      </c>
      <c r="BT522">
        <v>4</v>
      </c>
      <c r="BU522">
        <v>0</v>
      </c>
      <c r="BV522">
        <v>4</v>
      </c>
      <c r="BW522">
        <v>160</v>
      </c>
      <c r="BX522">
        <v>0</v>
      </c>
      <c r="BY522">
        <v>160</v>
      </c>
      <c r="BZ522">
        <v>80000</v>
      </c>
      <c r="CA522">
        <v>0</v>
      </c>
      <c r="CB522">
        <v>80000</v>
      </c>
      <c r="CC522">
        <v>1219.2</v>
      </c>
      <c r="CD522" t="s">
        <v>856</v>
      </c>
      <c r="CE522" t="s">
        <v>1034</v>
      </c>
      <c r="CG522" t="s">
        <v>421</v>
      </c>
      <c r="CN522" t="str">
        <v>M01</v>
      </c>
      <c r="CO522" t="str">
        <v>1200-1030990EN0002</v>
      </c>
      <c r="CP522" t="str">
        <v>MSMU5349558</v>
      </c>
      <c r="CQ522" s="23">
        <v>432.12959999999998</v>
      </c>
      <c r="CR522" s="25">
        <f t="shared" si="22"/>
        <v>2.7203388587101331E-2</v>
      </c>
      <c r="CS522" s="21">
        <f t="shared" si="23"/>
        <v>68.008471467753324</v>
      </c>
    </row>
    <row r="523" spans="2:97" x14ac:dyDescent="0.35">
      <c r="B523" t="s">
        <v>296</v>
      </c>
      <c r="C523" t="s">
        <v>1962</v>
      </c>
      <c r="D523" t="s">
        <v>395</v>
      </c>
      <c r="E523" t="s">
        <v>395</v>
      </c>
      <c r="F523" t="s">
        <v>396</v>
      </c>
      <c r="G523" t="s">
        <v>397</v>
      </c>
      <c r="H523" t="s">
        <v>398</v>
      </c>
      <c r="I523" t="s">
        <v>399</v>
      </c>
      <c r="J523" t="s">
        <v>749</v>
      </c>
      <c r="K523" t="s">
        <v>1142</v>
      </c>
      <c r="L523" t="s">
        <v>787</v>
      </c>
      <c r="M523" t="s">
        <v>403</v>
      </c>
      <c r="N523">
        <v>3</v>
      </c>
      <c r="O523">
        <v>1</v>
      </c>
      <c r="P523" t="s">
        <v>1963</v>
      </c>
      <c r="Q523" t="s">
        <v>424</v>
      </c>
      <c r="R523" t="s">
        <v>1164</v>
      </c>
      <c r="S523" t="s">
        <v>1165</v>
      </c>
      <c r="T523" t="s">
        <v>408</v>
      </c>
      <c r="U523">
        <v>50950081519</v>
      </c>
      <c r="W523">
        <v>18000</v>
      </c>
      <c r="X523" t="s">
        <v>409</v>
      </c>
      <c r="Y523" t="s">
        <v>410</v>
      </c>
      <c r="Z523" t="s">
        <v>410</v>
      </c>
      <c r="AA523" t="s">
        <v>411</v>
      </c>
      <c r="AB523" t="s">
        <v>554</v>
      </c>
      <c r="AC523" t="s">
        <v>411</v>
      </c>
      <c r="AD523">
        <v>46104</v>
      </c>
      <c r="AE523">
        <v>46132</v>
      </c>
      <c r="AF523">
        <v>46106</v>
      </c>
      <c r="AG523" t="s">
        <v>754</v>
      </c>
      <c r="AH523">
        <v>6148845</v>
      </c>
      <c r="AI523">
        <v>46099</v>
      </c>
      <c r="AJ523">
        <v>46100</v>
      </c>
      <c r="AK523">
        <v>18000</v>
      </c>
      <c r="AL523" t="s">
        <v>396</v>
      </c>
      <c r="AM523" t="s">
        <v>2083</v>
      </c>
      <c r="AN523">
        <v>46100</v>
      </c>
      <c r="AO523">
        <v>46100.413935185185</v>
      </c>
      <c r="AP523" t="s">
        <v>51</v>
      </c>
      <c r="AQ523">
        <v>0.25989000000000001</v>
      </c>
      <c r="AR523">
        <v>4678.0200000000004</v>
      </c>
      <c r="AS523" t="s">
        <v>51</v>
      </c>
      <c r="AT523">
        <v>4678.0200000000004</v>
      </c>
      <c r="AU523" t="s">
        <v>415</v>
      </c>
      <c r="AV523" t="s">
        <v>557</v>
      </c>
      <c r="AW523" t="s">
        <v>2044</v>
      </c>
      <c r="AX523">
        <v>46106</v>
      </c>
      <c r="AY523">
        <v>46155</v>
      </c>
      <c r="AZ523" t="s">
        <v>2045</v>
      </c>
      <c r="BA523" t="s">
        <v>560</v>
      </c>
      <c r="BB523" t="s">
        <v>2046</v>
      </c>
      <c r="BC523">
        <v>3000</v>
      </c>
      <c r="BD523" t="s">
        <v>521</v>
      </c>
      <c r="BE523">
        <v>394.3</v>
      </c>
      <c r="BF523">
        <v>373.8</v>
      </c>
      <c r="BG523" t="s">
        <v>522</v>
      </c>
      <c r="BH523">
        <v>1050</v>
      </c>
      <c r="BI523">
        <v>480</v>
      </c>
      <c r="BJ523">
        <v>460</v>
      </c>
      <c r="BK523">
        <v>1</v>
      </c>
      <c r="BL523" t="s">
        <v>521</v>
      </c>
      <c r="BM523">
        <v>394.30009999999999</v>
      </c>
      <c r="BN523">
        <v>373.8</v>
      </c>
      <c r="BO523">
        <v>2365.8006</v>
      </c>
      <c r="BP523" t="s">
        <v>522</v>
      </c>
      <c r="BQ523">
        <v>1050</v>
      </c>
      <c r="BR523">
        <v>480</v>
      </c>
      <c r="BS523">
        <v>480</v>
      </c>
      <c r="BT523">
        <v>6</v>
      </c>
      <c r="BU523">
        <v>0</v>
      </c>
      <c r="BV523">
        <v>6</v>
      </c>
      <c r="BW523">
        <v>6</v>
      </c>
      <c r="BX523">
        <v>0</v>
      </c>
      <c r="BY523">
        <v>6</v>
      </c>
      <c r="BZ523">
        <v>18000</v>
      </c>
      <c r="CA523">
        <v>0</v>
      </c>
      <c r="CB523">
        <v>18000</v>
      </c>
      <c r="CC523">
        <v>2242.8000000000002</v>
      </c>
      <c r="CD523" t="s">
        <v>641</v>
      </c>
      <c r="CE523" t="s">
        <v>1147</v>
      </c>
      <c r="CG523" t="s">
        <v>421</v>
      </c>
      <c r="CN523" t="str">
        <v>M19</v>
      </c>
      <c r="CO523" t="str">
        <v>1275-5YY0783EN</v>
      </c>
      <c r="CP523" t="str">
        <v>MSMU5349558</v>
      </c>
      <c r="CQ523" s="23">
        <v>396.62560000000002</v>
      </c>
      <c r="CR523" s="25">
        <f t="shared" si="22"/>
        <v>2.4968343571910415E-2</v>
      </c>
      <c r="CS523" s="21">
        <f t="shared" si="23"/>
        <v>62.420858929776038</v>
      </c>
    </row>
    <row r="524" spans="2:97" x14ac:dyDescent="0.35">
      <c r="B524" s="34" t="s">
        <v>3496</v>
      </c>
      <c r="C524" t="s">
        <v>2084</v>
      </c>
      <c r="D524" t="s">
        <v>395</v>
      </c>
      <c r="E524" t="s">
        <v>395</v>
      </c>
      <c r="F524" t="s">
        <v>396</v>
      </c>
      <c r="G524" t="s">
        <v>397</v>
      </c>
      <c r="H524" t="s">
        <v>2085</v>
      </c>
      <c r="I524" t="s">
        <v>399</v>
      </c>
      <c r="J524" t="s">
        <v>749</v>
      </c>
      <c r="K524" t="s">
        <v>2086</v>
      </c>
      <c r="L524" t="s">
        <v>2087</v>
      </c>
      <c r="M524" t="s">
        <v>751</v>
      </c>
      <c r="N524">
        <v>1</v>
      </c>
      <c r="O524">
        <v>1</v>
      </c>
      <c r="P524" t="s">
        <v>2088</v>
      </c>
      <c r="R524" t="s">
        <v>2089</v>
      </c>
      <c r="S524" t="s">
        <v>2088</v>
      </c>
      <c r="T524" t="s">
        <v>408</v>
      </c>
      <c r="U524" t="s">
        <v>2090</v>
      </c>
      <c r="W524">
        <v>1</v>
      </c>
      <c r="Y524" t="s">
        <v>410</v>
      </c>
      <c r="Z524" t="s">
        <v>410</v>
      </c>
      <c r="AC524" t="s">
        <v>411</v>
      </c>
      <c r="AD524">
        <v>46085</v>
      </c>
      <c r="AE524">
        <v>46115</v>
      </c>
      <c r="AF524">
        <v>46115</v>
      </c>
      <c r="AH524" t="s">
        <v>2091</v>
      </c>
      <c r="AI524">
        <v>46100</v>
      </c>
      <c r="AJ524">
        <v>46100</v>
      </c>
      <c r="AK524">
        <v>1</v>
      </c>
      <c r="AL524" t="s">
        <v>396</v>
      </c>
      <c r="AM524" t="s">
        <v>2092</v>
      </c>
      <c r="AN524">
        <v>46100</v>
      </c>
      <c r="AO524">
        <v>46100.793622685182</v>
      </c>
      <c r="AP524" t="s">
        <v>51</v>
      </c>
      <c r="AQ524">
        <v>91488</v>
      </c>
      <c r="AR524">
        <v>91488</v>
      </c>
      <c r="AS524" t="s">
        <v>51</v>
      </c>
      <c r="AT524">
        <v>91488</v>
      </c>
      <c r="AU524" t="s">
        <v>2093</v>
      </c>
      <c r="CG524" t="s">
        <v>421</v>
      </c>
      <c r="CN524" t="str">
        <v>M19</v>
      </c>
      <c r="CO524" t="str">
        <v>1275-5YY0687EN</v>
      </c>
      <c r="CP524" t="str">
        <v>MSMU5349558</v>
      </c>
      <c r="CQ524" s="23">
        <v>108.10720000000001</v>
      </c>
      <c r="CR524" s="25">
        <f t="shared" si="22"/>
        <v>6.8055559504914299E-3</v>
      </c>
      <c r="CS524" s="21">
        <f t="shared" si="23"/>
        <v>17.013889876228575</v>
      </c>
    </row>
    <row r="525" spans="2:97" x14ac:dyDescent="0.35">
      <c r="B525" s="34" t="s">
        <v>3496</v>
      </c>
      <c r="C525" t="s">
        <v>2094</v>
      </c>
      <c r="D525" t="s">
        <v>395</v>
      </c>
      <c r="E525" t="s">
        <v>395</v>
      </c>
      <c r="F525" t="s">
        <v>396</v>
      </c>
      <c r="G525" t="s">
        <v>397</v>
      </c>
      <c r="H525" t="s">
        <v>2085</v>
      </c>
      <c r="I525" t="s">
        <v>399</v>
      </c>
      <c r="J525" t="s">
        <v>749</v>
      </c>
      <c r="K525" t="s">
        <v>2086</v>
      </c>
      <c r="L525" t="s">
        <v>2087</v>
      </c>
      <c r="M525" t="s">
        <v>751</v>
      </c>
      <c r="N525">
        <v>1</v>
      </c>
      <c r="O525">
        <v>1</v>
      </c>
      <c r="P525" t="s">
        <v>2088</v>
      </c>
      <c r="R525" t="s">
        <v>2089</v>
      </c>
      <c r="S525" t="s">
        <v>2088</v>
      </c>
      <c r="T525" t="s">
        <v>408</v>
      </c>
      <c r="U525" t="s">
        <v>2095</v>
      </c>
      <c r="W525">
        <v>1</v>
      </c>
      <c r="Y525" t="s">
        <v>410</v>
      </c>
      <c r="Z525" t="s">
        <v>410</v>
      </c>
      <c r="AC525" t="s">
        <v>411</v>
      </c>
      <c r="AD525">
        <v>46085</v>
      </c>
      <c r="AE525">
        <v>46115</v>
      </c>
      <c r="AF525">
        <v>46115</v>
      </c>
      <c r="AH525" t="s">
        <v>2096</v>
      </c>
      <c r="AI525">
        <v>46100</v>
      </c>
      <c r="AJ525">
        <v>46100</v>
      </c>
      <c r="AK525">
        <v>1</v>
      </c>
      <c r="AL525" t="s">
        <v>396</v>
      </c>
      <c r="AM525" t="s">
        <v>2097</v>
      </c>
      <c r="AN525">
        <v>46100</v>
      </c>
      <c r="AO525">
        <v>46100.793622685182</v>
      </c>
      <c r="AP525" t="s">
        <v>51</v>
      </c>
      <c r="AQ525">
        <v>22560</v>
      </c>
      <c r="AR525">
        <v>22560</v>
      </c>
      <c r="AS525" t="s">
        <v>51</v>
      </c>
      <c r="AT525">
        <v>22560</v>
      </c>
      <c r="AU525" t="s">
        <v>2093</v>
      </c>
      <c r="CG525" t="s">
        <v>421</v>
      </c>
      <c r="CN525" t="str">
        <v>M19</v>
      </c>
      <c r="CO525" t="str">
        <v>1606-5YY5022EN</v>
      </c>
      <c r="CP525" t="str">
        <v>MSMU5349558</v>
      </c>
      <c r="CQ525" s="23">
        <v>917.86800000000005</v>
      </c>
      <c r="CR525" s="25">
        <f t="shared" si="22"/>
        <v>5.7781554134837161E-2</v>
      </c>
      <c r="CS525" s="21">
        <f t="shared" si="23"/>
        <v>144.45388533709291</v>
      </c>
    </row>
    <row r="526" spans="2:97" x14ac:dyDescent="0.35">
      <c r="B526" s="34" t="s">
        <v>3496</v>
      </c>
      <c r="C526" t="s">
        <v>2098</v>
      </c>
      <c r="D526" t="s">
        <v>395</v>
      </c>
      <c r="E526" t="s">
        <v>395</v>
      </c>
      <c r="F526" t="s">
        <v>396</v>
      </c>
      <c r="G526" t="s">
        <v>397</v>
      </c>
      <c r="H526" t="s">
        <v>2085</v>
      </c>
      <c r="I526" t="s">
        <v>399</v>
      </c>
      <c r="J526" t="s">
        <v>749</v>
      </c>
      <c r="K526" t="s">
        <v>2086</v>
      </c>
      <c r="L526" t="s">
        <v>2087</v>
      </c>
      <c r="M526" t="s">
        <v>751</v>
      </c>
      <c r="N526">
        <v>1</v>
      </c>
      <c r="O526">
        <v>1</v>
      </c>
      <c r="P526" t="s">
        <v>2088</v>
      </c>
      <c r="R526" t="s">
        <v>2089</v>
      </c>
      <c r="S526" t="s">
        <v>2088</v>
      </c>
      <c r="T526" t="s">
        <v>408</v>
      </c>
      <c r="U526" t="s">
        <v>2099</v>
      </c>
      <c r="W526">
        <v>1</v>
      </c>
      <c r="Y526" t="s">
        <v>410</v>
      </c>
      <c r="Z526" t="s">
        <v>410</v>
      </c>
      <c r="AC526" t="s">
        <v>411</v>
      </c>
      <c r="AD526">
        <v>46085</v>
      </c>
      <c r="AE526">
        <v>46115</v>
      </c>
      <c r="AF526">
        <v>46115</v>
      </c>
      <c r="AH526" t="s">
        <v>2100</v>
      </c>
      <c r="AI526">
        <v>46100</v>
      </c>
      <c r="AJ526">
        <v>46100</v>
      </c>
      <c r="AK526">
        <v>1</v>
      </c>
      <c r="AL526" t="s">
        <v>396</v>
      </c>
      <c r="AM526" t="s">
        <v>2101</v>
      </c>
      <c r="AN526">
        <v>46100</v>
      </c>
      <c r="AO526">
        <v>46100.793622685182</v>
      </c>
      <c r="AP526" t="s">
        <v>51</v>
      </c>
      <c r="AQ526">
        <v>15930</v>
      </c>
      <c r="AR526">
        <v>15930</v>
      </c>
      <c r="AS526" t="s">
        <v>51</v>
      </c>
      <c r="AT526">
        <v>15930</v>
      </c>
      <c r="AU526" t="s">
        <v>2093</v>
      </c>
      <c r="CG526" t="s">
        <v>421</v>
      </c>
      <c r="CN526" t="str">
        <v>M45</v>
      </c>
      <c r="CO526" t="str">
        <v>1346-12C0011EN</v>
      </c>
      <c r="CP526" t="str">
        <v>MSMU5349558</v>
      </c>
      <c r="CQ526" s="23">
        <v>630.0376</v>
      </c>
      <c r="CR526" s="25">
        <f t="shared" si="22"/>
        <v>3.9662077435298843E-2</v>
      </c>
      <c r="CS526" s="21">
        <f t="shared" si="23"/>
        <v>99.155193588247101</v>
      </c>
    </row>
    <row r="527" spans="2:97" x14ac:dyDescent="0.35">
      <c r="B527" s="34" t="s">
        <v>297</v>
      </c>
      <c r="C527" t="s">
        <v>921</v>
      </c>
      <c r="D527" t="s">
        <v>549</v>
      </c>
      <c r="E527" t="s">
        <v>395</v>
      </c>
      <c r="F527" t="s">
        <v>396</v>
      </c>
      <c r="G527" t="s">
        <v>397</v>
      </c>
      <c r="H527" t="s">
        <v>398</v>
      </c>
      <c r="I527" t="s">
        <v>399</v>
      </c>
      <c r="J527" t="s">
        <v>749</v>
      </c>
      <c r="K527" t="s">
        <v>922</v>
      </c>
      <c r="L527" t="s">
        <v>766</v>
      </c>
      <c r="M527" t="s">
        <v>403</v>
      </c>
      <c r="N527">
        <v>22</v>
      </c>
      <c r="O527">
        <v>1</v>
      </c>
      <c r="P527" t="s">
        <v>923</v>
      </c>
      <c r="Q527" t="s">
        <v>645</v>
      </c>
      <c r="R527" t="s">
        <v>924</v>
      </c>
      <c r="S527" t="s">
        <v>925</v>
      </c>
      <c r="T527" t="s">
        <v>408</v>
      </c>
      <c r="U527">
        <v>50950080751</v>
      </c>
      <c r="W527">
        <v>11520</v>
      </c>
      <c r="X527" t="s">
        <v>409</v>
      </c>
      <c r="Y527" t="s">
        <v>410</v>
      </c>
      <c r="Z527" t="s">
        <v>410</v>
      </c>
      <c r="AA527" t="s">
        <v>411</v>
      </c>
      <c r="AB527" t="s">
        <v>554</v>
      </c>
      <c r="AC527" t="s">
        <v>411</v>
      </c>
      <c r="AD527">
        <v>46098</v>
      </c>
      <c r="AE527">
        <v>46146</v>
      </c>
      <c r="AF527">
        <v>46106</v>
      </c>
      <c r="AG527" t="s">
        <v>926</v>
      </c>
      <c r="AH527">
        <v>6150591</v>
      </c>
      <c r="AI527">
        <v>46100</v>
      </c>
      <c r="AJ527">
        <v>46101</v>
      </c>
      <c r="AK527">
        <v>11520</v>
      </c>
      <c r="AL527" t="s">
        <v>396</v>
      </c>
      <c r="AM527" t="s">
        <v>2102</v>
      </c>
      <c r="AN527">
        <v>46101</v>
      </c>
      <c r="AO527">
        <v>46101.394270833334</v>
      </c>
      <c r="AP527" t="s">
        <v>51</v>
      </c>
      <c r="AQ527">
        <v>0.59975999999999996</v>
      </c>
      <c r="AR527">
        <v>6909.2</v>
      </c>
      <c r="AS527" t="s">
        <v>51</v>
      </c>
      <c r="AT527">
        <v>6909.2</v>
      </c>
      <c r="AU527" t="s">
        <v>415</v>
      </c>
      <c r="AV527" t="s">
        <v>1420</v>
      </c>
      <c r="AW527" t="s">
        <v>1973</v>
      </c>
      <c r="AX527">
        <v>46106</v>
      </c>
      <c r="AY527">
        <v>46155</v>
      </c>
      <c r="AZ527" t="s">
        <v>2103</v>
      </c>
      <c r="BA527" t="s">
        <v>560</v>
      </c>
      <c r="BB527" t="s">
        <v>2104</v>
      </c>
      <c r="BC527">
        <v>288</v>
      </c>
      <c r="BD527" t="s">
        <v>521</v>
      </c>
      <c r="BE527">
        <v>9.8219999999999992</v>
      </c>
      <c r="BF527">
        <v>8.3520000000000003</v>
      </c>
      <c r="BG527" t="s">
        <v>522</v>
      </c>
      <c r="BH527">
        <v>400</v>
      </c>
      <c r="BI527">
        <v>300</v>
      </c>
      <c r="BJ527">
        <v>160</v>
      </c>
      <c r="BK527">
        <v>40</v>
      </c>
      <c r="BL527" t="s">
        <v>521</v>
      </c>
      <c r="BM527">
        <v>417.88</v>
      </c>
      <c r="BN527">
        <v>334.08</v>
      </c>
      <c r="BO527">
        <v>417.88</v>
      </c>
      <c r="BP527" t="s">
        <v>522</v>
      </c>
      <c r="BQ527">
        <v>1200</v>
      </c>
      <c r="BR527">
        <v>800</v>
      </c>
      <c r="BS527">
        <v>970</v>
      </c>
      <c r="BT527">
        <v>1</v>
      </c>
      <c r="BU527">
        <v>0</v>
      </c>
      <c r="BV527">
        <v>1</v>
      </c>
      <c r="BW527">
        <v>40</v>
      </c>
      <c r="BX527">
        <v>0</v>
      </c>
      <c r="BY527">
        <v>40</v>
      </c>
      <c r="BZ527">
        <v>11520</v>
      </c>
      <c r="CA527">
        <v>0</v>
      </c>
      <c r="CB527">
        <v>11520</v>
      </c>
      <c r="CC527">
        <v>334.08</v>
      </c>
      <c r="CD527" t="s">
        <v>930</v>
      </c>
      <c r="CE527" t="s">
        <v>931</v>
      </c>
      <c r="CG527" t="s">
        <v>421</v>
      </c>
      <c r="CN527" t="str">
        <v>M45</v>
      </c>
      <c r="CO527" t="str">
        <v>1100-12B0008EN</v>
      </c>
      <c r="CP527" t="str">
        <v>MSMU5349558</v>
      </c>
      <c r="CQ527" s="23">
        <v>905.65920000000006</v>
      </c>
      <c r="CR527" s="25">
        <f t="shared" si="22"/>
        <v>5.7012986717603527E-2</v>
      </c>
      <c r="CS527" s="21">
        <f t="shared" si="23"/>
        <v>142.53246679400883</v>
      </c>
    </row>
    <row r="528" spans="2:97" x14ac:dyDescent="0.35">
      <c r="B528" t="s">
        <v>295</v>
      </c>
      <c r="C528" t="s">
        <v>868</v>
      </c>
      <c r="D528" t="s">
        <v>395</v>
      </c>
      <c r="E528" t="s">
        <v>395</v>
      </c>
      <c r="F528" t="s">
        <v>396</v>
      </c>
      <c r="G528" t="s">
        <v>397</v>
      </c>
      <c r="H528" t="s">
        <v>398</v>
      </c>
      <c r="I528" t="s">
        <v>399</v>
      </c>
      <c r="J528" t="s">
        <v>749</v>
      </c>
      <c r="K528" t="s">
        <v>629</v>
      </c>
      <c r="L528" t="s">
        <v>787</v>
      </c>
      <c r="M528" t="s">
        <v>403</v>
      </c>
      <c r="N528">
        <v>1</v>
      </c>
      <c r="O528">
        <v>13</v>
      </c>
      <c r="P528" t="s">
        <v>869</v>
      </c>
      <c r="Q528" t="s">
        <v>637</v>
      </c>
      <c r="R528" t="s">
        <v>870</v>
      </c>
      <c r="S528" t="s">
        <v>871</v>
      </c>
      <c r="T528" t="s">
        <v>408</v>
      </c>
      <c r="U528">
        <v>50950076250</v>
      </c>
      <c r="W528">
        <v>6000</v>
      </c>
      <c r="X528" t="s">
        <v>409</v>
      </c>
      <c r="Y528" t="s">
        <v>410</v>
      </c>
      <c r="Z528" t="s">
        <v>410</v>
      </c>
      <c r="AA528" t="s">
        <v>411</v>
      </c>
      <c r="AB528" t="s">
        <v>554</v>
      </c>
      <c r="AC528" t="s">
        <v>411</v>
      </c>
      <c r="AD528">
        <v>46097</v>
      </c>
      <c r="AE528">
        <v>46118</v>
      </c>
      <c r="AF528">
        <v>46106</v>
      </c>
      <c r="AG528" t="s">
        <v>754</v>
      </c>
      <c r="AH528">
        <v>6150592</v>
      </c>
      <c r="AI528">
        <v>46100</v>
      </c>
      <c r="AJ528">
        <v>46101</v>
      </c>
      <c r="AK528">
        <v>6000</v>
      </c>
      <c r="AL528" t="s">
        <v>396</v>
      </c>
      <c r="AM528" t="s">
        <v>2105</v>
      </c>
      <c r="AN528">
        <v>46101</v>
      </c>
      <c r="AO528">
        <v>46101.394270833334</v>
      </c>
      <c r="AP528" t="s">
        <v>51</v>
      </c>
      <c r="AQ528">
        <v>1.03729</v>
      </c>
      <c r="AR528">
        <v>6223.75</v>
      </c>
      <c r="AS528" t="s">
        <v>51</v>
      </c>
      <c r="AT528">
        <v>6223.75</v>
      </c>
      <c r="AU528" t="s">
        <v>415</v>
      </c>
      <c r="AV528" t="s">
        <v>1420</v>
      </c>
      <c r="AW528" t="s">
        <v>1973</v>
      </c>
      <c r="AX528">
        <v>46106</v>
      </c>
      <c r="AY528">
        <v>46155</v>
      </c>
      <c r="AZ528" t="s">
        <v>2103</v>
      </c>
      <c r="BA528" t="s">
        <v>560</v>
      </c>
      <c r="BB528" t="s">
        <v>2104</v>
      </c>
      <c r="BC528">
        <v>40</v>
      </c>
      <c r="BD528" t="s">
        <v>521</v>
      </c>
      <c r="BE528">
        <v>4.4851000000000001</v>
      </c>
      <c r="BF528">
        <v>3.3351000000000002</v>
      </c>
      <c r="BG528" t="s">
        <v>522</v>
      </c>
      <c r="BH528">
        <v>495</v>
      </c>
      <c r="BI528">
        <v>395</v>
      </c>
      <c r="BJ528">
        <v>1800</v>
      </c>
      <c r="BK528">
        <v>30</v>
      </c>
      <c r="BL528" t="s">
        <v>521</v>
      </c>
      <c r="BM528">
        <v>161.553</v>
      </c>
      <c r="BN528">
        <v>100.053</v>
      </c>
      <c r="BO528">
        <v>807.76800000000003</v>
      </c>
      <c r="BP528" t="s">
        <v>522</v>
      </c>
      <c r="BQ528">
        <v>1200</v>
      </c>
      <c r="BR528">
        <v>1000</v>
      </c>
      <c r="BS528">
        <v>1058</v>
      </c>
      <c r="BT528">
        <v>5</v>
      </c>
      <c r="BU528">
        <v>0</v>
      </c>
      <c r="BV528">
        <v>5</v>
      </c>
      <c r="BW528">
        <v>150</v>
      </c>
      <c r="BX528">
        <v>0</v>
      </c>
      <c r="BY528">
        <v>150</v>
      </c>
      <c r="BZ528">
        <v>6000</v>
      </c>
      <c r="CA528">
        <v>0</v>
      </c>
      <c r="CB528">
        <v>6000</v>
      </c>
      <c r="CC528">
        <v>500.26799999999997</v>
      </c>
      <c r="CD528" t="s">
        <v>799</v>
      </c>
      <c r="CE528" t="s">
        <v>873</v>
      </c>
      <c r="CG528" t="s">
        <v>421</v>
      </c>
      <c r="CN528" t="str">
        <v>M45</v>
      </c>
      <c r="CO528" t="str">
        <v>1202-12C0002EN</v>
      </c>
      <c r="CP528" t="str">
        <v>MSMU5349558</v>
      </c>
      <c r="CQ528" s="23">
        <v>31.04</v>
      </c>
      <c r="CR528" s="25">
        <f t="shared" si="22"/>
        <v>1.9540276383372612E-3</v>
      </c>
      <c r="CS528" s="21">
        <f t="shared" si="23"/>
        <v>4.8850690958431526</v>
      </c>
    </row>
    <row r="529" spans="2:97" x14ac:dyDescent="0.35">
      <c r="B529" t="s">
        <v>299</v>
      </c>
      <c r="C529" t="s">
        <v>2106</v>
      </c>
      <c r="D529" t="s">
        <v>395</v>
      </c>
      <c r="E529" t="s">
        <v>395</v>
      </c>
      <c r="F529" t="s">
        <v>396</v>
      </c>
      <c r="G529" t="s">
        <v>397</v>
      </c>
      <c r="H529" t="s">
        <v>398</v>
      </c>
      <c r="I529" t="s">
        <v>399</v>
      </c>
      <c r="J529" t="s">
        <v>749</v>
      </c>
      <c r="K529" t="s">
        <v>629</v>
      </c>
      <c r="L529" t="s">
        <v>787</v>
      </c>
      <c r="M529" t="s">
        <v>403</v>
      </c>
      <c r="N529">
        <v>1</v>
      </c>
      <c r="O529">
        <v>1</v>
      </c>
      <c r="P529" t="s">
        <v>1177</v>
      </c>
      <c r="Q529" t="s">
        <v>637</v>
      </c>
      <c r="R529" t="s">
        <v>1128</v>
      </c>
      <c r="S529" t="s">
        <v>1178</v>
      </c>
      <c r="T529" t="s">
        <v>408</v>
      </c>
      <c r="U529">
        <v>50950079311</v>
      </c>
      <c r="W529">
        <v>16800</v>
      </c>
      <c r="X529" t="s">
        <v>409</v>
      </c>
      <c r="Y529" t="s">
        <v>410</v>
      </c>
      <c r="Z529" t="s">
        <v>410</v>
      </c>
      <c r="AA529" t="s">
        <v>411</v>
      </c>
      <c r="AB529" t="s">
        <v>554</v>
      </c>
      <c r="AC529" t="s">
        <v>411</v>
      </c>
      <c r="AD529">
        <v>46104</v>
      </c>
      <c r="AE529">
        <v>46146</v>
      </c>
      <c r="AF529">
        <v>46106</v>
      </c>
      <c r="AG529" t="s">
        <v>754</v>
      </c>
      <c r="AH529">
        <v>6150593</v>
      </c>
      <c r="AI529">
        <v>46100</v>
      </c>
      <c r="AJ529">
        <v>46101</v>
      </c>
      <c r="AK529">
        <v>16800</v>
      </c>
      <c r="AL529" t="s">
        <v>396</v>
      </c>
      <c r="AM529" t="s">
        <v>2107</v>
      </c>
      <c r="AN529">
        <v>46101</v>
      </c>
      <c r="AO529">
        <v>46101.394270833334</v>
      </c>
      <c r="AP529" t="s">
        <v>51</v>
      </c>
      <c r="AQ529">
        <v>1.1251800000000001</v>
      </c>
      <c r="AR529">
        <v>18903.009999999998</v>
      </c>
      <c r="AS529" t="s">
        <v>51</v>
      </c>
      <c r="AT529">
        <v>18903.009999999998</v>
      </c>
      <c r="AU529" t="s">
        <v>415</v>
      </c>
      <c r="AV529" t="s">
        <v>1420</v>
      </c>
      <c r="AW529" t="s">
        <v>1973</v>
      </c>
      <c r="AX529">
        <v>46106</v>
      </c>
      <c r="AY529">
        <v>46155</v>
      </c>
      <c r="AZ529" t="s">
        <v>2103</v>
      </c>
      <c r="BA529" t="s">
        <v>560</v>
      </c>
      <c r="BB529" t="s">
        <v>2104</v>
      </c>
      <c r="BC529">
        <v>80</v>
      </c>
      <c r="BD529" t="s">
        <v>521</v>
      </c>
      <c r="BE529">
        <v>6.9805999999999999</v>
      </c>
      <c r="BF529">
        <v>3.0506000000000002</v>
      </c>
      <c r="BG529" t="s">
        <v>522</v>
      </c>
      <c r="BH529">
        <v>520</v>
      </c>
      <c r="BI529">
        <v>330</v>
      </c>
      <c r="BJ529">
        <v>190</v>
      </c>
      <c r="BK529">
        <v>30</v>
      </c>
      <c r="BL529" t="s">
        <v>521</v>
      </c>
      <c r="BM529">
        <v>235.41800000000001</v>
      </c>
      <c r="BN529">
        <v>91.518000000000001</v>
      </c>
      <c r="BO529">
        <v>1647.9344000000001</v>
      </c>
      <c r="BP529" t="s">
        <v>522</v>
      </c>
      <c r="BQ529">
        <v>1066</v>
      </c>
      <c r="BR529">
        <v>1066</v>
      </c>
      <c r="BS529">
        <v>1100</v>
      </c>
      <c r="BT529">
        <v>7</v>
      </c>
      <c r="BU529">
        <v>0</v>
      </c>
      <c r="BV529">
        <v>7</v>
      </c>
      <c r="BW529">
        <v>210</v>
      </c>
      <c r="BX529">
        <v>0</v>
      </c>
      <c r="BY529">
        <v>210</v>
      </c>
      <c r="BZ529">
        <v>16800</v>
      </c>
      <c r="CA529">
        <v>0</v>
      </c>
      <c r="CB529">
        <v>16800</v>
      </c>
      <c r="CC529">
        <v>640.63440000000003</v>
      </c>
      <c r="CD529" t="s">
        <v>1131</v>
      </c>
      <c r="CE529" t="s">
        <v>1132</v>
      </c>
      <c r="CG529" t="s">
        <v>421</v>
      </c>
      <c r="CN529" t="str">
        <v>M19</v>
      </c>
      <c r="CO529" t="str">
        <v>1330-5YY0183EN</v>
      </c>
      <c r="CP529" t="str">
        <v>MSMU5349558</v>
      </c>
      <c r="CQ529" s="23">
        <v>257.69760000000002</v>
      </c>
      <c r="CR529" s="25">
        <f t="shared" si="22"/>
        <v>1.6222559044239054E-2</v>
      </c>
      <c r="CS529" s="21">
        <f t="shared" si="23"/>
        <v>40.556397610597635</v>
      </c>
    </row>
    <row r="530" spans="2:97" x14ac:dyDescent="0.35">
      <c r="B530" t="s">
        <v>299</v>
      </c>
      <c r="C530" t="s">
        <v>1987</v>
      </c>
      <c r="D530" t="s">
        <v>965</v>
      </c>
      <c r="E530" t="s">
        <v>395</v>
      </c>
      <c r="F530" t="s">
        <v>396</v>
      </c>
      <c r="G530" t="s">
        <v>397</v>
      </c>
      <c r="H530" t="s">
        <v>398</v>
      </c>
      <c r="I530" t="s">
        <v>399</v>
      </c>
      <c r="J530" t="s">
        <v>749</v>
      </c>
      <c r="K530" t="s">
        <v>526</v>
      </c>
      <c r="L530" t="s">
        <v>787</v>
      </c>
      <c r="M530" t="s">
        <v>403</v>
      </c>
      <c r="N530">
        <v>1</v>
      </c>
      <c r="O530">
        <v>2</v>
      </c>
      <c r="P530" t="s">
        <v>966</v>
      </c>
      <c r="Q530" t="s">
        <v>424</v>
      </c>
      <c r="R530" t="s">
        <v>959</v>
      </c>
      <c r="S530" t="s">
        <v>967</v>
      </c>
      <c r="T530" t="s">
        <v>408</v>
      </c>
      <c r="U530">
        <v>50950079530</v>
      </c>
      <c r="W530">
        <v>114048</v>
      </c>
      <c r="X530" t="s">
        <v>409</v>
      </c>
      <c r="Y530" t="s">
        <v>410</v>
      </c>
      <c r="Z530" t="s">
        <v>410</v>
      </c>
      <c r="AA530" t="s">
        <v>411</v>
      </c>
      <c r="AB530" t="s">
        <v>554</v>
      </c>
      <c r="AC530" t="s">
        <v>411</v>
      </c>
      <c r="AD530">
        <v>46095</v>
      </c>
      <c r="AE530">
        <v>46111</v>
      </c>
      <c r="AF530">
        <v>46106</v>
      </c>
      <c r="AG530" t="s">
        <v>754</v>
      </c>
      <c r="AH530">
        <v>6150594</v>
      </c>
      <c r="AI530">
        <v>46100</v>
      </c>
      <c r="AJ530">
        <v>46101</v>
      </c>
      <c r="AK530">
        <v>114048</v>
      </c>
      <c r="AL530" t="s">
        <v>396</v>
      </c>
      <c r="AM530" t="s">
        <v>2108</v>
      </c>
      <c r="AN530">
        <v>46101</v>
      </c>
      <c r="AO530">
        <v>46101.394270833334</v>
      </c>
      <c r="AP530" t="s">
        <v>51</v>
      </c>
      <c r="AQ530">
        <v>5.5079999999999997E-2</v>
      </c>
      <c r="AR530">
        <v>6281.76</v>
      </c>
      <c r="AS530" t="s">
        <v>51</v>
      </c>
      <c r="AT530">
        <v>6281.76</v>
      </c>
      <c r="AU530" t="s">
        <v>415</v>
      </c>
      <c r="AV530" t="s">
        <v>1420</v>
      </c>
      <c r="AW530" t="s">
        <v>1973</v>
      </c>
      <c r="AX530">
        <v>46106</v>
      </c>
      <c r="AY530">
        <v>46155</v>
      </c>
      <c r="AZ530" t="s">
        <v>2103</v>
      </c>
      <c r="BA530" t="s">
        <v>560</v>
      </c>
      <c r="BB530" t="s">
        <v>2104</v>
      </c>
      <c r="BC530">
        <v>594</v>
      </c>
      <c r="BD530" t="s">
        <v>521</v>
      </c>
      <c r="BE530">
        <v>8.2226999999999997</v>
      </c>
      <c r="BF530">
        <v>7.9726999999999997</v>
      </c>
      <c r="BG530" t="s">
        <v>522</v>
      </c>
      <c r="BH530">
        <v>286</v>
      </c>
      <c r="BI530">
        <v>190</v>
      </c>
      <c r="BJ530">
        <v>72</v>
      </c>
      <c r="BK530">
        <v>48</v>
      </c>
      <c r="BL530" t="s">
        <v>521</v>
      </c>
      <c r="BM530">
        <v>419.68959999999998</v>
      </c>
      <c r="BN530">
        <v>382.68959999999998</v>
      </c>
      <c r="BO530">
        <v>1678.752256</v>
      </c>
      <c r="BP530" t="s">
        <v>522</v>
      </c>
      <c r="BQ530">
        <v>1200</v>
      </c>
      <c r="BR530">
        <v>800</v>
      </c>
      <c r="BS530">
        <v>378</v>
      </c>
      <c r="BT530">
        <v>4</v>
      </c>
      <c r="BU530">
        <v>0</v>
      </c>
      <c r="BV530">
        <v>4</v>
      </c>
      <c r="BW530">
        <v>192</v>
      </c>
      <c r="BX530">
        <v>0</v>
      </c>
      <c r="BY530">
        <v>192</v>
      </c>
      <c r="BZ530">
        <v>114048</v>
      </c>
      <c r="CA530">
        <v>0</v>
      </c>
      <c r="CB530">
        <v>114048</v>
      </c>
      <c r="CC530">
        <v>1530.752256</v>
      </c>
      <c r="CD530" t="s">
        <v>969</v>
      </c>
      <c r="CE530" t="s">
        <v>970</v>
      </c>
      <c r="CG530" t="s">
        <v>421</v>
      </c>
      <c r="CN530" t="str">
        <v>M01</v>
      </c>
      <c r="CO530" t="str">
        <v>1301-1030463EN</v>
      </c>
      <c r="CP530" t="str">
        <v>MSMU5349558</v>
      </c>
      <c r="CQ530" s="23">
        <v>196.83199999999999</v>
      </c>
      <c r="CR530" s="25">
        <f t="shared" si="22"/>
        <v>1.2390952580837623E-2</v>
      </c>
      <c r="CS530" s="21">
        <f t="shared" si="23"/>
        <v>30.977381452094058</v>
      </c>
    </row>
    <row r="531" spans="2:97" x14ac:dyDescent="0.35">
      <c r="B531" t="s">
        <v>296</v>
      </c>
      <c r="C531" t="s">
        <v>2109</v>
      </c>
      <c r="D531" t="s">
        <v>395</v>
      </c>
      <c r="E531" t="s">
        <v>395</v>
      </c>
      <c r="F531" t="s">
        <v>396</v>
      </c>
      <c r="G531" t="s">
        <v>397</v>
      </c>
      <c r="H531" t="s">
        <v>398</v>
      </c>
      <c r="I531" t="s">
        <v>399</v>
      </c>
      <c r="J531" t="s">
        <v>749</v>
      </c>
      <c r="K531" t="s">
        <v>629</v>
      </c>
      <c r="L531" t="s">
        <v>787</v>
      </c>
      <c r="M531" t="s">
        <v>403</v>
      </c>
      <c r="N531">
        <v>1</v>
      </c>
      <c r="O531">
        <v>1</v>
      </c>
      <c r="P531" t="s">
        <v>802</v>
      </c>
      <c r="Q531" t="s">
        <v>405</v>
      </c>
      <c r="R531" t="s">
        <v>803</v>
      </c>
      <c r="S531" t="s">
        <v>804</v>
      </c>
      <c r="T531" t="s">
        <v>408</v>
      </c>
      <c r="U531">
        <v>50950079696</v>
      </c>
      <c r="W531">
        <v>51840</v>
      </c>
      <c r="X531" t="s">
        <v>409</v>
      </c>
      <c r="Y531" t="s">
        <v>410</v>
      </c>
      <c r="Z531" t="s">
        <v>410</v>
      </c>
      <c r="AA531" t="s">
        <v>411</v>
      </c>
      <c r="AB531" t="s">
        <v>554</v>
      </c>
      <c r="AC531" t="s">
        <v>411</v>
      </c>
      <c r="AD531">
        <v>46104</v>
      </c>
      <c r="AE531">
        <v>46160</v>
      </c>
      <c r="AF531">
        <v>46106</v>
      </c>
      <c r="AG531" t="s">
        <v>754</v>
      </c>
      <c r="AH531">
        <v>6150595</v>
      </c>
      <c r="AI531">
        <v>46100</v>
      </c>
      <c r="AJ531">
        <v>46101</v>
      </c>
      <c r="AK531">
        <v>51840</v>
      </c>
      <c r="AL531" t="s">
        <v>396</v>
      </c>
      <c r="AM531" t="s">
        <v>2110</v>
      </c>
      <c r="AN531">
        <v>46101</v>
      </c>
      <c r="AO531">
        <v>46101.394270833334</v>
      </c>
      <c r="AP531" t="s">
        <v>51</v>
      </c>
      <c r="AQ531">
        <v>0.30101</v>
      </c>
      <c r="AR531">
        <v>15604.35</v>
      </c>
      <c r="AS531" t="s">
        <v>51</v>
      </c>
      <c r="AT531">
        <v>15604.35</v>
      </c>
      <c r="AU531" t="s">
        <v>415</v>
      </c>
      <c r="AV531" t="s">
        <v>1420</v>
      </c>
      <c r="AW531" t="s">
        <v>1973</v>
      </c>
      <c r="AX531">
        <v>46106</v>
      </c>
      <c r="AY531">
        <v>46155</v>
      </c>
      <c r="AZ531" t="s">
        <v>2103</v>
      </c>
      <c r="BA531" t="s">
        <v>560</v>
      </c>
      <c r="BB531" t="s">
        <v>2104</v>
      </c>
      <c r="BC531">
        <v>288</v>
      </c>
      <c r="BD531" t="s">
        <v>521</v>
      </c>
      <c r="BE531">
        <v>13.2311</v>
      </c>
      <c r="BF531">
        <v>11.8161</v>
      </c>
      <c r="BG531" t="s">
        <v>522</v>
      </c>
      <c r="BH531">
        <v>395</v>
      </c>
      <c r="BI531">
        <v>295</v>
      </c>
      <c r="BJ531">
        <v>160</v>
      </c>
      <c r="BK531">
        <v>60</v>
      </c>
      <c r="BL531" t="s">
        <v>521</v>
      </c>
      <c r="BM531">
        <v>820.86599999999999</v>
      </c>
      <c r="BN531">
        <v>708.96600000000001</v>
      </c>
      <c r="BO531">
        <v>2462.5915199999999</v>
      </c>
      <c r="BP531" t="s">
        <v>522</v>
      </c>
      <c r="BQ531">
        <v>1200</v>
      </c>
      <c r="BR531">
        <v>1000</v>
      </c>
      <c r="BS531">
        <v>1120</v>
      </c>
      <c r="BT531">
        <v>3</v>
      </c>
      <c r="BU531">
        <v>0</v>
      </c>
      <c r="BV531">
        <v>3</v>
      </c>
      <c r="BW531">
        <v>180</v>
      </c>
      <c r="BX531">
        <v>0</v>
      </c>
      <c r="BY531">
        <v>180</v>
      </c>
      <c r="BZ531">
        <v>51840</v>
      </c>
      <c r="CA531">
        <v>0</v>
      </c>
      <c r="CB531">
        <v>51840</v>
      </c>
      <c r="CC531">
        <v>2126.8915200000001</v>
      </c>
      <c r="CD531" t="s">
        <v>806</v>
      </c>
      <c r="CE531" t="s">
        <v>807</v>
      </c>
      <c r="CG531" t="s">
        <v>421</v>
      </c>
      <c r="CN531" t="str">
        <v>M01</v>
      </c>
      <c r="CO531" t="str">
        <v>1458-1030144EN</v>
      </c>
      <c r="CP531" t="str">
        <v>MSMU5349558</v>
      </c>
      <c r="CQ531" s="23">
        <v>809.23519999999996</v>
      </c>
      <c r="CR531" s="25">
        <f t="shared" si="22"/>
        <v>5.0942910654490373E-2</v>
      </c>
      <c r="CS531" s="21">
        <f t="shared" si="23"/>
        <v>127.35727663622593</v>
      </c>
    </row>
    <row r="532" spans="2:97" x14ac:dyDescent="0.35">
      <c r="B532" t="s">
        <v>299</v>
      </c>
      <c r="C532" t="s">
        <v>1380</v>
      </c>
      <c r="D532" t="s">
        <v>965</v>
      </c>
      <c r="E532" t="s">
        <v>395</v>
      </c>
      <c r="F532" t="s">
        <v>396</v>
      </c>
      <c r="G532" t="s">
        <v>397</v>
      </c>
      <c r="H532" t="s">
        <v>398</v>
      </c>
      <c r="I532" t="s">
        <v>399</v>
      </c>
      <c r="J532" t="s">
        <v>749</v>
      </c>
      <c r="K532" t="s">
        <v>809</v>
      </c>
      <c r="L532" t="s">
        <v>787</v>
      </c>
      <c r="M532" t="s">
        <v>403</v>
      </c>
      <c r="N532">
        <v>1</v>
      </c>
      <c r="O532">
        <v>13</v>
      </c>
      <c r="P532" t="s">
        <v>810</v>
      </c>
      <c r="Q532" t="s">
        <v>405</v>
      </c>
      <c r="R532" t="s">
        <v>811</v>
      </c>
      <c r="S532" t="s">
        <v>812</v>
      </c>
      <c r="T532" t="s">
        <v>408</v>
      </c>
      <c r="U532">
        <v>50950080270</v>
      </c>
      <c r="W532">
        <v>2880</v>
      </c>
      <c r="X532" t="s">
        <v>409</v>
      </c>
      <c r="Y532" t="s">
        <v>410</v>
      </c>
      <c r="Z532" t="s">
        <v>410</v>
      </c>
      <c r="AA532" t="s">
        <v>411</v>
      </c>
      <c r="AB532" t="s">
        <v>554</v>
      </c>
      <c r="AC532" t="s">
        <v>411</v>
      </c>
      <c r="AD532">
        <v>46102</v>
      </c>
      <c r="AE532">
        <v>46125</v>
      </c>
      <c r="AF532">
        <v>46106</v>
      </c>
      <c r="AG532" t="s">
        <v>754</v>
      </c>
      <c r="AH532">
        <v>6150596</v>
      </c>
      <c r="AI532">
        <v>46100</v>
      </c>
      <c r="AJ532">
        <v>46101</v>
      </c>
      <c r="AK532">
        <v>2880</v>
      </c>
      <c r="AL532" t="s">
        <v>396</v>
      </c>
      <c r="AM532" t="s">
        <v>2111</v>
      </c>
      <c r="AN532">
        <v>46101</v>
      </c>
      <c r="AO532">
        <v>46101.394270833334</v>
      </c>
      <c r="AP532" t="s">
        <v>51</v>
      </c>
      <c r="AQ532">
        <v>1.96204</v>
      </c>
      <c r="AR532">
        <v>5650.68</v>
      </c>
      <c r="AS532" t="s">
        <v>51</v>
      </c>
      <c r="AT532">
        <v>5650.68</v>
      </c>
      <c r="AU532" t="s">
        <v>415</v>
      </c>
      <c r="AV532" t="s">
        <v>1420</v>
      </c>
      <c r="AW532" t="s">
        <v>1973</v>
      </c>
      <c r="AX532">
        <v>46106</v>
      </c>
      <c r="AY532">
        <v>46155</v>
      </c>
      <c r="AZ532" t="s">
        <v>2103</v>
      </c>
      <c r="BA532" t="s">
        <v>560</v>
      </c>
      <c r="BB532" t="s">
        <v>2104</v>
      </c>
      <c r="BC532">
        <v>16</v>
      </c>
      <c r="BD532" t="s">
        <v>521</v>
      </c>
      <c r="BE532">
        <v>4.9545000000000003</v>
      </c>
      <c r="BF532">
        <v>3.7555000000000001</v>
      </c>
      <c r="BG532" t="s">
        <v>522</v>
      </c>
      <c r="BH532">
        <v>495</v>
      </c>
      <c r="BI532">
        <v>395</v>
      </c>
      <c r="BJ532">
        <v>190</v>
      </c>
      <c r="BK532">
        <v>30</v>
      </c>
      <c r="BL532" t="s">
        <v>521</v>
      </c>
      <c r="BM532">
        <v>175.63499999999999</v>
      </c>
      <c r="BN532">
        <v>112.66500000000001</v>
      </c>
      <c r="BO532">
        <v>1053.8136</v>
      </c>
      <c r="BP532" t="s">
        <v>522</v>
      </c>
      <c r="BQ532">
        <v>1200</v>
      </c>
      <c r="BR532">
        <v>1000</v>
      </c>
      <c r="BS532">
        <v>1120</v>
      </c>
      <c r="BT532">
        <v>6</v>
      </c>
      <c r="BU532">
        <v>0</v>
      </c>
      <c r="BV532">
        <v>6</v>
      </c>
      <c r="BW532">
        <v>180</v>
      </c>
      <c r="BX532">
        <v>0</v>
      </c>
      <c r="BY532">
        <v>180</v>
      </c>
      <c r="BZ532">
        <v>2880</v>
      </c>
      <c r="CA532">
        <v>0</v>
      </c>
      <c r="CB532">
        <v>2880</v>
      </c>
      <c r="CC532">
        <v>675.99360000000001</v>
      </c>
      <c r="CD532" t="s">
        <v>806</v>
      </c>
      <c r="CE532" t="s">
        <v>816</v>
      </c>
      <c r="CG532" t="s">
        <v>421</v>
      </c>
      <c r="CN532" t="str">
        <v>M01</v>
      </c>
      <c r="CO532" t="str">
        <v>1108-0033100EN0018</v>
      </c>
      <c r="CP532" t="str">
        <v>MSMU5349558</v>
      </c>
      <c r="CQ532" s="23">
        <v>17.655999999999999</v>
      </c>
      <c r="CR532" s="25">
        <f t="shared" si="22"/>
        <v>1.1114791231469935E-3</v>
      </c>
      <c r="CS532" s="21">
        <f t="shared" si="23"/>
        <v>2.7786978078674838</v>
      </c>
    </row>
    <row r="533" spans="2:97" x14ac:dyDescent="0.35">
      <c r="B533" t="s">
        <v>299</v>
      </c>
      <c r="C533" t="s">
        <v>1937</v>
      </c>
      <c r="D533" t="s">
        <v>395</v>
      </c>
      <c r="E533" t="s">
        <v>395</v>
      </c>
      <c r="F533" t="s">
        <v>396</v>
      </c>
      <c r="G533" t="s">
        <v>397</v>
      </c>
      <c r="H533" t="s">
        <v>398</v>
      </c>
      <c r="I533" t="s">
        <v>399</v>
      </c>
      <c r="J533" t="s">
        <v>749</v>
      </c>
      <c r="K533" t="s">
        <v>809</v>
      </c>
      <c r="L533" t="s">
        <v>787</v>
      </c>
      <c r="M533" t="s">
        <v>403</v>
      </c>
      <c r="N533">
        <v>1</v>
      </c>
      <c r="O533">
        <v>6</v>
      </c>
      <c r="P533" t="s">
        <v>818</v>
      </c>
      <c r="Q533" t="s">
        <v>430</v>
      </c>
      <c r="R533" t="s">
        <v>811</v>
      </c>
      <c r="S533" t="s">
        <v>819</v>
      </c>
      <c r="T533" t="s">
        <v>408</v>
      </c>
      <c r="U533">
        <v>50950080296</v>
      </c>
      <c r="W533">
        <v>1440</v>
      </c>
      <c r="X533" t="s">
        <v>409</v>
      </c>
      <c r="Y533" t="s">
        <v>410</v>
      </c>
      <c r="Z533" t="s">
        <v>410</v>
      </c>
      <c r="AA533" t="s">
        <v>411</v>
      </c>
      <c r="AB533" t="s">
        <v>554</v>
      </c>
      <c r="AC533" t="s">
        <v>411</v>
      </c>
      <c r="AD533">
        <v>46102</v>
      </c>
      <c r="AE533">
        <v>46132</v>
      </c>
      <c r="AF533">
        <v>46106</v>
      </c>
      <c r="AG533" t="s">
        <v>754</v>
      </c>
      <c r="AH533">
        <v>6150597</v>
      </c>
      <c r="AI533">
        <v>46100</v>
      </c>
      <c r="AJ533">
        <v>46101</v>
      </c>
      <c r="AK533">
        <v>1440</v>
      </c>
      <c r="AL533" t="s">
        <v>396</v>
      </c>
      <c r="AM533" t="s">
        <v>2112</v>
      </c>
      <c r="AN533">
        <v>46101</v>
      </c>
      <c r="AO533">
        <v>46101.394270833334</v>
      </c>
      <c r="AP533" t="s">
        <v>51</v>
      </c>
      <c r="AQ533">
        <v>1.20448</v>
      </c>
      <c r="AR533">
        <v>1734.45</v>
      </c>
      <c r="AS533" t="s">
        <v>51</v>
      </c>
      <c r="AT533">
        <v>1734.45</v>
      </c>
      <c r="AU533" t="s">
        <v>415</v>
      </c>
      <c r="AV533" t="s">
        <v>1420</v>
      </c>
      <c r="AW533" t="s">
        <v>1973</v>
      </c>
      <c r="AX533">
        <v>46106</v>
      </c>
      <c r="AY533">
        <v>46155</v>
      </c>
      <c r="AZ533" t="s">
        <v>2103</v>
      </c>
      <c r="BA533" t="s">
        <v>560</v>
      </c>
      <c r="BB533" t="s">
        <v>2104</v>
      </c>
      <c r="BC533">
        <v>48</v>
      </c>
      <c r="BD533" t="s">
        <v>521</v>
      </c>
      <c r="BE533">
        <v>7.6898999999999997</v>
      </c>
      <c r="BF533">
        <v>6.2298999999999998</v>
      </c>
      <c r="BG533" t="s">
        <v>522</v>
      </c>
      <c r="BH533">
        <v>495</v>
      </c>
      <c r="BI533">
        <v>395</v>
      </c>
      <c r="BJ533">
        <v>190</v>
      </c>
      <c r="BK533">
        <v>30</v>
      </c>
      <c r="BL533" t="s">
        <v>521</v>
      </c>
      <c r="BM533">
        <v>257.69760000000002</v>
      </c>
      <c r="BN533">
        <v>186.89760000000001</v>
      </c>
      <c r="BO533">
        <v>257.69760000000002</v>
      </c>
      <c r="BP533" t="s">
        <v>522</v>
      </c>
      <c r="BQ533">
        <v>1200</v>
      </c>
      <c r="BR533">
        <v>1000</v>
      </c>
      <c r="BS533">
        <v>1120</v>
      </c>
      <c r="BT533">
        <v>1</v>
      </c>
      <c r="BU533">
        <v>0</v>
      </c>
      <c r="BV533">
        <v>1</v>
      </c>
      <c r="BW533">
        <v>30</v>
      </c>
      <c r="BX533">
        <v>0</v>
      </c>
      <c r="BY533">
        <v>30</v>
      </c>
      <c r="BZ533">
        <v>1440</v>
      </c>
      <c r="CA533">
        <v>0</v>
      </c>
      <c r="CB533">
        <v>1440</v>
      </c>
      <c r="CC533">
        <v>186.89760000000001</v>
      </c>
      <c r="CD533" t="s">
        <v>806</v>
      </c>
      <c r="CE533" t="s">
        <v>821</v>
      </c>
      <c r="CG533" t="s">
        <v>421</v>
      </c>
      <c r="CN533" t="str">
        <v>M45</v>
      </c>
      <c r="CO533" t="str">
        <v>1205-12C0014EN</v>
      </c>
      <c r="CP533" t="str">
        <v>MSMU5349558</v>
      </c>
      <c r="CQ533" s="23">
        <v>54.455399999999997</v>
      </c>
      <c r="CR533" s="25">
        <f t="shared" si="22"/>
        <v>3.4280720572393971E-3</v>
      </c>
      <c r="CS533" s="21">
        <f t="shared" si="23"/>
        <v>8.5701801430984936</v>
      </c>
    </row>
    <row r="534" spans="2:97" x14ac:dyDescent="0.35">
      <c r="B534" t="s">
        <v>295</v>
      </c>
      <c r="C534" t="s">
        <v>1531</v>
      </c>
      <c r="D534" t="s">
        <v>395</v>
      </c>
      <c r="E534" t="s">
        <v>395</v>
      </c>
      <c r="F534" t="s">
        <v>396</v>
      </c>
      <c r="G534" t="s">
        <v>397</v>
      </c>
      <c r="H534" t="s">
        <v>398</v>
      </c>
      <c r="I534" t="s">
        <v>399</v>
      </c>
      <c r="J534" t="s">
        <v>749</v>
      </c>
      <c r="K534" t="s">
        <v>845</v>
      </c>
      <c r="L534" t="s">
        <v>787</v>
      </c>
      <c r="M534" t="s">
        <v>403</v>
      </c>
      <c r="N534">
        <v>1</v>
      </c>
      <c r="O534">
        <v>2</v>
      </c>
      <c r="P534" t="s">
        <v>1120</v>
      </c>
      <c r="Q534" t="s">
        <v>637</v>
      </c>
      <c r="R534" t="s">
        <v>1121</v>
      </c>
      <c r="S534" t="s">
        <v>1122</v>
      </c>
      <c r="T534" t="s">
        <v>408</v>
      </c>
      <c r="U534">
        <v>50950080827</v>
      </c>
      <c r="W534">
        <v>10000</v>
      </c>
      <c r="X534" t="s">
        <v>409</v>
      </c>
      <c r="Y534" t="s">
        <v>410</v>
      </c>
      <c r="Z534" t="s">
        <v>410</v>
      </c>
      <c r="AA534" t="s">
        <v>411</v>
      </c>
      <c r="AB534" t="s">
        <v>554</v>
      </c>
      <c r="AC534" t="s">
        <v>411</v>
      </c>
      <c r="AD534">
        <v>46098</v>
      </c>
      <c r="AE534">
        <v>46125</v>
      </c>
      <c r="AF534">
        <v>46106</v>
      </c>
      <c r="AG534" t="s">
        <v>754</v>
      </c>
      <c r="AH534">
        <v>6150598</v>
      </c>
      <c r="AI534">
        <v>46100</v>
      </c>
      <c r="AJ534">
        <v>46101</v>
      </c>
      <c r="AK534">
        <v>10000</v>
      </c>
      <c r="AL534" t="s">
        <v>396</v>
      </c>
      <c r="AM534" t="s">
        <v>2113</v>
      </c>
      <c r="AN534">
        <v>46101</v>
      </c>
      <c r="AO534">
        <v>46101.394270833334</v>
      </c>
      <c r="AP534" t="s">
        <v>51</v>
      </c>
      <c r="AQ534">
        <v>5.704E-2</v>
      </c>
      <c r="AR534">
        <v>570.4</v>
      </c>
      <c r="AS534" t="s">
        <v>51</v>
      </c>
      <c r="AT534">
        <v>570.4</v>
      </c>
      <c r="AU534" t="s">
        <v>415</v>
      </c>
      <c r="AV534" t="s">
        <v>1420</v>
      </c>
      <c r="AW534" t="s">
        <v>1973</v>
      </c>
      <c r="AX534">
        <v>46106</v>
      </c>
      <c r="AY534">
        <v>46155</v>
      </c>
      <c r="AZ534" t="s">
        <v>2103</v>
      </c>
      <c r="BA534" t="s">
        <v>560</v>
      </c>
      <c r="BB534" t="s">
        <v>2104</v>
      </c>
      <c r="BC534">
        <v>500</v>
      </c>
      <c r="BD534" t="s">
        <v>521</v>
      </c>
      <c r="BE534">
        <v>9.3520000000000003</v>
      </c>
      <c r="BF534">
        <v>8.7919999999999998</v>
      </c>
      <c r="BG534" t="s">
        <v>522</v>
      </c>
      <c r="BH534">
        <v>295</v>
      </c>
      <c r="BI534">
        <v>195</v>
      </c>
      <c r="BJ534">
        <v>138</v>
      </c>
      <c r="BK534">
        <v>100</v>
      </c>
      <c r="BL534" t="s">
        <v>521</v>
      </c>
      <c r="BM534">
        <v>214.04</v>
      </c>
      <c r="BN534">
        <v>175.84</v>
      </c>
      <c r="BO534">
        <v>214.04</v>
      </c>
      <c r="BP534" t="s">
        <v>522</v>
      </c>
      <c r="BQ534">
        <v>1200</v>
      </c>
      <c r="BR534">
        <v>1000</v>
      </c>
      <c r="BS534">
        <v>850</v>
      </c>
      <c r="BT534">
        <v>0</v>
      </c>
      <c r="BU534">
        <v>1</v>
      </c>
      <c r="BV534">
        <v>1</v>
      </c>
      <c r="BW534">
        <v>20</v>
      </c>
      <c r="BX534">
        <v>0</v>
      </c>
      <c r="BY534">
        <v>20</v>
      </c>
      <c r="BZ534">
        <v>0</v>
      </c>
      <c r="CA534">
        <v>10000</v>
      </c>
      <c r="CB534">
        <v>10000</v>
      </c>
      <c r="CC534">
        <v>175.84</v>
      </c>
      <c r="CD534" t="s">
        <v>1124</v>
      </c>
      <c r="CE534" t="s">
        <v>1125</v>
      </c>
      <c r="CG534" t="s">
        <v>421</v>
      </c>
      <c r="CN534" t="str">
        <v>M45</v>
      </c>
      <c r="CO534" t="str">
        <v>1205-12C0016EN</v>
      </c>
      <c r="CP534" t="str">
        <v>MSMU5349558</v>
      </c>
      <c r="CQ534" s="23">
        <v>100.152</v>
      </c>
      <c r="CR534" s="25">
        <f t="shared" si="22"/>
        <v>6.3047608258619001E-3</v>
      </c>
      <c r="CS534" s="21">
        <f t="shared" si="23"/>
        <v>15.76190206465475</v>
      </c>
    </row>
    <row r="535" spans="2:97" x14ac:dyDescent="0.35">
      <c r="B535" t="s">
        <v>299</v>
      </c>
      <c r="C535" t="s">
        <v>1995</v>
      </c>
      <c r="D535" t="s">
        <v>395</v>
      </c>
      <c r="E535" t="s">
        <v>395</v>
      </c>
      <c r="F535" t="s">
        <v>396</v>
      </c>
      <c r="G535" t="s">
        <v>397</v>
      </c>
      <c r="H535" t="s">
        <v>398</v>
      </c>
      <c r="I535" t="s">
        <v>399</v>
      </c>
      <c r="J535" t="s">
        <v>749</v>
      </c>
      <c r="K535" t="s">
        <v>809</v>
      </c>
      <c r="L535" t="s">
        <v>787</v>
      </c>
      <c r="M535" t="s">
        <v>403</v>
      </c>
      <c r="N535">
        <v>1</v>
      </c>
      <c r="O535">
        <v>2</v>
      </c>
      <c r="P535" t="s">
        <v>1069</v>
      </c>
      <c r="Q535" t="s">
        <v>424</v>
      </c>
      <c r="R535" t="s">
        <v>811</v>
      </c>
      <c r="S535" t="s">
        <v>1070</v>
      </c>
      <c r="T535" t="s">
        <v>408</v>
      </c>
      <c r="U535">
        <v>50950081201</v>
      </c>
      <c r="W535">
        <v>1920</v>
      </c>
      <c r="X535" t="s">
        <v>409</v>
      </c>
      <c r="Y535" t="s">
        <v>410</v>
      </c>
      <c r="Z535" t="s">
        <v>410</v>
      </c>
      <c r="AA535" t="s">
        <v>411</v>
      </c>
      <c r="AB535" t="s">
        <v>554</v>
      </c>
      <c r="AC535" t="s">
        <v>411</v>
      </c>
      <c r="AD535">
        <v>46095</v>
      </c>
      <c r="AE535">
        <v>46146</v>
      </c>
      <c r="AF535">
        <v>46106</v>
      </c>
      <c r="AG535" t="s">
        <v>754</v>
      </c>
      <c r="AH535">
        <v>6150599</v>
      </c>
      <c r="AI535">
        <v>46100</v>
      </c>
      <c r="AJ535">
        <v>46101</v>
      </c>
      <c r="AK535">
        <v>1920</v>
      </c>
      <c r="AL535" t="s">
        <v>396</v>
      </c>
      <c r="AM535" t="s">
        <v>2114</v>
      </c>
      <c r="AN535">
        <v>46101</v>
      </c>
      <c r="AO535">
        <v>46101.394270833334</v>
      </c>
      <c r="AP535" t="s">
        <v>51</v>
      </c>
      <c r="AQ535">
        <v>2.3610099999999998</v>
      </c>
      <c r="AR535">
        <v>4533.12</v>
      </c>
      <c r="AS535" t="s">
        <v>51</v>
      </c>
      <c r="AT535">
        <v>4533.12</v>
      </c>
      <c r="AU535" t="s">
        <v>415</v>
      </c>
      <c r="AV535" t="s">
        <v>1420</v>
      </c>
      <c r="AW535" t="s">
        <v>1973</v>
      </c>
      <c r="AX535">
        <v>46106</v>
      </c>
      <c r="AY535">
        <v>46155</v>
      </c>
      <c r="AZ535" t="s">
        <v>2103</v>
      </c>
      <c r="BA535" t="s">
        <v>560</v>
      </c>
      <c r="BB535" t="s">
        <v>2104</v>
      </c>
      <c r="BC535">
        <v>16</v>
      </c>
      <c r="BD535" t="s">
        <v>521</v>
      </c>
      <c r="BE535">
        <v>6.3334000000000001</v>
      </c>
      <c r="BF535">
        <v>5.1344000000000003</v>
      </c>
      <c r="BG535" t="s">
        <v>522</v>
      </c>
      <c r="BH535">
        <v>495</v>
      </c>
      <c r="BI535">
        <v>395</v>
      </c>
      <c r="BJ535">
        <v>190</v>
      </c>
      <c r="BK535">
        <v>30</v>
      </c>
      <c r="BL535" t="s">
        <v>521</v>
      </c>
      <c r="BM535">
        <v>217.00200000000001</v>
      </c>
      <c r="BN535">
        <v>154.03200000000001</v>
      </c>
      <c r="BO535">
        <v>868.00800000000004</v>
      </c>
      <c r="BP535" t="s">
        <v>522</v>
      </c>
      <c r="BQ535">
        <v>1200</v>
      </c>
      <c r="BR535">
        <v>1000</v>
      </c>
      <c r="BS535">
        <v>1120</v>
      </c>
      <c r="BT535">
        <v>4</v>
      </c>
      <c r="BU535">
        <v>0</v>
      </c>
      <c r="BV535">
        <v>4</v>
      </c>
      <c r="BW535">
        <v>120</v>
      </c>
      <c r="BX535">
        <v>0</v>
      </c>
      <c r="BY535">
        <v>120</v>
      </c>
      <c r="BZ535">
        <v>1920</v>
      </c>
      <c r="CA535">
        <v>0</v>
      </c>
      <c r="CB535">
        <v>1920</v>
      </c>
      <c r="CC535">
        <v>616.12800000000004</v>
      </c>
      <c r="CD535" t="s">
        <v>806</v>
      </c>
      <c r="CE535" t="s">
        <v>816</v>
      </c>
      <c r="CG535" t="s">
        <v>421</v>
      </c>
      <c r="CN535" t="str">
        <v>M45</v>
      </c>
      <c r="CO535" t="str">
        <v>1205-12C0015EN</v>
      </c>
      <c r="CP535" t="str">
        <v>MSMU5349558</v>
      </c>
      <c r="CQ535" s="23">
        <v>61.603099999999998</v>
      </c>
      <c r="CR535" s="25">
        <f t="shared" si="22"/>
        <v>3.8780335053883418E-3</v>
      </c>
      <c r="CS535" s="21">
        <f t="shared" si="23"/>
        <v>9.6950837634708549</v>
      </c>
    </row>
    <row r="536" spans="2:97" x14ac:dyDescent="0.35">
      <c r="B536" t="s">
        <v>299</v>
      </c>
      <c r="C536" t="s">
        <v>2071</v>
      </c>
      <c r="D536" t="s">
        <v>395</v>
      </c>
      <c r="E536" t="s">
        <v>395</v>
      </c>
      <c r="F536" t="s">
        <v>396</v>
      </c>
      <c r="G536" t="s">
        <v>397</v>
      </c>
      <c r="H536" t="s">
        <v>398</v>
      </c>
      <c r="I536" t="s">
        <v>399</v>
      </c>
      <c r="J536" t="s">
        <v>749</v>
      </c>
      <c r="K536" t="s">
        <v>809</v>
      </c>
      <c r="L536" t="s">
        <v>787</v>
      </c>
      <c r="M536" t="s">
        <v>403</v>
      </c>
      <c r="N536">
        <v>1</v>
      </c>
      <c r="O536">
        <v>2</v>
      </c>
      <c r="P536" t="s">
        <v>1138</v>
      </c>
      <c r="Q536" t="s">
        <v>943</v>
      </c>
      <c r="R536" t="s">
        <v>811</v>
      </c>
      <c r="S536" t="s">
        <v>1139</v>
      </c>
      <c r="T536" t="s">
        <v>408</v>
      </c>
      <c r="U536">
        <v>50950081253</v>
      </c>
      <c r="W536">
        <v>480</v>
      </c>
      <c r="X536" t="s">
        <v>409</v>
      </c>
      <c r="Y536" t="s">
        <v>410</v>
      </c>
      <c r="Z536" t="s">
        <v>410</v>
      </c>
      <c r="AA536" t="s">
        <v>411</v>
      </c>
      <c r="AB536" t="s">
        <v>554</v>
      </c>
      <c r="AC536" t="s">
        <v>411</v>
      </c>
      <c r="AD536">
        <v>46095</v>
      </c>
      <c r="AE536">
        <v>46153</v>
      </c>
      <c r="AF536">
        <v>46106</v>
      </c>
      <c r="AG536" t="s">
        <v>754</v>
      </c>
      <c r="AH536">
        <v>6150600</v>
      </c>
      <c r="AI536">
        <v>46100</v>
      </c>
      <c r="AJ536">
        <v>46101</v>
      </c>
      <c r="AK536">
        <v>480</v>
      </c>
      <c r="AL536" t="s">
        <v>396</v>
      </c>
      <c r="AM536" t="s">
        <v>2115</v>
      </c>
      <c r="AN536">
        <v>46101</v>
      </c>
      <c r="AO536">
        <v>46101.394270833334</v>
      </c>
      <c r="AP536" t="s">
        <v>51</v>
      </c>
      <c r="AQ536">
        <v>1.50905</v>
      </c>
      <c r="AR536">
        <v>724.34</v>
      </c>
      <c r="AS536" t="s">
        <v>51</v>
      </c>
      <c r="AT536">
        <v>724.34</v>
      </c>
      <c r="AU536" t="s">
        <v>415</v>
      </c>
      <c r="AV536" t="s">
        <v>1420</v>
      </c>
      <c r="AW536" t="s">
        <v>1973</v>
      </c>
      <c r="AX536">
        <v>46106</v>
      </c>
      <c r="AY536">
        <v>46155</v>
      </c>
      <c r="AZ536" t="s">
        <v>2103</v>
      </c>
      <c r="BA536" t="s">
        <v>560</v>
      </c>
      <c r="BB536" t="s">
        <v>2104</v>
      </c>
      <c r="BC536">
        <v>16</v>
      </c>
      <c r="BD536" t="s">
        <v>521</v>
      </c>
      <c r="BE536">
        <v>4.0369000000000002</v>
      </c>
      <c r="BF536">
        <v>2.8378999999999999</v>
      </c>
      <c r="BG536" t="s">
        <v>522</v>
      </c>
      <c r="BH536">
        <v>495</v>
      </c>
      <c r="BI536">
        <v>395</v>
      </c>
      <c r="BJ536">
        <v>190</v>
      </c>
      <c r="BK536">
        <v>30</v>
      </c>
      <c r="BL536" t="s">
        <v>521</v>
      </c>
      <c r="BM536">
        <v>148.10568000000001</v>
      </c>
      <c r="BN536">
        <v>85.135679999999994</v>
      </c>
      <c r="BO536">
        <v>148.10568000000001</v>
      </c>
      <c r="BP536" t="s">
        <v>522</v>
      </c>
      <c r="BQ536">
        <v>1200</v>
      </c>
      <c r="BR536">
        <v>1000</v>
      </c>
      <c r="BS536">
        <v>1120</v>
      </c>
      <c r="BT536">
        <v>1</v>
      </c>
      <c r="BU536">
        <v>0</v>
      </c>
      <c r="BV536">
        <v>1</v>
      </c>
      <c r="BW536">
        <v>30</v>
      </c>
      <c r="BX536">
        <v>0</v>
      </c>
      <c r="BY536">
        <v>30</v>
      </c>
      <c r="BZ536">
        <v>480</v>
      </c>
      <c r="CA536">
        <v>0</v>
      </c>
      <c r="CB536">
        <v>480</v>
      </c>
      <c r="CC536">
        <v>85.135679999999994</v>
      </c>
      <c r="CD536" t="s">
        <v>806</v>
      </c>
      <c r="CE536" t="s">
        <v>816</v>
      </c>
      <c r="CG536" t="s">
        <v>421</v>
      </c>
      <c r="CN536" t="str">
        <v>MCS</v>
      </c>
      <c r="CO536" t="str">
        <v>1209-5YY0205-T2EN</v>
      </c>
      <c r="CP536" t="str">
        <v>MSMU5349558</v>
      </c>
      <c r="CQ536" s="23">
        <v>34.771099999999997</v>
      </c>
      <c r="CR536" s="25">
        <f t="shared" si="22"/>
        <v>2.1889075520421628E-3</v>
      </c>
      <c r="CS536" s="21">
        <f t="shared" si="23"/>
        <v>5.4722688801054069</v>
      </c>
    </row>
    <row r="537" spans="2:97" x14ac:dyDescent="0.35">
      <c r="B537" t="s">
        <v>299</v>
      </c>
      <c r="C537" t="s">
        <v>2116</v>
      </c>
      <c r="D537" t="s">
        <v>395</v>
      </c>
      <c r="E537" t="s">
        <v>823</v>
      </c>
      <c r="F537" t="s">
        <v>396</v>
      </c>
      <c r="G537" t="s">
        <v>397</v>
      </c>
      <c r="H537" t="s">
        <v>398</v>
      </c>
      <c r="I537" t="s">
        <v>399</v>
      </c>
      <c r="J537" t="s">
        <v>749</v>
      </c>
      <c r="K537" t="s">
        <v>809</v>
      </c>
      <c r="L537" t="s">
        <v>787</v>
      </c>
      <c r="M537" t="s">
        <v>403</v>
      </c>
      <c r="N537">
        <v>1</v>
      </c>
      <c r="O537">
        <v>1</v>
      </c>
      <c r="P537" t="s">
        <v>824</v>
      </c>
      <c r="Q537" t="s">
        <v>424</v>
      </c>
      <c r="R537" t="s">
        <v>811</v>
      </c>
      <c r="S537" t="s">
        <v>825</v>
      </c>
      <c r="T537" t="s">
        <v>408</v>
      </c>
      <c r="U537">
        <v>50950081267</v>
      </c>
      <c r="W537">
        <v>2880</v>
      </c>
      <c r="X537" t="s">
        <v>409</v>
      </c>
      <c r="Y537" t="s">
        <v>410</v>
      </c>
      <c r="Z537" t="s">
        <v>410</v>
      </c>
      <c r="AA537" t="s">
        <v>411</v>
      </c>
      <c r="AB537" t="s">
        <v>554</v>
      </c>
      <c r="AC537" t="s">
        <v>411</v>
      </c>
      <c r="AD537">
        <v>46095</v>
      </c>
      <c r="AE537">
        <v>46153</v>
      </c>
      <c r="AF537">
        <v>46106</v>
      </c>
      <c r="AG537" t="s">
        <v>754</v>
      </c>
      <c r="AH537">
        <v>6150601</v>
      </c>
      <c r="AI537">
        <v>46100</v>
      </c>
      <c r="AJ537">
        <v>46101</v>
      </c>
      <c r="AK537">
        <v>2880</v>
      </c>
      <c r="AL537" t="s">
        <v>396</v>
      </c>
      <c r="AM537" t="s">
        <v>2117</v>
      </c>
      <c r="AN537">
        <v>46101</v>
      </c>
      <c r="AO537">
        <v>46101.394270833334</v>
      </c>
      <c r="AP537" t="s">
        <v>51</v>
      </c>
      <c r="AQ537">
        <v>1.15734</v>
      </c>
      <c r="AR537">
        <v>3333.14</v>
      </c>
      <c r="AS537" t="s">
        <v>51</v>
      </c>
      <c r="AT537">
        <v>3333.14</v>
      </c>
      <c r="AU537" t="s">
        <v>415</v>
      </c>
      <c r="AV537" t="s">
        <v>1420</v>
      </c>
      <c r="AW537" t="s">
        <v>1973</v>
      </c>
      <c r="AX537">
        <v>46106</v>
      </c>
      <c r="AY537">
        <v>46155</v>
      </c>
      <c r="AZ537" t="s">
        <v>2103</v>
      </c>
      <c r="BA537" t="s">
        <v>560</v>
      </c>
      <c r="BB537" t="s">
        <v>2104</v>
      </c>
      <c r="BC537">
        <v>48</v>
      </c>
      <c r="BD537" t="s">
        <v>521</v>
      </c>
      <c r="BE537">
        <v>8.2250999999999994</v>
      </c>
      <c r="BF537">
        <v>6.7651000000000003</v>
      </c>
      <c r="BG537" t="s">
        <v>522</v>
      </c>
      <c r="BH537">
        <v>495</v>
      </c>
      <c r="BI537">
        <v>395</v>
      </c>
      <c r="BJ537">
        <v>190</v>
      </c>
      <c r="BK537">
        <v>30</v>
      </c>
      <c r="BL537" t="s">
        <v>521</v>
      </c>
      <c r="BM537">
        <v>273.75299999999999</v>
      </c>
      <c r="BN537">
        <v>202.953</v>
      </c>
      <c r="BO537">
        <v>547.50720000000001</v>
      </c>
      <c r="BP537" t="s">
        <v>522</v>
      </c>
      <c r="BQ537">
        <v>1200</v>
      </c>
      <c r="BR537">
        <v>1000</v>
      </c>
      <c r="BS537">
        <v>1120</v>
      </c>
      <c r="BT537">
        <v>2</v>
      </c>
      <c r="BU537">
        <v>0</v>
      </c>
      <c r="BV537">
        <v>2</v>
      </c>
      <c r="BW537">
        <v>60</v>
      </c>
      <c r="BX537">
        <v>0</v>
      </c>
      <c r="BY537">
        <v>60</v>
      </c>
      <c r="BZ537">
        <v>2880</v>
      </c>
      <c r="CA537">
        <v>0</v>
      </c>
      <c r="CB537">
        <v>2880</v>
      </c>
      <c r="CC537">
        <v>405.90719999999999</v>
      </c>
      <c r="CD537" t="s">
        <v>806</v>
      </c>
      <c r="CE537" t="s">
        <v>821</v>
      </c>
      <c r="CG537" t="s">
        <v>421</v>
      </c>
      <c r="CN537" t="str">
        <v>M19</v>
      </c>
      <c r="CO537" t="str">
        <v>1108-1YY0106EN</v>
      </c>
      <c r="CP537" t="str">
        <v>MSMU5349558</v>
      </c>
      <c r="CQ537" s="23">
        <v>1066.17408</v>
      </c>
      <c r="CR537" s="25">
        <f t="shared" si="22"/>
        <v>6.7117706816971726E-2</v>
      </c>
      <c r="CS537" s="21">
        <f t="shared" si="23"/>
        <v>167.79426704242931</v>
      </c>
    </row>
    <row r="538" spans="2:97" x14ac:dyDescent="0.35">
      <c r="B538" t="s">
        <v>299</v>
      </c>
      <c r="C538" t="s">
        <v>2023</v>
      </c>
      <c r="D538" t="s">
        <v>395</v>
      </c>
      <c r="E538" t="s">
        <v>395</v>
      </c>
      <c r="F538" t="s">
        <v>396</v>
      </c>
      <c r="G538" t="s">
        <v>397</v>
      </c>
      <c r="H538" t="s">
        <v>398</v>
      </c>
      <c r="I538" t="s">
        <v>399</v>
      </c>
      <c r="J538" t="s">
        <v>749</v>
      </c>
      <c r="K538" t="s">
        <v>845</v>
      </c>
      <c r="L538" t="s">
        <v>787</v>
      </c>
      <c r="M538" t="s">
        <v>403</v>
      </c>
      <c r="N538">
        <v>1</v>
      </c>
      <c r="O538">
        <v>2</v>
      </c>
      <c r="P538" t="s">
        <v>846</v>
      </c>
      <c r="Q538" t="s">
        <v>405</v>
      </c>
      <c r="R538" t="s">
        <v>847</v>
      </c>
      <c r="S538" t="s">
        <v>848</v>
      </c>
      <c r="T538" t="s">
        <v>408</v>
      </c>
      <c r="U538">
        <v>50950081261</v>
      </c>
      <c r="W538">
        <v>810</v>
      </c>
      <c r="X538" t="s">
        <v>409</v>
      </c>
      <c r="Y538" t="s">
        <v>410</v>
      </c>
      <c r="Z538" t="s">
        <v>410</v>
      </c>
      <c r="AA538" t="s">
        <v>411</v>
      </c>
      <c r="AB538" t="s">
        <v>554</v>
      </c>
      <c r="AC538" t="s">
        <v>411</v>
      </c>
      <c r="AD538">
        <v>46095</v>
      </c>
      <c r="AE538">
        <v>46153</v>
      </c>
      <c r="AF538">
        <v>46106</v>
      </c>
      <c r="AG538" t="s">
        <v>754</v>
      </c>
      <c r="AH538">
        <v>6150602</v>
      </c>
      <c r="AI538">
        <v>46100</v>
      </c>
      <c r="AJ538">
        <v>46101</v>
      </c>
      <c r="AK538">
        <v>810</v>
      </c>
      <c r="AL538" t="s">
        <v>396</v>
      </c>
      <c r="AM538" t="s">
        <v>2118</v>
      </c>
      <c r="AN538">
        <v>46101</v>
      </c>
      <c r="AO538">
        <v>46101.394270833334</v>
      </c>
      <c r="AP538" t="s">
        <v>51</v>
      </c>
      <c r="AQ538">
        <v>1.3785799999999999</v>
      </c>
      <c r="AR538">
        <v>1116.6500000000001</v>
      </c>
      <c r="AS538" t="s">
        <v>51</v>
      </c>
      <c r="AT538">
        <v>1116.6500000000001</v>
      </c>
      <c r="AU538" t="s">
        <v>415</v>
      </c>
      <c r="AV538" t="s">
        <v>1420</v>
      </c>
      <c r="AW538" t="s">
        <v>1973</v>
      </c>
      <c r="AX538">
        <v>46106</v>
      </c>
      <c r="AY538">
        <v>46155</v>
      </c>
      <c r="AZ538" t="s">
        <v>2103</v>
      </c>
      <c r="BA538" t="s">
        <v>560</v>
      </c>
      <c r="BB538" t="s">
        <v>2104</v>
      </c>
      <c r="BC538">
        <v>27</v>
      </c>
      <c r="BD538" t="s">
        <v>521</v>
      </c>
      <c r="BE538">
        <v>14.865399999999999</v>
      </c>
      <c r="BF538">
        <v>13.6374</v>
      </c>
      <c r="BG538" t="s">
        <v>522</v>
      </c>
      <c r="BH538">
        <v>495</v>
      </c>
      <c r="BI538">
        <v>395</v>
      </c>
      <c r="BJ538">
        <v>170</v>
      </c>
      <c r="BK538">
        <v>30</v>
      </c>
      <c r="BL538" t="s">
        <v>521</v>
      </c>
      <c r="BM538">
        <v>472.96289999999999</v>
      </c>
      <c r="BN538">
        <v>409.12290000000002</v>
      </c>
      <c r="BO538">
        <v>472.96289999999999</v>
      </c>
      <c r="BP538" t="s">
        <v>522</v>
      </c>
      <c r="BQ538">
        <v>1200</v>
      </c>
      <c r="BR538">
        <v>1000</v>
      </c>
      <c r="BS538">
        <v>1000</v>
      </c>
      <c r="BT538">
        <v>1</v>
      </c>
      <c r="BU538">
        <v>0</v>
      </c>
      <c r="BV538">
        <v>1</v>
      </c>
      <c r="BW538">
        <v>30</v>
      </c>
      <c r="BX538">
        <v>0</v>
      </c>
      <c r="BY538">
        <v>30</v>
      </c>
      <c r="BZ538">
        <v>810</v>
      </c>
      <c r="CA538">
        <v>0</v>
      </c>
      <c r="CB538">
        <v>810</v>
      </c>
      <c r="CC538">
        <v>409.12290000000002</v>
      </c>
      <c r="CD538" t="s">
        <v>850</v>
      </c>
      <c r="CE538" t="s">
        <v>851</v>
      </c>
      <c r="CG538" t="s">
        <v>421</v>
      </c>
      <c r="CN538" t="str">
        <v>M19</v>
      </c>
      <c r="CO538" t="str">
        <v>1271-5YY0098EN</v>
      </c>
      <c r="CP538" t="str">
        <v>MSMU5349558</v>
      </c>
      <c r="CQ538" s="23">
        <v>261.74</v>
      </c>
      <c r="CR538" s="25">
        <f t="shared" si="22"/>
        <v>1.6477035891056532E-2</v>
      </c>
      <c r="CS538" s="21">
        <f t="shared" si="23"/>
        <v>41.192589727641327</v>
      </c>
    </row>
    <row r="539" spans="2:97" x14ac:dyDescent="0.35">
      <c r="B539" t="s">
        <v>299</v>
      </c>
      <c r="C539" t="s">
        <v>2119</v>
      </c>
      <c r="D539" t="s">
        <v>395</v>
      </c>
      <c r="E539" t="s">
        <v>395</v>
      </c>
      <c r="F539" t="s">
        <v>396</v>
      </c>
      <c r="G539" t="s">
        <v>397</v>
      </c>
      <c r="H539" t="s">
        <v>398</v>
      </c>
      <c r="I539" t="s">
        <v>399</v>
      </c>
      <c r="J539" t="s">
        <v>749</v>
      </c>
      <c r="K539" t="s">
        <v>809</v>
      </c>
      <c r="L539" t="s">
        <v>787</v>
      </c>
      <c r="M539" t="s">
        <v>403</v>
      </c>
      <c r="N539">
        <v>1</v>
      </c>
      <c r="O539">
        <v>1</v>
      </c>
      <c r="P539" t="s">
        <v>1138</v>
      </c>
      <c r="Q539" t="s">
        <v>943</v>
      </c>
      <c r="R539" t="s">
        <v>811</v>
      </c>
      <c r="S539" t="s">
        <v>1139</v>
      </c>
      <c r="T539" t="s">
        <v>408</v>
      </c>
      <c r="U539">
        <v>50950081277</v>
      </c>
      <c r="W539">
        <v>2880</v>
      </c>
      <c r="X539" t="s">
        <v>409</v>
      </c>
      <c r="Y539" t="s">
        <v>410</v>
      </c>
      <c r="Z539" t="s">
        <v>410</v>
      </c>
      <c r="AA539" t="s">
        <v>411</v>
      </c>
      <c r="AB539" t="s">
        <v>554</v>
      </c>
      <c r="AC539" t="s">
        <v>411</v>
      </c>
      <c r="AD539">
        <v>46102</v>
      </c>
      <c r="AE539">
        <v>46160</v>
      </c>
      <c r="AF539">
        <v>46106</v>
      </c>
      <c r="AG539" t="s">
        <v>754</v>
      </c>
      <c r="AH539">
        <v>6150603</v>
      </c>
      <c r="AI539">
        <v>46100</v>
      </c>
      <c r="AJ539">
        <v>46101</v>
      </c>
      <c r="AK539">
        <v>2880</v>
      </c>
      <c r="AL539" t="s">
        <v>396</v>
      </c>
      <c r="AM539" t="s">
        <v>2120</v>
      </c>
      <c r="AN539">
        <v>46101</v>
      </c>
      <c r="AO539">
        <v>46101.394270833334</v>
      </c>
      <c r="AP539" t="s">
        <v>51</v>
      </c>
      <c r="AQ539">
        <v>1.50905</v>
      </c>
      <c r="AR539">
        <v>4346.04</v>
      </c>
      <c r="AS539" t="s">
        <v>51</v>
      </c>
      <c r="AT539">
        <v>4346.04</v>
      </c>
      <c r="AU539" t="s">
        <v>415</v>
      </c>
      <c r="AV539" t="s">
        <v>1420</v>
      </c>
      <c r="AW539" t="s">
        <v>1973</v>
      </c>
      <c r="AX539">
        <v>46106</v>
      </c>
      <c r="AY539">
        <v>46155</v>
      </c>
      <c r="AZ539" t="s">
        <v>2103</v>
      </c>
      <c r="BA539" t="s">
        <v>560</v>
      </c>
      <c r="BB539" t="s">
        <v>2104</v>
      </c>
      <c r="BC539">
        <v>16</v>
      </c>
      <c r="BD539" t="s">
        <v>521</v>
      </c>
      <c r="BE539">
        <v>4.0369000000000002</v>
      </c>
      <c r="BF539">
        <v>2.8378999999999999</v>
      </c>
      <c r="BG539" t="s">
        <v>522</v>
      </c>
      <c r="BH539">
        <v>495</v>
      </c>
      <c r="BI539">
        <v>395</v>
      </c>
      <c r="BJ539">
        <v>190</v>
      </c>
      <c r="BK539">
        <v>30</v>
      </c>
      <c r="BL539" t="s">
        <v>521</v>
      </c>
      <c r="BM539">
        <v>148.107</v>
      </c>
      <c r="BN539">
        <v>85.137</v>
      </c>
      <c r="BO539">
        <v>888.63408000000004</v>
      </c>
      <c r="BP539" t="s">
        <v>522</v>
      </c>
      <c r="BQ539">
        <v>1200</v>
      </c>
      <c r="BR539">
        <v>1000</v>
      </c>
      <c r="BS539">
        <v>1120</v>
      </c>
      <c r="BT539">
        <v>6</v>
      </c>
      <c r="BU539">
        <v>0</v>
      </c>
      <c r="BV539">
        <v>6</v>
      </c>
      <c r="BW539">
        <v>180</v>
      </c>
      <c r="BX539">
        <v>0</v>
      </c>
      <c r="BY539">
        <v>180</v>
      </c>
      <c r="BZ539">
        <v>2880</v>
      </c>
      <c r="CA539">
        <v>0</v>
      </c>
      <c r="CB539">
        <v>2880</v>
      </c>
      <c r="CC539">
        <v>510.81407999999999</v>
      </c>
      <c r="CD539" t="s">
        <v>806</v>
      </c>
      <c r="CE539" t="s">
        <v>816</v>
      </c>
      <c r="CG539" t="s">
        <v>421</v>
      </c>
      <c r="CN539" t="str">
        <v>M19</v>
      </c>
      <c r="CO539" t="str">
        <v>1330-5YY0176EN</v>
      </c>
      <c r="CP539" t="str">
        <v>MSMU5349558</v>
      </c>
      <c r="CQ539" s="23">
        <v>273.75360000000001</v>
      </c>
      <c r="CR539" s="25">
        <f t="shared" si="22"/>
        <v>1.7233315093244952E-2</v>
      </c>
      <c r="CS539" s="21">
        <f t="shared" si="23"/>
        <v>43.083287733112378</v>
      </c>
    </row>
    <row r="540" spans="2:97" x14ac:dyDescent="0.35">
      <c r="B540" t="s">
        <v>299</v>
      </c>
      <c r="C540" t="s">
        <v>1546</v>
      </c>
      <c r="D540" t="s">
        <v>395</v>
      </c>
      <c r="E540" t="s">
        <v>395</v>
      </c>
      <c r="F540" t="s">
        <v>396</v>
      </c>
      <c r="G540" t="s">
        <v>397</v>
      </c>
      <c r="H540" t="s">
        <v>398</v>
      </c>
      <c r="I540" t="s">
        <v>399</v>
      </c>
      <c r="J540" t="s">
        <v>749</v>
      </c>
      <c r="K540" t="s">
        <v>845</v>
      </c>
      <c r="L540" t="s">
        <v>787</v>
      </c>
      <c r="M540" t="s">
        <v>403</v>
      </c>
      <c r="N540">
        <v>1</v>
      </c>
      <c r="O540">
        <v>3</v>
      </c>
      <c r="P540" t="s">
        <v>853</v>
      </c>
      <c r="Q540" t="s">
        <v>789</v>
      </c>
      <c r="R540" t="s">
        <v>847</v>
      </c>
      <c r="S540" t="s">
        <v>854</v>
      </c>
      <c r="T540" t="s">
        <v>408</v>
      </c>
      <c r="U540">
        <v>50950081249</v>
      </c>
      <c r="W540">
        <v>4752</v>
      </c>
      <c r="X540" t="s">
        <v>409</v>
      </c>
      <c r="Y540" t="s">
        <v>410</v>
      </c>
      <c r="Z540" t="s">
        <v>410</v>
      </c>
      <c r="AA540" t="s">
        <v>411</v>
      </c>
      <c r="AB540" t="s">
        <v>554</v>
      </c>
      <c r="AC540" t="s">
        <v>411</v>
      </c>
      <c r="AD540">
        <v>46095</v>
      </c>
      <c r="AE540">
        <v>46153</v>
      </c>
      <c r="AF540">
        <v>46106</v>
      </c>
      <c r="AG540" t="s">
        <v>754</v>
      </c>
      <c r="AH540">
        <v>6150604</v>
      </c>
      <c r="AI540">
        <v>46100</v>
      </c>
      <c r="AJ540">
        <v>46101</v>
      </c>
      <c r="AK540">
        <v>4752</v>
      </c>
      <c r="AL540" t="s">
        <v>396</v>
      </c>
      <c r="AM540" t="s">
        <v>2121</v>
      </c>
      <c r="AN540">
        <v>46101</v>
      </c>
      <c r="AO540">
        <v>46101.394270833334</v>
      </c>
      <c r="AP540" t="s">
        <v>51</v>
      </c>
      <c r="AQ540">
        <v>1.00054</v>
      </c>
      <c r="AR540">
        <v>4754.5600000000004</v>
      </c>
      <c r="AS540" t="s">
        <v>51</v>
      </c>
      <c r="AT540">
        <v>4754.5600000000004</v>
      </c>
      <c r="AU540" t="s">
        <v>415</v>
      </c>
      <c r="AV540" t="s">
        <v>1420</v>
      </c>
      <c r="AW540" t="s">
        <v>1973</v>
      </c>
      <c r="AX540">
        <v>46106</v>
      </c>
      <c r="AY540">
        <v>46155</v>
      </c>
      <c r="AZ540" t="s">
        <v>2103</v>
      </c>
      <c r="BA540" t="s">
        <v>560</v>
      </c>
      <c r="BB540" t="s">
        <v>2104</v>
      </c>
      <c r="BC540">
        <v>33</v>
      </c>
      <c r="BD540" t="s">
        <v>521</v>
      </c>
      <c r="BE540">
        <v>12.9557</v>
      </c>
      <c r="BF540">
        <v>12.005699999999999</v>
      </c>
      <c r="BG540" t="s">
        <v>522</v>
      </c>
      <c r="BH540">
        <v>495</v>
      </c>
      <c r="BI540">
        <v>395</v>
      </c>
      <c r="BJ540">
        <v>150</v>
      </c>
      <c r="BK540">
        <v>36</v>
      </c>
      <c r="BL540" t="s">
        <v>521</v>
      </c>
      <c r="BM540">
        <v>493.40519999999998</v>
      </c>
      <c r="BN540">
        <v>432.20519999999999</v>
      </c>
      <c r="BO540">
        <v>1973.6251199999999</v>
      </c>
      <c r="BP540" t="s">
        <v>522</v>
      </c>
      <c r="BQ540">
        <v>1200</v>
      </c>
      <c r="BR540">
        <v>1000</v>
      </c>
      <c r="BS540">
        <v>1053</v>
      </c>
      <c r="BT540">
        <v>4</v>
      </c>
      <c r="BU540">
        <v>0</v>
      </c>
      <c r="BV540">
        <v>4</v>
      </c>
      <c r="BW540">
        <v>144</v>
      </c>
      <c r="BX540">
        <v>0</v>
      </c>
      <c r="BY540">
        <v>144</v>
      </c>
      <c r="BZ540">
        <v>4752</v>
      </c>
      <c r="CA540">
        <v>0</v>
      </c>
      <c r="CB540">
        <v>4752</v>
      </c>
      <c r="CC540">
        <v>1728.82512</v>
      </c>
      <c r="CD540" t="s">
        <v>856</v>
      </c>
      <c r="CE540" t="s">
        <v>857</v>
      </c>
      <c r="CG540" t="s">
        <v>421</v>
      </c>
      <c r="CN540" t="str">
        <v>M19</v>
      </c>
      <c r="CO540" t="str">
        <v>1301-5YY0305EN0093</v>
      </c>
      <c r="CP540" t="str">
        <v>MSMU5349558</v>
      </c>
      <c r="CQ540" s="23">
        <v>472.96289999999999</v>
      </c>
      <c r="CR540" s="25">
        <f t="shared" si="22"/>
        <v>2.977392327667984E-2</v>
      </c>
      <c r="CS540" s="21">
        <f t="shared" si="23"/>
        <v>74.434808191699602</v>
      </c>
    </row>
    <row r="541" spans="2:97" x14ac:dyDescent="0.35">
      <c r="B541" t="s">
        <v>295</v>
      </c>
      <c r="C541" t="s">
        <v>2122</v>
      </c>
      <c r="D541" t="s">
        <v>395</v>
      </c>
      <c r="E541" t="s">
        <v>395</v>
      </c>
      <c r="F541" t="s">
        <v>396</v>
      </c>
      <c r="G541" t="s">
        <v>397</v>
      </c>
      <c r="H541" t="s">
        <v>398</v>
      </c>
      <c r="I541" t="s">
        <v>399</v>
      </c>
      <c r="J541" t="s">
        <v>749</v>
      </c>
      <c r="K541" t="s">
        <v>845</v>
      </c>
      <c r="L541" t="s">
        <v>787</v>
      </c>
      <c r="M541" t="s">
        <v>403</v>
      </c>
      <c r="N541">
        <v>1</v>
      </c>
      <c r="O541">
        <v>1</v>
      </c>
      <c r="P541" t="s">
        <v>1575</v>
      </c>
      <c r="Q541" t="s">
        <v>645</v>
      </c>
      <c r="R541" t="s">
        <v>1121</v>
      </c>
      <c r="S541" t="s">
        <v>1122</v>
      </c>
      <c r="T541" t="s">
        <v>408</v>
      </c>
      <c r="U541">
        <v>50950081553</v>
      </c>
      <c r="W541">
        <v>10000</v>
      </c>
      <c r="X541" t="s">
        <v>409</v>
      </c>
      <c r="Y541" t="s">
        <v>410</v>
      </c>
      <c r="Z541" t="s">
        <v>410</v>
      </c>
      <c r="AA541" t="s">
        <v>411</v>
      </c>
      <c r="AB541" t="s">
        <v>554</v>
      </c>
      <c r="AC541" t="s">
        <v>411</v>
      </c>
      <c r="AD541">
        <v>46098</v>
      </c>
      <c r="AE541">
        <v>46132</v>
      </c>
      <c r="AF541">
        <v>46106</v>
      </c>
      <c r="AG541" t="s">
        <v>754</v>
      </c>
      <c r="AH541">
        <v>6150605</v>
      </c>
      <c r="AI541">
        <v>46100</v>
      </c>
      <c r="AJ541">
        <v>46101</v>
      </c>
      <c r="AK541">
        <v>10000</v>
      </c>
      <c r="AL541" t="s">
        <v>396</v>
      </c>
      <c r="AM541" t="s">
        <v>2123</v>
      </c>
      <c r="AN541">
        <v>46101</v>
      </c>
      <c r="AO541">
        <v>46101.394270833334</v>
      </c>
      <c r="AP541" t="s">
        <v>51</v>
      </c>
      <c r="AQ541">
        <v>5.6329999999999998E-2</v>
      </c>
      <c r="AR541">
        <v>563.29999999999995</v>
      </c>
      <c r="AS541" t="s">
        <v>51</v>
      </c>
      <c r="AT541">
        <v>563.29999999999995</v>
      </c>
      <c r="AU541" t="s">
        <v>415</v>
      </c>
      <c r="AV541" t="s">
        <v>1420</v>
      </c>
      <c r="AW541" t="s">
        <v>1973</v>
      </c>
      <c r="AX541">
        <v>46106</v>
      </c>
      <c r="AY541">
        <v>46155</v>
      </c>
      <c r="AZ541" t="s">
        <v>2103</v>
      </c>
      <c r="BA541" t="s">
        <v>560</v>
      </c>
      <c r="BB541" t="s">
        <v>2104</v>
      </c>
      <c r="BC541">
        <v>500</v>
      </c>
      <c r="BD541" t="s">
        <v>521</v>
      </c>
      <c r="BE541">
        <v>9.4039999999999999</v>
      </c>
      <c r="BF541">
        <v>8.8439999999999994</v>
      </c>
      <c r="BG541" t="s">
        <v>522</v>
      </c>
      <c r="BH541">
        <v>295</v>
      </c>
      <c r="BI541">
        <v>195</v>
      </c>
      <c r="BJ541">
        <v>138</v>
      </c>
      <c r="BK541">
        <v>100</v>
      </c>
      <c r="BL541" t="s">
        <v>521</v>
      </c>
      <c r="BM541">
        <v>215.08</v>
      </c>
      <c r="BN541">
        <v>176.88</v>
      </c>
      <c r="BO541">
        <v>215.08</v>
      </c>
      <c r="BP541" t="s">
        <v>522</v>
      </c>
      <c r="BQ541">
        <v>1200</v>
      </c>
      <c r="BR541">
        <v>1000</v>
      </c>
      <c r="BS541">
        <v>850</v>
      </c>
      <c r="BT541">
        <v>0</v>
      </c>
      <c r="BU541">
        <v>1</v>
      </c>
      <c r="BV541">
        <v>1</v>
      </c>
      <c r="BW541">
        <v>20</v>
      </c>
      <c r="BX541">
        <v>0</v>
      </c>
      <c r="BY541">
        <v>20</v>
      </c>
      <c r="BZ541">
        <v>0</v>
      </c>
      <c r="CA541">
        <v>10000</v>
      </c>
      <c r="CB541">
        <v>10000</v>
      </c>
      <c r="CC541">
        <v>176.88</v>
      </c>
      <c r="CD541" t="s">
        <v>1124</v>
      </c>
      <c r="CE541" t="s">
        <v>1125</v>
      </c>
      <c r="CG541" t="s">
        <v>421</v>
      </c>
      <c r="CN541" t="str">
        <v>MCS</v>
      </c>
      <c r="CO541" t="str">
        <v>1326-5YY0036EN</v>
      </c>
      <c r="CP541" t="str">
        <v>MSMU5349558</v>
      </c>
      <c r="CQ541" s="23">
        <v>48.875</v>
      </c>
      <c r="CR541" s="25">
        <f t="shared" si="22"/>
        <v>3.07677515540379E-3</v>
      </c>
      <c r="CS541" s="21">
        <f t="shared" si="23"/>
        <v>7.6919378885094751</v>
      </c>
    </row>
    <row r="542" spans="2:97" x14ac:dyDescent="0.35">
      <c r="B542" t="s">
        <v>298</v>
      </c>
      <c r="C542" t="s">
        <v>2124</v>
      </c>
      <c r="D542" t="s">
        <v>395</v>
      </c>
      <c r="E542" t="s">
        <v>395</v>
      </c>
      <c r="F542" t="s">
        <v>396</v>
      </c>
      <c r="G542" t="s">
        <v>397</v>
      </c>
      <c r="H542" t="s">
        <v>398</v>
      </c>
      <c r="I542" t="s">
        <v>399</v>
      </c>
      <c r="J542" t="s">
        <v>749</v>
      </c>
      <c r="K542" t="s">
        <v>845</v>
      </c>
      <c r="L542" t="s">
        <v>750</v>
      </c>
      <c r="M542" t="s">
        <v>403</v>
      </c>
      <c r="N542">
        <v>1</v>
      </c>
      <c r="O542">
        <v>1</v>
      </c>
      <c r="P542" t="s">
        <v>1659</v>
      </c>
      <c r="Q542" t="s">
        <v>645</v>
      </c>
      <c r="R542" t="s">
        <v>1660</v>
      </c>
      <c r="S542" t="s">
        <v>1661</v>
      </c>
      <c r="T542" t="s">
        <v>408</v>
      </c>
      <c r="U542">
        <v>50950082312</v>
      </c>
      <c r="W542">
        <v>6720</v>
      </c>
      <c r="X542" t="s">
        <v>409</v>
      </c>
      <c r="Y542" t="s">
        <v>410</v>
      </c>
      <c r="Z542" t="s">
        <v>410</v>
      </c>
      <c r="AA542" t="s">
        <v>411</v>
      </c>
      <c r="AB542" t="s">
        <v>554</v>
      </c>
      <c r="AC542" t="s">
        <v>411</v>
      </c>
      <c r="AD542">
        <v>46102</v>
      </c>
      <c r="AE542">
        <v>46160</v>
      </c>
      <c r="AF542">
        <v>46106</v>
      </c>
      <c r="AG542" t="s">
        <v>754</v>
      </c>
      <c r="AH542">
        <v>6150606</v>
      </c>
      <c r="AI542">
        <v>46100</v>
      </c>
      <c r="AJ542">
        <v>46101</v>
      </c>
      <c r="AK542">
        <v>6720</v>
      </c>
      <c r="AL542" t="s">
        <v>396</v>
      </c>
      <c r="AM542" t="s">
        <v>2125</v>
      </c>
      <c r="AN542">
        <v>46101</v>
      </c>
      <c r="AO542">
        <v>46101.394270833334</v>
      </c>
      <c r="AP542" t="s">
        <v>51</v>
      </c>
      <c r="AQ542">
        <v>0.14412</v>
      </c>
      <c r="AR542">
        <v>968.49</v>
      </c>
      <c r="AS542" t="s">
        <v>51</v>
      </c>
      <c r="AT542">
        <v>968.49</v>
      </c>
      <c r="AU542" t="s">
        <v>415</v>
      </c>
      <c r="AV542" t="s">
        <v>1420</v>
      </c>
      <c r="AW542" t="s">
        <v>1973</v>
      </c>
      <c r="AX542">
        <v>46106</v>
      </c>
      <c r="AY542">
        <v>46155</v>
      </c>
      <c r="AZ542" t="s">
        <v>2103</v>
      </c>
      <c r="BA542" t="s">
        <v>560</v>
      </c>
      <c r="BB542" t="s">
        <v>2104</v>
      </c>
      <c r="BC542">
        <v>120</v>
      </c>
      <c r="BD542" t="s">
        <v>521</v>
      </c>
      <c r="BE542">
        <v>10.915699999999999</v>
      </c>
      <c r="BF542">
        <v>9.0157000000000007</v>
      </c>
      <c r="BG542" t="s">
        <v>522</v>
      </c>
      <c r="BH542">
        <v>395</v>
      </c>
      <c r="BI542">
        <v>295</v>
      </c>
      <c r="BJ542">
        <v>220</v>
      </c>
      <c r="BK542">
        <v>32</v>
      </c>
      <c r="BL542" t="s">
        <v>521</v>
      </c>
      <c r="BM542">
        <v>374.30239999999998</v>
      </c>
      <c r="BN542">
        <v>288.50240000000002</v>
      </c>
      <c r="BO542">
        <v>661.28031999999996</v>
      </c>
      <c r="BP542" t="s">
        <v>522</v>
      </c>
      <c r="BQ542">
        <v>1200</v>
      </c>
      <c r="BR542">
        <v>800</v>
      </c>
      <c r="BS542">
        <v>1040</v>
      </c>
      <c r="BT542">
        <v>1</v>
      </c>
      <c r="BU542">
        <v>1</v>
      </c>
      <c r="BV542">
        <v>2</v>
      </c>
      <c r="BW542">
        <v>56</v>
      </c>
      <c r="BX542">
        <v>0</v>
      </c>
      <c r="BY542">
        <v>56</v>
      </c>
      <c r="BZ542">
        <v>3840</v>
      </c>
      <c r="CA542">
        <v>2880</v>
      </c>
      <c r="CB542">
        <v>6720</v>
      </c>
      <c r="CC542">
        <v>504.88031999999998</v>
      </c>
      <c r="CD542" t="s">
        <v>1000</v>
      </c>
      <c r="CE542" t="s">
        <v>1663</v>
      </c>
      <c r="CG542" t="s">
        <v>421</v>
      </c>
      <c r="CN542" t="str">
        <v>M19</v>
      </c>
      <c r="CO542" t="str">
        <v>1330-5YY0112EN</v>
      </c>
      <c r="CP542" t="str">
        <v>MSMU5349558</v>
      </c>
      <c r="CQ542" s="23">
        <v>1184.8454400000001</v>
      </c>
      <c r="CR542" s="25">
        <f t="shared" si="22"/>
        <v>7.458829693678716E-2</v>
      </c>
      <c r="CS542" s="21">
        <f t="shared" si="23"/>
        <v>186.47074234196791</v>
      </c>
    </row>
    <row r="543" spans="2:97" x14ac:dyDescent="0.35">
      <c r="B543" s="34" t="s">
        <v>297</v>
      </c>
      <c r="C543" t="s">
        <v>921</v>
      </c>
      <c r="D543" t="s">
        <v>549</v>
      </c>
      <c r="E543" t="s">
        <v>395</v>
      </c>
      <c r="F543" t="s">
        <v>396</v>
      </c>
      <c r="G543" t="s">
        <v>397</v>
      </c>
      <c r="H543" t="s">
        <v>398</v>
      </c>
      <c r="I543" t="s">
        <v>399</v>
      </c>
      <c r="J543" t="s">
        <v>749</v>
      </c>
      <c r="K543" t="s">
        <v>922</v>
      </c>
      <c r="L543" t="s">
        <v>766</v>
      </c>
      <c r="M543" t="s">
        <v>403</v>
      </c>
      <c r="N543">
        <v>23</v>
      </c>
      <c r="O543">
        <v>1</v>
      </c>
      <c r="P543" t="s">
        <v>923</v>
      </c>
      <c r="Q543" t="s">
        <v>645</v>
      </c>
      <c r="R543" t="s">
        <v>924</v>
      </c>
      <c r="S543" t="s">
        <v>925</v>
      </c>
      <c r="T543" t="s">
        <v>408</v>
      </c>
      <c r="U543">
        <v>50950080751</v>
      </c>
      <c r="W543">
        <v>11520</v>
      </c>
      <c r="X543" t="s">
        <v>409</v>
      </c>
      <c r="Y543" t="s">
        <v>410</v>
      </c>
      <c r="Z543" t="s">
        <v>410</v>
      </c>
      <c r="AA543" t="s">
        <v>411</v>
      </c>
      <c r="AB543" t="s">
        <v>554</v>
      </c>
      <c r="AC543" t="s">
        <v>411</v>
      </c>
      <c r="AD543">
        <v>46101</v>
      </c>
      <c r="AE543">
        <v>46146</v>
      </c>
      <c r="AF543">
        <v>46106</v>
      </c>
      <c r="AG543" t="s">
        <v>926</v>
      </c>
      <c r="AH543">
        <v>6152204</v>
      </c>
      <c r="AI543">
        <v>46101</v>
      </c>
      <c r="AJ543">
        <v>46102</v>
      </c>
      <c r="AK543">
        <v>11520</v>
      </c>
      <c r="AL543" t="s">
        <v>396</v>
      </c>
      <c r="AM543" t="s">
        <v>2126</v>
      </c>
      <c r="AN543">
        <v>46102</v>
      </c>
      <c r="AO543">
        <v>46102.370613425926</v>
      </c>
      <c r="AP543" t="s">
        <v>51</v>
      </c>
      <c r="AQ543">
        <v>0.59975999999999996</v>
      </c>
      <c r="AR543">
        <v>6909.2</v>
      </c>
      <c r="AS543" t="s">
        <v>51</v>
      </c>
      <c r="AT543">
        <v>6909.2</v>
      </c>
      <c r="AU543" t="s">
        <v>415</v>
      </c>
      <c r="AV543" t="s">
        <v>557</v>
      </c>
      <c r="AW543" t="s">
        <v>2044</v>
      </c>
      <c r="AX543">
        <v>46106</v>
      </c>
      <c r="AY543">
        <v>46155</v>
      </c>
      <c r="AZ543" t="s">
        <v>2127</v>
      </c>
      <c r="BA543" t="s">
        <v>560</v>
      </c>
      <c r="BB543" t="s">
        <v>2128</v>
      </c>
      <c r="BC543">
        <v>288</v>
      </c>
      <c r="BD543" t="s">
        <v>521</v>
      </c>
      <c r="BE543">
        <v>9.8219999999999992</v>
      </c>
      <c r="BF543">
        <v>8.3520000000000003</v>
      </c>
      <c r="BG543" t="s">
        <v>522</v>
      </c>
      <c r="BH543">
        <v>400</v>
      </c>
      <c r="BI543">
        <v>300</v>
      </c>
      <c r="BJ543">
        <v>160</v>
      </c>
      <c r="BK543">
        <v>40</v>
      </c>
      <c r="BL543" t="s">
        <v>521</v>
      </c>
      <c r="BM543">
        <v>417.88</v>
      </c>
      <c r="BN543">
        <v>334.08</v>
      </c>
      <c r="BO543">
        <v>417.88</v>
      </c>
      <c r="BP543" t="s">
        <v>522</v>
      </c>
      <c r="BQ543">
        <v>1200</v>
      </c>
      <c r="BR543">
        <v>800</v>
      </c>
      <c r="BS543">
        <v>970</v>
      </c>
      <c r="BT543">
        <v>1</v>
      </c>
      <c r="BU543">
        <v>0</v>
      </c>
      <c r="BV543">
        <v>1</v>
      </c>
      <c r="BW543">
        <v>40</v>
      </c>
      <c r="BX543">
        <v>0</v>
      </c>
      <c r="BY543">
        <v>40</v>
      </c>
      <c r="BZ543">
        <v>11520</v>
      </c>
      <c r="CA543">
        <v>0</v>
      </c>
      <c r="CB543">
        <v>11520</v>
      </c>
      <c r="CC543">
        <v>334.08</v>
      </c>
      <c r="CD543" t="s">
        <v>930</v>
      </c>
      <c r="CE543" t="s">
        <v>931</v>
      </c>
      <c r="CG543" t="s">
        <v>421</v>
      </c>
      <c r="CN543" t="str">
        <v>MCS</v>
      </c>
      <c r="CO543" t="str">
        <v>1326-5YY0038EN</v>
      </c>
      <c r="CP543" t="str">
        <v>MSMU5349558</v>
      </c>
      <c r="CQ543" s="23">
        <v>36.247999999999998</v>
      </c>
      <c r="CR543" s="25">
        <f t="shared" si="22"/>
        <v>2.2818812446665283E-3</v>
      </c>
      <c r="CS543" s="21">
        <f t="shared" si="23"/>
        <v>5.7047031116663209</v>
      </c>
    </row>
    <row r="544" spans="2:97" x14ac:dyDescent="0.35">
      <c r="B544" t="s">
        <v>297</v>
      </c>
      <c r="C544" t="s">
        <v>1363</v>
      </c>
      <c r="D544" t="s">
        <v>549</v>
      </c>
      <c r="E544" t="s">
        <v>395</v>
      </c>
      <c r="F544" t="s">
        <v>396</v>
      </c>
      <c r="G544" t="s">
        <v>397</v>
      </c>
      <c r="H544" t="s">
        <v>398</v>
      </c>
      <c r="I544" t="s">
        <v>399</v>
      </c>
      <c r="J544" t="s">
        <v>749</v>
      </c>
      <c r="K544" t="s">
        <v>401</v>
      </c>
      <c r="L544" t="s">
        <v>766</v>
      </c>
      <c r="M544" t="s">
        <v>403</v>
      </c>
      <c r="N544">
        <v>2</v>
      </c>
      <c r="O544">
        <v>2</v>
      </c>
      <c r="P544" t="s">
        <v>767</v>
      </c>
      <c r="Q544" t="s">
        <v>424</v>
      </c>
      <c r="R544" t="s">
        <v>552</v>
      </c>
      <c r="S544" t="s">
        <v>768</v>
      </c>
      <c r="T544" t="s">
        <v>408</v>
      </c>
      <c r="U544">
        <v>50950080815</v>
      </c>
      <c r="W544">
        <v>34560</v>
      </c>
      <c r="X544" t="s">
        <v>409</v>
      </c>
      <c r="Y544" t="s">
        <v>410</v>
      </c>
      <c r="Z544" t="s">
        <v>410</v>
      </c>
      <c r="AA544" t="s">
        <v>411</v>
      </c>
      <c r="AB544" t="s">
        <v>554</v>
      </c>
      <c r="AC544" t="s">
        <v>411</v>
      </c>
      <c r="AD544">
        <v>46102</v>
      </c>
      <c r="AE544">
        <v>46160</v>
      </c>
      <c r="AF544">
        <v>46106</v>
      </c>
      <c r="AG544" t="s">
        <v>770</v>
      </c>
      <c r="AH544">
        <v>6152205</v>
      </c>
      <c r="AI544">
        <v>46101</v>
      </c>
      <c r="AJ544">
        <v>46102</v>
      </c>
      <c r="AK544">
        <v>34560</v>
      </c>
      <c r="AL544" t="s">
        <v>396</v>
      </c>
      <c r="AM544" t="s">
        <v>2129</v>
      </c>
      <c r="AN544">
        <v>46102</v>
      </c>
      <c r="AO544">
        <v>46102.370613425926</v>
      </c>
      <c r="AP544" t="s">
        <v>51</v>
      </c>
      <c r="AQ544">
        <v>0.18359</v>
      </c>
      <c r="AR544">
        <v>6344.88</v>
      </c>
      <c r="AS544" t="s">
        <v>51</v>
      </c>
      <c r="AT544">
        <v>6344.88</v>
      </c>
      <c r="AU544" t="s">
        <v>415</v>
      </c>
      <c r="AV544" t="s">
        <v>557</v>
      </c>
      <c r="AW544" t="s">
        <v>2044</v>
      </c>
      <c r="AX544">
        <v>46106</v>
      </c>
      <c r="AY544">
        <v>46155</v>
      </c>
      <c r="AZ544" t="s">
        <v>2127</v>
      </c>
      <c r="BA544" t="s">
        <v>560</v>
      </c>
      <c r="BB544" t="s">
        <v>2128</v>
      </c>
      <c r="BC544">
        <v>240</v>
      </c>
      <c r="BD544" t="s">
        <v>521</v>
      </c>
      <c r="BE544">
        <v>2.5634000000000001</v>
      </c>
      <c r="BF544">
        <v>1.2864</v>
      </c>
      <c r="BG544" t="s">
        <v>522</v>
      </c>
      <c r="BH544">
        <v>340</v>
      </c>
      <c r="BI544">
        <v>250</v>
      </c>
      <c r="BJ544">
        <v>230</v>
      </c>
      <c r="BK544">
        <v>48</v>
      </c>
      <c r="BL544" t="s">
        <v>521</v>
      </c>
      <c r="BM544">
        <v>144.04320000000001</v>
      </c>
      <c r="BN544">
        <v>61.747199999999999</v>
      </c>
      <c r="BO544">
        <v>432.12959999999998</v>
      </c>
      <c r="BP544" t="s">
        <v>522</v>
      </c>
      <c r="BQ544">
        <v>1066</v>
      </c>
      <c r="BR544">
        <v>1066</v>
      </c>
      <c r="BS544">
        <v>1080</v>
      </c>
      <c r="BT544">
        <v>3</v>
      </c>
      <c r="BU544">
        <v>0</v>
      </c>
      <c r="BV544">
        <v>3</v>
      </c>
      <c r="BW544">
        <v>144</v>
      </c>
      <c r="BX544">
        <v>0</v>
      </c>
      <c r="BY544">
        <v>144</v>
      </c>
      <c r="BZ544">
        <v>34560</v>
      </c>
      <c r="CA544">
        <v>0</v>
      </c>
      <c r="CB544">
        <v>34560</v>
      </c>
      <c r="CC544">
        <v>185.24160000000001</v>
      </c>
      <c r="CD544" t="s">
        <v>562</v>
      </c>
      <c r="CE544" t="s">
        <v>563</v>
      </c>
      <c r="CG544" t="s">
        <v>421</v>
      </c>
      <c r="CN544" t="str">
        <v>MCS</v>
      </c>
      <c r="CO544" t="str">
        <v>1205-1030759EN</v>
      </c>
      <c r="CP544" t="str">
        <v>MSMU5349558</v>
      </c>
      <c r="CQ544" s="23">
        <v>58.243099999999998</v>
      </c>
      <c r="CR544" s="25">
        <f t="shared" si="22"/>
        <v>3.6665150496920404E-3</v>
      </c>
      <c r="CS544" s="21">
        <f t="shared" si="23"/>
        <v>9.166287624230101</v>
      </c>
    </row>
    <row r="545" spans="2:97" x14ac:dyDescent="0.35">
      <c r="B545" t="s">
        <v>299</v>
      </c>
      <c r="C545" t="s">
        <v>2049</v>
      </c>
      <c r="D545" t="s">
        <v>395</v>
      </c>
      <c r="E545" t="s">
        <v>395</v>
      </c>
      <c r="F545" t="s">
        <v>396</v>
      </c>
      <c r="G545" t="s">
        <v>397</v>
      </c>
      <c r="H545" t="s">
        <v>398</v>
      </c>
      <c r="I545" t="s">
        <v>399</v>
      </c>
      <c r="J545" t="s">
        <v>749</v>
      </c>
      <c r="K545" t="s">
        <v>777</v>
      </c>
      <c r="L545" t="s">
        <v>778</v>
      </c>
      <c r="M545" t="s">
        <v>403</v>
      </c>
      <c r="N545">
        <v>1</v>
      </c>
      <c r="O545">
        <v>2</v>
      </c>
      <c r="P545" t="s">
        <v>779</v>
      </c>
      <c r="Q545" t="s">
        <v>587</v>
      </c>
      <c r="R545" t="s">
        <v>536</v>
      </c>
      <c r="S545" t="s">
        <v>780</v>
      </c>
      <c r="T545" t="s">
        <v>408</v>
      </c>
      <c r="U545">
        <v>50950076725</v>
      </c>
      <c r="W545">
        <v>2016</v>
      </c>
      <c r="X545" t="s">
        <v>409</v>
      </c>
      <c r="Y545" t="s">
        <v>410</v>
      </c>
      <c r="Z545" t="s">
        <v>410</v>
      </c>
      <c r="AA545" t="s">
        <v>411</v>
      </c>
      <c r="AB545" t="s">
        <v>554</v>
      </c>
      <c r="AC545" t="s">
        <v>411</v>
      </c>
      <c r="AD545">
        <v>46097</v>
      </c>
      <c r="AE545">
        <v>46153</v>
      </c>
      <c r="AF545">
        <v>46106</v>
      </c>
      <c r="AG545" t="s">
        <v>781</v>
      </c>
      <c r="AH545">
        <v>6152206</v>
      </c>
      <c r="AI545">
        <v>46101</v>
      </c>
      <c r="AJ545">
        <v>46102</v>
      </c>
      <c r="AK545">
        <v>2016</v>
      </c>
      <c r="AL545" t="s">
        <v>396</v>
      </c>
      <c r="AM545" t="s">
        <v>2130</v>
      </c>
      <c r="AN545">
        <v>46102</v>
      </c>
      <c r="AO545">
        <v>46102.370613425926</v>
      </c>
      <c r="AP545" t="s">
        <v>51</v>
      </c>
      <c r="AQ545">
        <v>2.1913299999999998</v>
      </c>
      <c r="AR545">
        <v>4417.72</v>
      </c>
      <c r="AS545" t="s">
        <v>51</v>
      </c>
      <c r="AT545">
        <v>4417.72</v>
      </c>
      <c r="AU545" t="s">
        <v>415</v>
      </c>
      <c r="AV545" t="s">
        <v>557</v>
      </c>
      <c r="AW545" t="s">
        <v>2044</v>
      </c>
      <c r="AX545">
        <v>46106</v>
      </c>
      <c r="AY545">
        <v>46155</v>
      </c>
      <c r="AZ545" t="s">
        <v>2127</v>
      </c>
      <c r="BA545" t="s">
        <v>560</v>
      </c>
      <c r="BB545" t="s">
        <v>2128</v>
      </c>
      <c r="BC545">
        <v>28</v>
      </c>
      <c r="BD545" t="s">
        <v>521</v>
      </c>
      <c r="BE545">
        <v>4.1197999999999997</v>
      </c>
      <c r="BF545">
        <v>2.2568000000000001</v>
      </c>
      <c r="BG545" t="s">
        <v>522</v>
      </c>
      <c r="BH545">
        <v>795</v>
      </c>
      <c r="BI545">
        <v>395</v>
      </c>
      <c r="BJ545">
        <v>145</v>
      </c>
      <c r="BK545">
        <v>18</v>
      </c>
      <c r="BL545" t="s">
        <v>521</v>
      </c>
      <c r="BM545">
        <v>99.156400000000005</v>
      </c>
      <c r="BN545">
        <v>40.622399999999999</v>
      </c>
      <c r="BO545">
        <v>396.62560000000002</v>
      </c>
      <c r="BP545" t="s">
        <v>522</v>
      </c>
      <c r="BQ545">
        <v>1200</v>
      </c>
      <c r="BR545">
        <v>800</v>
      </c>
      <c r="BS545">
        <v>1030</v>
      </c>
      <c r="BT545">
        <v>4</v>
      </c>
      <c r="BU545">
        <v>0</v>
      </c>
      <c r="BV545">
        <v>4</v>
      </c>
      <c r="BW545">
        <v>72</v>
      </c>
      <c r="BX545">
        <v>0</v>
      </c>
      <c r="BY545">
        <v>72</v>
      </c>
      <c r="BZ545">
        <v>2016</v>
      </c>
      <c r="CA545">
        <v>0</v>
      </c>
      <c r="CB545">
        <v>2016</v>
      </c>
      <c r="CC545">
        <v>162.4896</v>
      </c>
      <c r="CD545" t="s">
        <v>783</v>
      </c>
      <c r="CE545" t="s">
        <v>784</v>
      </c>
      <c r="CG545" t="s">
        <v>421</v>
      </c>
      <c r="CN545" t="str">
        <v>MCS</v>
      </c>
      <c r="CO545" t="str">
        <v>1205-1030760EN</v>
      </c>
      <c r="CP545" t="str">
        <v>MSMU5349558</v>
      </c>
      <c r="CQ545" s="23">
        <v>58.963099999999997</v>
      </c>
      <c r="CR545" s="25">
        <f t="shared" si="22"/>
        <v>3.7118404330555334E-3</v>
      </c>
      <c r="CS545" s="21">
        <f t="shared" si="23"/>
        <v>9.279601082638834</v>
      </c>
    </row>
    <row r="546" spans="2:97" x14ac:dyDescent="0.35">
      <c r="B546" t="s">
        <v>299</v>
      </c>
      <c r="C546" t="s">
        <v>2054</v>
      </c>
      <c r="D546" t="s">
        <v>395</v>
      </c>
      <c r="E546" t="s">
        <v>395</v>
      </c>
      <c r="F546" t="s">
        <v>396</v>
      </c>
      <c r="G546" t="s">
        <v>397</v>
      </c>
      <c r="H546" t="s">
        <v>398</v>
      </c>
      <c r="I546" t="s">
        <v>399</v>
      </c>
      <c r="J546" t="s">
        <v>749</v>
      </c>
      <c r="K546" t="s">
        <v>777</v>
      </c>
      <c r="L546" t="s">
        <v>778</v>
      </c>
      <c r="M546" t="s">
        <v>403</v>
      </c>
      <c r="N546">
        <v>1</v>
      </c>
      <c r="O546">
        <v>2</v>
      </c>
      <c r="P546" t="s">
        <v>2055</v>
      </c>
      <c r="Q546" t="s">
        <v>645</v>
      </c>
      <c r="R546" t="s">
        <v>536</v>
      </c>
      <c r="S546" t="s">
        <v>2056</v>
      </c>
      <c r="T546" t="s">
        <v>408</v>
      </c>
      <c r="U546">
        <v>50950078274</v>
      </c>
      <c r="W546">
        <v>336</v>
      </c>
      <c r="X546" t="s">
        <v>409</v>
      </c>
      <c r="Y546" t="s">
        <v>410</v>
      </c>
      <c r="Z546" t="s">
        <v>410</v>
      </c>
      <c r="AA546" t="s">
        <v>411</v>
      </c>
      <c r="AB546" t="s">
        <v>554</v>
      </c>
      <c r="AC546" t="s">
        <v>411</v>
      </c>
      <c r="AD546">
        <v>46095</v>
      </c>
      <c r="AE546">
        <v>46153</v>
      </c>
      <c r="AF546">
        <v>46106</v>
      </c>
      <c r="AG546" t="s">
        <v>781</v>
      </c>
      <c r="AH546">
        <v>6152207</v>
      </c>
      <c r="AI546">
        <v>46101</v>
      </c>
      <c r="AJ546">
        <v>46102</v>
      </c>
      <c r="AK546">
        <v>336</v>
      </c>
      <c r="AL546" t="s">
        <v>396</v>
      </c>
      <c r="AM546" t="s">
        <v>2131</v>
      </c>
      <c r="AN546">
        <v>46102</v>
      </c>
      <c r="AO546">
        <v>46102.370613425926</v>
      </c>
      <c r="AP546" t="s">
        <v>51</v>
      </c>
      <c r="AQ546">
        <v>3.09341</v>
      </c>
      <c r="AR546">
        <v>1039.3900000000001</v>
      </c>
      <c r="AS546" t="s">
        <v>51</v>
      </c>
      <c r="AT546">
        <v>1039.3900000000001</v>
      </c>
      <c r="AU546" t="s">
        <v>415</v>
      </c>
      <c r="AV546" t="s">
        <v>557</v>
      </c>
      <c r="AW546" t="s">
        <v>2044</v>
      </c>
      <c r="AX546">
        <v>46106</v>
      </c>
      <c r="AY546">
        <v>46155</v>
      </c>
      <c r="AZ546" t="s">
        <v>2127</v>
      </c>
      <c r="BA546" t="s">
        <v>560</v>
      </c>
      <c r="BB546" t="s">
        <v>2128</v>
      </c>
      <c r="BC546">
        <v>14</v>
      </c>
      <c r="BD546" t="s">
        <v>521</v>
      </c>
      <c r="BE546">
        <v>3.4628000000000001</v>
      </c>
      <c r="BF546">
        <v>1.9628000000000001</v>
      </c>
      <c r="BG546" t="s">
        <v>522</v>
      </c>
      <c r="BH546">
        <v>595</v>
      </c>
      <c r="BI546">
        <v>395</v>
      </c>
      <c r="BJ546">
        <v>145</v>
      </c>
      <c r="BK546">
        <v>24</v>
      </c>
      <c r="BL546" t="s">
        <v>521</v>
      </c>
      <c r="BM546">
        <v>108.10720000000001</v>
      </c>
      <c r="BN546">
        <v>47.107199999999999</v>
      </c>
      <c r="BO546">
        <v>108.10720000000001</v>
      </c>
      <c r="BP546" t="s">
        <v>522</v>
      </c>
      <c r="BQ546">
        <v>1200</v>
      </c>
      <c r="BR546">
        <v>800</v>
      </c>
      <c r="BS546">
        <v>1030</v>
      </c>
      <c r="BT546">
        <v>1</v>
      </c>
      <c r="BU546">
        <v>0</v>
      </c>
      <c r="BV546">
        <v>1</v>
      </c>
      <c r="BW546">
        <v>24</v>
      </c>
      <c r="BX546">
        <v>0</v>
      </c>
      <c r="BY546">
        <v>24</v>
      </c>
      <c r="BZ546">
        <v>336</v>
      </c>
      <c r="CA546">
        <v>0</v>
      </c>
      <c r="CB546">
        <v>336</v>
      </c>
      <c r="CC546">
        <v>47.107199999999999</v>
      </c>
      <c r="CD546" t="s">
        <v>783</v>
      </c>
      <c r="CE546" t="s">
        <v>1370</v>
      </c>
      <c r="CG546" t="s">
        <v>421</v>
      </c>
      <c r="CN546" t="str">
        <v>M01</v>
      </c>
      <c r="CO546" t="str">
        <v>1253-0037210EN</v>
      </c>
      <c r="CP546" t="str">
        <v>MSMU5349558</v>
      </c>
      <c r="CQ546" s="23">
        <v>26.90925</v>
      </c>
      <c r="CR546" s="25">
        <f t="shared" si="22"/>
        <v>1.6939889892695536E-3</v>
      </c>
      <c r="CS546" s="21">
        <f t="shared" si="23"/>
        <v>4.234972473173884</v>
      </c>
    </row>
    <row r="547" spans="2:97" x14ac:dyDescent="0.35">
      <c r="B547" t="s">
        <v>299</v>
      </c>
      <c r="C547" t="s">
        <v>2132</v>
      </c>
      <c r="D547" t="s">
        <v>395</v>
      </c>
      <c r="E547" t="s">
        <v>395</v>
      </c>
      <c r="F547" t="s">
        <v>396</v>
      </c>
      <c r="G547" t="s">
        <v>397</v>
      </c>
      <c r="H547" t="s">
        <v>398</v>
      </c>
      <c r="I547" t="s">
        <v>399</v>
      </c>
      <c r="J547" t="s">
        <v>749</v>
      </c>
      <c r="K547" t="s">
        <v>533</v>
      </c>
      <c r="L547" t="s">
        <v>778</v>
      </c>
      <c r="M547" t="s">
        <v>403</v>
      </c>
      <c r="N547">
        <v>1</v>
      </c>
      <c r="O547">
        <v>1</v>
      </c>
      <c r="P547" t="s">
        <v>1425</v>
      </c>
      <c r="Q547" t="s">
        <v>430</v>
      </c>
      <c r="R547" t="s">
        <v>536</v>
      </c>
      <c r="S547" t="s">
        <v>1426</v>
      </c>
      <c r="T547" t="s">
        <v>408</v>
      </c>
      <c r="U547">
        <v>50950080256</v>
      </c>
      <c r="W547">
        <v>16200</v>
      </c>
      <c r="X547" t="s">
        <v>409</v>
      </c>
      <c r="Y547" t="s">
        <v>410</v>
      </c>
      <c r="Z547" t="s">
        <v>410</v>
      </c>
      <c r="AA547" t="s">
        <v>411</v>
      </c>
      <c r="AB547" t="s">
        <v>554</v>
      </c>
      <c r="AC547" t="s">
        <v>411</v>
      </c>
      <c r="AD547">
        <v>46102</v>
      </c>
      <c r="AE547">
        <v>46160</v>
      </c>
      <c r="AF547">
        <v>46106</v>
      </c>
      <c r="AG547" t="s">
        <v>781</v>
      </c>
      <c r="AH547">
        <v>6152208</v>
      </c>
      <c r="AI547">
        <v>46101</v>
      </c>
      <c r="AJ547">
        <v>46102</v>
      </c>
      <c r="AK547">
        <v>16200</v>
      </c>
      <c r="AL547" t="s">
        <v>396</v>
      </c>
      <c r="AM547" t="s">
        <v>2133</v>
      </c>
      <c r="AN547">
        <v>46102</v>
      </c>
      <c r="AO547">
        <v>46102.370613425926</v>
      </c>
      <c r="AP547" t="s">
        <v>51</v>
      </c>
      <c r="AQ547">
        <v>0.73002</v>
      </c>
      <c r="AR547">
        <v>11826.32</v>
      </c>
      <c r="AS547" t="s">
        <v>51</v>
      </c>
      <c r="AT547">
        <v>11826.32</v>
      </c>
      <c r="AU547" t="s">
        <v>415</v>
      </c>
      <c r="AV547" t="s">
        <v>557</v>
      </c>
      <c r="AW547" t="s">
        <v>2044</v>
      </c>
      <c r="AX547">
        <v>46106</v>
      </c>
      <c r="AY547">
        <v>46155</v>
      </c>
      <c r="AZ547" t="s">
        <v>2127</v>
      </c>
      <c r="BA547" t="s">
        <v>560</v>
      </c>
      <c r="BB547" t="s">
        <v>2128</v>
      </c>
      <c r="BC547">
        <v>270</v>
      </c>
      <c r="BD547" t="s">
        <v>521</v>
      </c>
      <c r="BE547">
        <v>14.847799999999999</v>
      </c>
      <c r="BF547">
        <v>13.1058</v>
      </c>
      <c r="BG547" t="s">
        <v>522</v>
      </c>
      <c r="BH547">
        <v>395</v>
      </c>
      <c r="BI547">
        <v>295</v>
      </c>
      <c r="BJ547">
        <v>150</v>
      </c>
      <c r="BK547">
        <v>60</v>
      </c>
      <c r="BL547" t="s">
        <v>521</v>
      </c>
      <c r="BM547">
        <v>917.86800000000005</v>
      </c>
      <c r="BN547">
        <v>786.34799999999996</v>
      </c>
      <c r="BO547">
        <v>917.86800000000005</v>
      </c>
      <c r="BP547" t="s">
        <v>522</v>
      </c>
      <c r="BQ547">
        <v>1200</v>
      </c>
      <c r="BR547">
        <v>1000</v>
      </c>
      <c r="BS547">
        <v>1058</v>
      </c>
      <c r="BT547">
        <v>1</v>
      </c>
      <c r="BU547">
        <v>0</v>
      </c>
      <c r="BV547">
        <v>1</v>
      </c>
      <c r="BW547">
        <v>60</v>
      </c>
      <c r="BX547">
        <v>0</v>
      </c>
      <c r="BY547">
        <v>60</v>
      </c>
      <c r="BZ547">
        <v>16200</v>
      </c>
      <c r="CA547">
        <v>0</v>
      </c>
      <c r="CB547">
        <v>16200</v>
      </c>
      <c r="CC547">
        <v>786.34799999999996</v>
      </c>
      <c r="CD547" t="s">
        <v>799</v>
      </c>
      <c r="CE547" t="s">
        <v>1428</v>
      </c>
      <c r="CG547" t="s">
        <v>421</v>
      </c>
      <c r="CN547" t="str">
        <v>M01</v>
      </c>
      <c r="CO547" t="str">
        <v>1459-1030040EN</v>
      </c>
      <c r="CP547" t="str">
        <v>MSMU5349558</v>
      </c>
      <c r="CQ547" s="23">
        <v>24.597999999999999</v>
      </c>
      <c r="CR547" s="25">
        <f t="shared" si="22"/>
        <v>1.5484913610766737E-3</v>
      </c>
      <c r="CS547" s="21">
        <f t="shared" si="23"/>
        <v>3.8712284026916843</v>
      </c>
    </row>
    <row r="548" spans="2:97" x14ac:dyDescent="0.35">
      <c r="B548" t="s">
        <v>296</v>
      </c>
      <c r="C548" t="s">
        <v>1641</v>
      </c>
      <c r="D548" t="s">
        <v>395</v>
      </c>
      <c r="E548" t="s">
        <v>395</v>
      </c>
      <c r="F548" t="s">
        <v>396</v>
      </c>
      <c r="G548" t="s">
        <v>397</v>
      </c>
      <c r="H548" t="s">
        <v>398</v>
      </c>
      <c r="I548" t="s">
        <v>399</v>
      </c>
      <c r="J548" t="s">
        <v>749</v>
      </c>
      <c r="K548" t="s">
        <v>629</v>
      </c>
      <c r="L548" t="s">
        <v>787</v>
      </c>
      <c r="M548" t="s">
        <v>403</v>
      </c>
      <c r="N548">
        <v>1</v>
      </c>
      <c r="O548">
        <v>4</v>
      </c>
      <c r="P548" t="s">
        <v>881</v>
      </c>
      <c r="Q548" t="s">
        <v>645</v>
      </c>
      <c r="R548" t="s">
        <v>882</v>
      </c>
      <c r="S548" t="s">
        <v>883</v>
      </c>
      <c r="T548" t="s">
        <v>408</v>
      </c>
      <c r="U548">
        <v>50950078918</v>
      </c>
      <c r="W548">
        <v>26400</v>
      </c>
      <c r="X548" t="s">
        <v>409</v>
      </c>
      <c r="Y548" t="s">
        <v>410</v>
      </c>
      <c r="Z548" t="s">
        <v>410</v>
      </c>
      <c r="AA548" t="s">
        <v>411</v>
      </c>
      <c r="AB548" t="s">
        <v>554</v>
      </c>
      <c r="AC548" t="s">
        <v>411</v>
      </c>
      <c r="AD548">
        <v>46097</v>
      </c>
      <c r="AE548">
        <v>46181</v>
      </c>
      <c r="AF548">
        <v>46106</v>
      </c>
      <c r="AG548" t="s">
        <v>754</v>
      </c>
      <c r="AH548">
        <v>6152209</v>
      </c>
      <c r="AI548">
        <v>46101</v>
      </c>
      <c r="AJ548">
        <v>46102</v>
      </c>
      <c r="AK548">
        <v>26400</v>
      </c>
      <c r="AL548" t="s">
        <v>396</v>
      </c>
      <c r="AM548" t="s">
        <v>2134</v>
      </c>
      <c r="AN548">
        <v>46102</v>
      </c>
      <c r="AO548">
        <v>46102.370613425926</v>
      </c>
      <c r="AP548" t="s">
        <v>51</v>
      </c>
      <c r="AQ548">
        <v>0.19572000000000001</v>
      </c>
      <c r="AR548">
        <v>5167</v>
      </c>
      <c r="AS548" t="s">
        <v>51</v>
      </c>
      <c r="AT548">
        <v>5167</v>
      </c>
      <c r="AU548" t="s">
        <v>415</v>
      </c>
      <c r="AV548" t="s">
        <v>557</v>
      </c>
      <c r="AW548" t="s">
        <v>2044</v>
      </c>
      <c r="AX548">
        <v>46106</v>
      </c>
      <c r="AY548">
        <v>46155</v>
      </c>
      <c r="AZ548" t="s">
        <v>2127</v>
      </c>
      <c r="BA548" t="s">
        <v>560</v>
      </c>
      <c r="BB548" t="s">
        <v>2128</v>
      </c>
      <c r="BC548">
        <v>264</v>
      </c>
      <c r="BD548" t="s">
        <v>521</v>
      </c>
      <c r="BE548">
        <v>5.2203999999999997</v>
      </c>
      <c r="BF548">
        <v>3.8304</v>
      </c>
      <c r="BG548" t="s">
        <v>522</v>
      </c>
      <c r="BH548">
        <v>595</v>
      </c>
      <c r="BI548">
        <v>395</v>
      </c>
      <c r="BJ548">
        <v>175</v>
      </c>
      <c r="BK548">
        <v>25</v>
      </c>
      <c r="BL548" t="s">
        <v>521</v>
      </c>
      <c r="BM548">
        <v>157.51</v>
      </c>
      <c r="BN548">
        <v>95.76</v>
      </c>
      <c r="BO548">
        <v>630.0376</v>
      </c>
      <c r="BP548" t="s">
        <v>522</v>
      </c>
      <c r="BQ548">
        <v>1200</v>
      </c>
      <c r="BR548">
        <v>1000</v>
      </c>
      <c r="BS548">
        <v>1035</v>
      </c>
      <c r="BT548">
        <v>4</v>
      </c>
      <c r="BU548">
        <v>0</v>
      </c>
      <c r="BV548">
        <v>4</v>
      </c>
      <c r="BW548">
        <v>100</v>
      </c>
      <c r="BX548">
        <v>0</v>
      </c>
      <c r="BY548">
        <v>100</v>
      </c>
      <c r="BZ548">
        <v>26400</v>
      </c>
      <c r="CA548">
        <v>0</v>
      </c>
      <c r="CB548">
        <v>26400</v>
      </c>
      <c r="CC548">
        <v>383.0376</v>
      </c>
      <c r="CD548" t="s">
        <v>885</v>
      </c>
      <c r="CE548" t="s">
        <v>886</v>
      </c>
      <c r="CG548" t="s">
        <v>421</v>
      </c>
      <c r="CN548" t="str">
        <v>M45</v>
      </c>
      <c r="CO548" t="str">
        <v>1163-12B0002EN0093</v>
      </c>
      <c r="CP548" t="str">
        <v>MSMU5349558</v>
      </c>
      <c r="CQ548" s="23">
        <v>42.22</v>
      </c>
      <c r="CR548" s="25">
        <f t="shared" si="22"/>
        <v>2.657830118898169E-3</v>
      </c>
      <c r="CS548" s="21">
        <f t="shared" si="23"/>
        <v>6.6445752972454226</v>
      </c>
    </row>
    <row r="549" spans="2:97" x14ac:dyDescent="0.35">
      <c r="B549" t="s">
        <v>296</v>
      </c>
      <c r="C549" t="s">
        <v>1927</v>
      </c>
      <c r="D549" t="s">
        <v>395</v>
      </c>
      <c r="E549" t="s">
        <v>395</v>
      </c>
      <c r="F549" t="s">
        <v>396</v>
      </c>
      <c r="G549" t="s">
        <v>397</v>
      </c>
      <c r="H549" t="s">
        <v>398</v>
      </c>
      <c r="I549" t="s">
        <v>399</v>
      </c>
      <c r="J549" t="s">
        <v>749</v>
      </c>
      <c r="K549" t="s">
        <v>629</v>
      </c>
      <c r="L549" t="s">
        <v>787</v>
      </c>
      <c r="M549" t="s">
        <v>403</v>
      </c>
      <c r="N549">
        <v>1</v>
      </c>
      <c r="O549">
        <v>3</v>
      </c>
      <c r="P549" t="s">
        <v>1928</v>
      </c>
      <c r="Q549" t="s">
        <v>424</v>
      </c>
      <c r="R549" t="s">
        <v>803</v>
      </c>
      <c r="S549" t="s">
        <v>1929</v>
      </c>
      <c r="T549" t="s">
        <v>408</v>
      </c>
      <c r="U549">
        <v>50950078757</v>
      </c>
      <c r="W549">
        <v>9600</v>
      </c>
      <c r="X549" t="s">
        <v>409</v>
      </c>
      <c r="Y549" t="s">
        <v>410</v>
      </c>
      <c r="Z549" t="s">
        <v>410</v>
      </c>
      <c r="AA549" t="s">
        <v>411</v>
      </c>
      <c r="AB549" t="s">
        <v>554</v>
      </c>
      <c r="AC549" t="s">
        <v>411</v>
      </c>
      <c r="AD549">
        <v>46097</v>
      </c>
      <c r="AE549">
        <v>46125</v>
      </c>
      <c r="AF549">
        <v>46106</v>
      </c>
      <c r="AG549" t="s">
        <v>754</v>
      </c>
      <c r="AH549">
        <v>6152210</v>
      </c>
      <c r="AI549">
        <v>46101</v>
      </c>
      <c r="AJ549">
        <v>46102</v>
      </c>
      <c r="AK549">
        <v>9600</v>
      </c>
      <c r="AL549" t="s">
        <v>396</v>
      </c>
      <c r="AM549" t="s">
        <v>2135</v>
      </c>
      <c r="AN549">
        <v>46102</v>
      </c>
      <c r="AO549">
        <v>46102.370613425926</v>
      </c>
      <c r="AP549" t="s">
        <v>51</v>
      </c>
      <c r="AQ549">
        <v>0.46827999999999997</v>
      </c>
      <c r="AR549">
        <v>4495.49</v>
      </c>
      <c r="AS549" t="s">
        <v>51</v>
      </c>
      <c r="AT549">
        <v>4495.49</v>
      </c>
      <c r="AU549" t="s">
        <v>415</v>
      </c>
      <c r="AV549" t="s">
        <v>557</v>
      </c>
      <c r="AW549" t="s">
        <v>2044</v>
      </c>
      <c r="AX549">
        <v>46106</v>
      </c>
      <c r="AY549">
        <v>46155</v>
      </c>
      <c r="AZ549" t="s">
        <v>2127</v>
      </c>
      <c r="BA549" t="s">
        <v>560</v>
      </c>
      <c r="BB549" t="s">
        <v>2128</v>
      </c>
      <c r="BC549">
        <v>160</v>
      </c>
      <c r="BD549" t="s">
        <v>521</v>
      </c>
      <c r="BE549">
        <v>14.644299999999999</v>
      </c>
      <c r="BF549">
        <v>13.4643</v>
      </c>
      <c r="BG549" t="s">
        <v>522</v>
      </c>
      <c r="BH549">
        <v>395</v>
      </c>
      <c r="BI549">
        <v>295</v>
      </c>
      <c r="BJ549">
        <v>140</v>
      </c>
      <c r="BK549">
        <v>60</v>
      </c>
      <c r="BL549" t="s">
        <v>521</v>
      </c>
      <c r="BM549">
        <v>905.65920000000006</v>
      </c>
      <c r="BN549">
        <v>807.85919999999999</v>
      </c>
      <c r="BO549">
        <v>905.65920000000006</v>
      </c>
      <c r="BP549" t="s">
        <v>522</v>
      </c>
      <c r="BQ549">
        <v>1200</v>
      </c>
      <c r="BR549">
        <v>1000</v>
      </c>
      <c r="BS549">
        <v>1000</v>
      </c>
      <c r="BT549">
        <v>1</v>
      </c>
      <c r="BU549">
        <v>0</v>
      </c>
      <c r="BV549">
        <v>1</v>
      </c>
      <c r="BW549">
        <v>60</v>
      </c>
      <c r="BX549">
        <v>0</v>
      </c>
      <c r="BY549">
        <v>60</v>
      </c>
      <c r="BZ549">
        <v>9600</v>
      </c>
      <c r="CA549">
        <v>0</v>
      </c>
      <c r="CB549">
        <v>9600</v>
      </c>
      <c r="CC549">
        <v>807.85919999999999</v>
      </c>
      <c r="CD549" t="s">
        <v>850</v>
      </c>
      <c r="CE549" t="s">
        <v>1931</v>
      </c>
      <c r="CG549" t="s">
        <v>421</v>
      </c>
      <c r="CN549" t="str">
        <v>M45</v>
      </c>
      <c r="CO549" t="str">
        <v>1339-12C0008EN</v>
      </c>
      <c r="CP549" t="str">
        <v>MSMU5349558</v>
      </c>
      <c r="CQ549" s="23">
        <v>3192.2725</v>
      </c>
      <c r="CR549" s="25">
        <f t="shared" si="22"/>
        <v>0.20095968731005107</v>
      </c>
      <c r="CS549" s="21">
        <f t="shared" si="23"/>
        <v>502.39921827512768</v>
      </c>
    </row>
    <row r="550" spans="2:97" x14ac:dyDescent="0.35">
      <c r="B550" t="s">
        <v>296</v>
      </c>
      <c r="C550" t="s">
        <v>2136</v>
      </c>
      <c r="D550" t="s">
        <v>395</v>
      </c>
      <c r="E550" t="s">
        <v>395</v>
      </c>
      <c r="F550" t="s">
        <v>396</v>
      </c>
      <c r="G550" t="s">
        <v>397</v>
      </c>
      <c r="H550" t="s">
        <v>398</v>
      </c>
      <c r="I550" t="s">
        <v>399</v>
      </c>
      <c r="J550" t="s">
        <v>749</v>
      </c>
      <c r="K550" t="s">
        <v>629</v>
      </c>
      <c r="L550" t="s">
        <v>787</v>
      </c>
      <c r="M550" t="s">
        <v>403</v>
      </c>
      <c r="N550">
        <v>1</v>
      </c>
      <c r="O550">
        <v>1</v>
      </c>
      <c r="P550" t="s">
        <v>2137</v>
      </c>
      <c r="Q550" t="s">
        <v>430</v>
      </c>
      <c r="R550" t="s">
        <v>2138</v>
      </c>
      <c r="S550" t="s">
        <v>518</v>
      </c>
      <c r="T550" t="s">
        <v>408</v>
      </c>
      <c r="U550">
        <v>50950079636</v>
      </c>
      <c r="W550">
        <v>90000</v>
      </c>
      <c r="X550" t="s">
        <v>409</v>
      </c>
      <c r="Y550" t="s">
        <v>410</v>
      </c>
      <c r="Z550" t="s">
        <v>410</v>
      </c>
      <c r="AA550" t="s">
        <v>411</v>
      </c>
      <c r="AB550" t="s">
        <v>554</v>
      </c>
      <c r="AC550" t="s">
        <v>411</v>
      </c>
      <c r="AD550">
        <v>46104</v>
      </c>
      <c r="AE550">
        <v>46139</v>
      </c>
      <c r="AF550">
        <v>46106</v>
      </c>
      <c r="AG550" t="s">
        <v>754</v>
      </c>
      <c r="AH550">
        <v>6152211</v>
      </c>
      <c r="AI550">
        <v>46101</v>
      </c>
      <c r="AJ550">
        <v>46102</v>
      </c>
      <c r="AK550">
        <v>90000</v>
      </c>
      <c r="AL550" t="s">
        <v>396</v>
      </c>
      <c r="AM550" t="s">
        <v>2139</v>
      </c>
      <c r="AN550">
        <v>46102</v>
      </c>
      <c r="AO550">
        <v>46102.370613425926</v>
      </c>
      <c r="AP550" t="s">
        <v>51</v>
      </c>
      <c r="AQ550">
        <v>1.2500000000000001E-2</v>
      </c>
      <c r="AR550">
        <v>1125</v>
      </c>
      <c r="AS550" t="s">
        <v>51</v>
      </c>
      <c r="AT550">
        <v>1125</v>
      </c>
      <c r="AU550" t="s">
        <v>415</v>
      </c>
      <c r="AV550" t="s">
        <v>557</v>
      </c>
      <c r="AW550" t="s">
        <v>2044</v>
      </c>
      <c r="AX550">
        <v>46106</v>
      </c>
      <c r="AY550">
        <v>46155</v>
      </c>
      <c r="AZ550" t="s">
        <v>2127</v>
      </c>
      <c r="BA550" t="s">
        <v>560</v>
      </c>
      <c r="BB550" t="s">
        <v>2128</v>
      </c>
      <c r="BC550">
        <v>15000</v>
      </c>
      <c r="BD550" t="s">
        <v>521</v>
      </c>
      <c r="BE550">
        <v>3.84</v>
      </c>
      <c r="BF550">
        <v>3.45</v>
      </c>
      <c r="BG550" t="s">
        <v>522</v>
      </c>
      <c r="BH550">
        <v>368</v>
      </c>
      <c r="BI550">
        <v>257</v>
      </c>
      <c r="BJ550">
        <v>136</v>
      </c>
      <c r="BK550">
        <v>6</v>
      </c>
      <c r="BL550" t="s">
        <v>521</v>
      </c>
      <c r="BM550">
        <v>31.04</v>
      </c>
      <c r="BN550">
        <v>20.7</v>
      </c>
      <c r="BO550">
        <v>31.04</v>
      </c>
      <c r="BP550" t="s">
        <v>522</v>
      </c>
      <c r="BQ550">
        <v>800</v>
      </c>
      <c r="BR550">
        <v>300</v>
      </c>
      <c r="BS550">
        <v>608</v>
      </c>
      <c r="BT550">
        <v>1</v>
      </c>
      <c r="BU550">
        <v>0</v>
      </c>
      <c r="BV550">
        <v>1</v>
      </c>
      <c r="BW550">
        <v>6</v>
      </c>
      <c r="BX550">
        <v>0</v>
      </c>
      <c r="BY550">
        <v>6</v>
      </c>
      <c r="BZ550">
        <v>90000</v>
      </c>
      <c r="CA550">
        <v>0</v>
      </c>
      <c r="CB550">
        <v>90000</v>
      </c>
      <c r="CC550">
        <v>20.7</v>
      </c>
      <c r="CD550" t="s">
        <v>523</v>
      </c>
      <c r="CE550" t="s">
        <v>653</v>
      </c>
      <c r="CG550" t="s">
        <v>421</v>
      </c>
      <c r="CN550" t="str">
        <v>M45</v>
      </c>
      <c r="CO550" t="str">
        <v>1305-12C0001EN</v>
      </c>
      <c r="CP550" t="str">
        <v>MSMU5349558</v>
      </c>
      <c r="CQ550" s="23">
        <v>272.85000000000002</v>
      </c>
      <c r="CR550" s="25">
        <f t="shared" si="22"/>
        <v>1.7176431737123767E-2</v>
      </c>
      <c r="CS550" s="21">
        <f t="shared" si="23"/>
        <v>42.941079342809417</v>
      </c>
    </row>
    <row r="551" spans="2:97" x14ac:dyDescent="0.35">
      <c r="B551" t="s">
        <v>299</v>
      </c>
      <c r="C551" t="s">
        <v>1937</v>
      </c>
      <c r="D551" t="s">
        <v>395</v>
      </c>
      <c r="E551" t="s">
        <v>395</v>
      </c>
      <c r="F551" t="s">
        <v>396</v>
      </c>
      <c r="G551" t="s">
        <v>397</v>
      </c>
      <c r="H551" t="s">
        <v>398</v>
      </c>
      <c r="I551" t="s">
        <v>399</v>
      </c>
      <c r="J551" t="s">
        <v>749</v>
      </c>
      <c r="K551" t="s">
        <v>809</v>
      </c>
      <c r="L551" t="s">
        <v>787</v>
      </c>
      <c r="M551" t="s">
        <v>403</v>
      </c>
      <c r="N551">
        <v>1</v>
      </c>
      <c r="O551">
        <v>7</v>
      </c>
      <c r="P551" t="s">
        <v>818</v>
      </c>
      <c r="Q551" t="s">
        <v>430</v>
      </c>
      <c r="R551" t="s">
        <v>811</v>
      </c>
      <c r="S551" t="s">
        <v>819</v>
      </c>
      <c r="T551" t="s">
        <v>408</v>
      </c>
      <c r="U551">
        <v>50950080296</v>
      </c>
      <c r="W551">
        <v>1440</v>
      </c>
      <c r="X551" t="s">
        <v>409</v>
      </c>
      <c r="Y551" t="s">
        <v>410</v>
      </c>
      <c r="Z551" t="s">
        <v>410</v>
      </c>
      <c r="AA551" t="s">
        <v>411</v>
      </c>
      <c r="AB551" t="s">
        <v>554</v>
      </c>
      <c r="AC551" t="s">
        <v>411</v>
      </c>
      <c r="AD551">
        <v>46102</v>
      </c>
      <c r="AE551">
        <v>46132</v>
      </c>
      <c r="AF551">
        <v>46106</v>
      </c>
      <c r="AG551" t="s">
        <v>754</v>
      </c>
      <c r="AH551">
        <v>6152212</v>
      </c>
      <c r="AI551">
        <v>46101</v>
      </c>
      <c r="AJ551">
        <v>46102</v>
      </c>
      <c r="AK551">
        <v>1440</v>
      </c>
      <c r="AL551" t="s">
        <v>396</v>
      </c>
      <c r="AM551" t="s">
        <v>2140</v>
      </c>
      <c r="AN551">
        <v>46102</v>
      </c>
      <c r="AO551">
        <v>46102.370613425926</v>
      </c>
      <c r="AP551" t="s">
        <v>51</v>
      </c>
      <c r="AQ551">
        <v>1.20448</v>
      </c>
      <c r="AR551">
        <v>1734.45</v>
      </c>
      <c r="AS551" t="s">
        <v>51</v>
      </c>
      <c r="AT551">
        <v>1734.45</v>
      </c>
      <c r="AU551" t="s">
        <v>415</v>
      </c>
      <c r="AV551" t="s">
        <v>557</v>
      </c>
      <c r="AW551" t="s">
        <v>2044</v>
      </c>
      <c r="AX551">
        <v>46106</v>
      </c>
      <c r="AY551">
        <v>46155</v>
      </c>
      <c r="AZ551" t="s">
        <v>2127</v>
      </c>
      <c r="BA551" t="s">
        <v>560</v>
      </c>
      <c r="BB551" t="s">
        <v>2128</v>
      </c>
      <c r="BC551">
        <v>48</v>
      </c>
      <c r="BD551" t="s">
        <v>521</v>
      </c>
      <c r="BE551">
        <v>7.6898999999999997</v>
      </c>
      <c r="BF551">
        <v>6.2298999999999998</v>
      </c>
      <c r="BG551" t="s">
        <v>522</v>
      </c>
      <c r="BH551">
        <v>495</v>
      </c>
      <c r="BI551">
        <v>395</v>
      </c>
      <c r="BJ551">
        <v>190</v>
      </c>
      <c r="BK551">
        <v>30</v>
      </c>
      <c r="BL551" t="s">
        <v>521</v>
      </c>
      <c r="BM551">
        <v>257.69760000000002</v>
      </c>
      <c r="BN551">
        <v>186.89760000000001</v>
      </c>
      <c r="BO551">
        <v>257.69760000000002</v>
      </c>
      <c r="BP551" t="s">
        <v>522</v>
      </c>
      <c r="BQ551">
        <v>1200</v>
      </c>
      <c r="BR551">
        <v>1000</v>
      </c>
      <c r="BS551">
        <v>1120</v>
      </c>
      <c r="BT551">
        <v>1</v>
      </c>
      <c r="BU551">
        <v>0</v>
      </c>
      <c r="BV551">
        <v>1</v>
      </c>
      <c r="BW551">
        <v>30</v>
      </c>
      <c r="BX551">
        <v>0</v>
      </c>
      <c r="BY551">
        <v>30</v>
      </c>
      <c r="BZ551">
        <v>1440</v>
      </c>
      <c r="CA551">
        <v>0</v>
      </c>
      <c r="CB551">
        <v>1440</v>
      </c>
      <c r="CC551">
        <v>186.89760000000001</v>
      </c>
      <c r="CD551" t="s">
        <v>806</v>
      </c>
      <c r="CE551" t="s">
        <v>821</v>
      </c>
      <c r="CG551" t="s">
        <v>421</v>
      </c>
      <c r="CN551" t="str">
        <v>M45</v>
      </c>
      <c r="CO551" t="str">
        <v>1339-12C0007EN</v>
      </c>
      <c r="CP551" t="str">
        <v>MSMU5349558</v>
      </c>
      <c r="CQ551" s="23">
        <v>637.24490000000003</v>
      </c>
      <c r="CR551" s="25">
        <f t="shared" si="22"/>
        <v>4.0115790817959546E-2</v>
      </c>
      <c r="CS551" s="21">
        <f t="shared" si="23"/>
        <v>100.28947704489886</v>
      </c>
    </row>
    <row r="552" spans="2:97" x14ac:dyDescent="0.35">
      <c r="B552" t="s">
        <v>297</v>
      </c>
      <c r="C552" t="s">
        <v>2141</v>
      </c>
      <c r="D552" t="s">
        <v>395</v>
      </c>
      <c r="E552" t="s">
        <v>395</v>
      </c>
      <c r="F552" t="s">
        <v>396</v>
      </c>
      <c r="G552" t="s">
        <v>397</v>
      </c>
      <c r="H552" t="s">
        <v>398</v>
      </c>
      <c r="I552" t="s">
        <v>399</v>
      </c>
      <c r="J552" t="s">
        <v>749</v>
      </c>
      <c r="K552" t="s">
        <v>629</v>
      </c>
      <c r="L552" t="s">
        <v>787</v>
      </c>
      <c r="M552" t="s">
        <v>403</v>
      </c>
      <c r="N552">
        <v>1</v>
      </c>
      <c r="O552">
        <v>1</v>
      </c>
      <c r="P552" t="s">
        <v>1589</v>
      </c>
      <c r="Q552" t="s">
        <v>637</v>
      </c>
      <c r="R552" t="s">
        <v>1483</v>
      </c>
      <c r="S552" t="s">
        <v>1484</v>
      </c>
      <c r="T552" t="s">
        <v>408</v>
      </c>
      <c r="U552">
        <v>50950080458</v>
      </c>
      <c r="W552">
        <v>36000</v>
      </c>
      <c r="X552" t="s">
        <v>409</v>
      </c>
      <c r="Y552" t="s">
        <v>410</v>
      </c>
      <c r="Z552" t="s">
        <v>410</v>
      </c>
      <c r="AA552" t="s">
        <v>411</v>
      </c>
      <c r="AB552" t="s">
        <v>554</v>
      </c>
      <c r="AC552" t="s">
        <v>411</v>
      </c>
      <c r="AD552">
        <v>46102</v>
      </c>
      <c r="AE552">
        <v>46118</v>
      </c>
      <c r="AF552">
        <v>46106</v>
      </c>
      <c r="AG552" t="s">
        <v>754</v>
      </c>
      <c r="AH552">
        <v>6152213</v>
      </c>
      <c r="AI552">
        <v>46101</v>
      </c>
      <c r="AJ552">
        <v>46102</v>
      </c>
      <c r="AK552">
        <v>36000</v>
      </c>
      <c r="AL552" t="s">
        <v>396</v>
      </c>
      <c r="AM552" t="s">
        <v>2142</v>
      </c>
      <c r="AN552">
        <v>46102</v>
      </c>
      <c r="AO552">
        <v>46102.370613425926</v>
      </c>
      <c r="AP552" t="s">
        <v>51</v>
      </c>
      <c r="AQ552">
        <v>3.8539999999999998E-2</v>
      </c>
      <c r="AR552">
        <v>1387.44</v>
      </c>
      <c r="AS552" t="s">
        <v>51</v>
      </c>
      <c r="AT552">
        <v>1387.44</v>
      </c>
      <c r="AU552" t="s">
        <v>415</v>
      </c>
      <c r="AV552" t="s">
        <v>557</v>
      </c>
      <c r="AW552" t="s">
        <v>2044</v>
      </c>
      <c r="AX552">
        <v>46106</v>
      </c>
      <c r="AY552">
        <v>46155</v>
      </c>
      <c r="AZ552" t="s">
        <v>2127</v>
      </c>
      <c r="BA552" t="s">
        <v>560</v>
      </c>
      <c r="BB552" t="s">
        <v>2128</v>
      </c>
      <c r="BC552">
        <v>900</v>
      </c>
      <c r="BD552" t="s">
        <v>521</v>
      </c>
      <c r="BE552">
        <v>4.2458</v>
      </c>
      <c r="BF552">
        <v>3.5388000000000002</v>
      </c>
      <c r="BG552" t="s">
        <v>522</v>
      </c>
      <c r="BH552">
        <v>395</v>
      </c>
      <c r="BI552">
        <v>295</v>
      </c>
      <c r="BJ552">
        <v>150</v>
      </c>
      <c r="BK552">
        <v>60</v>
      </c>
      <c r="BL552" t="s">
        <v>521</v>
      </c>
      <c r="BM552">
        <v>196.83199999999999</v>
      </c>
      <c r="BN552">
        <v>141.55199999999999</v>
      </c>
      <c r="BO552">
        <v>196.83199999999999</v>
      </c>
      <c r="BP552" t="s">
        <v>522</v>
      </c>
      <c r="BQ552">
        <v>1200</v>
      </c>
      <c r="BR552">
        <v>1000</v>
      </c>
      <c r="BS552">
        <v>1058</v>
      </c>
      <c r="BT552">
        <v>0</v>
      </c>
      <c r="BU552">
        <v>1</v>
      </c>
      <c r="BV552">
        <v>1</v>
      </c>
      <c r="BW552">
        <v>40</v>
      </c>
      <c r="BX552">
        <v>0</v>
      </c>
      <c r="BY552">
        <v>40</v>
      </c>
      <c r="BZ552">
        <v>0</v>
      </c>
      <c r="CA552">
        <v>36000</v>
      </c>
      <c r="CB552">
        <v>36000</v>
      </c>
      <c r="CC552">
        <v>141.55199999999999</v>
      </c>
      <c r="CD552" t="s">
        <v>799</v>
      </c>
      <c r="CE552" t="s">
        <v>1591</v>
      </c>
      <c r="CG552" t="s">
        <v>421</v>
      </c>
      <c r="CN552" t="str">
        <v>M01</v>
      </c>
      <c r="CO552" t="str">
        <v>1209-1030065EN</v>
      </c>
      <c r="CP552" t="str">
        <v>MSMU5349558</v>
      </c>
      <c r="CQ552" s="23">
        <v>79.274000000000001</v>
      </c>
      <c r="CR552" s="25">
        <f t="shared" si="22"/>
        <v>4.9904506121632745E-3</v>
      </c>
      <c r="CS552" s="21">
        <f t="shared" si="23"/>
        <v>12.476126530408186</v>
      </c>
    </row>
    <row r="553" spans="2:97" x14ac:dyDescent="0.35">
      <c r="B553" t="s">
        <v>297</v>
      </c>
      <c r="C553" t="s">
        <v>2143</v>
      </c>
      <c r="D553" t="s">
        <v>395</v>
      </c>
      <c r="E553" t="s">
        <v>395</v>
      </c>
      <c r="F553" t="s">
        <v>396</v>
      </c>
      <c r="G553" t="s">
        <v>397</v>
      </c>
      <c r="H553" t="s">
        <v>398</v>
      </c>
      <c r="I553" t="s">
        <v>399</v>
      </c>
      <c r="J553" t="s">
        <v>749</v>
      </c>
      <c r="K553" t="s">
        <v>629</v>
      </c>
      <c r="L553" t="s">
        <v>787</v>
      </c>
      <c r="M553" t="s">
        <v>403</v>
      </c>
      <c r="N553">
        <v>1</v>
      </c>
      <c r="O553">
        <v>1</v>
      </c>
      <c r="P553" t="s">
        <v>1117</v>
      </c>
      <c r="Q553" t="s">
        <v>405</v>
      </c>
      <c r="R553" t="s">
        <v>1112</v>
      </c>
      <c r="S553" t="s">
        <v>1113</v>
      </c>
      <c r="T553" t="s">
        <v>408</v>
      </c>
      <c r="U553">
        <v>50950080601</v>
      </c>
      <c r="W553">
        <v>25600</v>
      </c>
      <c r="X553" t="s">
        <v>409</v>
      </c>
      <c r="Y553" t="s">
        <v>410</v>
      </c>
      <c r="Z553" t="s">
        <v>410</v>
      </c>
      <c r="AA553" t="s">
        <v>411</v>
      </c>
      <c r="AB553" t="s">
        <v>554</v>
      </c>
      <c r="AC553" t="s">
        <v>411</v>
      </c>
      <c r="AD553">
        <v>46102</v>
      </c>
      <c r="AE553">
        <v>46125</v>
      </c>
      <c r="AF553">
        <v>46106</v>
      </c>
      <c r="AG553" t="s">
        <v>754</v>
      </c>
      <c r="AH553">
        <v>6152214</v>
      </c>
      <c r="AI553">
        <v>46101</v>
      </c>
      <c r="AJ553">
        <v>46102</v>
      </c>
      <c r="AK553">
        <v>25600</v>
      </c>
      <c r="AL553" t="s">
        <v>396</v>
      </c>
      <c r="AM553" t="s">
        <v>2144</v>
      </c>
      <c r="AN553">
        <v>46102</v>
      </c>
      <c r="AO553">
        <v>46102.370613425926</v>
      </c>
      <c r="AP553" t="s">
        <v>51</v>
      </c>
      <c r="AQ553">
        <v>0.11779000000000001</v>
      </c>
      <c r="AR553">
        <v>3015.44</v>
      </c>
      <c r="AS553" t="s">
        <v>51</v>
      </c>
      <c r="AT553">
        <v>3015.44</v>
      </c>
      <c r="AU553" t="s">
        <v>415</v>
      </c>
      <c r="AV553" t="s">
        <v>557</v>
      </c>
      <c r="AW553" t="s">
        <v>2044</v>
      </c>
      <c r="AX553">
        <v>46106</v>
      </c>
      <c r="AY553">
        <v>46155</v>
      </c>
      <c r="AZ553" t="s">
        <v>2127</v>
      </c>
      <c r="BA553" t="s">
        <v>560</v>
      </c>
      <c r="BB553" t="s">
        <v>2128</v>
      </c>
      <c r="BC553">
        <v>320</v>
      </c>
      <c r="BD553" t="s">
        <v>521</v>
      </c>
      <c r="BE553">
        <v>8.7653999999999996</v>
      </c>
      <c r="BF553">
        <v>7.4854000000000003</v>
      </c>
      <c r="BG553" t="s">
        <v>522</v>
      </c>
      <c r="BH553">
        <v>595</v>
      </c>
      <c r="BI553">
        <v>395</v>
      </c>
      <c r="BJ553">
        <v>225</v>
      </c>
      <c r="BK553">
        <v>20</v>
      </c>
      <c r="BL553" t="s">
        <v>521</v>
      </c>
      <c r="BM553">
        <v>202.30799999999999</v>
      </c>
      <c r="BN553">
        <v>149.708</v>
      </c>
      <c r="BO553">
        <v>809.23519999999996</v>
      </c>
      <c r="BP553" t="s">
        <v>522</v>
      </c>
      <c r="BQ553">
        <v>1200</v>
      </c>
      <c r="BR553">
        <v>1000</v>
      </c>
      <c r="BS553">
        <v>1060</v>
      </c>
      <c r="BT553">
        <v>4</v>
      </c>
      <c r="BU553">
        <v>0</v>
      </c>
      <c r="BV553">
        <v>4</v>
      </c>
      <c r="BW553">
        <v>80</v>
      </c>
      <c r="BX553">
        <v>0</v>
      </c>
      <c r="BY553">
        <v>80</v>
      </c>
      <c r="BZ553">
        <v>25600</v>
      </c>
      <c r="CA553">
        <v>0</v>
      </c>
      <c r="CB553">
        <v>25600</v>
      </c>
      <c r="CC553">
        <v>598.83519999999999</v>
      </c>
      <c r="CD553" t="s">
        <v>793</v>
      </c>
      <c r="CE553" t="s">
        <v>1115</v>
      </c>
      <c r="CG553" t="s">
        <v>421</v>
      </c>
      <c r="CN553" t="str">
        <v>M01</v>
      </c>
      <c r="CO553" t="str">
        <v>1426-1030036EN</v>
      </c>
      <c r="CP553" t="str">
        <v>MSMU5349558</v>
      </c>
      <c r="CQ553" s="23">
        <v>362.67599999999999</v>
      </c>
      <c r="CR553" s="25">
        <f t="shared" si="22"/>
        <v>2.2831151023247568E-2</v>
      </c>
      <c r="CS553" s="21">
        <f t="shared" si="23"/>
        <v>57.077877558118921</v>
      </c>
    </row>
    <row r="554" spans="2:97" x14ac:dyDescent="0.35">
      <c r="B554" t="s">
        <v>297</v>
      </c>
      <c r="C554" t="s">
        <v>1526</v>
      </c>
      <c r="D554" t="s">
        <v>395</v>
      </c>
      <c r="E554" t="s">
        <v>395</v>
      </c>
      <c r="F554" t="s">
        <v>396</v>
      </c>
      <c r="G554" t="s">
        <v>397</v>
      </c>
      <c r="H554" t="s">
        <v>398</v>
      </c>
      <c r="I554" t="s">
        <v>399</v>
      </c>
      <c r="J554" t="s">
        <v>749</v>
      </c>
      <c r="K554" t="s">
        <v>515</v>
      </c>
      <c r="L554" t="s">
        <v>787</v>
      </c>
      <c r="M554" t="s">
        <v>403</v>
      </c>
      <c r="N554">
        <v>4</v>
      </c>
      <c r="O554">
        <v>1</v>
      </c>
      <c r="P554" t="s">
        <v>1527</v>
      </c>
      <c r="Q554" t="s">
        <v>405</v>
      </c>
      <c r="R554" t="s">
        <v>1528</v>
      </c>
      <c r="S554" t="s">
        <v>1529</v>
      </c>
      <c r="T554" t="s">
        <v>408</v>
      </c>
      <c r="U554">
        <v>50950080790</v>
      </c>
      <c r="W554">
        <v>160000</v>
      </c>
      <c r="X554" t="s">
        <v>409</v>
      </c>
      <c r="Y554" t="s">
        <v>410</v>
      </c>
      <c r="Z554" t="s">
        <v>410</v>
      </c>
      <c r="AA554" t="s">
        <v>411</v>
      </c>
      <c r="AB554" t="s">
        <v>554</v>
      </c>
      <c r="AC554" t="s">
        <v>411</v>
      </c>
      <c r="AD554">
        <v>46102</v>
      </c>
      <c r="AE554">
        <v>46125</v>
      </c>
      <c r="AF554">
        <v>46106</v>
      </c>
      <c r="AG554" t="s">
        <v>754</v>
      </c>
      <c r="AH554">
        <v>6152215</v>
      </c>
      <c r="AI554">
        <v>46101</v>
      </c>
      <c r="AJ554">
        <v>46102</v>
      </c>
      <c r="AK554">
        <v>160000</v>
      </c>
      <c r="AL554" t="s">
        <v>396</v>
      </c>
      <c r="AM554" t="s">
        <v>2145</v>
      </c>
      <c r="AN554">
        <v>46102</v>
      </c>
      <c r="AO554">
        <v>46102.370613425926</v>
      </c>
      <c r="AP554" t="s">
        <v>51</v>
      </c>
      <c r="AQ554">
        <v>1.17E-3</v>
      </c>
      <c r="AR554">
        <v>187.2</v>
      </c>
      <c r="AS554" t="s">
        <v>51</v>
      </c>
      <c r="AT554">
        <v>187.2</v>
      </c>
      <c r="AU554" t="s">
        <v>415</v>
      </c>
      <c r="AV554" t="s">
        <v>557</v>
      </c>
      <c r="AW554" t="s">
        <v>2044</v>
      </c>
      <c r="AX554">
        <v>46106</v>
      </c>
      <c r="AY554">
        <v>46155</v>
      </c>
      <c r="AZ554" t="s">
        <v>2127</v>
      </c>
      <c r="BA554" t="s">
        <v>560</v>
      </c>
      <c r="BB554" t="s">
        <v>2128</v>
      </c>
      <c r="BC554">
        <v>80000</v>
      </c>
      <c r="BD554" t="s">
        <v>521</v>
      </c>
      <c r="BE554">
        <v>4.8280000000000003</v>
      </c>
      <c r="BF554">
        <v>4.1280000000000001</v>
      </c>
      <c r="BG554" t="s">
        <v>522</v>
      </c>
      <c r="BH554">
        <v>398</v>
      </c>
      <c r="BI554">
        <v>375</v>
      </c>
      <c r="BJ554">
        <v>234</v>
      </c>
      <c r="BK554">
        <v>8</v>
      </c>
      <c r="BL554" t="s">
        <v>521</v>
      </c>
      <c r="BM554">
        <v>17.655999999999999</v>
      </c>
      <c r="BN554">
        <v>8.2560000000000002</v>
      </c>
      <c r="BO554">
        <v>17.655999999999999</v>
      </c>
      <c r="BP554" t="s">
        <v>522</v>
      </c>
      <c r="BQ554">
        <v>800</v>
      </c>
      <c r="BR554">
        <v>300</v>
      </c>
      <c r="BS554">
        <v>625</v>
      </c>
      <c r="BT554">
        <v>0</v>
      </c>
      <c r="BU554">
        <v>1</v>
      </c>
      <c r="BV554">
        <v>1</v>
      </c>
      <c r="BW554">
        <v>2</v>
      </c>
      <c r="BX554">
        <v>0</v>
      </c>
      <c r="BY554">
        <v>2</v>
      </c>
      <c r="BZ554">
        <v>0</v>
      </c>
      <c r="CA554">
        <v>160000</v>
      </c>
      <c r="CB554">
        <v>160000</v>
      </c>
      <c r="CC554">
        <v>8.2560000000000002</v>
      </c>
      <c r="CD554" t="s">
        <v>1346</v>
      </c>
      <c r="CE554" t="s">
        <v>1347</v>
      </c>
      <c r="CG554" t="s">
        <v>421</v>
      </c>
      <c r="CN554" t="str">
        <v>M45</v>
      </c>
      <c r="CO554" t="str">
        <v>AYSP61AS871EN</v>
      </c>
      <c r="CP554" t="str">
        <v>MSMU5349558</v>
      </c>
      <c r="CQ554" s="23">
        <v>946.40020000000004</v>
      </c>
      <c r="CR554" s="25">
        <f t="shared" si="22"/>
        <v>5.9577710944842516E-2</v>
      </c>
      <c r="CS554" s="21">
        <f t="shared" si="23"/>
        <v>148.94427736210628</v>
      </c>
    </row>
    <row r="555" spans="2:97" x14ac:dyDescent="0.35">
      <c r="B555" t="s">
        <v>296</v>
      </c>
      <c r="C555" t="s">
        <v>2146</v>
      </c>
      <c r="D555" t="s">
        <v>395</v>
      </c>
      <c r="E555" t="s">
        <v>395</v>
      </c>
      <c r="F555" t="s">
        <v>396</v>
      </c>
      <c r="G555" t="s">
        <v>397</v>
      </c>
      <c r="H555" t="s">
        <v>398</v>
      </c>
      <c r="I555" t="s">
        <v>399</v>
      </c>
      <c r="J555" t="s">
        <v>749</v>
      </c>
      <c r="K555" t="s">
        <v>515</v>
      </c>
      <c r="L555" t="s">
        <v>787</v>
      </c>
      <c r="M555" t="s">
        <v>403</v>
      </c>
      <c r="N555">
        <v>1</v>
      </c>
      <c r="O555">
        <v>1</v>
      </c>
      <c r="P555" t="s">
        <v>987</v>
      </c>
      <c r="Q555" t="s">
        <v>405</v>
      </c>
      <c r="R555" t="s">
        <v>691</v>
      </c>
      <c r="S555" t="s">
        <v>988</v>
      </c>
      <c r="T555" t="s">
        <v>408</v>
      </c>
      <c r="U555">
        <v>50950080949</v>
      </c>
      <c r="W555">
        <v>96000</v>
      </c>
      <c r="X555" t="s">
        <v>409</v>
      </c>
      <c r="Y555" t="s">
        <v>410</v>
      </c>
      <c r="Z555" t="s">
        <v>410</v>
      </c>
      <c r="AA555" t="s">
        <v>411</v>
      </c>
      <c r="AB555" t="s">
        <v>554</v>
      </c>
      <c r="AC555" t="s">
        <v>411</v>
      </c>
      <c r="AD555">
        <v>46102</v>
      </c>
      <c r="AE555">
        <v>46160</v>
      </c>
      <c r="AF555">
        <v>46106</v>
      </c>
      <c r="AG555" t="s">
        <v>754</v>
      </c>
      <c r="AH555">
        <v>6152216</v>
      </c>
      <c r="AI555">
        <v>46101</v>
      </c>
      <c r="AJ555">
        <v>46102</v>
      </c>
      <c r="AK555">
        <v>96000</v>
      </c>
      <c r="AL555" t="s">
        <v>396</v>
      </c>
      <c r="AM555" t="s">
        <v>2147</v>
      </c>
      <c r="AN555">
        <v>46102</v>
      </c>
      <c r="AO555">
        <v>46102.370613425926</v>
      </c>
      <c r="AP555" t="s">
        <v>51</v>
      </c>
      <c r="AQ555">
        <v>1.1990000000000001E-2</v>
      </c>
      <c r="AR555">
        <v>1151.04</v>
      </c>
      <c r="AS555" t="s">
        <v>51</v>
      </c>
      <c r="AT555">
        <v>1151.04</v>
      </c>
      <c r="AU555" t="s">
        <v>415</v>
      </c>
      <c r="AV555" t="s">
        <v>557</v>
      </c>
      <c r="AW555" t="s">
        <v>2044</v>
      </c>
      <c r="AX555">
        <v>46106</v>
      </c>
      <c r="AY555">
        <v>46155</v>
      </c>
      <c r="AZ555" t="s">
        <v>2127</v>
      </c>
      <c r="BA555" t="s">
        <v>560</v>
      </c>
      <c r="BB555" t="s">
        <v>2128</v>
      </c>
      <c r="BC555">
        <v>24000</v>
      </c>
      <c r="BD555" t="s">
        <v>521</v>
      </c>
      <c r="BE555">
        <v>11.613849999999999</v>
      </c>
      <c r="BF555">
        <v>10.68</v>
      </c>
      <c r="BG555" t="s">
        <v>522</v>
      </c>
      <c r="BH555">
        <v>398</v>
      </c>
      <c r="BI555">
        <v>298</v>
      </c>
      <c r="BJ555">
        <v>155</v>
      </c>
      <c r="BK555">
        <v>6</v>
      </c>
      <c r="BL555" t="s">
        <v>521</v>
      </c>
      <c r="BM555">
        <v>54.455399999999997</v>
      </c>
      <c r="BN555">
        <v>42.72</v>
      </c>
      <c r="BO555">
        <v>54.455399999999997</v>
      </c>
      <c r="BP555" t="s">
        <v>522</v>
      </c>
      <c r="BQ555">
        <v>800</v>
      </c>
      <c r="BR555">
        <v>300</v>
      </c>
      <c r="BS555">
        <v>608</v>
      </c>
      <c r="BT555">
        <v>0</v>
      </c>
      <c r="BU555">
        <v>1</v>
      </c>
      <c r="BV555">
        <v>1</v>
      </c>
      <c r="BW555">
        <v>4</v>
      </c>
      <c r="BX555">
        <v>0</v>
      </c>
      <c r="BY555">
        <v>4</v>
      </c>
      <c r="BZ555">
        <v>0</v>
      </c>
      <c r="CA555">
        <v>96000</v>
      </c>
      <c r="CB555">
        <v>96000</v>
      </c>
      <c r="CC555">
        <v>42.72</v>
      </c>
      <c r="CD555" t="s">
        <v>523</v>
      </c>
      <c r="CE555" t="s">
        <v>981</v>
      </c>
      <c r="CG555" t="s">
        <v>421</v>
      </c>
      <c r="CN555" t="str">
        <v>M45</v>
      </c>
      <c r="CO555" t="str">
        <v>AYSP61BS362EN</v>
      </c>
      <c r="CP555" t="str">
        <v>MSMU5349558</v>
      </c>
      <c r="CQ555" s="23">
        <v>764.09619999999995</v>
      </c>
      <c r="CR555" s="25">
        <f t="shared" si="22"/>
        <v>4.8101323877206045E-2</v>
      </c>
      <c r="CS555" s="21">
        <f t="shared" si="23"/>
        <v>120.25330969301511</v>
      </c>
    </row>
    <row r="556" spans="2:97" x14ac:dyDescent="0.35">
      <c r="B556" t="s">
        <v>296</v>
      </c>
      <c r="C556" t="s">
        <v>2148</v>
      </c>
      <c r="D556" t="s">
        <v>395</v>
      </c>
      <c r="E556" t="s">
        <v>395</v>
      </c>
      <c r="F556" t="s">
        <v>396</v>
      </c>
      <c r="G556" t="s">
        <v>397</v>
      </c>
      <c r="H556" t="s">
        <v>398</v>
      </c>
      <c r="I556" t="s">
        <v>399</v>
      </c>
      <c r="J556" t="s">
        <v>749</v>
      </c>
      <c r="K556" t="s">
        <v>515</v>
      </c>
      <c r="L556" t="s">
        <v>787</v>
      </c>
      <c r="M556" t="s">
        <v>403</v>
      </c>
      <c r="N556">
        <v>1</v>
      </c>
      <c r="O556">
        <v>1</v>
      </c>
      <c r="P556" t="s">
        <v>1513</v>
      </c>
      <c r="Q556" t="s">
        <v>430</v>
      </c>
      <c r="R556" t="s">
        <v>691</v>
      </c>
      <c r="S556" t="s">
        <v>1514</v>
      </c>
      <c r="T556" t="s">
        <v>408</v>
      </c>
      <c r="U556">
        <v>50950080880</v>
      </c>
      <c r="W556">
        <v>96000</v>
      </c>
      <c r="X556" t="s">
        <v>409</v>
      </c>
      <c r="Y556" t="s">
        <v>410</v>
      </c>
      <c r="Z556" t="s">
        <v>410</v>
      </c>
      <c r="AA556" t="s">
        <v>411</v>
      </c>
      <c r="AB556" t="s">
        <v>554</v>
      </c>
      <c r="AC556" t="s">
        <v>411</v>
      </c>
      <c r="AD556">
        <v>46102</v>
      </c>
      <c r="AE556">
        <v>46160</v>
      </c>
      <c r="AF556">
        <v>46106</v>
      </c>
      <c r="AG556" t="s">
        <v>754</v>
      </c>
      <c r="AH556">
        <v>6152217</v>
      </c>
      <c r="AI556">
        <v>46101</v>
      </c>
      <c r="AJ556">
        <v>46102</v>
      </c>
      <c r="AK556">
        <v>96000</v>
      </c>
      <c r="AL556" t="s">
        <v>396</v>
      </c>
      <c r="AM556" t="s">
        <v>2149</v>
      </c>
      <c r="AN556">
        <v>46102</v>
      </c>
      <c r="AO556">
        <v>46102.370613425926</v>
      </c>
      <c r="AP556" t="s">
        <v>51</v>
      </c>
      <c r="AQ556">
        <v>2.9409999999999999E-2</v>
      </c>
      <c r="AR556">
        <v>2823.36</v>
      </c>
      <c r="AS556" t="s">
        <v>51</v>
      </c>
      <c r="AT556">
        <v>2823.36</v>
      </c>
      <c r="AU556" t="s">
        <v>415</v>
      </c>
      <c r="AV556" t="s">
        <v>557</v>
      </c>
      <c r="AW556" t="s">
        <v>2044</v>
      </c>
      <c r="AX556">
        <v>46106</v>
      </c>
      <c r="AY556">
        <v>46155</v>
      </c>
      <c r="AZ556" t="s">
        <v>2127</v>
      </c>
      <c r="BA556" t="s">
        <v>560</v>
      </c>
      <c r="BB556" t="s">
        <v>2128</v>
      </c>
      <c r="BC556">
        <v>12000</v>
      </c>
      <c r="BD556" t="s">
        <v>521</v>
      </c>
      <c r="BE556">
        <v>10.519</v>
      </c>
      <c r="BF556">
        <v>9.84</v>
      </c>
      <c r="BG556" t="s">
        <v>522</v>
      </c>
      <c r="BH556">
        <v>395</v>
      </c>
      <c r="BI556">
        <v>295</v>
      </c>
      <c r="BJ556">
        <v>174</v>
      </c>
      <c r="BK556">
        <v>6</v>
      </c>
      <c r="BL556" t="s">
        <v>521</v>
      </c>
      <c r="BM556">
        <v>71.114000000000004</v>
      </c>
      <c r="BN556">
        <v>59.04</v>
      </c>
      <c r="BO556">
        <v>100.152</v>
      </c>
      <c r="BP556" t="s">
        <v>522</v>
      </c>
      <c r="BQ556">
        <v>800</v>
      </c>
      <c r="BR556">
        <v>300</v>
      </c>
      <c r="BS556">
        <v>698</v>
      </c>
      <c r="BT556">
        <v>1</v>
      </c>
      <c r="BU556">
        <v>1</v>
      </c>
      <c r="BV556">
        <v>2</v>
      </c>
      <c r="BW556">
        <v>8</v>
      </c>
      <c r="BX556">
        <v>0</v>
      </c>
      <c r="BY556">
        <v>8</v>
      </c>
      <c r="BZ556">
        <v>72000</v>
      </c>
      <c r="CA556">
        <v>24000</v>
      </c>
      <c r="CB556">
        <v>96000</v>
      </c>
      <c r="CC556">
        <v>78.72</v>
      </c>
      <c r="CD556" t="s">
        <v>659</v>
      </c>
      <c r="CE556" t="s">
        <v>1006</v>
      </c>
      <c r="CG556" t="s">
        <v>421</v>
      </c>
      <c r="CN556" t="str">
        <v>M46</v>
      </c>
      <c r="CO556" t="str">
        <v>1318-EQN0001EN</v>
      </c>
      <c r="CP556" t="str">
        <v>MSMU5349558</v>
      </c>
      <c r="CQ556" s="23">
        <v>31.702000000000002</v>
      </c>
      <c r="CR556" s="25">
        <f t="shared" si="22"/>
        <v>1.9957018102631399E-3</v>
      </c>
      <c r="CS556" s="21">
        <f t="shared" si="23"/>
        <v>4.9892545256578495</v>
      </c>
    </row>
    <row r="557" spans="2:97" x14ac:dyDescent="0.35">
      <c r="B557" t="s">
        <v>296</v>
      </c>
      <c r="C557" t="s">
        <v>2150</v>
      </c>
      <c r="D557" t="s">
        <v>395</v>
      </c>
      <c r="E557" t="s">
        <v>395</v>
      </c>
      <c r="F557" t="s">
        <v>396</v>
      </c>
      <c r="G557" t="s">
        <v>397</v>
      </c>
      <c r="H557" t="s">
        <v>398</v>
      </c>
      <c r="I557" t="s">
        <v>399</v>
      </c>
      <c r="J557" t="s">
        <v>749</v>
      </c>
      <c r="K557" t="s">
        <v>515</v>
      </c>
      <c r="L557" t="s">
        <v>787</v>
      </c>
      <c r="M557" t="s">
        <v>403</v>
      </c>
      <c r="N557">
        <v>1</v>
      </c>
      <c r="O557">
        <v>1</v>
      </c>
      <c r="P557" t="s">
        <v>978</v>
      </c>
      <c r="Q557" t="s">
        <v>430</v>
      </c>
      <c r="R557" t="s">
        <v>691</v>
      </c>
      <c r="S557" t="s">
        <v>979</v>
      </c>
      <c r="T557" t="s">
        <v>408</v>
      </c>
      <c r="U557">
        <v>50950080894</v>
      </c>
      <c r="W557">
        <v>96000</v>
      </c>
      <c r="X557" t="s">
        <v>409</v>
      </c>
      <c r="Y557" t="s">
        <v>410</v>
      </c>
      <c r="Z557" t="s">
        <v>410</v>
      </c>
      <c r="AA557" t="s">
        <v>411</v>
      </c>
      <c r="AB557" t="s">
        <v>554</v>
      </c>
      <c r="AC557" t="s">
        <v>411</v>
      </c>
      <c r="AD557">
        <v>46102</v>
      </c>
      <c r="AE557">
        <v>46160</v>
      </c>
      <c r="AF557">
        <v>46106</v>
      </c>
      <c r="AG557" t="s">
        <v>754</v>
      </c>
      <c r="AH557">
        <v>6152218</v>
      </c>
      <c r="AI557">
        <v>46101</v>
      </c>
      <c r="AJ557">
        <v>46102</v>
      </c>
      <c r="AK557">
        <v>96000</v>
      </c>
      <c r="AL557" t="s">
        <v>396</v>
      </c>
      <c r="AM557" t="s">
        <v>2151</v>
      </c>
      <c r="AN557">
        <v>46102</v>
      </c>
      <c r="AO557">
        <v>46102.370613425926</v>
      </c>
      <c r="AP557" t="s">
        <v>51</v>
      </c>
      <c r="AQ557">
        <v>2.4469999999999999E-2</v>
      </c>
      <c r="AR557">
        <v>2349.12</v>
      </c>
      <c r="AS557" t="s">
        <v>51</v>
      </c>
      <c r="AT557">
        <v>2349.12</v>
      </c>
      <c r="AU557" t="s">
        <v>415</v>
      </c>
      <c r="AV557" t="s">
        <v>557</v>
      </c>
      <c r="AW557" t="s">
        <v>2044</v>
      </c>
      <c r="AX557">
        <v>46106</v>
      </c>
      <c r="AY557">
        <v>46155</v>
      </c>
      <c r="AZ557" t="s">
        <v>2127</v>
      </c>
      <c r="BA557" t="s">
        <v>560</v>
      </c>
      <c r="BB557" t="s">
        <v>2128</v>
      </c>
      <c r="BC557">
        <v>16000</v>
      </c>
      <c r="BD557" t="s">
        <v>521</v>
      </c>
      <c r="BE557">
        <v>8.9338499999999996</v>
      </c>
      <c r="BF557">
        <v>8</v>
      </c>
      <c r="BG557" t="s">
        <v>522</v>
      </c>
      <c r="BH557">
        <v>398</v>
      </c>
      <c r="BI557">
        <v>298</v>
      </c>
      <c r="BJ557">
        <v>155</v>
      </c>
      <c r="BK557">
        <v>6</v>
      </c>
      <c r="BL557" t="s">
        <v>521</v>
      </c>
      <c r="BM557">
        <v>61.603099999999998</v>
      </c>
      <c r="BN557">
        <v>48</v>
      </c>
      <c r="BO557">
        <v>61.603099999999998</v>
      </c>
      <c r="BP557" t="s">
        <v>522</v>
      </c>
      <c r="BQ557">
        <v>800</v>
      </c>
      <c r="BR557">
        <v>300</v>
      </c>
      <c r="BS557">
        <v>608</v>
      </c>
      <c r="BT557">
        <v>1</v>
      </c>
      <c r="BU557">
        <v>0</v>
      </c>
      <c r="BV557">
        <v>1</v>
      </c>
      <c r="BW557">
        <v>6</v>
      </c>
      <c r="BX557">
        <v>0</v>
      </c>
      <c r="BY557">
        <v>6</v>
      </c>
      <c r="BZ557">
        <v>96000</v>
      </c>
      <c r="CA557">
        <v>0</v>
      </c>
      <c r="CB557">
        <v>96000</v>
      </c>
      <c r="CC557">
        <v>48</v>
      </c>
      <c r="CD557" t="s">
        <v>523</v>
      </c>
      <c r="CE557" t="s">
        <v>981</v>
      </c>
      <c r="CG557" t="s">
        <v>421</v>
      </c>
      <c r="CN557" t="str">
        <v>M01</v>
      </c>
      <c r="CO557" t="str">
        <v>1301-1030221EN</v>
      </c>
      <c r="CP557" t="str">
        <v>MSMU5349558</v>
      </c>
      <c r="CQ557" s="23">
        <v>291.88</v>
      </c>
      <c r="CR557" s="25">
        <f t="shared" si="22"/>
        <v>1.8374406800189428E-2</v>
      </c>
      <c r="CS557" s="21">
        <f t="shared" si="23"/>
        <v>45.936017000473569</v>
      </c>
    </row>
    <row r="558" spans="2:97" x14ac:dyDescent="0.35">
      <c r="B558" t="s">
        <v>3497</v>
      </c>
      <c r="C558" t="s">
        <v>2152</v>
      </c>
      <c r="D558" t="s">
        <v>395</v>
      </c>
      <c r="E558" t="s">
        <v>395</v>
      </c>
      <c r="F558" t="s">
        <v>396</v>
      </c>
      <c r="G558" t="s">
        <v>397</v>
      </c>
      <c r="H558" t="s">
        <v>398</v>
      </c>
      <c r="I558" t="s">
        <v>399</v>
      </c>
      <c r="J558" t="s">
        <v>749</v>
      </c>
      <c r="K558" t="s">
        <v>515</v>
      </c>
      <c r="L558" t="s">
        <v>787</v>
      </c>
      <c r="M558" t="s">
        <v>403</v>
      </c>
      <c r="N558">
        <v>1</v>
      </c>
      <c r="O558">
        <v>1</v>
      </c>
      <c r="P558" t="s">
        <v>1062</v>
      </c>
      <c r="Q558" t="s">
        <v>405</v>
      </c>
      <c r="R558" t="s">
        <v>691</v>
      </c>
      <c r="S558" t="s">
        <v>1048</v>
      </c>
      <c r="T558" t="s">
        <v>408</v>
      </c>
      <c r="U558">
        <v>50950081145</v>
      </c>
      <c r="W558">
        <v>24000</v>
      </c>
      <c r="X558" t="s">
        <v>409</v>
      </c>
      <c r="Y558" t="s">
        <v>410</v>
      </c>
      <c r="Z558" t="s">
        <v>410</v>
      </c>
      <c r="AA558" t="s">
        <v>411</v>
      </c>
      <c r="AB558" t="s">
        <v>554</v>
      </c>
      <c r="AC558" t="s">
        <v>411</v>
      </c>
      <c r="AD558">
        <v>46102</v>
      </c>
      <c r="AE558">
        <v>46160</v>
      </c>
      <c r="AF558">
        <v>46106</v>
      </c>
      <c r="AG558" t="s">
        <v>754</v>
      </c>
      <c r="AH558">
        <v>6152219</v>
      </c>
      <c r="AI558">
        <v>46101</v>
      </c>
      <c r="AJ558">
        <v>46102</v>
      </c>
      <c r="AK558">
        <v>24000</v>
      </c>
      <c r="AL558" t="s">
        <v>396</v>
      </c>
      <c r="AM558" t="s">
        <v>2153</v>
      </c>
      <c r="AN558">
        <v>46102</v>
      </c>
      <c r="AO558">
        <v>46102.370613425926</v>
      </c>
      <c r="AP558" t="s">
        <v>51</v>
      </c>
      <c r="AQ558">
        <v>3.2770000000000001E-2</v>
      </c>
      <c r="AR558">
        <v>786.48</v>
      </c>
      <c r="AS558" t="s">
        <v>51</v>
      </c>
      <c r="AT558">
        <v>786.48</v>
      </c>
      <c r="AU558" t="s">
        <v>415</v>
      </c>
      <c r="AV558" t="s">
        <v>557</v>
      </c>
      <c r="AW558" t="s">
        <v>2044</v>
      </c>
      <c r="AX558">
        <v>46106</v>
      </c>
      <c r="AY558">
        <v>46155</v>
      </c>
      <c r="AZ558" t="s">
        <v>2127</v>
      </c>
      <c r="BA558" t="s">
        <v>560</v>
      </c>
      <c r="BB558" t="s">
        <v>2128</v>
      </c>
      <c r="BC558">
        <v>4000</v>
      </c>
      <c r="BD558" t="s">
        <v>521</v>
      </c>
      <c r="BE558">
        <v>4.4618500000000001</v>
      </c>
      <c r="BF558">
        <v>3.528</v>
      </c>
      <c r="BG558" t="s">
        <v>522</v>
      </c>
      <c r="BH558">
        <v>398</v>
      </c>
      <c r="BI558">
        <v>298</v>
      </c>
      <c r="BJ558">
        <v>155</v>
      </c>
      <c r="BK558">
        <v>6</v>
      </c>
      <c r="BL558" t="s">
        <v>521</v>
      </c>
      <c r="BM558">
        <v>34.771099999999997</v>
      </c>
      <c r="BN558">
        <v>21.167999999999999</v>
      </c>
      <c r="BO558">
        <v>34.771099999999997</v>
      </c>
      <c r="BP558" t="s">
        <v>522</v>
      </c>
      <c r="BQ558">
        <v>800</v>
      </c>
      <c r="BR558">
        <v>300</v>
      </c>
      <c r="BS558">
        <v>608</v>
      </c>
      <c r="BT558">
        <v>1</v>
      </c>
      <c r="BU558">
        <v>0</v>
      </c>
      <c r="BV558">
        <v>1</v>
      </c>
      <c r="BW558">
        <v>6</v>
      </c>
      <c r="BX558">
        <v>0</v>
      </c>
      <c r="BY558">
        <v>6</v>
      </c>
      <c r="BZ558">
        <v>24000</v>
      </c>
      <c r="CA558">
        <v>0</v>
      </c>
      <c r="CB558">
        <v>24000</v>
      </c>
      <c r="CC558">
        <v>21.167999999999999</v>
      </c>
      <c r="CD558" t="s">
        <v>523</v>
      </c>
      <c r="CE558" t="s">
        <v>981</v>
      </c>
      <c r="CG558" t="s">
        <v>421</v>
      </c>
      <c r="CN558" t="str">
        <v>M46</v>
      </c>
      <c r="CO558" t="str">
        <v>1127-EQN0006EN</v>
      </c>
      <c r="CP558" t="str">
        <v>MSMU5349558</v>
      </c>
      <c r="CQ558" s="23">
        <v>30.382000000000001</v>
      </c>
      <c r="CR558" s="25">
        <f t="shared" si="22"/>
        <v>1.9126052740967357E-3</v>
      </c>
      <c r="CS558" s="21">
        <f t="shared" si="23"/>
        <v>4.7815131852418391</v>
      </c>
    </row>
    <row r="559" spans="2:97" x14ac:dyDescent="0.35">
      <c r="B559" t="s">
        <v>299</v>
      </c>
      <c r="C559" t="s">
        <v>2154</v>
      </c>
      <c r="D559" t="s">
        <v>395</v>
      </c>
      <c r="E559" t="s">
        <v>395</v>
      </c>
      <c r="F559" t="s">
        <v>396</v>
      </c>
      <c r="G559" t="s">
        <v>397</v>
      </c>
      <c r="H559" t="s">
        <v>398</v>
      </c>
      <c r="I559" t="s">
        <v>399</v>
      </c>
      <c r="J559" t="s">
        <v>749</v>
      </c>
      <c r="K559" t="s">
        <v>2155</v>
      </c>
      <c r="L559" t="s">
        <v>787</v>
      </c>
      <c r="M559" t="s">
        <v>403</v>
      </c>
      <c r="N559">
        <v>1</v>
      </c>
      <c r="O559">
        <v>1</v>
      </c>
      <c r="P559" t="s">
        <v>2156</v>
      </c>
      <c r="Q559" t="s">
        <v>430</v>
      </c>
      <c r="R559" t="s">
        <v>2157</v>
      </c>
      <c r="S559" t="s">
        <v>2158</v>
      </c>
      <c r="T559" t="s">
        <v>408</v>
      </c>
      <c r="U559">
        <v>50950081164</v>
      </c>
      <c r="W559">
        <v>23040</v>
      </c>
      <c r="X559" t="s">
        <v>409</v>
      </c>
      <c r="Y559" t="s">
        <v>410</v>
      </c>
      <c r="Z559" t="s">
        <v>410</v>
      </c>
      <c r="AA559" t="s">
        <v>411</v>
      </c>
      <c r="AB559" t="s">
        <v>554</v>
      </c>
      <c r="AC559" t="s">
        <v>411</v>
      </c>
      <c r="AD559">
        <v>46099</v>
      </c>
      <c r="AE559">
        <v>46160</v>
      </c>
      <c r="AF559">
        <v>46106</v>
      </c>
      <c r="AG559" t="s">
        <v>754</v>
      </c>
      <c r="AH559">
        <v>6152220</v>
      </c>
      <c r="AI559">
        <v>46101</v>
      </c>
      <c r="AJ559">
        <v>46102</v>
      </c>
      <c r="AK559">
        <v>23040</v>
      </c>
      <c r="AL559" t="s">
        <v>396</v>
      </c>
      <c r="AM559" t="s">
        <v>2159</v>
      </c>
      <c r="AN559">
        <v>46102</v>
      </c>
      <c r="AO559">
        <v>46102.370613425926</v>
      </c>
      <c r="AP559" t="s">
        <v>51</v>
      </c>
      <c r="AQ559">
        <v>0.57059000000000004</v>
      </c>
      <c r="AR559">
        <v>13146.4</v>
      </c>
      <c r="AS559" t="s">
        <v>51</v>
      </c>
      <c r="AT559">
        <v>13146.4</v>
      </c>
      <c r="AU559" t="s">
        <v>415</v>
      </c>
      <c r="AV559" t="s">
        <v>557</v>
      </c>
      <c r="AW559" t="s">
        <v>2044</v>
      </c>
      <c r="AX559">
        <v>46106</v>
      </c>
      <c r="AY559">
        <v>46155</v>
      </c>
      <c r="AZ559" t="s">
        <v>2127</v>
      </c>
      <c r="BA559" t="s">
        <v>560</v>
      </c>
      <c r="BB559" t="s">
        <v>2128</v>
      </c>
      <c r="BC559">
        <v>192</v>
      </c>
      <c r="BD559" t="s">
        <v>521</v>
      </c>
      <c r="BE559">
        <v>8.4347999999999992</v>
      </c>
      <c r="BF559">
        <v>7.3228</v>
      </c>
      <c r="BG559" t="s">
        <v>522</v>
      </c>
      <c r="BH559">
        <v>395</v>
      </c>
      <c r="BI559">
        <v>295</v>
      </c>
      <c r="BJ559">
        <v>140</v>
      </c>
      <c r="BK559">
        <v>60</v>
      </c>
      <c r="BL559" t="s">
        <v>521</v>
      </c>
      <c r="BM559">
        <v>533.08799999999997</v>
      </c>
      <c r="BN559">
        <v>439.36799999999999</v>
      </c>
      <c r="BO559">
        <v>1066.17408</v>
      </c>
      <c r="BP559" t="s">
        <v>522</v>
      </c>
      <c r="BQ559">
        <v>1200</v>
      </c>
      <c r="BR559">
        <v>1000</v>
      </c>
      <c r="BS559">
        <v>1000</v>
      </c>
      <c r="BT559">
        <v>2</v>
      </c>
      <c r="BU559">
        <v>0</v>
      </c>
      <c r="BV559">
        <v>2</v>
      </c>
      <c r="BW559">
        <v>120</v>
      </c>
      <c r="BX559">
        <v>0</v>
      </c>
      <c r="BY559">
        <v>120</v>
      </c>
      <c r="BZ559">
        <v>23040</v>
      </c>
      <c r="CA559">
        <v>0</v>
      </c>
      <c r="CB559">
        <v>23040</v>
      </c>
      <c r="CC559">
        <v>878.73407999999995</v>
      </c>
      <c r="CD559" t="s">
        <v>2160</v>
      </c>
      <c r="CE559" t="s">
        <v>2161</v>
      </c>
      <c r="CG559" t="s">
        <v>421</v>
      </c>
      <c r="CN559" t="str">
        <v>M23</v>
      </c>
      <c r="CO559" t="str">
        <v>1318-1YY0567EN</v>
      </c>
      <c r="CP559" t="str">
        <v>MSMU5349558</v>
      </c>
      <c r="CQ559" s="23">
        <v>37.637999999999998</v>
      </c>
      <c r="CR559" s="25">
        <f t="shared" si="22"/>
        <v>2.3693844153266056E-3</v>
      </c>
      <c r="CS559" s="21">
        <f t="shared" si="23"/>
        <v>5.923461038316514</v>
      </c>
    </row>
    <row r="560" spans="2:97" x14ac:dyDescent="0.35">
      <c r="B560" t="s">
        <v>299</v>
      </c>
      <c r="C560" t="s">
        <v>2014</v>
      </c>
      <c r="D560" t="s">
        <v>395</v>
      </c>
      <c r="E560" t="s">
        <v>395</v>
      </c>
      <c r="F560" t="s">
        <v>396</v>
      </c>
      <c r="G560" t="s">
        <v>397</v>
      </c>
      <c r="H560" t="s">
        <v>398</v>
      </c>
      <c r="I560" t="s">
        <v>399</v>
      </c>
      <c r="J560" t="s">
        <v>749</v>
      </c>
      <c r="K560" t="s">
        <v>629</v>
      </c>
      <c r="L560" t="s">
        <v>787</v>
      </c>
      <c r="M560" t="s">
        <v>403</v>
      </c>
      <c r="N560">
        <v>1</v>
      </c>
      <c r="O560">
        <v>2</v>
      </c>
      <c r="P560" t="s">
        <v>2015</v>
      </c>
      <c r="Q560" t="s">
        <v>405</v>
      </c>
      <c r="R560" t="s">
        <v>1128</v>
      </c>
      <c r="S560" t="s">
        <v>2016</v>
      </c>
      <c r="T560" t="s">
        <v>408</v>
      </c>
      <c r="U560">
        <v>50950081173</v>
      </c>
      <c r="W560">
        <v>3000</v>
      </c>
      <c r="X560" t="s">
        <v>409</v>
      </c>
      <c r="Y560" t="s">
        <v>410</v>
      </c>
      <c r="Z560" t="s">
        <v>410</v>
      </c>
      <c r="AA560" t="s">
        <v>411</v>
      </c>
      <c r="AB560" t="s">
        <v>554</v>
      </c>
      <c r="AC560" t="s">
        <v>411</v>
      </c>
      <c r="AD560">
        <v>46102</v>
      </c>
      <c r="AE560">
        <v>46174</v>
      </c>
      <c r="AF560">
        <v>46106</v>
      </c>
      <c r="AG560" t="s">
        <v>754</v>
      </c>
      <c r="AH560">
        <v>6152221</v>
      </c>
      <c r="AI560">
        <v>46101</v>
      </c>
      <c r="AJ560">
        <v>46102</v>
      </c>
      <c r="AK560">
        <v>3000</v>
      </c>
      <c r="AL560" t="s">
        <v>396</v>
      </c>
      <c r="AM560" t="s">
        <v>2162</v>
      </c>
      <c r="AN560">
        <v>46102</v>
      </c>
      <c r="AO560">
        <v>46102.370613425926</v>
      </c>
      <c r="AP560" t="s">
        <v>51</v>
      </c>
      <c r="AQ560">
        <v>1.23437</v>
      </c>
      <c r="AR560">
        <v>3703.11</v>
      </c>
      <c r="AS560" t="s">
        <v>51</v>
      </c>
      <c r="AT560">
        <v>3703.11</v>
      </c>
      <c r="AU560" t="s">
        <v>415</v>
      </c>
      <c r="AV560" t="s">
        <v>557</v>
      </c>
      <c r="AW560" t="s">
        <v>2044</v>
      </c>
      <c r="AX560">
        <v>46106</v>
      </c>
      <c r="AY560">
        <v>46155</v>
      </c>
      <c r="AZ560" t="s">
        <v>2127</v>
      </c>
      <c r="BA560" t="s">
        <v>560</v>
      </c>
      <c r="BB560" t="s">
        <v>2128</v>
      </c>
      <c r="BC560">
        <v>100</v>
      </c>
      <c r="BD560" t="s">
        <v>521</v>
      </c>
      <c r="BE560">
        <v>7.8579999999999997</v>
      </c>
      <c r="BF560">
        <v>3.9279999999999999</v>
      </c>
      <c r="BG560" t="s">
        <v>522</v>
      </c>
      <c r="BH560">
        <v>520</v>
      </c>
      <c r="BI560">
        <v>330</v>
      </c>
      <c r="BJ560">
        <v>190</v>
      </c>
      <c r="BK560">
        <v>30</v>
      </c>
      <c r="BL560" t="s">
        <v>521</v>
      </c>
      <c r="BM560">
        <v>261.74</v>
      </c>
      <c r="BN560">
        <v>117.84</v>
      </c>
      <c r="BO560">
        <v>261.74</v>
      </c>
      <c r="BP560" t="s">
        <v>522</v>
      </c>
      <c r="BQ560">
        <v>1066</v>
      </c>
      <c r="BR560">
        <v>1066</v>
      </c>
      <c r="BS560">
        <v>1100</v>
      </c>
      <c r="BT560">
        <v>1</v>
      </c>
      <c r="BU560">
        <v>0</v>
      </c>
      <c r="BV560">
        <v>1</v>
      </c>
      <c r="BW560">
        <v>30</v>
      </c>
      <c r="BX560">
        <v>0</v>
      </c>
      <c r="BY560">
        <v>30</v>
      </c>
      <c r="BZ560">
        <v>3000</v>
      </c>
      <c r="CA560">
        <v>0</v>
      </c>
      <c r="CB560">
        <v>3000</v>
      </c>
      <c r="CC560">
        <v>117.84</v>
      </c>
      <c r="CD560" t="s">
        <v>1131</v>
      </c>
      <c r="CE560" t="s">
        <v>1132</v>
      </c>
      <c r="CG560" t="s">
        <v>421</v>
      </c>
      <c r="CN560" t="str">
        <v>M01</v>
      </c>
      <c r="CO560" t="str">
        <v>1458-1030121EN</v>
      </c>
      <c r="CP560" t="str">
        <v>MSMU5349558</v>
      </c>
      <c r="CQ560" s="23">
        <v>311.44080000000002</v>
      </c>
      <c r="CR560" s="25">
        <f t="shared" si="22"/>
        <v>1.9605796743101398E-2</v>
      </c>
      <c r="CS560" s="21">
        <f t="shared" si="23"/>
        <v>49.014491857753498</v>
      </c>
    </row>
    <row r="561" spans="2:97" x14ac:dyDescent="0.35">
      <c r="B561" t="s">
        <v>299</v>
      </c>
      <c r="C561" t="s">
        <v>2116</v>
      </c>
      <c r="D561" t="s">
        <v>395</v>
      </c>
      <c r="E561" t="s">
        <v>823</v>
      </c>
      <c r="F561" t="s">
        <v>396</v>
      </c>
      <c r="G561" t="s">
        <v>397</v>
      </c>
      <c r="H561" t="s">
        <v>398</v>
      </c>
      <c r="I561" t="s">
        <v>399</v>
      </c>
      <c r="J561" t="s">
        <v>749</v>
      </c>
      <c r="K561" t="s">
        <v>809</v>
      </c>
      <c r="L561" t="s">
        <v>787</v>
      </c>
      <c r="M561" t="s">
        <v>403</v>
      </c>
      <c r="N561">
        <v>1</v>
      </c>
      <c r="O561">
        <v>2</v>
      </c>
      <c r="P561" t="s">
        <v>824</v>
      </c>
      <c r="Q561" t="s">
        <v>424</v>
      </c>
      <c r="R561" t="s">
        <v>811</v>
      </c>
      <c r="S561" t="s">
        <v>825</v>
      </c>
      <c r="T561" t="s">
        <v>408</v>
      </c>
      <c r="U561">
        <v>50950081267</v>
      </c>
      <c r="W561">
        <v>1440</v>
      </c>
      <c r="X561" t="s">
        <v>409</v>
      </c>
      <c r="Y561" t="s">
        <v>410</v>
      </c>
      <c r="Z561" t="s">
        <v>410</v>
      </c>
      <c r="AA561" t="s">
        <v>411</v>
      </c>
      <c r="AB561" t="s">
        <v>554</v>
      </c>
      <c r="AC561" t="s">
        <v>411</v>
      </c>
      <c r="AD561">
        <v>46095</v>
      </c>
      <c r="AE561">
        <v>46153</v>
      </c>
      <c r="AF561">
        <v>46106</v>
      </c>
      <c r="AG561" t="s">
        <v>754</v>
      </c>
      <c r="AH561">
        <v>6152222</v>
      </c>
      <c r="AI561">
        <v>46101</v>
      </c>
      <c r="AJ561">
        <v>46102</v>
      </c>
      <c r="AK561">
        <v>1440</v>
      </c>
      <c r="AL561" t="s">
        <v>396</v>
      </c>
      <c r="AM561" t="s">
        <v>2163</v>
      </c>
      <c r="AN561">
        <v>46102</v>
      </c>
      <c r="AO561">
        <v>46102.370613425926</v>
      </c>
      <c r="AP561" t="s">
        <v>51</v>
      </c>
      <c r="AQ561">
        <v>1.15734</v>
      </c>
      <c r="AR561">
        <v>1666.57</v>
      </c>
      <c r="AS561" t="s">
        <v>51</v>
      </c>
      <c r="AT561">
        <v>1666.57</v>
      </c>
      <c r="AU561" t="s">
        <v>415</v>
      </c>
      <c r="AV561" t="s">
        <v>557</v>
      </c>
      <c r="AW561" t="s">
        <v>2044</v>
      </c>
      <c r="AX561">
        <v>46106</v>
      </c>
      <c r="AY561">
        <v>46155</v>
      </c>
      <c r="AZ561" t="s">
        <v>2127</v>
      </c>
      <c r="BA561" t="s">
        <v>560</v>
      </c>
      <c r="BB561" t="s">
        <v>2128</v>
      </c>
      <c r="BC561">
        <v>48</v>
      </c>
      <c r="BD561" t="s">
        <v>521</v>
      </c>
      <c r="BE561">
        <v>8.2250999999999994</v>
      </c>
      <c r="BF561">
        <v>6.7651000000000003</v>
      </c>
      <c r="BG561" t="s">
        <v>522</v>
      </c>
      <c r="BH561">
        <v>495</v>
      </c>
      <c r="BI561">
        <v>395</v>
      </c>
      <c r="BJ561">
        <v>190</v>
      </c>
      <c r="BK561">
        <v>30</v>
      </c>
      <c r="BL561" t="s">
        <v>521</v>
      </c>
      <c r="BM561">
        <v>273.75360000000001</v>
      </c>
      <c r="BN561">
        <v>202.95359999999999</v>
      </c>
      <c r="BO561">
        <v>273.75360000000001</v>
      </c>
      <c r="BP561" t="s">
        <v>522</v>
      </c>
      <c r="BQ561">
        <v>1200</v>
      </c>
      <c r="BR561">
        <v>1000</v>
      </c>
      <c r="BS561">
        <v>1120</v>
      </c>
      <c r="BT561">
        <v>1</v>
      </c>
      <c r="BU561">
        <v>0</v>
      </c>
      <c r="BV561">
        <v>1</v>
      </c>
      <c r="BW561">
        <v>30</v>
      </c>
      <c r="BX561">
        <v>0</v>
      </c>
      <c r="BY561">
        <v>30</v>
      </c>
      <c r="BZ561">
        <v>1440</v>
      </c>
      <c r="CA561">
        <v>0</v>
      </c>
      <c r="CB561">
        <v>1440</v>
      </c>
      <c r="CC561">
        <v>202.95359999999999</v>
      </c>
      <c r="CD561" t="s">
        <v>806</v>
      </c>
      <c r="CE561" t="s">
        <v>821</v>
      </c>
      <c r="CG561" t="s">
        <v>421</v>
      </c>
      <c r="CN561" t="str">
        <v>M01</v>
      </c>
      <c r="CO561" t="str">
        <v>1200-1030990EN0002</v>
      </c>
      <c r="CP561" t="str">
        <v>MSMU6025580</v>
      </c>
      <c r="CQ561" s="23">
        <v>576.17280000000005</v>
      </c>
      <c r="CR561" s="25">
        <f t="shared" si="22"/>
        <v>5.0938964274266252E-2</v>
      </c>
      <c r="CS561" s="21">
        <f t="shared" si="23"/>
        <v>127.34741068566564</v>
      </c>
    </row>
    <row r="562" spans="2:97" x14ac:dyDescent="0.35">
      <c r="B562" t="s">
        <v>299</v>
      </c>
      <c r="C562" t="s">
        <v>2023</v>
      </c>
      <c r="D562" t="s">
        <v>395</v>
      </c>
      <c r="E562" t="s">
        <v>395</v>
      </c>
      <c r="F562" t="s">
        <v>396</v>
      </c>
      <c r="G562" t="s">
        <v>397</v>
      </c>
      <c r="H562" t="s">
        <v>398</v>
      </c>
      <c r="I562" t="s">
        <v>399</v>
      </c>
      <c r="J562" t="s">
        <v>749</v>
      </c>
      <c r="K562" t="s">
        <v>845</v>
      </c>
      <c r="L562" t="s">
        <v>787</v>
      </c>
      <c r="M562" t="s">
        <v>403</v>
      </c>
      <c r="N562">
        <v>1</v>
      </c>
      <c r="O562">
        <v>3</v>
      </c>
      <c r="P562" t="s">
        <v>846</v>
      </c>
      <c r="Q562" t="s">
        <v>405</v>
      </c>
      <c r="R562" t="s">
        <v>847</v>
      </c>
      <c r="S562" t="s">
        <v>848</v>
      </c>
      <c r="T562" t="s">
        <v>408</v>
      </c>
      <c r="U562">
        <v>50950081261</v>
      </c>
      <c r="W562">
        <v>810</v>
      </c>
      <c r="X562" t="s">
        <v>409</v>
      </c>
      <c r="Y562" t="s">
        <v>410</v>
      </c>
      <c r="Z562" t="s">
        <v>410</v>
      </c>
      <c r="AA562" t="s">
        <v>411</v>
      </c>
      <c r="AB562" t="s">
        <v>554</v>
      </c>
      <c r="AC562" t="s">
        <v>411</v>
      </c>
      <c r="AD562">
        <v>46095</v>
      </c>
      <c r="AE562">
        <v>46153</v>
      </c>
      <c r="AF562">
        <v>46106</v>
      </c>
      <c r="AG562" t="s">
        <v>754</v>
      </c>
      <c r="AH562">
        <v>6152223</v>
      </c>
      <c r="AI562">
        <v>46101</v>
      </c>
      <c r="AJ562">
        <v>46102</v>
      </c>
      <c r="AK562">
        <v>810</v>
      </c>
      <c r="AL562" t="s">
        <v>396</v>
      </c>
      <c r="AM562" t="s">
        <v>2164</v>
      </c>
      <c r="AN562">
        <v>46102</v>
      </c>
      <c r="AO562">
        <v>46102.370613425926</v>
      </c>
      <c r="AP562" t="s">
        <v>51</v>
      </c>
      <c r="AQ562">
        <v>1.3785799999999999</v>
      </c>
      <c r="AR562">
        <v>1116.6500000000001</v>
      </c>
      <c r="AS562" t="s">
        <v>51</v>
      </c>
      <c r="AT562">
        <v>1116.6500000000001</v>
      </c>
      <c r="AU562" t="s">
        <v>415</v>
      </c>
      <c r="AV562" t="s">
        <v>557</v>
      </c>
      <c r="AW562" t="s">
        <v>2044</v>
      </c>
      <c r="AX562">
        <v>46106</v>
      </c>
      <c r="AY562">
        <v>46155</v>
      </c>
      <c r="AZ562" t="s">
        <v>2127</v>
      </c>
      <c r="BA562" t="s">
        <v>560</v>
      </c>
      <c r="BB562" t="s">
        <v>2128</v>
      </c>
      <c r="BC562">
        <v>27</v>
      </c>
      <c r="BD562" t="s">
        <v>521</v>
      </c>
      <c r="BE562">
        <v>14.865399999999999</v>
      </c>
      <c r="BF562">
        <v>13.6374</v>
      </c>
      <c r="BG562" t="s">
        <v>522</v>
      </c>
      <c r="BH562">
        <v>495</v>
      </c>
      <c r="BI562">
        <v>395</v>
      </c>
      <c r="BJ562">
        <v>170</v>
      </c>
      <c r="BK562">
        <v>30</v>
      </c>
      <c r="BL562" t="s">
        <v>521</v>
      </c>
      <c r="BM562">
        <v>472.96289999999999</v>
      </c>
      <c r="BN562">
        <v>409.12290000000002</v>
      </c>
      <c r="BO562">
        <v>472.96289999999999</v>
      </c>
      <c r="BP562" t="s">
        <v>522</v>
      </c>
      <c r="BQ562">
        <v>1200</v>
      </c>
      <c r="BR562">
        <v>1000</v>
      </c>
      <c r="BS562">
        <v>1000</v>
      </c>
      <c r="BT562">
        <v>1</v>
      </c>
      <c r="BU562">
        <v>0</v>
      </c>
      <c r="BV562">
        <v>1</v>
      </c>
      <c r="BW562">
        <v>30</v>
      </c>
      <c r="BX562">
        <v>0</v>
      </c>
      <c r="BY562">
        <v>30</v>
      </c>
      <c r="BZ562">
        <v>810</v>
      </c>
      <c r="CA562">
        <v>0</v>
      </c>
      <c r="CB562">
        <v>810</v>
      </c>
      <c r="CC562">
        <v>409.12290000000002</v>
      </c>
      <c r="CD562" t="s">
        <v>850</v>
      </c>
      <c r="CE562" t="s">
        <v>851</v>
      </c>
      <c r="CG562" t="s">
        <v>421</v>
      </c>
      <c r="CN562" t="str">
        <v>M19</v>
      </c>
      <c r="CO562" t="str">
        <v>1275-5YY0352EN</v>
      </c>
      <c r="CP562" t="str">
        <v>MSMU6025580</v>
      </c>
      <c r="CQ562" s="23">
        <v>794.02499999999998</v>
      </c>
      <c r="CR562" s="25">
        <f t="shared" si="22"/>
        <v>7.0199098443859645E-2</v>
      </c>
      <c r="CS562" s="21">
        <f t="shared" si="23"/>
        <v>175.49774610964911</v>
      </c>
    </row>
    <row r="563" spans="2:97" x14ac:dyDescent="0.35">
      <c r="B563" t="s">
        <v>3497</v>
      </c>
      <c r="C563" t="s">
        <v>2165</v>
      </c>
      <c r="D563" t="s">
        <v>395</v>
      </c>
      <c r="E563" t="s">
        <v>395</v>
      </c>
      <c r="F563" t="s">
        <v>396</v>
      </c>
      <c r="G563" t="s">
        <v>397</v>
      </c>
      <c r="H563" t="s">
        <v>398</v>
      </c>
      <c r="I563" t="s">
        <v>399</v>
      </c>
      <c r="J563" t="s">
        <v>749</v>
      </c>
      <c r="K563" t="s">
        <v>515</v>
      </c>
      <c r="L563" t="s">
        <v>787</v>
      </c>
      <c r="M563" t="s">
        <v>403</v>
      </c>
      <c r="N563">
        <v>1</v>
      </c>
      <c r="O563">
        <v>1</v>
      </c>
      <c r="P563" t="s">
        <v>2166</v>
      </c>
      <c r="Q563" t="s">
        <v>424</v>
      </c>
      <c r="R563" t="s">
        <v>616</v>
      </c>
      <c r="S563" t="s">
        <v>1540</v>
      </c>
      <c r="T563" t="s">
        <v>408</v>
      </c>
      <c r="U563">
        <v>50950081274</v>
      </c>
      <c r="W563">
        <v>15000</v>
      </c>
      <c r="X563" t="s">
        <v>409</v>
      </c>
      <c r="Y563" t="s">
        <v>410</v>
      </c>
      <c r="Z563" t="s">
        <v>410</v>
      </c>
      <c r="AA563" t="s">
        <v>411</v>
      </c>
      <c r="AB563" t="s">
        <v>554</v>
      </c>
      <c r="AC563" t="s">
        <v>411</v>
      </c>
      <c r="AD563">
        <v>46095</v>
      </c>
      <c r="AE563">
        <v>46153</v>
      </c>
      <c r="AF563">
        <v>46106</v>
      </c>
      <c r="AG563" t="s">
        <v>754</v>
      </c>
      <c r="AH563">
        <v>6152224</v>
      </c>
      <c r="AI563">
        <v>46101</v>
      </c>
      <c r="AJ563">
        <v>46102</v>
      </c>
      <c r="AK563">
        <v>15000</v>
      </c>
      <c r="AL563" t="s">
        <v>396</v>
      </c>
      <c r="AM563" t="s">
        <v>2167</v>
      </c>
      <c r="AN563">
        <v>46102</v>
      </c>
      <c r="AO563">
        <v>46102.370613425926</v>
      </c>
      <c r="AP563" t="s">
        <v>51</v>
      </c>
      <c r="AQ563">
        <v>2.7859999999999999E-2</v>
      </c>
      <c r="AR563">
        <v>417.9</v>
      </c>
      <c r="AS563" t="s">
        <v>51</v>
      </c>
      <c r="AT563">
        <v>417.9</v>
      </c>
      <c r="AU563" t="s">
        <v>415</v>
      </c>
      <c r="AV563" t="s">
        <v>557</v>
      </c>
      <c r="AW563" t="s">
        <v>2044</v>
      </c>
      <c r="AX563">
        <v>46106</v>
      </c>
      <c r="AY563">
        <v>46155</v>
      </c>
      <c r="AZ563" t="s">
        <v>2127</v>
      </c>
      <c r="BA563" t="s">
        <v>560</v>
      </c>
      <c r="BB563" t="s">
        <v>2128</v>
      </c>
      <c r="BC563">
        <v>5000</v>
      </c>
      <c r="BD563" t="s">
        <v>521</v>
      </c>
      <c r="BE563">
        <v>13.625</v>
      </c>
      <c r="BF563">
        <v>11.795</v>
      </c>
      <c r="BG563" t="s">
        <v>522</v>
      </c>
      <c r="BH563">
        <v>395</v>
      </c>
      <c r="BI563">
        <v>295</v>
      </c>
      <c r="BJ563">
        <v>210</v>
      </c>
      <c r="BK563">
        <v>6</v>
      </c>
      <c r="BL563" t="s">
        <v>521</v>
      </c>
      <c r="BM563">
        <v>48.875</v>
      </c>
      <c r="BN563">
        <v>35.384999999999998</v>
      </c>
      <c r="BO563">
        <v>48.875</v>
      </c>
      <c r="BP563" t="s">
        <v>522</v>
      </c>
      <c r="BQ563">
        <v>800</v>
      </c>
      <c r="BR563">
        <v>300</v>
      </c>
      <c r="BS563">
        <v>790</v>
      </c>
      <c r="BT563">
        <v>0</v>
      </c>
      <c r="BU563">
        <v>1</v>
      </c>
      <c r="BV563">
        <v>1</v>
      </c>
      <c r="BW563">
        <v>3</v>
      </c>
      <c r="BX563">
        <v>0</v>
      </c>
      <c r="BY563">
        <v>3</v>
      </c>
      <c r="BZ563">
        <v>0</v>
      </c>
      <c r="CA563">
        <v>15000</v>
      </c>
      <c r="CB563">
        <v>15000</v>
      </c>
      <c r="CC563">
        <v>35.384999999999998</v>
      </c>
      <c r="CD563" t="s">
        <v>626</v>
      </c>
      <c r="CE563" t="s">
        <v>2168</v>
      </c>
      <c r="CG563" t="s">
        <v>421</v>
      </c>
      <c r="CN563" t="str">
        <v>M19</v>
      </c>
      <c r="CO563" t="str">
        <v>1275-5YY0783EN</v>
      </c>
      <c r="CP563" t="str">
        <v>MSMU6025580</v>
      </c>
      <c r="CQ563" s="23">
        <v>198.31280000000001</v>
      </c>
      <c r="CR563" s="25">
        <f t="shared" si="22"/>
        <v>1.753267185526583E-2</v>
      </c>
      <c r="CS563" s="21">
        <f t="shared" si="23"/>
        <v>43.831679638164573</v>
      </c>
    </row>
    <row r="564" spans="2:97" x14ac:dyDescent="0.35">
      <c r="B564" t="s">
        <v>299</v>
      </c>
      <c r="C564" t="s">
        <v>2119</v>
      </c>
      <c r="D564" t="s">
        <v>395</v>
      </c>
      <c r="E564" t="s">
        <v>395</v>
      </c>
      <c r="F564" t="s">
        <v>396</v>
      </c>
      <c r="G564" t="s">
        <v>397</v>
      </c>
      <c r="H564" t="s">
        <v>398</v>
      </c>
      <c r="I564" t="s">
        <v>399</v>
      </c>
      <c r="J564" t="s">
        <v>749</v>
      </c>
      <c r="K564" t="s">
        <v>809</v>
      </c>
      <c r="L564" t="s">
        <v>787</v>
      </c>
      <c r="M564" t="s">
        <v>403</v>
      </c>
      <c r="N564">
        <v>1</v>
      </c>
      <c r="O564">
        <v>2</v>
      </c>
      <c r="P564" t="s">
        <v>1138</v>
      </c>
      <c r="Q564" t="s">
        <v>943</v>
      </c>
      <c r="R564" t="s">
        <v>811</v>
      </c>
      <c r="S564" t="s">
        <v>1139</v>
      </c>
      <c r="T564" t="s">
        <v>408</v>
      </c>
      <c r="U564">
        <v>50950081277</v>
      </c>
      <c r="W564">
        <v>3840</v>
      </c>
      <c r="X564" t="s">
        <v>409</v>
      </c>
      <c r="Y564" t="s">
        <v>410</v>
      </c>
      <c r="Z564" t="s">
        <v>410</v>
      </c>
      <c r="AA564" t="s">
        <v>411</v>
      </c>
      <c r="AB564" t="s">
        <v>554</v>
      </c>
      <c r="AC564" t="s">
        <v>411</v>
      </c>
      <c r="AD564">
        <v>46102</v>
      </c>
      <c r="AE564">
        <v>46160</v>
      </c>
      <c r="AF564">
        <v>46106</v>
      </c>
      <c r="AG564" t="s">
        <v>754</v>
      </c>
      <c r="AH564">
        <v>6152225</v>
      </c>
      <c r="AI564">
        <v>46101</v>
      </c>
      <c r="AJ564">
        <v>46102</v>
      </c>
      <c r="AK564">
        <v>3840</v>
      </c>
      <c r="AL564" t="s">
        <v>396</v>
      </c>
      <c r="AM564" t="s">
        <v>2169</v>
      </c>
      <c r="AN564">
        <v>46102</v>
      </c>
      <c r="AO564">
        <v>46102.370613425926</v>
      </c>
      <c r="AP564" t="s">
        <v>51</v>
      </c>
      <c r="AQ564">
        <v>1.50905</v>
      </c>
      <c r="AR564">
        <v>5794.72</v>
      </c>
      <c r="AS564" t="s">
        <v>51</v>
      </c>
      <c r="AT564">
        <v>5794.72</v>
      </c>
      <c r="AU564" t="s">
        <v>415</v>
      </c>
      <c r="AV564" t="s">
        <v>557</v>
      </c>
      <c r="AW564" t="s">
        <v>2044</v>
      </c>
      <c r="AX564">
        <v>46106</v>
      </c>
      <c r="AY564">
        <v>46155</v>
      </c>
      <c r="AZ564" t="s">
        <v>2127</v>
      </c>
      <c r="BA564" t="s">
        <v>560</v>
      </c>
      <c r="BB564" t="s">
        <v>2128</v>
      </c>
      <c r="BC564">
        <v>16</v>
      </c>
      <c r="BD564" t="s">
        <v>521</v>
      </c>
      <c r="BE564">
        <v>4.0369000000000002</v>
      </c>
      <c r="BF564">
        <v>2.8378999999999999</v>
      </c>
      <c r="BG564" t="s">
        <v>522</v>
      </c>
      <c r="BH564">
        <v>495</v>
      </c>
      <c r="BI564">
        <v>395</v>
      </c>
      <c r="BJ564">
        <v>190</v>
      </c>
      <c r="BK564">
        <v>30</v>
      </c>
      <c r="BL564" t="s">
        <v>521</v>
      </c>
      <c r="BM564">
        <v>148.107</v>
      </c>
      <c r="BN564">
        <v>85.137</v>
      </c>
      <c r="BO564">
        <v>1184.8454400000001</v>
      </c>
      <c r="BP564" t="s">
        <v>522</v>
      </c>
      <c r="BQ564">
        <v>1200</v>
      </c>
      <c r="BR564">
        <v>1000</v>
      </c>
      <c r="BS564">
        <v>1120</v>
      </c>
      <c r="BT564">
        <v>8</v>
      </c>
      <c r="BU564">
        <v>0</v>
      </c>
      <c r="BV564">
        <v>8</v>
      </c>
      <c r="BW564">
        <v>240</v>
      </c>
      <c r="BX564">
        <v>0</v>
      </c>
      <c r="BY564">
        <v>240</v>
      </c>
      <c r="BZ564">
        <v>3840</v>
      </c>
      <c r="CA564">
        <v>0</v>
      </c>
      <c r="CB564">
        <v>3840</v>
      </c>
      <c r="CC564">
        <v>681.08543999999995</v>
      </c>
      <c r="CD564" t="s">
        <v>806</v>
      </c>
      <c r="CE564" t="s">
        <v>816</v>
      </c>
      <c r="CG564" t="s">
        <v>421</v>
      </c>
      <c r="CN564" t="str">
        <v>M19</v>
      </c>
      <c r="CO564" t="str">
        <v>1275-5YY0677EN</v>
      </c>
      <c r="CP564" t="str">
        <v>MSMU6025580</v>
      </c>
      <c r="CQ564" s="23">
        <v>132.52119999999999</v>
      </c>
      <c r="CR564" s="25">
        <f t="shared" si="22"/>
        <v>1.1716090506846022E-2</v>
      </c>
      <c r="CS564" s="21">
        <f t="shared" si="23"/>
        <v>29.290226267115056</v>
      </c>
    </row>
    <row r="565" spans="2:97" x14ac:dyDescent="0.35">
      <c r="B565" t="s">
        <v>3497</v>
      </c>
      <c r="C565" t="s">
        <v>2170</v>
      </c>
      <c r="D565" t="s">
        <v>395</v>
      </c>
      <c r="E565" t="s">
        <v>395</v>
      </c>
      <c r="F565" t="s">
        <v>396</v>
      </c>
      <c r="G565" t="s">
        <v>397</v>
      </c>
      <c r="H565" t="s">
        <v>398</v>
      </c>
      <c r="I565" t="s">
        <v>399</v>
      </c>
      <c r="J565" t="s">
        <v>749</v>
      </c>
      <c r="K565" t="s">
        <v>515</v>
      </c>
      <c r="L565" t="s">
        <v>787</v>
      </c>
      <c r="M565" t="s">
        <v>403</v>
      </c>
      <c r="N565">
        <v>1</v>
      </c>
      <c r="O565">
        <v>1</v>
      </c>
      <c r="P565" t="s">
        <v>2171</v>
      </c>
      <c r="Q565" t="s">
        <v>424</v>
      </c>
      <c r="R565" t="s">
        <v>616</v>
      </c>
      <c r="S565" t="s">
        <v>1540</v>
      </c>
      <c r="T565" t="s">
        <v>408</v>
      </c>
      <c r="U565">
        <v>50950081219</v>
      </c>
      <c r="W565">
        <v>15000</v>
      </c>
      <c r="X565" t="s">
        <v>409</v>
      </c>
      <c r="Y565" t="s">
        <v>410</v>
      </c>
      <c r="Z565" t="s">
        <v>410</v>
      </c>
      <c r="AA565" t="s">
        <v>411</v>
      </c>
      <c r="AB565" t="s">
        <v>554</v>
      </c>
      <c r="AC565" t="s">
        <v>411</v>
      </c>
      <c r="AD565">
        <v>46102</v>
      </c>
      <c r="AE565">
        <v>46160</v>
      </c>
      <c r="AF565">
        <v>46106</v>
      </c>
      <c r="AG565" t="s">
        <v>754</v>
      </c>
      <c r="AH565">
        <v>6152226</v>
      </c>
      <c r="AI565">
        <v>46101</v>
      </c>
      <c r="AJ565">
        <v>46102</v>
      </c>
      <c r="AK565">
        <v>15000</v>
      </c>
      <c r="AL565" t="s">
        <v>396</v>
      </c>
      <c r="AM565" t="s">
        <v>2172</v>
      </c>
      <c r="AN565">
        <v>46102</v>
      </c>
      <c r="AO565">
        <v>46102.370613425926</v>
      </c>
      <c r="AP565" t="s">
        <v>51</v>
      </c>
      <c r="AQ565">
        <v>2.0379999999999999E-2</v>
      </c>
      <c r="AR565">
        <v>305.7</v>
      </c>
      <c r="AS565" t="s">
        <v>51</v>
      </c>
      <c r="AT565">
        <v>305.7</v>
      </c>
      <c r="AU565" t="s">
        <v>415</v>
      </c>
      <c r="AV565" t="s">
        <v>557</v>
      </c>
      <c r="AW565" t="s">
        <v>2044</v>
      </c>
      <c r="AX565">
        <v>46106</v>
      </c>
      <c r="AY565">
        <v>46155</v>
      </c>
      <c r="AZ565" t="s">
        <v>2127</v>
      </c>
      <c r="BA565" t="s">
        <v>560</v>
      </c>
      <c r="BB565" t="s">
        <v>2128</v>
      </c>
      <c r="BC565">
        <v>7500</v>
      </c>
      <c r="BD565" t="s">
        <v>521</v>
      </c>
      <c r="BE565">
        <v>14.124000000000001</v>
      </c>
      <c r="BF565">
        <v>12.18</v>
      </c>
      <c r="BG565" t="s">
        <v>522</v>
      </c>
      <c r="BH565">
        <v>395</v>
      </c>
      <c r="BI565">
        <v>295</v>
      </c>
      <c r="BJ565">
        <v>200</v>
      </c>
      <c r="BK565">
        <v>6</v>
      </c>
      <c r="BL565" t="s">
        <v>521</v>
      </c>
      <c r="BM565">
        <v>36.247999999999998</v>
      </c>
      <c r="BN565">
        <v>24.36</v>
      </c>
      <c r="BO565">
        <v>36.247999999999998</v>
      </c>
      <c r="BP565" t="s">
        <v>522</v>
      </c>
      <c r="BQ565">
        <v>800</v>
      </c>
      <c r="BR565">
        <v>300</v>
      </c>
      <c r="BS565">
        <v>790</v>
      </c>
      <c r="BT565">
        <v>0</v>
      </c>
      <c r="BU565">
        <v>1</v>
      </c>
      <c r="BV565">
        <v>1</v>
      </c>
      <c r="BW565">
        <v>2</v>
      </c>
      <c r="BX565">
        <v>0</v>
      </c>
      <c r="BY565">
        <v>2</v>
      </c>
      <c r="BZ565">
        <v>0</v>
      </c>
      <c r="CA565">
        <v>15000</v>
      </c>
      <c r="CB565">
        <v>15000</v>
      </c>
      <c r="CC565">
        <v>24.36</v>
      </c>
      <c r="CD565" t="s">
        <v>626</v>
      </c>
      <c r="CE565" t="s">
        <v>1542</v>
      </c>
      <c r="CG565" t="s">
        <v>421</v>
      </c>
      <c r="CN565" t="str">
        <v>M19</v>
      </c>
      <c r="CO565" t="str">
        <v>1275-5YY0677EN</v>
      </c>
      <c r="CP565" t="str">
        <v>MSMU6025580</v>
      </c>
      <c r="CQ565" s="23">
        <v>132.52119999999999</v>
      </c>
      <c r="CR565" s="25">
        <f t="shared" si="22"/>
        <v>1.1716090506846022E-2</v>
      </c>
      <c r="CS565" s="21">
        <f t="shared" si="23"/>
        <v>29.290226267115056</v>
      </c>
    </row>
    <row r="566" spans="2:97" x14ac:dyDescent="0.35">
      <c r="B566" t="s">
        <v>3497</v>
      </c>
      <c r="C566" t="s">
        <v>2173</v>
      </c>
      <c r="D566" t="s">
        <v>395</v>
      </c>
      <c r="E566" t="s">
        <v>395</v>
      </c>
      <c r="F566" t="s">
        <v>396</v>
      </c>
      <c r="G566" t="s">
        <v>397</v>
      </c>
      <c r="H566" t="s">
        <v>398</v>
      </c>
      <c r="I566" t="s">
        <v>399</v>
      </c>
      <c r="J566" t="s">
        <v>749</v>
      </c>
      <c r="K566" t="s">
        <v>515</v>
      </c>
      <c r="L566" t="s">
        <v>787</v>
      </c>
      <c r="M566" t="s">
        <v>403</v>
      </c>
      <c r="N566">
        <v>1</v>
      </c>
      <c r="O566">
        <v>1</v>
      </c>
      <c r="P566" t="s">
        <v>1053</v>
      </c>
      <c r="Q566" t="s">
        <v>424</v>
      </c>
      <c r="R566" t="s">
        <v>1017</v>
      </c>
      <c r="S566" t="s">
        <v>1054</v>
      </c>
      <c r="T566" t="s">
        <v>408</v>
      </c>
      <c r="U566">
        <v>50950081383</v>
      </c>
      <c r="W566">
        <v>72000</v>
      </c>
      <c r="X566" t="s">
        <v>409</v>
      </c>
      <c r="Y566" t="s">
        <v>410</v>
      </c>
      <c r="Z566" t="s">
        <v>410</v>
      </c>
      <c r="AA566" t="s">
        <v>411</v>
      </c>
      <c r="AB566" t="s">
        <v>554</v>
      </c>
      <c r="AC566" t="s">
        <v>411</v>
      </c>
      <c r="AD566">
        <v>46102</v>
      </c>
      <c r="AE566">
        <v>46160</v>
      </c>
      <c r="AF566">
        <v>46106</v>
      </c>
      <c r="AG566" t="s">
        <v>754</v>
      </c>
      <c r="AH566">
        <v>6152227</v>
      </c>
      <c r="AI566">
        <v>46101</v>
      </c>
      <c r="AJ566">
        <v>46102</v>
      </c>
      <c r="AK566">
        <v>72000</v>
      </c>
      <c r="AL566" t="s">
        <v>396</v>
      </c>
      <c r="AM566" t="s">
        <v>2174</v>
      </c>
      <c r="AN566">
        <v>46102</v>
      </c>
      <c r="AO566">
        <v>46102.370613425926</v>
      </c>
      <c r="AP566" t="s">
        <v>51</v>
      </c>
      <c r="AQ566">
        <v>1.0630000000000001E-2</v>
      </c>
      <c r="AR566">
        <v>765.36</v>
      </c>
      <c r="AS566" t="s">
        <v>51</v>
      </c>
      <c r="AT566">
        <v>765.36</v>
      </c>
      <c r="AU566" t="s">
        <v>415</v>
      </c>
      <c r="AV566" t="s">
        <v>557</v>
      </c>
      <c r="AW566" t="s">
        <v>2044</v>
      </c>
      <c r="AX566">
        <v>46106</v>
      </c>
      <c r="AY566">
        <v>46155</v>
      </c>
      <c r="AZ566" t="s">
        <v>2127</v>
      </c>
      <c r="BA566" t="s">
        <v>560</v>
      </c>
      <c r="BB566" t="s">
        <v>2128</v>
      </c>
      <c r="BC566">
        <v>12000</v>
      </c>
      <c r="BD566" t="s">
        <v>521</v>
      </c>
      <c r="BE566">
        <v>8.3738499999999991</v>
      </c>
      <c r="BF566">
        <v>7.44</v>
      </c>
      <c r="BG566" t="s">
        <v>522</v>
      </c>
      <c r="BH566">
        <v>398</v>
      </c>
      <c r="BI566">
        <v>298</v>
      </c>
      <c r="BJ566">
        <v>155</v>
      </c>
      <c r="BK566">
        <v>6</v>
      </c>
      <c r="BL566" t="s">
        <v>521</v>
      </c>
      <c r="BM566">
        <v>58.243099999999998</v>
      </c>
      <c r="BN566">
        <v>44.64</v>
      </c>
      <c r="BO566">
        <v>58.243099999999998</v>
      </c>
      <c r="BP566" t="s">
        <v>522</v>
      </c>
      <c r="BQ566">
        <v>800</v>
      </c>
      <c r="BR566">
        <v>300</v>
      </c>
      <c r="BS566">
        <v>608</v>
      </c>
      <c r="BT566">
        <v>1</v>
      </c>
      <c r="BU566">
        <v>0</v>
      </c>
      <c r="BV566">
        <v>1</v>
      </c>
      <c r="BW566">
        <v>6</v>
      </c>
      <c r="BX566">
        <v>0</v>
      </c>
      <c r="BY566">
        <v>6</v>
      </c>
      <c r="BZ566">
        <v>72000</v>
      </c>
      <c r="CA566">
        <v>0</v>
      </c>
      <c r="CB566">
        <v>72000</v>
      </c>
      <c r="CC566">
        <v>44.64</v>
      </c>
      <c r="CD566" t="s">
        <v>523</v>
      </c>
      <c r="CE566" t="s">
        <v>1056</v>
      </c>
      <c r="CG566" t="s">
        <v>421</v>
      </c>
      <c r="CN566" t="str">
        <v>M19</v>
      </c>
      <c r="CO566" t="str">
        <v>1275-5YY0685EN</v>
      </c>
      <c r="CP566" t="str">
        <v>MSMU6025580</v>
      </c>
      <c r="CQ566" s="23">
        <v>520.04</v>
      </c>
      <c r="CR566" s="25">
        <f t="shared" si="22"/>
        <v>4.5976309505046775E-2</v>
      </c>
      <c r="CS566" s="21">
        <f t="shared" si="23"/>
        <v>114.94077376261694</v>
      </c>
    </row>
    <row r="567" spans="2:97" x14ac:dyDescent="0.35">
      <c r="B567" t="s">
        <v>3497</v>
      </c>
      <c r="C567" t="s">
        <v>2175</v>
      </c>
      <c r="D567" t="s">
        <v>395</v>
      </c>
      <c r="E567" t="s">
        <v>395</v>
      </c>
      <c r="F567" t="s">
        <v>396</v>
      </c>
      <c r="G567" t="s">
        <v>397</v>
      </c>
      <c r="H567" t="s">
        <v>398</v>
      </c>
      <c r="I567" t="s">
        <v>399</v>
      </c>
      <c r="J567" t="s">
        <v>749</v>
      </c>
      <c r="K567" t="s">
        <v>515</v>
      </c>
      <c r="L567" t="s">
        <v>787</v>
      </c>
      <c r="M567" t="s">
        <v>403</v>
      </c>
      <c r="N567">
        <v>1</v>
      </c>
      <c r="O567">
        <v>1</v>
      </c>
      <c r="P567" t="s">
        <v>1022</v>
      </c>
      <c r="Q567" t="s">
        <v>424</v>
      </c>
      <c r="R567" t="s">
        <v>1017</v>
      </c>
      <c r="S567" t="s">
        <v>1023</v>
      </c>
      <c r="T567" t="s">
        <v>408</v>
      </c>
      <c r="U567">
        <v>50950081384</v>
      </c>
      <c r="W567">
        <v>72000</v>
      </c>
      <c r="X567" t="s">
        <v>409</v>
      </c>
      <c r="Y567" t="s">
        <v>410</v>
      </c>
      <c r="Z567" t="s">
        <v>410</v>
      </c>
      <c r="AA567" t="s">
        <v>411</v>
      </c>
      <c r="AB567" t="s">
        <v>554</v>
      </c>
      <c r="AC567" t="s">
        <v>411</v>
      </c>
      <c r="AD567">
        <v>46095</v>
      </c>
      <c r="AE567">
        <v>46153</v>
      </c>
      <c r="AF567">
        <v>46106</v>
      </c>
      <c r="AG567" t="s">
        <v>754</v>
      </c>
      <c r="AH567">
        <v>6152228</v>
      </c>
      <c r="AI567">
        <v>46101</v>
      </c>
      <c r="AJ567">
        <v>46102</v>
      </c>
      <c r="AK567">
        <v>72000</v>
      </c>
      <c r="AL567" t="s">
        <v>396</v>
      </c>
      <c r="AM567" t="s">
        <v>2176</v>
      </c>
      <c r="AN567">
        <v>46102</v>
      </c>
      <c r="AO567">
        <v>46102.370613425926</v>
      </c>
      <c r="AP567" t="s">
        <v>51</v>
      </c>
      <c r="AQ567">
        <v>1.0670000000000001E-2</v>
      </c>
      <c r="AR567">
        <v>768.24</v>
      </c>
      <c r="AS567" t="s">
        <v>51</v>
      </c>
      <c r="AT567">
        <v>768.24</v>
      </c>
      <c r="AU567" t="s">
        <v>415</v>
      </c>
      <c r="AV567" t="s">
        <v>557</v>
      </c>
      <c r="AW567" t="s">
        <v>2044</v>
      </c>
      <c r="AX567">
        <v>46106</v>
      </c>
      <c r="AY567">
        <v>46155</v>
      </c>
      <c r="AZ567" t="s">
        <v>2127</v>
      </c>
      <c r="BA567" t="s">
        <v>560</v>
      </c>
      <c r="BB567" t="s">
        <v>2128</v>
      </c>
      <c r="BC567">
        <v>12000</v>
      </c>
      <c r="BD567" t="s">
        <v>521</v>
      </c>
      <c r="BE567">
        <v>8.4938500000000001</v>
      </c>
      <c r="BF567">
        <v>7.56</v>
      </c>
      <c r="BG567" t="s">
        <v>522</v>
      </c>
      <c r="BH567">
        <v>398</v>
      </c>
      <c r="BI567">
        <v>298</v>
      </c>
      <c r="BJ567">
        <v>155</v>
      </c>
      <c r="BK567">
        <v>6</v>
      </c>
      <c r="BL567" t="s">
        <v>521</v>
      </c>
      <c r="BM567">
        <v>58.963099999999997</v>
      </c>
      <c r="BN567">
        <v>45.36</v>
      </c>
      <c r="BO567">
        <v>58.963099999999997</v>
      </c>
      <c r="BP567" t="s">
        <v>522</v>
      </c>
      <c r="BQ567">
        <v>800</v>
      </c>
      <c r="BR567">
        <v>300</v>
      </c>
      <c r="BS567">
        <v>608</v>
      </c>
      <c r="BT567">
        <v>1</v>
      </c>
      <c r="BU567">
        <v>0</v>
      </c>
      <c r="BV567">
        <v>1</v>
      </c>
      <c r="BW567">
        <v>6</v>
      </c>
      <c r="BX567">
        <v>0</v>
      </c>
      <c r="BY567">
        <v>6</v>
      </c>
      <c r="BZ567">
        <v>72000</v>
      </c>
      <c r="CA567">
        <v>0</v>
      </c>
      <c r="CB567">
        <v>72000</v>
      </c>
      <c r="CC567">
        <v>45.36</v>
      </c>
      <c r="CD567" t="s">
        <v>523</v>
      </c>
      <c r="CE567" t="s">
        <v>1020</v>
      </c>
      <c r="CG567" t="s">
        <v>421</v>
      </c>
      <c r="CN567" t="str">
        <v>M19</v>
      </c>
      <c r="CO567" t="str">
        <v>1275-5YY0687EN</v>
      </c>
      <c r="CP567" t="str">
        <v>MSMU6025580</v>
      </c>
      <c r="CQ567" s="23">
        <v>519.75919999999996</v>
      </c>
      <c r="CR567" s="25">
        <f t="shared" si="22"/>
        <v>4.5951484207552323E-2</v>
      </c>
      <c r="CS567" s="21">
        <f t="shared" si="23"/>
        <v>114.87871051888081</v>
      </c>
    </row>
    <row r="568" spans="2:97" x14ac:dyDescent="0.35">
      <c r="B568" t="s">
        <v>297</v>
      </c>
      <c r="C568" t="s">
        <v>2177</v>
      </c>
      <c r="D568" t="s">
        <v>395</v>
      </c>
      <c r="E568" t="s">
        <v>395</v>
      </c>
      <c r="F568" t="s">
        <v>396</v>
      </c>
      <c r="G568" t="s">
        <v>397</v>
      </c>
      <c r="H568" t="s">
        <v>398</v>
      </c>
      <c r="I568" t="s">
        <v>399</v>
      </c>
      <c r="J568" t="s">
        <v>749</v>
      </c>
      <c r="K568" t="s">
        <v>515</v>
      </c>
      <c r="L568" t="s">
        <v>787</v>
      </c>
      <c r="M568" t="s">
        <v>403</v>
      </c>
      <c r="N568">
        <v>1</v>
      </c>
      <c r="O568">
        <v>1</v>
      </c>
      <c r="P568" t="s">
        <v>2178</v>
      </c>
      <c r="Q568" t="s">
        <v>430</v>
      </c>
      <c r="R568" t="s">
        <v>2179</v>
      </c>
      <c r="S568" t="s">
        <v>2180</v>
      </c>
      <c r="T568" t="s">
        <v>408</v>
      </c>
      <c r="U568">
        <v>50950081389</v>
      </c>
      <c r="W568">
        <v>200000</v>
      </c>
      <c r="X568" t="s">
        <v>409</v>
      </c>
      <c r="Y568" t="s">
        <v>410</v>
      </c>
      <c r="Z568" t="s">
        <v>410</v>
      </c>
      <c r="AA568" t="s">
        <v>411</v>
      </c>
      <c r="AB568" t="s">
        <v>554</v>
      </c>
      <c r="AC568" t="s">
        <v>411</v>
      </c>
      <c r="AD568">
        <v>46095</v>
      </c>
      <c r="AE568">
        <v>46153</v>
      </c>
      <c r="AF568">
        <v>46106</v>
      </c>
      <c r="AG568" t="s">
        <v>754</v>
      </c>
      <c r="AH568">
        <v>6152229</v>
      </c>
      <c r="AI568">
        <v>46101</v>
      </c>
      <c r="AJ568">
        <v>46102</v>
      </c>
      <c r="AK568">
        <v>200000</v>
      </c>
      <c r="AL568" t="s">
        <v>396</v>
      </c>
      <c r="AM568" t="s">
        <v>2181</v>
      </c>
      <c r="AN568">
        <v>46102</v>
      </c>
      <c r="AO568">
        <v>46102.370613425926</v>
      </c>
      <c r="AP568" t="s">
        <v>51</v>
      </c>
      <c r="AQ568">
        <v>5.7000000000000002E-3</v>
      </c>
      <c r="AR568">
        <v>1140</v>
      </c>
      <c r="AS568" t="s">
        <v>51</v>
      </c>
      <c r="AT568">
        <v>1140</v>
      </c>
      <c r="AU568" t="s">
        <v>415</v>
      </c>
      <c r="AV568" t="s">
        <v>557</v>
      </c>
      <c r="AW568" t="s">
        <v>2044</v>
      </c>
      <c r="AX568">
        <v>46106</v>
      </c>
      <c r="AY568">
        <v>46155</v>
      </c>
      <c r="AZ568" t="s">
        <v>2127</v>
      </c>
      <c r="BA568" t="s">
        <v>560</v>
      </c>
      <c r="BB568" t="s">
        <v>2128</v>
      </c>
      <c r="BC568">
        <v>40000</v>
      </c>
      <c r="BD568" t="s">
        <v>521</v>
      </c>
      <c r="BE568">
        <v>3.7818499999999999</v>
      </c>
      <c r="BF568">
        <v>2.8479999999999999</v>
      </c>
      <c r="BG568" t="s">
        <v>522</v>
      </c>
      <c r="BH568">
        <v>398</v>
      </c>
      <c r="BI568">
        <v>298</v>
      </c>
      <c r="BJ568">
        <v>155</v>
      </c>
      <c r="BK568">
        <v>6</v>
      </c>
      <c r="BL568" t="s">
        <v>521</v>
      </c>
      <c r="BM568">
        <v>26.90925</v>
      </c>
      <c r="BN568">
        <v>14.24</v>
      </c>
      <c r="BO568">
        <v>26.90925</v>
      </c>
      <c r="BP568" t="s">
        <v>522</v>
      </c>
      <c r="BQ568">
        <v>800</v>
      </c>
      <c r="BR568">
        <v>300</v>
      </c>
      <c r="BS568">
        <v>608</v>
      </c>
      <c r="BT568">
        <v>0</v>
      </c>
      <c r="BU568">
        <v>1</v>
      </c>
      <c r="BV568">
        <v>1</v>
      </c>
      <c r="BW568">
        <v>5</v>
      </c>
      <c r="BX568">
        <v>0</v>
      </c>
      <c r="BY568">
        <v>5</v>
      </c>
      <c r="BZ568">
        <v>0</v>
      </c>
      <c r="CA568">
        <v>200000</v>
      </c>
      <c r="CB568">
        <v>200000</v>
      </c>
      <c r="CC568">
        <v>14.24</v>
      </c>
      <c r="CD568" t="s">
        <v>523</v>
      </c>
      <c r="CE568" t="s">
        <v>981</v>
      </c>
      <c r="CG568" t="s">
        <v>421</v>
      </c>
      <c r="CN568" t="str">
        <v>M01</v>
      </c>
      <c r="CO568" t="str">
        <v>1102-0039190EN</v>
      </c>
      <c r="CP568" t="str">
        <v>MSMU6025580</v>
      </c>
      <c r="CQ568" s="23">
        <v>1197.24</v>
      </c>
      <c r="CR568" s="25">
        <f t="shared" si="22"/>
        <v>0.10584700559922738</v>
      </c>
      <c r="CS568" s="21">
        <f t="shared" si="23"/>
        <v>264.61751399806843</v>
      </c>
    </row>
    <row r="569" spans="2:97" x14ac:dyDescent="0.35">
      <c r="B569" t="s">
        <v>297</v>
      </c>
      <c r="C569" t="s">
        <v>1555</v>
      </c>
      <c r="D569" t="s">
        <v>395</v>
      </c>
      <c r="E569" t="s">
        <v>395</v>
      </c>
      <c r="F569" t="s">
        <v>396</v>
      </c>
      <c r="G569" t="s">
        <v>397</v>
      </c>
      <c r="H569" t="s">
        <v>398</v>
      </c>
      <c r="I569" t="s">
        <v>399</v>
      </c>
      <c r="J569" t="s">
        <v>749</v>
      </c>
      <c r="K569" t="s">
        <v>629</v>
      </c>
      <c r="L569" t="s">
        <v>787</v>
      </c>
      <c r="M569" t="s">
        <v>403</v>
      </c>
      <c r="N569">
        <v>2</v>
      </c>
      <c r="O569">
        <v>1</v>
      </c>
      <c r="P569" t="s">
        <v>1037</v>
      </c>
      <c r="Q569" t="s">
        <v>430</v>
      </c>
      <c r="R569" t="s">
        <v>1038</v>
      </c>
      <c r="S569" t="s">
        <v>840</v>
      </c>
      <c r="T569" t="s">
        <v>408</v>
      </c>
      <c r="U569">
        <v>50950081411</v>
      </c>
      <c r="W569">
        <v>33600</v>
      </c>
      <c r="X569" t="s">
        <v>409</v>
      </c>
      <c r="Y569" t="s">
        <v>410</v>
      </c>
      <c r="Z569" t="s">
        <v>410</v>
      </c>
      <c r="AA569" t="s">
        <v>411</v>
      </c>
      <c r="AB569" t="s">
        <v>554</v>
      </c>
      <c r="AC569" t="s">
        <v>411</v>
      </c>
      <c r="AD569">
        <v>46102</v>
      </c>
      <c r="AE569">
        <v>46160</v>
      </c>
      <c r="AF569">
        <v>46106</v>
      </c>
      <c r="AG569" t="s">
        <v>754</v>
      </c>
      <c r="AH569">
        <v>6152230</v>
      </c>
      <c r="AI569">
        <v>46101</v>
      </c>
      <c r="AJ569">
        <v>46102</v>
      </c>
      <c r="AK569">
        <v>33600</v>
      </c>
      <c r="AL569" t="s">
        <v>396</v>
      </c>
      <c r="AM569" t="s">
        <v>2182</v>
      </c>
      <c r="AN569">
        <v>46102</v>
      </c>
      <c r="AO569">
        <v>46102.370613425926</v>
      </c>
      <c r="AP569" t="s">
        <v>51</v>
      </c>
      <c r="AQ569">
        <v>1.3639999999999999E-2</v>
      </c>
      <c r="AR569">
        <v>458.3</v>
      </c>
      <c r="AS569" t="s">
        <v>51</v>
      </c>
      <c r="AT569">
        <v>458.3</v>
      </c>
      <c r="AU569" t="s">
        <v>415</v>
      </c>
      <c r="AV569" t="s">
        <v>557</v>
      </c>
      <c r="AW569" t="s">
        <v>2044</v>
      </c>
      <c r="AX569">
        <v>46106</v>
      </c>
      <c r="AY569">
        <v>46155</v>
      </c>
      <c r="AZ569" t="s">
        <v>2127</v>
      </c>
      <c r="BA569" t="s">
        <v>560</v>
      </c>
      <c r="BB569" t="s">
        <v>2128</v>
      </c>
      <c r="BC569">
        <v>16800</v>
      </c>
      <c r="BD569" t="s">
        <v>521</v>
      </c>
      <c r="BE569">
        <v>8.2989999999999995</v>
      </c>
      <c r="BF569">
        <v>7.3920000000000003</v>
      </c>
      <c r="BG569" t="s">
        <v>522</v>
      </c>
      <c r="BH569">
        <v>395</v>
      </c>
      <c r="BI569">
        <v>295</v>
      </c>
      <c r="BJ569">
        <v>270</v>
      </c>
      <c r="BK569">
        <v>4</v>
      </c>
      <c r="BL569" t="s">
        <v>521</v>
      </c>
      <c r="BM569">
        <v>24.597999999999999</v>
      </c>
      <c r="BN569">
        <v>14.784000000000001</v>
      </c>
      <c r="BO569">
        <v>24.597999999999999</v>
      </c>
      <c r="BP569" t="s">
        <v>522</v>
      </c>
      <c r="BQ569">
        <v>800</v>
      </c>
      <c r="BR569">
        <v>300</v>
      </c>
      <c r="BS569">
        <v>698</v>
      </c>
      <c r="BT569">
        <v>0</v>
      </c>
      <c r="BU569">
        <v>1</v>
      </c>
      <c r="BV569">
        <v>1</v>
      </c>
      <c r="BW569">
        <v>2</v>
      </c>
      <c r="BX569">
        <v>0</v>
      </c>
      <c r="BY569">
        <v>2</v>
      </c>
      <c r="BZ569">
        <v>0</v>
      </c>
      <c r="CA569">
        <v>33600</v>
      </c>
      <c r="CB569">
        <v>33600</v>
      </c>
      <c r="CC569">
        <v>14.784000000000001</v>
      </c>
      <c r="CD569" t="s">
        <v>659</v>
      </c>
      <c r="CE569" t="s">
        <v>634</v>
      </c>
      <c r="CG569" t="s">
        <v>421</v>
      </c>
      <c r="CN569" t="str">
        <v>M45</v>
      </c>
      <c r="CO569" t="str">
        <v>1301-12B0010EN</v>
      </c>
      <c r="CP569" t="str">
        <v>MSMU6025580</v>
      </c>
      <c r="CQ569" s="23">
        <v>2962.9151999999999</v>
      </c>
      <c r="CR569" s="25">
        <f t="shared" si="22"/>
        <v>0.26194890060842929</v>
      </c>
      <c r="CS569" s="21">
        <f t="shared" si="23"/>
        <v>654.87225152107328</v>
      </c>
    </row>
    <row r="570" spans="2:97" x14ac:dyDescent="0.35">
      <c r="B570" t="s">
        <v>296</v>
      </c>
      <c r="C570" t="s">
        <v>1559</v>
      </c>
      <c r="D570" t="s">
        <v>395</v>
      </c>
      <c r="E570" t="s">
        <v>395</v>
      </c>
      <c r="F570" t="s">
        <v>396</v>
      </c>
      <c r="G570" t="s">
        <v>397</v>
      </c>
      <c r="H570" t="s">
        <v>398</v>
      </c>
      <c r="I570" t="s">
        <v>399</v>
      </c>
      <c r="J570" t="s">
        <v>749</v>
      </c>
      <c r="K570" t="s">
        <v>845</v>
      </c>
      <c r="L570" t="s">
        <v>787</v>
      </c>
      <c r="M570" t="s">
        <v>403</v>
      </c>
      <c r="N570">
        <v>1</v>
      </c>
      <c r="O570">
        <v>2</v>
      </c>
      <c r="P570" t="s">
        <v>1560</v>
      </c>
      <c r="Q570" t="s">
        <v>430</v>
      </c>
      <c r="R570" t="s">
        <v>1561</v>
      </c>
      <c r="S570" t="s">
        <v>1562</v>
      </c>
      <c r="T570" t="s">
        <v>408</v>
      </c>
      <c r="U570">
        <v>50950081455</v>
      </c>
      <c r="W570">
        <v>40000</v>
      </c>
      <c r="X570" t="s">
        <v>409</v>
      </c>
      <c r="Y570" t="s">
        <v>410</v>
      </c>
      <c r="Z570" t="s">
        <v>410</v>
      </c>
      <c r="AA570" t="s">
        <v>411</v>
      </c>
      <c r="AB570" t="s">
        <v>554</v>
      </c>
      <c r="AC570" t="s">
        <v>411</v>
      </c>
      <c r="AD570">
        <v>46098</v>
      </c>
      <c r="AE570">
        <v>46139</v>
      </c>
      <c r="AF570">
        <v>46106</v>
      </c>
      <c r="AG570" t="s">
        <v>754</v>
      </c>
      <c r="AH570">
        <v>6152231</v>
      </c>
      <c r="AI570">
        <v>46101</v>
      </c>
      <c r="AJ570">
        <v>46102</v>
      </c>
      <c r="AK570">
        <v>40000</v>
      </c>
      <c r="AL570" t="s">
        <v>396</v>
      </c>
      <c r="AM570" t="s">
        <v>2183</v>
      </c>
      <c r="AN570">
        <v>46102</v>
      </c>
      <c r="AO570">
        <v>46102.370613425926</v>
      </c>
      <c r="AP570" t="s">
        <v>51</v>
      </c>
      <c r="AQ570">
        <v>2.3949999999999999E-2</v>
      </c>
      <c r="AR570">
        <v>958</v>
      </c>
      <c r="AS570" t="s">
        <v>51</v>
      </c>
      <c r="AT570">
        <v>958</v>
      </c>
      <c r="AU570" t="s">
        <v>415</v>
      </c>
      <c r="AV570" t="s">
        <v>557</v>
      </c>
      <c r="AW570" t="s">
        <v>2044</v>
      </c>
      <c r="AX570">
        <v>46106</v>
      </c>
      <c r="AY570">
        <v>46155</v>
      </c>
      <c r="AZ570" t="s">
        <v>2127</v>
      </c>
      <c r="BA570" t="s">
        <v>560</v>
      </c>
      <c r="BB570" t="s">
        <v>2128</v>
      </c>
      <c r="BC570">
        <v>12000</v>
      </c>
      <c r="BD570" t="s">
        <v>521</v>
      </c>
      <c r="BE570">
        <v>10.135</v>
      </c>
      <c r="BF570">
        <v>9.48</v>
      </c>
      <c r="BG570" t="s">
        <v>522</v>
      </c>
      <c r="BH570">
        <v>368</v>
      </c>
      <c r="BI570">
        <v>257</v>
      </c>
      <c r="BJ570">
        <v>136</v>
      </c>
      <c r="BK570">
        <v>6</v>
      </c>
      <c r="BL570" t="s">
        <v>521</v>
      </c>
      <c r="BM570">
        <v>42.22</v>
      </c>
      <c r="BN570">
        <v>31.6</v>
      </c>
      <c r="BO570">
        <v>42.22</v>
      </c>
      <c r="BP570" t="s">
        <v>522</v>
      </c>
      <c r="BQ570">
        <v>800</v>
      </c>
      <c r="BR570">
        <v>300</v>
      </c>
      <c r="BS570">
        <v>565</v>
      </c>
      <c r="BT570">
        <v>0</v>
      </c>
      <c r="BU570">
        <v>1</v>
      </c>
      <c r="BV570">
        <v>1</v>
      </c>
      <c r="BW570">
        <v>3</v>
      </c>
      <c r="BX570">
        <v>1</v>
      </c>
      <c r="BY570">
        <v>4</v>
      </c>
      <c r="BZ570">
        <v>0</v>
      </c>
      <c r="CA570">
        <v>40000</v>
      </c>
      <c r="CB570">
        <v>40000</v>
      </c>
      <c r="CC570">
        <v>31.6</v>
      </c>
      <c r="CD570" t="s">
        <v>1564</v>
      </c>
      <c r="CE570" t="s">
        <v>1565</v>
      </c>
      <c r="CG570" t="s">
        <v>421</v>
      </c>
      <c r="CN570" t="str">
        <v>M45</v>
      </c>
      <c r="CO570" t="str">
        <v>1339-12C0007EN</v>
      </c>
      <c r="CP570" t="str">
        <v>MSMU6025580</v>
      </c>
      <c r="CQ570" s="23">
        <v>1911.7347</v>
      </c>
      <c r="CR570" s="25">
        <f t="shared" si="22"/>
        <v>0.16901489550561064</v>
      </c>
      <c r="CS570" s="21">
        <f t="shared" si="23"/>
        <v>422.5372387640266</v>
      </c>
    </row>
    <row r="571" spans="2:97" x14ac:dyDescent="0.35">
      <c r="B571" t="s">
        <v>296</v>
      </c>
      <c r="C571" t="s">
        <v>2027</v>
      </c>
      <c r="D571" t="s">
        <v>395</v>
      </c>
      <c r="E571" t="s">
        <v>395</v>
      </c>
      <c r="F571" t="s">
        <v>396</v>
      </c>
      <c r="G571" t="s">
        <v>397</v>
      </c>
      <c r="H571" t="s">
        <v>398</v>
      </c>
      <c r="I571" t="s">
        <v>399</v>
      </c>
      <c r="J571" t="s">
        <v>749</v>
      </c>
      <c r="K571" t="s">
        <v>1142</v>
      </c>
      <c r="L571" t="s">
        <v>787</v>
      </c>
      <c r="M571" t="s">
        <v>403</v>
      </c>
      <c r="N571">
        <v>1</v>
      </c>
      <c r="O571">
        <v>2</v>
      </c>
      <c r="P571" t="s">
        <v>1168</v>
      </c>
      <c r="Q571" t="s">
        <v>430</v>
      </c>
      <c r="R571" t="s">
        <v>1164</v>
      </c>
      <c r="S571" t="s">
        <v>1165</v>
      </c>
      <c r="T571" t="s">
        <v>408</v>
      </c>
      <c r="U571">
        <v>50950081458</v>
      </c>
      <c r="W571">
        <v>37800</v>
      </c>
      <c r="X571" t="s">
        <v>409</v>
      </c>
      <c r="Y571" t="s">
        <v>410</v>
      </c>
      <c r="Z571" t="s">
        <v>410</v>
      </c>
      <c r="AA571" t="s">
        <v>411</v>
      </c>
      <c r="AB571" t="s">
        <v>554</v>
      </c>
      <c r="AC571" t="s">
        <v>411</v>
      </c>
      <c r="AD571">
        <v>46095</v>
      </c>
      <c r="AE571">
        <v>46167</v>
      </c>
      <c r="AF571">
        <v>46106</v>
      </c>
      <c r="AG571" t="s">
        <v>754</v>
      </c>
      <c r="AH571">
        <v>6152232</v>
      </c>
      <c r="AI571">
        <v>46101</v>
      </c>
      <c r="AJ571">
        <v>46102</v>
      </c>
      <c r="AK571">
        <v>37800</v>
      </c>
      <c r="AL571" t="s">
        <v>396</v>
      </c>
      <c r="AM571" t="s">
        <v>2184</v>
      </c>
      <c r="AN571">
        <v>46102</v>
      </c>
      <c r="AO571">
        <v>46102.370613425926</v>
      </c>
      <c r="AP571" t="s">
        <v>51</v>
      </c>
      <c r="AQ571">
        <v>0.12003</v>
      </c>
      <c r="AR571">
        <v>4537.1499999999996</v>
      </c>
      <c r="AS571" t="s">
        <v>51</v>
      </c>
      <c r="AT571">
        <v>4537.1499999999996</v>
      </c>
      <c r="AU571" t="s">
        <v>415</v>
      </c>
      <c r="AV571" t="s">
        <v>557</v>
      </c>
      <c r="AW571" t="s">
        <v>2044</v>
      </c>
      <c r="AX571">
        <v>46106</v>
      </c>
      <c r="AY571">
        <v>46155</v>
      </c>
      <c r="AZ571" t="s">
        <v>2127</v>
      </c>
      <c r="BA571" t="s">
        <v>560</v>
      </c>
      <c r="BB571" t="s">
        <v>2128</v>
      </c>
      <c r="BC571">
        <v>7560</v>
      </c>
      <c r="BD571" t="s">
        <v>521</v>
      </c>
      <c r="BE571">
        <v>638.45439999999996</v>
      </c>
      <c r="BF571">
        <v>617.95439999999996</v>
      </c>
      <c r="BG571" t="s">
        <v>522</v>
      </c>
      <c r="BH571">
        <v>1050</v>
      </c>
      <c r="BI571">
        <v>480</v>
      </c>
      <c r="BJ571">
        <v>460</v>
      </c>
      <c r="BK571">
        <v>1</v>
      </c>
      <c r="BL571" t="s">
        <v>521</v>
      </c>
      <c r="BM571">
        <v>638.45450000000005</v>
      </c>
      <c r="BN571">
        <v>617.95439999999996</v>
      </c>
      <c r="BO571">
        <v>3192.2725</v>
      </c>
      <c r="BP571" t="s">
        <v>522</v>
      </c>
      <c r="BQ571">
        <v>1050</v>
      </c>
      <c r="BR571">
        <v>480</v>
      </c>
      <c r="BS571">
        <v>480</v>
      </c>
      <c r="BT571">
        <v>5</v>
      </c>
      <c r="BU571">
        <v>0</v>
      </c>
      <c r="BV571">
        <v>5</v>
      </c>
      <c r="BW571">
        <v>5</v>
      </c>
      <c r="BX571">
        <v>0</v>
      </c>
      <c r="BY571">
        <v>5</v>
      </c>
      <c r="BZ571">
        <v>37800</v>
      </c>
      <c r="CA571">
        <v>0</v>
      </c>
      <c r="CB571">
        <v>37800</v>
      </c>
      <c r="CC571">
        <v>3089.7719999999999</v>
      </c>
      <c r="CD571" t="s">
        <v>641</v>
      </c>
      <c r="CE571" t="s">
        <v>1147</v>
      </c>
      <c r="CG571" t="s">
        <v>421</v>
      </c>
      <c r="CN571" t="str">
        <v>M45</v>
      </c>
      <c r="CO571" t="str">
        <v>AYSP61AS981EN</v>
      </c>
      <c r="CP571" t="str">
        <v>MSMU6025580</v>
      </c>
      <c r="CQ571" s="23">
        <v>2365.8006</v>
      </c>
      <c r="CR571" s="25">
        <f t="shared" si="22"/>
        <v>0.20915848898704981</v>
      </c>
      <c r="CS571" s="21">
        <f t="shared" si="23"/>
        <v>522.89622246762451</v>
      </c>
    </row>
    <row r="572" spans="2:97" x14ac:dyDescent="0.35">
      <c r="B572" t="s">
        <v>296</v>
      </c>
      <c r="C572" t="s">
        <v>2185</v>
      </c>
      <c r="D572" t="s">
        <v>395</v>
      </c>
      <c r="E572" t="s">
        <v>395</v>
      </c>
      <c r="F572" t="s">
        <v>396</v>
      </c>
      <c r="G572" t="s">
        <v>397</v>
      </c>
      <c r="H572" t="s">
        <v>398</v>
      </c>
      <c r="I572" t="s">
        <v>399</v>
      </c>
      <c r="J572" t="s">
        <v>749</v>
      </c>
      <c r="K572" t="s">
        <v>629</v>
      </c>
      <c r="L572" t="s">
        <v>787</v>
      </c>
      <c r="M572" t="s">
        <v>403</v>
      </c>
      <c r="N572">
        <v>1</v>
      </c>
      <c r="O572">
        <v>1</v>
      </c>
      <c r="P572" t="s">
        <v>2186</v>
      </c>
      <c r="Q572" t="s">
        <v>405</v>
      </c>
      <c r="R572" t="s">
        <v>2187</v>
      </c>
      <c r="S572" t="s">
        <v>2188</v>
      </c>
      <c r="T572" t="s">
        <v>408</v>
      </c>
      <c r="U572">
        <v>50950081469</v>
      </c>
      <c r="W572">
        <v>90000</v>
      </c>
      <c r="X572" t="s">
        <v>409</v>
      </c>
      <c r="Y572" t="s">
        <v>410</v>
      </c>
      <c r="Z572" t="s">
        <v>410</v>
      </c>
      <c r="AA572" t="s">
        <v>411</v>
      </c>
      <c r="AB572" t="s">
        <v>554</v>
      </c>
      <c r="AC572" t="s">
        <v>411</v>
      </c>
      <c r="AD572">
        <v>46102</v>
      </c>
      <c r="AE572">
        <v>46160</v>
      </c>
      <c r="AF572">
        <v>46106</v>
      </c>
      <c r="AG572" t="s">
        <v>754</v>
      </c>
      <c r="AH572">
        <v>6152233</v>
      </c>
      <c r="AI572">
        <v>46101</v>
      </c>
      <c r="AJ572">
        <v>46102</v>
      </c>
      <c r="AK572">
        <v>90000</v>
      </c>
      <c r="AL572" t="s">
        <v>396</v>
      </c>
      <c r="AM572" t="s">
        <v>2189</v>
      </c>
      <c r="AN572">
        <v>46102</v>
      </c>
      <c r="AO572">
        <v>46102.370613425926</v>
      </c>
      <c r="AP572" t="s">
        <v>51</v>
      </c>
      <c r="AQ572">
        <v>1.482E-2</v>
      </c>
      <c r="AR572">
        <v>1333.8</v>
      </c>
      <c r="AS572" t="s">
        <v>51</v>
      </c>
      <c r="AT572">
        <v>1333.8</v>
      </c>
      <c r="AU572" t="s">
        <v>415</v>
      </c>
      <c r="AV572" t="s">
        <v>557</v>
      </c>
      <c r="AW572" t="s">
        <v>2044</v>
      </c>
      <c r="AX572">
        <v>46106</v>
      </c>
      <c r="AY572">
        <v>46155</v>
      </c>
      <c r="AZ572" t="s">
        <v>2127</v>
      </c>
      <c r="BA572" t="s">
        <v>560</v>
      </c>
      <c r="BB572" t="s">
        <v>2128</v>
      </c>
      <c r="BC572">
        <v>3600</v>
      </c>
      <c r="BD572" t="s">
        <v>521</v>
      </c>
      <c r="BE572">
        <v>9.8339999999999996</v>
      </c>
      <c r="BF572">
        <v>8.9640000000000004</v>
      </c>
      <c r="BG572" t="s">
        <v>522</v>
      </c>
      <c r="BH572">
        <v>595</v>
      </c>
      <c r="BI572">
        <v>395</v>
      </c>
      <c r="BJ572">
        <v>190</v>
      </c>
      <c r="BK572">
        <v>25</v>
      </c>
      <c r="BL572" t="s">
        <v>521</v>
      </c>
      <c r="BM572">
        <v>272.85000000000002</v>
      </c>
      <c r="BN572">
        <v>224.1</v>
      </c>
      <c r="BO572">
        <v>272.85000000000002</v>
      </c>
      <c r="BP572" t="s">
        <v>522</v>
      </c>
      <c r="BQ572">
        <v>1200</v>
      </c>
      <c r="BR572">
        <v>1000</v>
      </c>
      <c r="BS572">
        <v>1088</v>
      </c>
      <c r="BT572">
        <v>1</v>
      </c>
      <c r="BU572">
        <v>0</v>
      </c>
      <c r="BV572">
        <v>1</v>
      </c>
      <c r="BW572">
        <v>25</v>
      </c>
      <c r="BX572">
        <v>0</v>
      </c>
      <c r="BY572">
        <v>25</v>
      </c>
      <c r="BZ572">
        <v>90000</v>
      </c>
      <c r="CA572">
        <v>0</v>
      </c>
      <c r="CB572">
        <v>90000</v>
      </c>
      <c r="CC572">
        <v>224.1</v>
      </c>
      <c r="CD572" t="s">
        <v>842</v>
      </c>
      <c r="CE572" t="s">
        <v>898</v>
      </c>
      <c r="CG572" t="s">
        <v>421</v>
      </c>
      <c r="CN572" t="str">
        <v>M01</v>
      </c>
      <c r="CO572" t="str">
        <v>1999-1031491EN</v>
      </c>
      <c r="CP572" t="str">
        <v>MSMU8888430</v>
      </c>
      <c r="CQ572" s="23">
        <v>518.20000000000005</v>
      </c>
      <c r="CR572" s="25">
        <f t="shared" si="22"/>
        <v>2.7128711574206071E-2</v>
      </c>
      <c r="CS572" s="21">
        <f t="shared" si="23"/>
        <v>67.821778935515184</v>
      </c>
    </row>
    <row r="573" spans="2:97" x14ac:dyDescent="0.35">
      <c r="B573" t="s">
        <v>296</v>
      </c>
      <c r="C573" t="s">
        <v>2029</v>
      </c>
      <c r="D573" t="s">
        <v>395</v>
      </c>
      <c r="E573" t="s">
        <v>395</v>
      </c>
      <c r="F573" t="s">
        <v>396</v>
      </c>
      <c r="G573" t="s">
        <v>397</v>
      </c>
      <c r="H573" t="s">
        <v>398</v>
      </c>
      <c r="I573" t="s">
        <v>399</v>
      </c>
      <c r="J573" t="s">
        <v>749</v>
      </c>
      <c r="K573" t="s">
        <v>1142</v>
      </c>
      <c r="L573" t="s">
        <v>787</v>
      </c>
      <c r="M573" t="s">
        <v>403</v>
      </c>
      <c r="N573">
        <v>1</v>
      </c>
      <c r="O573">
        <v>3</v>
      </c>
      <c r="P573" t="s">
        <v>1163</v>
      </c>
      <c r="Q573" t="s">
        <v>430</v>
      </c>
      <c r="R573" t="s">
        <v>1164</v>
      </c>
      <c r="S573" t="s">
        <v>1165</v>
      </c>
      <c r="T573" t="s">
        <v>408</v>
      </c>
      <c r="U573">
        <v>50950081420</v>
      </c>
      <c r="W573">
        <v>7560</v>
      </c>
      <c r="X573" t="s">
        <v>409</v>
      </c>
      <c r="Y573" t="s">
        <v>410</v>
      </c>
      <c r="Z573" t="s">
        <v>410</v>
      </c>
      <c r="AA573" t="s">
        <v>411</v>
      </c>
      <c r="AB573" t="s">
        <v>554</v>
      </c>
      <c r="AC573" t="s">
        <v>411</v>
      </c>
      <c r="AD573">
        <v>46095</v>
      </c>
      <c r="AE573">
        <v>46167</v>
      </c>
      <c r="AF573">
        <v>46106</v>
      </c>
      <c r="AG573" t="s">
        <v>754</v>
      </c>
      <c r="AH573">
        <v>6152234</v>
      </c>
      <c r="AI573">
        <v>46101</v>
      </c>
      <c r="AJ573">
        <v>46102</v>
      </c>
      <c r="AK573">
        <v>7560</v>
      </c>
      <c r="AL573" t="s">
        <v>396</v>
      </c>
      <c r="AM573" t="s">
        <v>2190</v>
      </c>
      <c r="AN573">
        <v>46102</v>
      </c>
      <c r="AO573">
        <v>46102.370613425926</v>
      </c>
      <c r="AP573" t="s">
        <v>51</v>
      </c>
      <c r="AQ573">
        <v>0.11984</v>
      </c>
      <c r="AR573">
        <v>905.99</v>
      </c>
      <c r="AS573" t="s">
        <v>51</v>
      </c>
      <c r="AT573">
        <v>905.99</v>
      </c>
      <c r="AU573" t="s">
        <v>415</v>
      </c>
      <c r="AV573" t="s">
        <v>557</v>
      </c>
      <c r="AW573" t="s">
        <v>2044</v>
      </c>
      <c r="AX573">
        <v>46106</v>
      </c>
      <c r="AY573">
        <v>46155</v>
      </c>
      <c r="AZ573" t="s">
        <v>2127</v>
      </c>
      <c r="BA573" t="s">
        <v>560</v>
      </c>
      <c r="BB573" t="s">
        <v>2128</v>
      </c>
      <c r="BC573">
        <v>7560</v>
      </c>
      <c r="BD573" t="s">
        <v>521</v>
      </c>
      <c r="BE573">
        <v>637.24480000000005</v>
      </c>
      <c r="BF573">
        <v>616.74480000000005</v>
      </c>
      <c r="BG573" t="s">
        <v>522</v>
      </c>
      <c r="BH573">
        <v>1050</v>
      </c>
      <c r="BI573">
        <v>480</v>
      </c>
      <c r="BJ573">
        <v>460</v>
      </c>
      <c r="BK573">
        <v>1</v>
      </c>
      <c r="BL573" t="s">
        <v>521</v>
      </c>
      <c r="BM573">
        <v>637.24490000000003</v>
      </c>
      <c r="BN573">
        <v>616.74480000000005</v>
      </c>
      <c r="BO573">
        <v>637.24490000000003</v>
      </c>
      <c r="BP573" t="s">
        <v>522</v>
      </c>
      <c r="BQ573">
        <v>1050</v>
      </c>
      <c r="BR573">
        <v>480</v>
      </c>
      <c r="BS573">
        <v>480</v>
      </c>
      <c r="BT573">
        <v>1</v>
      </c>
      <c r="BU573">
        <v>0</v>
      </c>
      <c r="BV573">
        <v>1</v>
      </c>
      <c r="BW573">
        <v>1</v>
      </c>
      <c r="BX573">
        <v>0</v>
      </c>
      <c r="BY573">
        <v>1</v>
      </c>
      <c r="BZ573">
        <v>7560</v>
      </c>
      <c r="CA573">
        <v>0</v>
      </c>
      <c r="CB573">
        <v>7560</v>
      </c>
      <c r="CC573">
        <v>616.74480000000005</v>
      </c>
      <c r="CD573" t="s">
        <v>641</v>
      </c>
      <c r="CE573" t="s">
        <v>1147</v>
      </c>
      <c r="CG573" t="s">
        <v>421</v>
      </c>
      <c r="CN573" t="str">
        <v>M19</v>
      </c>
      <c r="CO573" t="str">
        <v>1275-5YY0561EN</v>
      </c>
      <c r="CP573" t="str">
        <v>MSMU8888430</v>
      </c>
      <c r="CQ573" s="23">
        <v>399.37799999999999</v>
      </c>
      <c r="CR573" s="25">
        <f t="shared" si="22"/>
        <v>2.0908163973530049E-2</v>
      </c>
      <c r="CS573" s="21">
        <f t="shared" si="23"/>
        <v>52.270409933825121</v>
      </c>
    </row>
    <row r="574" spans="2:97" x14ac:dyDescent="0.35">
      <c r="B574" t="s">
        <v>297</v>
      </c>
      <c r="C574" t="s">
        <v>2191</v>
      </c>
      <c r="D574" t="s">
        <v>395</v>
      </c>
      <c r="E574" t="s">
        <v>395</v>
      </c>
      <c r="F574" t="s">
        <v>396</v>
      </c>
      <c r="G574" t="s">
        <v>397</v>
      </c>
      <c r="H574" t="s">
        <v>398</v>
      </c>
      <c r="I574" t="s">
        <v>399</v>
      </c>
      <c r="J574" t="s">
        <v>749</v>
      </c>
      <c r="K574" t="s">
        <v>515</v>
      </c>
      <c r="L574" t="s">
        <v>787</v>
      </c>
      <c r="M574" t="s">
        <v>403</v>
      </c>
      <c r="N574">
        <v>1</v>
      </c>
      <c r="O574">
        <v>1</v>
      </c>
      <c r="P574" t="s">
        <v>1047</v>
      </c>
      <c r="Q574" t="s">
        <v>424</v>
      </c>
      <c r="R574" t="s">
        <v>691</v>
      </c>
      <c r="S574" t="s">
        <v>1048</v>
      </c>
      <c r="T574" t="s">
        <v>408</v>
      </c>
      <c r="U574">
        <v>50950081514</v>
      </c>
      <c r="W574">
        <v>120000</v>
      </c>
      <c r="X574" t="s">
        <v>409</v>
      </c>
      <c r="Y574" t="s">
        <v>410</v>
      </c>
      <c r="Z574" t="s">
        <v>410</v>
      </c>
      <c r="AA574" t="s">
        <v>411</v>
      </c>
      <c r="AB574" t="s">
        <v>554</v>
      </c>
      <c r="AC574" t="s">
        <v>411</v>
      </c>
      <c r="AD574">
        <v>46102</v>
      </c>
      <c r="AE574">
        <v>46160</v>
      </c>
      <c r="AF574">
        <v>46106</v>
      </c>
      <c r="AG574" t="s">
        <v>754</v>
      </c>
      <c r="AH574">
        <v>6152235</v>
      </c>
      <c r="AI574">
        <v>46101</v>
      </c>
      <c r="AJ574">
        <v>46102</v>
      </c>
      <c r="AK574">
        <v>120000</v>
      </c>
      <c r="AL574" t="s">
        <v>396</v>
      </c>
      <c r="AM574" t="s">
        <v>2192</v>
      </c>
      <c r="AN574">
        <v>46102</v>
      </c>
      <c r="AO574">
        <v>46102.370613425926</v>
      </c>
      <c r="AP574" t="s">
        <v>51</v>
      </c>
      <c r="AQ574">
        <v>1.2959999999999999E-2</v>
      </c>
      <c r="AR574">
        <v>1555.2</v>
      </c>
      <c r="AS574" t="s">
        <v>51</v>
      </c>
      <c r="AT574">
        <v>1555.2</v>
      </c>
      <c r="AU574" t="s">
        <v>415</v>
      </c>
      <c r="AV574" t="s">
        <v>557</v>
      </c>
      <c r="AW574" t="s">
        <v>2044</v>
      </c>
      <c r="AX574">
        <v>46106</v>
      </c>
      <c r="AY574">
        <v>46155</v>
      </c>
      <c r="AZ574" t="s">
        <v>2127</v>
      </c>
      <c r="BA574" t="s">
        <v>560</v>
      </c>
      <c r="BB574" t="s">
        <v>2128</v>
      </c>
      <c r="BC574">
        <v>20000</v>
      </c>
      <c r="BD574" t="s">
        <v>521</v>
      </c>
      <c r="BE574">
        <v>11.879</v>
      </c>
      <c r="BF574">
        <v>11.2</v>
      </c>
      <c r="BG574" t="s">
        <v>522</v>
      </c>
      <c r="BH574">
        <v>395</v>
      </c>
      <c r="BI574">
        <v>295</v>
      </c>
      <c r="BJ574">
        <v>174</v>
      </c>
      <c r="BK574">
        <v>6</v>
      </c>
      <c r="BL574" t="s">
        <v>521</v>
      </c>
      <c r="BM574">
        <v>79.274000000000001</v>
      </c>
      <c r="BN574">
        <v>67.2</v>
      </c>
      <c r="BO574">
        <v>79.274000000000001</v>
      </c>
      <c r="BP574" t="s">
        <v>522</v>
      </c>
      <c r="BQ574">
        <v>800</v>
      </c>
      <c r="BR574">
        <v>300</v>
      </c>
      <c r="BS574">
        <v>698</v>
      </c>
      <c r="BT574">
        <v>1</v>
      </c>
      <c r="BU574">
        <v>0</v>
      </c>
      <c r="BV574">
        <v>1</v>
      </c>
      <c r="BW574">
        <v>6</v>
      </c>
      <c r="BX574">
        <v>0</v>
      </c>
      <c r="BY574">
        <v>6</v>
      </c>
      <c r="BZ574">
        <v>120000</v>
      </c>
      <c r="CA574">
        <v>0</v>
      </c>
      <c r="CB574">
        <v>120000</v>
      </c>
      <c r="CC574">
        <v>67.2</v>
      </c>
      <c r="CD574" t="s">
        <v>659</v>
      </c>
      <c r="CE574" t="s">
        <v>1006</v>
      </c>
      <c r="CG574" t="s">
        <v>421</v>
      </c>
      <c r="CN574" t="str">
        <v>M23</v>
      </c>
      <c r="CO574" t="str">
        <v>1301-1120169EN</v>
      </c>
      <c r="CP574" t="str">
        <v>MSMU8888430</v>
      </c>
      <c r="CQ574" s="23">
        <v>484.66079999999999</v>
      </c>
      <c r="CR574" s="25">
        <f t="shared" si="22"/>
        <v>2.5372873513168605E-2</v>
      </c>
      <c r="CS574" s="21">
        <f t="shared" si="23"/>
        <v>63.432183782921513</v>
      </c>
    </row>
    <row r="575" spans="2:97" x14ac:dyDescent="0.35">
      <c r="B575" t="s">
        <v>297</v>
      </c>
      <c r="C575" t="s">
        <v>2193</v>
      </c>
      <c r="D575" t="s">
        <v>395</v>
      </c>
      <c r="E575" t="s">
        <v>395</v>
      </c>
      <c r="F575" t="s">
        <v>396</v>
      </c>
      <c r="G575" t="s">
        <v>397</v>
      </c>
      <c r="H575" t="s">
        <v>398</v>
      </c>
      <c r="I575" t="s">
        <v>399</v>
      </c>
      <c r="J575" t="s">
        <v>749</v>
      </c>
      <c r="K575" t="s">
        <v>629</v>
      </c>
      <c r="L575" t="s">
        <v>787</v>
      </c>
      <c r="M575" t="s">
        <v>403</v>
      </c>
      <c r="N575">
        <v>2</v>
      </c>
      <c r="O575">
        <v>1</v>
      </c>
      <c r="P575" t="s">
        <v>2194</v>
      </c>
      <c r="Q575" t="s">
        <v>430</v>
      </c>
      <c r="R575" t="s">
        <v>905</v>
      </c>
      <c r="S575" t="s">
        <v>906</v>
      </c>
      <c r="T575" t="s">
        <v>408</v>
      </c>
      <c r="U575">
        <v>50950081510</v>
      </c>
      <c r="W575">
        <v>36000</v>
      </c>
      <c r="X575" t="s">
        <v>409</v>
      </c>
      <c r="Y575" t="s">
        <v>410</v>
      </c>
      <c r="Z575" t="s">
        <v>410</v>
      </c>
      <c r="AA575" t="s">
        <v>411</v>
      </c>
      <c r="AB575" t="s">
        <v>554</v>
      </c>
      <c r="AC575" t="s">
        <v>411</v>
      </c>
      <c r="AD575">
        <v>46102</v>
      </c>
      <c r="AE575">
        <v>46167</v>
      </c>
      <c r="AF575">
        <v>46106</v>
      </c>
      <c r="AG575" t="s">
        <v>754</v>
      </c>
      <c r="AH575">
        <v>6152236</v>
      </c>
      <c r="AI575">
        <v>46101</v>
      </c>
      <c r="AJ575">
        <v>46102</v>
      </c>
      <c r="AK575">
        <v>36000</v>
      </c>
      <c r="AL575" t="s">
        <v>396</v>
      </c>
      <c r="AM575" t="s">
        <v>2195</v>
      </c>
      <c r="AN575">
        <v>46102</v>
      </c>
      <c r="AO575">
        <v>46102.370613425926</v>
      </c>
      <c r="AP575" t="s">
        <v>51</v>
      </c>
      <c r="AQ575">
        <v>7.9899999999999999E-2</v>
      </c>
      <c r="AR575">
        <v>2876.4</v>
      </c>
      <c r="AS575" t="s">
        <v>51</v>
      </c>
      <c r="AT575">
        <v>2876.4</v>
      </c>
      <c r="AU575" t="s">
        <v>415</v>
      </c>
      <c r="AV575" t="s">
        <v>557</v>
      </c>
      <c r="AW575" t="s">
        <v>2044</v>
      </c>
      <c r="AX575">
        <v>46106</v>
      </c>
      <c r="AY575">
        <v>46155</v>
      </c>
      <c r="AZ575" t="s">
        <v>2127</v>
      </c>
      <c r="BA575" t="s">
        <v>560</v>
      </c>
      <c r="BB575" t="s">
        <v>2128</v>
      </c>
      <c r="BC575">
        <v>600</v>
      </c>
      <c r="BD575" t="s">
        <v>521</v>
      </c>
      <c r="BE575">
        <v>5.1445999999999996</v>
      </c>
      <c r="BF575">
        <v>4.2336</v>
      </c>
      <c r="BG575" t="s">
        <v>522</v>
      </c>
      <c r="BH575">
        <v>395</v>
      </c>
      <c r="BI575">
        <v>295</v>
      </c>
      <c r="BJ575">
        <v>270</v>
      </c>
      <c r="BK575">
        <v>30</v>
      </c>
      <c r="BL575" t="s">
        <v>521</v>
      </c>
      <c r="BM575">
        <v>181.33799999999999</v>
      </c>
      <c r="BN575">
        <v>127.008</v>
      </c>
      <c r="BO575">
        <v>362.67599999999999</v>
      </c>
      <c r="BP575" t="s">
        <v>522</v>
      </c>
      <c r="BQ575">
        <v>1200</v>
      </c>
      <c r="BR575">
        <v>1000</v>
      </c>
      <c r="BS575">
        <v>984</v>
      </c>
      <c r="BT575">
        <v>2</v>
      </c>
      <c r="BU575">
        <v>0</v>
      </c>
      <c r="BV575">
        <v>2</v>
      </c>
      <c r="BW575">
        <v>60</v>
      </c>
      <c r="BX575">
        <v>0</v>
      </c>
      <c r="BY575">
        <v>60</v>
      </c>
      <c r="BZ575">
        <v>36000</v>
      </c>
      <c r="CA575">
        <v>0</v>
      </c>
      <c r="CB575">
        <v>36000</v>
      </c>
      <c r="CC575">
        <v>254.01599999999999</v>
      </c>
      <c r="CD575" t="s">
        <v>908</v>
      </c>
      <c r="CE575" t="s">
        <v>909</v>
      </c>
      <c r="CG575" t="s">
        <v>421</v>
      </c>
      <c r="CN575" t="str">
        <v>M45</v>
      </c>
      <c r="CO575" t="str">
        <v>1346-12C0011EN</v>
      </c>
      <c r="CP575" t="str">
        <v>MSMU8888430</v>
      </c>
      <c r="CQ575" s="23">
        <v>315.0188</v>
      </c>
      <c r="CR575" s="25">
        <f t="shared" si="22"/>
        <v>1.6491806572081255E-2</v>
      </c>
      <c r="CS575" s="21">
        <f t="shared" si="23"/>
        <v>41.229516430203141</v>
      </c>
    </row>
    <row r="576" spans="2:97" x14ac:dyDescent="0.35">
      <c r="B576" t="s">
        <v>296</v>
      </c>
      <c r="C576" t="s">
        <v>1652</v>
      </c>
      <c r="D576" t="s">
        <v>395</v>
      </c>
      <c r="E576" t="s">
        <v>395</v>
      </c>
      <c r="F576" t="s">
        <v>396</v>
      </c>
      <c r="G576" t="s">
        <v>397</v>
      </c>
      <c r="H576" t="s">
        <v>398</v>
      </c>
      <c r="I576" t="s">
        <v>399</v>
      </c>
      <c r="J576" t="s">
        <v>749</v>
      </c>
      <c r="K576" t="s">
        <v>1142</v>
      </c>
      <c r="L576" t="s">
        <v>787</v>
      </c>
      <c r="M576" t="s">
        <v>403</v>
      </c>
      <c r="N576">
        <v>1</v>
      </c>
      <c r="O576">
        <v>1</v>
      </c>
      <c r="P576" t="s">
        <v>1653</v>
      </c>
      <c r="Q576" t="s">
        <v>430</v>
      </c>
      <c r="R576" t="s">
        <v>1654</v>
      </c>
      <c r="S576" t="s">
        <v>1655</v>
      </c>
      <c r="T576" t="s">
        <v>408</v>
      </c>
      <c r="U576">
        <v>50950081518</v>
      </c>
      <c r="W576">
        <v>18000</v>
      </c>
      <c r="X576" t="s">
        <v>409</v>
      </c>
      <c r="Y576" t="s">
        <v>410</v>
      </c>
      <c r="Z576" t="s">
        <v>410</v>
      </c>
      <c r="AA576" t="s">
        <v>411</v>
      </c>
      <c r="AB576" t="s">
        <v>554</v>
      </c>
      <c r="AC576" t="s">
        <v>411</v>
      </c>
      <c r="AD576">
        <v>46104</v>
      </c>
      <c r="AE576">
        <v>46132</v>
      </c>
      <c r="AF576">
        <v>46106</v>
      </c>
      <c r="AG576" t="s">
        <v>754</v>
      </c>
      <c r="AH576">
        <v>6152237</v>
      </c>
      <c r="AI576">
        <v>46101</v>
      </c>
      <c r="AJ576">
        <v>46102</v>
      </c>
      <c r="AK576">
        <v>18000</v>
      </c>
      <c r="AL576" t="s">
        <v>396</v>
      </c>
      <c r="AM576" t="s">
        <v>2196</v>
      </c>
      <c r="AN576">
        <v>46102</v>
      </c>
      <c r="AO576">
        <v>46102.370613425926</v>
      </c>
      <c r="AP576" t="s">
        <v>51</v>
      </c>
      <c r="AQ576">
        <v>4.6609999999999999E-2</v>
      </c>
      <c r="AR576">
        <v>838.98</v>
      </c>
      <c r="AS576" t="s">
        <v>51</v>
      </c>
      <c r="AT576">
        <v>838.98</v>
      </c>
      <c r="AU576" t="s">
        <v>415</v>
      </c>
      <c r="AV576" t="s">
        <v>557</v>
      </c>
      <c r="AW576" t="s">
        <v>2044</v>
      </c>
      <c r="AX576">
        <v>46106</v>
      </c>
      <c r="AY576">
        <v>46155</v>
      </c>
      <c r="AZ576" t="s">
        <v>2127</v>
      </c>
      <c r="BA576" t="s">
        <v>560</v>
      </c>
      <c r="BB576" t="s">
        <v>2128</v>
      </c>
      <c r="BC576">
        <v>9000</v>
      </c>
      <c r="BD576" t="s">
        <v>521</v>
      </c>
      <c r="BE576">
        <v>473.2</v>
      </c>
      <c r="BF576">
        <v>452.7</v>
      </c>
      <c r="BG576" t="s">
        <v>522</v>
      </c>
      <c r="BH576">
        <v>1050</v>
      </c>
      <c r="BI576">
        <v>480</v>
      </c>
      <c r="BJ576">
        <v>460</v>
      </c>
      <c r="BK576">
        <v>1</v>
      </c>
      <c r="BL576" t="s">
        <v>521</v>
      </c>
      <c r="BM576">
        <v>473.20010000000002</v>
      </c>
      <c r="BN576">
        <v>452.7</v>
      </c>
      <c r="BO576">
        <v>946.40020000000004</v>
      </c>
      <c r="BP576" t="s">
        <v>522</v>
      </c>
      <c r="BQ576">
        <v>1050</v>
      </c>
      <c r="BR576">
        <v>480</v>
      </c>
      <c r="BS576">
        <v>480</v>
      </c>
      <c r="BT576">
        <v>2</v>
      </c>
      <c r="BU576">
        <v>0</v>
      </c>
      <c r="BV576">
        <v>2</v>
      </c>
      <c r="BW576">
        <v>2</v>
      </c>
      <c r="BX576">
        <v>0</v>
      </c>
      <c r="BY576">
        <v>2</v>
      </c>
      <c r="BZ576">
        <v>18000</v>
      </c>
      <c r="CA576">
        <v>0</v>
      </c>
      <c r="CB576">
        <v>18000</v>
      </c>
      <c r="CC576">
        <v>905.4</v>
      </c>
      <c r="CD576" t="s">
        <v>641</v>
      </c>
      <c r="CE576" t="s">
        <v>1147</v>
      </c>
      <c r="CG576" t="s">
        <v>421</v>
      </c>
      <c r="CN576" t="str">
        <v>M19</v>
      </c>
      <c r="CO576" t="str">
        <v>1330-5YY0182EN</v>
      </c>
      <c r="CP576" t="str">
        <v>MSMU8888430</v>
      </c>
      <c r="CQ576" s="23">
        <v>1405.0848000000001</v>
      </c>
      <c r="CR576" s="25">
        <f t="shared" si="22"/>
        <v>7.3558742332113125E-2</v>
      </c>
      <c r="CS576" s="21">
        <f t="shared" si="23"/>
        <v>183.89685583028282</v>
      </c>
    </row>
    <row r="577" spans="2:97" x14ac:dyDescent="0.35">
      <c r="B577" t="s">
        <v>296</v>
      </c>
      <c r="C577" t="s">
        <v>1568</v>
      </c>
      <c r="D577" t="s">
        <v>395</v>
      </c>
      <c r="E577" t="s">
        <v>395</v>
      </c>
      <c r="F577" t="s">
        <v>396</v>
      </c>
      <c r="G577" t="s">
        <v>397</v>
      </c>
      <c r="H577" t="s">
        <v>398</v>
      </c>
      <c r="I577" t="s">
        <v>399</v>
      </c>
      <c r="J577" t="s">
        <v>749</v>
      </c>
      <c r="K577" t="s">
        <v>1142</v>
      </c>
      <c r="L577" t="s">
        <v>787</v>
      </c>
      <c r="M577" t="s">
        <v>403</v>
      </c>
      <c r="N577">
        <v>4</v>
      </c>
      <c r="O577">
        <v>1</v>
      </c>
      <c r="P577" t="s">
        <v>1143</v>
      </c>
      <c r="Q577" t="s">
        <v>424</v>
      </c>
      <c r="R577" t="s">
        <v>1144</v>
      </c>
      <c r="S577" t="s">
        <v>1145</v>
      </c>
      <c r="T577" t="s">
        <v>408</v>
      </c>
      <c r="U577">
        <v>50950081520</v>
      </c>
      <c r="W577">
        <v>18000</v>
      </c>
      <c r="X577" t="s">
        <v>409</v>
      </c>
      <c r="Y577" t="s">
        <v>410</v>
      </c>
      <c r="Z577" t="s">
        <v>410</v>
      </c>
      <c r="AA577" t="s">
        <v>411</v>
      </c>
      <c r="AB577" t="s">
        <v>554</v>
      </c>
      <c r="AC577" t="s">
        <v>411</v>
      </c>
      <c r="AD577">
        <v>46104</v>
      </c>
      <c r="AE577">
        <v>46132</v>
      </c>
      <c r="AF577">
        <v>46106</v>
      </c>
      <c r="AG577" t="s">
        <v>754</v>
      </c>
      <c r="AH577">
        <v>6152238</v>
      </c>
      <c r="AI577">
        <v>46101</v>
      </c>
      <c r="AJ577">
        <v>46102</v>
      </c>
      <c r="AK577">
        <v>18000</v>
      </c>
      <c r="AL577" t="s">
        <v>396</v>
      </c>
      <c r="AM577" t="s">
        <v>2197</v>
      </c>
      <c r="AN577">
        <v>46102</v>
      </c>
      <c r="AO577">
        <v>46102.370613425926</v>
      </c>
      <c r="AP577" t="s">
        <v>51</v>
      </c>
      <c r="AQ577">
        <v>0.15309</v>
      </c>
      <c r="AR577">
        <v>2755.62</v>
      </c>
      <c r="AS577" t="s">
        <v>51</v>
      </c>
      <c r="AT577">
        <v>2755.62</v>
      </c>
      <c r="AU577" t="s">
        <v>415</v>
      </c>
      <c r="AV577" t="s">
        <v>557</v>
      </c>
      <c r="AW577" t="s">
        <v>2044</v>
      </c>
      <c r="AX577">
        <v>46106</v>
      </c>
      <c r="AY577">
        <v>46155</v>
      </c>
      <c r="AZ577" t="s">
        <v>2127</v>
      </c>
      <c r="BA577" t="s">
        <v>560</v>
      </c>
      <c r="BB577" t="s">
        <v>2128</v>
      </c>
      <c r="BC577">
        <v>9000</v>
      </c>
      <c r="BD577" t="s">
        <v>521</v>
      </c>
      <c r="BE577">
        <v>382.048</v>
      </c>
      <c r="BF577">
        <v>361.548</v>
      </c>
      <c r="BG577" t="s">
        <v>522</v>
      </c>
      <c r="BH577">
        <v>1050</v>
      </c>
      <c r="BI577">
        <v>480</v>
      </c>
      <c r="BJ577">
        <v>460</v>
      </c>
      <c r="BK577">
        <v>1</v>
      </c>
      <c r="BL577" t="s">
        <v>521</v>
      </c>
      <c r="BM577">
        <v>382.04809999999998</v>
      </c>
      <c r="BN577">
        <v>361.548</v>
      </c>
      <c r="BO577">
        <v>764.09619999999995</v>
      </c>
      <c r="BP577" t="s">
        <v>522</v>
      </c>
      <c r="BQ577">
        <v>1050</v>
      </c>
      <c r="BR577">
        <v>480</v>
      </c>
      <c r="BS577">
        <v>480</v>
      </c>
      <c r="BT577">
        <v>2</v>
      </c>
      <c r="BU577">
        <v>0</v>
      </c>
      <c r="BV577">
        <v>2</v>
      </c>
      <c r="BW577">
        <v>2</v>
      </c>
      <c r="BX577">
        <v>0</v>
      </c>
      <c r="BY577">
        <v>2</v>
      </c>
      <c r="BZ577">
        <v>18000</v>
      </c>
      <c r="CA577">
        <v>0</v>
      </c>
      <c r="CB577">
        <v>18000</v>
      </c>
      <c r="CC577">
        <v>723.096</v>
      </c>
      <c r="CD577" t="s">
        <v>641</v>
      </c>
      <c r="CE577" t="s">
        <v>1147</v>
      </c>
      <c r="CG577" t="s">
        <v>421</v>
      </c>
      <c r="CN577" t="str">
        <v>M19</v>
      </c>
      <c r="CO577" t="str">
        <v>1330-5YY0256EN</v>
      </c>
      <c r="CP577" t="str">
        <v>MSMU8888430</v>
      </c>
      <c r="CQ577" s="23">
        <v>1302.0119999999999</v>
      </c>
      <c r="CR577" s="25">
        <f t="shared" si="22"/>
        <v>6.8162693967879565E-2</v>
      </c>
      <c r="CS577" s="21">
        <f t="shared" si="23"/>
        <v>170.40673491969892</v>
      </c>
    </row>
    <row r="578" spans="2:97" x14ac:dyDescent="0.35">
      <c r="B578" t="s">
        <v>298</v>
      </c>
      <c r="C578" t="s">
        <v>2198</v>
      </c>
      <c r="D578" t="s">
        <v>395</v>
      </c>
      <c r="E578" t="s">
        <v>395</v>
      </c>
      <c r="F578" t="s">
        <v>396</v>
      </c>
      <c r="G578" t="s">
        <v>397</v>
      </c>
      <c r="H578" t="s">
        <v>398</v>
      </c>
      <c r="I578" t="s">
        <v>399</v>
      </c>
      <c r="J578" t="s">
        <v>749</v>
      </c>
      <c r="K578" t="s">
        <v>629</v>
      </c>
      <c r="L578" t="s">
        <v>787</v>
      </c>
      <c r="M578" t="s">
        <v>403</v>
      </c>
      <c r="N578">
        <v>1</v>
      </c>
      <c r="O578">
        <v>1</v>
      </c>
      <c r="P578" t="s">
        <v>2199</v>
      </c>
      <c r="Q578" t="s">
        <v>430</v>
      </c>
      <c r="R578" t="s">
        <v>2200</v>
      </c>
      <c r="S578" t="s">
        <v>494</v>
      </c>
      <c r="T578" t="s">
        <v>408</v>
      </c>
      <c r="U578">
        <v>50950081566</v>
      </c>
      <c r="W578">
        <v>8000</v>
      </c>
      <c r="X578" t="s">
        <v>409</v>
      </c>
      <c r="Y578" t="s">
        <v>410</v>
      </c>
      <c r="Z578" t="s">
        <v>410</v>
      </c>
      <c r="AA578" t="s">
        <v>411</v>
      </c>
      <c r="AB578" t="s">
        <v>554</v>
      </c>
      <c r="AC578" t="s">
        <v>411</v>
      </c>
      <c r="AD578">
        <v>46095</v>
      </c>
      <c r="AE578">
        <v>46153</v>
      </c>
      <c r="AF578">
        <v>46106</v>
      </c>
      <c r="AG578" t="s">
        <v>754</v>
      </c>
      <c r="AH578">
        <v>6152239</v>
      </c>
      <c r="AI578">
        <v>46101</v>
      </c>
      <c r="AJ578">
        <v>46102</v>
      </c>
      <c r="AK578">
        <v>8000</v>
      </c>
      <c r="AL578" t="s">
        <v>396</v>
      </c>
      <c r="AM578" t="s">
        <v>2201</v>
      </c>
      <c r="AN578">
        <v>46102</v>
      </c>
      <c r="AO578">
        <v>46102.370613425926</v>
      </c>
      <c r="AP578" t="s">
        <v>51</v>
      </c>
      <c r="AQ578">
        <v>2.9860000000000001E-2</v>
      </c>
      <c r="AR578">
        <v>238.88</v>
      </c>
      <c r="AS578" t="s">
        <v>51</v>
      </c>
      <c r="AT578">
        <v>238.88</v>
      </c>
      <c r="AU578" t="s">
        <v>415</v>
      </c>
      <c r="AV578" t="s">
        <v>557</v>
      </c>
      <c r="AW578" t="s">
        <v>2044</v>
      </c>
      <c r="AX578">
        <v>46106</v>
      </c>
      <c r="AY578">
        <v>46155</v>
      </c>
      <c r="AZ578" t="s">
        <v>2127</v>
      </c>
      <c r="BA578" t="s">
        <v>560</v>
      </c>
      <c r="BB578" t="s">
        <v>2128</v>
      </c>
      <c r="BC578">
        <v>4000</v>
      </c>
      <c r="BD578" t="s">
        <v>521</v>
      </c>
      <c r="BE578">
        <v>3.351</v>
      </c>
      <c r="BF578">
        <v>2.6720000000000002</v>
      </c>
      <c r="BG578" t="s">
        <v>522</v>
      </c>
      <c r="BH578">
        <v>395</v>
      </c>
      <c r="BI578">
        <v>295</v>
      </c>
      <c r="BJ578">
        <v>174</v>
      </c>
      <c r="BK578">
        <v>40</v>
      </c>
      <c r="BL578" t="s">
        <v>521</v>
      </c>
      <c r="BM578">
        <v>31.702000000000002</v>
      </c>
      <c r="BN578">
        <v>5.3440000000000003</v>
      </c>
      <c r="BO578">
        <v>31.702000000000002</v>
      </c>
      <c r="BP578" t="s">
        <v>522</v>
      </c>
      <c r="BQ578">
        <v>1200</v>
      </c>
      <c r="BR578">
        <v>800</v>
      </c>
      <c r="BS578">
        <v>1030</v>
      </c>
      <c r="BT578">
        <v>0</v>
      </c>
      <c r="BU578">
        <v>1</v>
      </c>
      <c r="BV578">
        <v>1</v>
      </c>
      <c r="BW578">
        <v>2</v>
      </c>
      <c r="BX578">
        <v>0</v>
      </c>
      <c r="BY578">
        <v>2</v>
      </c>
      <c r="BZ578">
        <v>0</v>
      </c>
      <c r="CA578">
        <v>8000</v>
      </c>
      <c r="CB578">
        <v>8000</v>
      </c>
      <c r="CC578">
        <v>5.3440000000000003</v>
      </c>
      <c r="CD578" t="s">
        <v>783</v>
      </c>
      <c r="CE578" t="s">
        <v>1006</v>
      </c>
      <c r="CG578" t="s">
        <v>421</v>
      </c>
      <c r="CN578" t="str">
        <v>M19</v>
      </c>
      <c r="CO578" t="str">
        <v>1330-5YY0167EN</v>
      </c>
      <c r="CP578" t="str">
        <v>MSMU8888430</v>
      </c>
      <c r="CQ578" s="23">
        <v>1401.8208</v>
      </c>
      <c r="CR578" s="25">
        <f t="shared" si="22"/>
        <v>7.3387866001394839E-2</v>
      </c>
      <c r="CS578" s="21">
        <f t="shared" si="23"/>
        <v>183.46966500348711</v>
      </c>
    </row>
    <row r="579" spans="2:97" x14ac:dyDescent="0.35">
      <c r="B579" t="s">
        <v>297</v>
      </c>
      <c r="C579" t="s">
        <v>2202</v>
      </c>
      <c r="D579" t="s">
        <v>395</v>
      </c>
      <c r="E579" t="s">
        <v>395</v>
      </c>
      <c r="F579" t="s">
        <v>396</v>
      </c>
      <c r="G579" t="s">
        <v>397</v>
      </c>
      <c r="H579" t="s">
        <v>398</v>
      </c>
      <c r="I579" t="s">
        <v>399</v>
      </c>
      <c r="J579" t="s">
        <v>749</v>
      </c>
      <c r="K579" t="s">
        <v>629</v>
      </c>
      <c r="L579" t="s">
        <v>787</v>
      </c>
      <c r="M579" t="s">
        <v>403</v>
      </c>
      <c r="N579">
        <v>1</v>
      </c>
      <c r="O579">
        <v>1</v>
      </c>
      <c r="P579" t="s">
        <v>2203</v>
      </c>
      <c r="Q579" t="s">
        <v>789</v>
      </c>
      <c r="R579" t="s">
        <v>2204</v>
      </c>
      <c r="S579" t="s">
        <v>1484</v>
      </c>
      <c r="T579" t="s">
        <v>408</v>
      </c>
      <c r="U579">
        <v>50950081631</v>
      </c>
      <c r="W579">
        <v>48000</v>
      </c>
      <c r="X579" t="s">
        <v>409</v>
      </c>
      <c r="Y579" t="s">
        <v>410</v>
      </c>
      <c r="Z579" t="s">
        <v>410</v>
      </c>
      <c r="AA579" t="s">
        <v>411</v>
      </c>
      <c r="AB579" t="s">
        <v>554</v>
      </c>
      <c r="AC579" t="s">
        <v>411</v>
      </c>
      <c r="AD579">
        <v>46102</v>
      </c>
      <c r="AE579">
        <v>46160</v>
      </c>
      <c r="AF579">
        <v>46106</v>
      </c>
      <c r="AG579" t="s">
        <v>754</v>
      </c>
      <c r="AH579">
        <v>6152240</v>
      </c>
      <c r="AI579">
        <v>46101</v>
      </c>
      <c r="AJ579">
        <v>46102</v>
      </c>
      <c r="AK579">
        <v>48000</v>
      </c>
      <c r="AL579" t="s">
        <v>396</v>
      </c>
      <c r="AM579" t="s">
        <v>2205</v>
      </c>
      <c r="AN579">
        <v>46102</v>
      </c>
      <c r="AO579">
        <v>46102.370613425926</v>
      </c>
      <c r="AP579" t="s">
        <v>51</v>
      </c>
      <c r="AQ579">
        <v>3.8989999999999997E-2</v>
      </c>
      <c r="AR579">
        <v>1871.52</v>
      </c>
      <c r="AS579" t="s">
        <v>51</v>
      </c>
      <c r="AT579">
        <v>1871.52</v>
      </c>
      <c r="AU579" t="s">
        <v>415</v>
      </c>
      <c r="AV579" t="s">
        <v>557</v>
      </c>
      <c r="AW579" t="s">
        <v>2044</v>
      </c>
      <c r="AX579">
        <v>46106</v>
      </c>
      <c r="AY579">
        <v>46155</v>
      </c>
      <c r="AZ579" t="s">
        <v>2127</v>
      </c>
      <c r="BA579" t="s">
        <v>560</v>
      </c>
      <c r="BB579" t="s">
        <v>2128</v>
      </c>
      <c r="BC579">
        <v>1200</v>
      </c>
      <c r="BD579" t="s">
        <v>521</v>
      </c>
      <c r="BE579">
        <v>5.9470000000000001</v>
      </c>
      <c r="BF579">
        <v>5.04</v>
      </c>
      <c r="BG579" t="s">
        <v>522</v>
      </c>
      <c r="BH579">
        <v>395</v>
      </c>
      <c r="BI579">
        <v>295</v>
      </c>
      <c r="BJ579">
        <v>270</v>
      </c>
      <c r="BK579">
        <v>30</v>
      </c>
      <c r="BL579" t="s">
        <v>521</v>
      </c>
      <c r="BM579">
        <v>205.41</v>
      </c>
      <c r="BN579">
        <v>151.19999999999999</v>
      </c>
      <c r="BO579">
        <v>291.88</v>
      </c>
      <c r="BP579" t="s">
        <v>522</v>
      </c>
      <c r="BQ579">
        <v>1200</v>
      </c>
      <c r="BR579">
        <v>1000</v>
      </c>
      <c r="BS579">
        <v>968</v>
      </c>
      <c r="BT579">
        <v>1</v>
      </c>
      <c r="BU579">
        <v>1</v>
      </c>
      <c r="BV579">
        <v>2</v>
      </c>
      <c r="BW579">
        <v>40</v>
      </c>
      <c r="BX579">
        <v>0</v>
      </c>
      <c r="BY579">
        <v>40</v>
      </c>
      <c r="BZ579">
        <v>36000</v>
      </c>
      <c r="CA579">
        <v>12000</v>
      </c>
      <c r="CB579">
        <v>48000</v>
      </c>
      <c r="CC579">
        <v>201.6</v>
      </c>
      <c r="CD579" t="s">
        <v>1151</v>
      </c>
      <c r="CE579" t="s">
        <v>634</v>
      </c>
      <c r="CG579" t="s">
        <v>421</v>
      </c>
      <c r="CN579" t="str">
        <v>M19</v>
      </c>
      <c r="CO579" t="str">
        <v>1330-5YY0176EN</v>
      </c>
      <c r="CP579" t="str">
        <v>MSMU8888430</v>
      </c>
      <c r="CQ579" s="23">
        <v>547.50720000000001</v>
      </c>
      <c r="CR579" s="25">
        <f t="shared" si="22"/>
        <v>2.866299674566028E-2</v>
      </c>
      <c r="CS579" s="21">
        <f t="shared" si="23"/>
        <v>71.6574918641507</v>
      </c>
    </row>
    <row r="580" spans="2:97" x14ac:dyDescent="0.35">
      <c r="B580" t="s">
        <v>298</v>
      </c>
      <c r="C580" t="s">
        <v>2206</v>
      </c>
      <c r="D580" t="s">
        <v>395</v>
      </c>
      <c r="E580" t="s">
        <v>395</v>
      </c>
      <c r="F580" t="s">
        <v>396</v>
      </c>
      <c r="G580" t="s">
        <v>397</v>
      </c>
      <c r="H580" t="s">
        <v>398</v>
      </c>
      <c r="I580" t="s">
        <v>399</v>
      </c>
      <c r="J580" t="s">
        <v>749</v>
      </c>
      <c r="K580" t="s">
        <v>515</v>
      </c>
      <c r="L580" t="s">
        <v>787</v>
      </c>
      <c r="M580" t="s">
        <v>403</v>
      </c>
      <c r="N580">
        <v>1</v>
      </c>
      <c r="O580">
        <v>1</v>
      </c>
      <c r="P580" t="s">
        <v>1011</v>
      </c>
      <c r="Q580" t="s">
        <v>424</v>
      </c>
      <c r="R580" t="s">
        <v>1012</v>
      </c>
      <c r="S580" t="s">
        <v>1013</v>
      </c>
      <c r="T580" t="s">
        <v>408</v>
      </c>
      <c r="U580">
        <v>50950081661</v>
      </c>
      <c r="W580">
        <v>12000</v>
      </c>
      <c r="X580" t="s">
        <v>409</v>
      </c>
      <c r="Y580" t="s">
        <v>410</v>
      </c>
      <c r="Z580" t="s">
        <v>410</v>
      </c>
      <c r="AA580" t="s">
        <v>411</v>
      </c>
      <c r="AB580" t="s">
        <v>554</v>
      </c>
      <c r="AC580" t="s">
        <v>411</v>
      </c>
      <c r="AD580">
        <v>46102</v>
      </c>
      <c r="AE580">
        <v>46160</v>
      </c>
      <c r="AF580">
        <v>46106</v>
      </c>
      <c r="AG580" t="s">
        <v>754</v>
      </c>
      <c r="AH580">
        <v>6152241</v>
      </c>
      <c r="AI580">
        <v>46101</v>
      </c>
      <c r="AJ580">
        <v>46102</v>
      </c>
      <c r="AK580">
        <v>12000</v>
      </c>
      <c r="AL580" t="s">
        <v>396</v>
      </c>
      <c r="AM580" t="s">
        <v>2207</v>
      </c>
      <c r="AN580">
        <v>46102</v>
      </c>
      <c r="AO580">
        <v>46102.370613425926</v>
      </c>
      <c r="AP580" t="s">
        <v>51</v>
      </c>
      <c r="AQ580">
        <v>5.1229999999999998E-2</v>
      </c>
      <c r="AR580">
        <v>614.76</v>
      </c>
      <c r="AS580" t="s">
        <v>51</v>
      </c>
      <c r="AT580">
        <v>614.76</v>
      </c>
      <c r="AU580" t="s">
        <v>415</v>
      </c>
      <c r="AV580" t="s">
        <v>557</v>
      </c>
      <c r="AW580" t="s">
        <v>2044</v>
      </c>
      <c r="AX580">
        <v>46106</v>
      </c>
      <c r="AY580">
        <v>46155</v>
      </c>
      <c r="AZ580" t="s">
        <v>2127</v>
      </c>
      <c r="BA580" t="s">
        <v>560</v>
      </c>
      <c r="BB580" t="s">
        <v>2128</v>
      </c>
      <c r="BC580">
        <v>6000</v>
      </c>
      <c r="BD580" t="s">
        <v>521</v>
      </c>
      <c r="BE580">
        <v>11.191000000000001</v>
      </c>
      <c r="BF580">
        <v>10.512</v>
      </c>
      <c r="BG580" t="s">
        <v>522</v>
      </c>
      <c r="BH580">
        <v>395</v>
      </c>
      <c r="BI580">
        <v>295</v>
      </c>
      <c r="BJ580">
        <v>174</v>
      </c>
      <c r="BK580">
        <v>6</v>
      </c>
      <c r="BL580" t="s">
        <v>521</v>
      </c>
      <c r="BM580">
        <v>30.382000000000001</v>
      </c>
      <c r="BN580">
        <v>21.024000000000001</v>
      </c>
      <c r="BO580">
        <v>30.382000000000001</v>
      </c>
      <c r="BP580" t="s">
        <v>522</v>
      </c>
      <c r="BQ580">
        <v>800</v>
      </c>
      <c r="BR580">
        <v>300</v>
      </c>
      <c r="BS580">
        <v>698</v>
      </c>
      <c r="BT580">
        <v>0</v>
      </c>
      <c r="BU580">
        <v>1</v>
      </c>
      <c r="BV580">
        <v>1</v>
      </c>
      <c r="BW580">
        <v>2</v>
      </c>
      <c r="BX580">
        <v>0</v>
      </c>
      <c r="BY580">
        <v>2</v>
      </c>
      <c r="BZ580">
        <v>0</v>
      </c>
      <c r="CA580">
        <v>12000</v>
      </c>
      <c r="CB580">
        <v>12000</v>
      </c>
      <c r="CC580">
        <v>21.024000000000001</v>
      </c>
      <c r="CD580" t="s">
        <v>659</v>
      </c>
      <c r="CE580" t="s">
        <v>1006</v>
      </c>
      <c r="CG580" t="s">
        <v>421</v>
      </c>
      <c r="CN580" t="str">
        <v>M19</v>
      </c>
      <c r="CO580" t="str">
        <v>1330-5YY0183EN</v>
      </c>
      <c r="CP580" t="str">
        <v>MSMU8888430</v>
      </c>
      <c r="CQ580" s="23">
        <v>257.69760000000002</v>
      </c>
      <c r="CR580" s="25">
        <f t="shared" si="22"/>
        <v>1.3490937598929229E-2</v>
      </c>
      <c r="CS580" s="21">
        <f t="shared" si="23"/>
        <v>33.727343997323075</v>
      </c>
    </row>
    <row r="581" spans="2:97" x14ac:dyDescent="0.35">
      <c r="B581" s="34" t="s">
        <v>295</v>
      </c>
      <c r="C581" t="s">
        <v>2208</v>
      </c>
      <c r="D581" t="s">
        <v>395</v>
      </c>
      <c r="E581" t="s">
        <v>395</v>
      </c>
      <c r="F581" t="s">
        <v>396</v>
      </c>
      <c r="G581" t="s">
        <v>397</v>
      </c>
      <c r="H581" t="s">
        <v>398</v>
      </c>
      <c r="I581" t="s">
        <v>399</v>
      </c>
      <c r="J581" t="s">
        <v>749</v>
      </c>
      <c r="K581" t="s">
        <v>629</v>
      </c>
      <c r="L581" t="s">
        <v>787</v>
      </c>
      <c r="M581" t="s">
        <v>403</v>
      </c>
      <c r="N581">
        <v>1</v>
      </c>
      <c r="O581">
        <v>1</v>
      </c>
      <c r="P581" t="s">
        <v>752</v>
      </c>
      <c r="Q581" t="s">
        <v>424</v>
      </c>
      <c r="R581" t="s">
        <v>753</v>
      </c>
      <c r="S581" t="s">
        <v>426</v>
      </c>
      <c r="T581" t="s">
        <v>408</v>
      </c>
      <c r="U581">
        <v>50950082272</v>
      </c>
      <c r="W581">
        <v>3000</v>
      </c>
      <c r="X581" t="s">
        <v>409</v>
      </c>
      <c r="Y581" t="s">
        <v>410</v>
      </c>
      <c r="Z581" t="s">
        <v>410</v>
      </c>
      <c r="AA581" t="s">
        <v>411</v>
      </c>
      <c r="AB581" t="s">
        <v>554</v>
      </c>
      <c r="AC581" t="s">
        <v>411</v>
      </c>
      <c r="AD581">
        <v>46104</v>
      </c>
      <c r="AE581">
        <v>46167</v>
      </c>
      <c r="AF581">
        <v>46106</v>
      </c>
      <c r="AG581" t="s">
        <v>754</v>
      </c>
      <c r="AH581">
        <v>6152242</v>
      </c>
      <c r="AI581">
        <v>46101</v>
      </c>
      <c r="AJ581">
        <v>46102</v>
      </c>
      <c r="AK581">
        <v>3000</v>
      </c>
      <c r="AL581" t="s">
        <v>396</v>
      </c>
      <c r="AM581" t="s">
        <v>2209</v>
      </c>
      <c r="AN581">
        <v>46102</v>
      </c>
      <c r="AO581">
        <v>46102.370613425926</v>
      </c>
      <c r="AP581" t="s">
        <v>51</v>
      </c>
      <c r="AQ581">
        <v>0.12189</v>
      </c>
      <c r="AR581">
        <v>365.67</v>
      </c>
      <c r="AS581" t="s">
        <v>51</v>
      </c>
      <c r="AT581">
        <v>365.67</v>
      </c>
      <c r="AU581" t="s">
        <v>415</v>
      </c>
      <c r="AV581" t="s">
        <v>557</v>
      </c>
      <c r="AW581" t="s">
        <v>2044</v>
      </c>
      <c r="AX581">
        <v>46106</v>
      </c>
      <c r="AY581">
        <v>46155</v>
      </c>
      <c r="AZ581" t="s">
        <v>2127</v>
      </c>
      <c r="BA581" t="s">
        <v>560</v>
      </c>
      <c r="BB581" t="s">
        <v>2128</v>
      </c>
      <c r="BC581">
        <v>1200</v>
      </c>
      <c r="BD581" t="s">
        <v>521</v>
      </c>
      <c r="BE581">
        <v>2.8952</v>
      </c>
      <c r="BF581">
        <v>2.0952000000000002</v>
      </c>
      <c r="BG581" t="s">
        <v>522</v>
      </c>
      <c r="BH581">
        <v>395</v>
      </c>
      <c r="BI581">
        <v>295</v>
      </c>
      <c r="BJ581">
        <v>210</v>
      </c>
      <c r="BK581">
        <v>32</v>
      </c>
      <c r="BL581" t="s">
        <v>521</v>
      </c>
      <c r="BM581">
        <v>37.637999999999998</v>
      </c>
      <c r="BN581">
        <v>5.2380000000000004</v>
      </c>
      <c r="BO581">
        <v>37.637999999999998</v>
      </c>
      <c r="BP581" t="s">
        <v>522</v>
      </c>
      <c r="BQ581">
        <v>1200</v>
      </c>
      <c r="BR581">
        <v>800</v>
      </c>
      <c r="BS581">
        <v>1000</v>
      </c>
      <c r="BT581">
        <v>0</v>
      </c>
      <c r="BU581">
        <v>1</v>
      </c>
      <c r="BV581">
        <v>1</v>
      </c>
      <c r="BW581">
        <v>2</v>
      </c>
      <c r="BX581">
        <v>1</v>
      </c>
      <c r="BY581">
        <v>3</v>
      </c>
      <c r="BZ581">
        <v>0</v>
      </c>
      <c r="CA581">
        <v>3000</v>
      </c>
      <c r="CB581">
        <v>3000</v>
      </c>
      <c r="CC581">
        <v>5.2380000000000004</v>
      </c>
      <c r="CD581" t="s">
        <v>759</v>
      </c>
      <c r="CE581" t="s">
        <v>760</v>
      </c>
      <c r="CG581" t="s">
        <v>421</v>
      </c>
      <c r="CN581" t="str">
        <v>M19</v>
      </c>
      <c r="CO581" t="str">
        <v>1330-5YY0176EN</v>
      </c>
      <c r="CP581" t="str">
        <v>MSMU8888430</v>
      </c>
      <c r="CQ581" s="23">
        <v>273.75360000000001</v>
      </c>
      <c r="CR581" s="25">
        <f t="shared" si="22"/>
        <v>1.433149837283014E-2</v>
      </c>
      <c r="CS581" s="21">
        <f t="shared" si="23"/>
        <v>35.82874593207535</v>
      </c>
    </row>
    <row r="582" spans="2:97" x14ac:dyDescent="0.35">
      <c r="B582" t="s">
        <v>297</v>
      </c>
      <c r="C582" t="s">
        <v>2210</v>
      </c>
      <c r="D582" t="s">
        <v>395</v>
      </c>
      <c r="E582" t="s">
        <v>395</v>
      </c>
      <c r="F582" t="s">
        <v>396</v>
      </c>
      <c r="G582" t="s">
        <v>397</v>
      </c>
      <c r="H582" t="s">
        <v>398</v>
      </c>
      <c r="I582" t="s">
        <v>399</v>
      </c>
      <c r="J582" t="s">
        <v>749</v>
      </c>
      <c r="K582" t="s">
        <v>629</v>
      </c>
      <c r="L582" t="s">
        <v>787</v>
      </c>
      <c r="M582" t="s">
        <v>403</v>
      </c>
      <c r="N582">
        <v>2</v>
      </c>
      <c r="O582">
        <v>1</v>
      </c>
      <c r="P582" t="s">
        <v>1149</v>
      </c>
      <c r="Q582" t="s">
        <v>430</v>
      </c>
      <c r="R582" t="s">
        <v>1112</v>
      </c>
      <c r="S582" t="s">
        <v>1113</v>
      </c>
      <c r="T582" t="s">
        <v>408</v>
      </c>
      <c r="U582">
        <v>50950082376</v>
      </c>
      <c r="W582">
        <v>9600</v>
      </c>
      <c r="X582" t="s">
        <v>409</v>
      </c>
      <c r="Y582" t="s">
        <v>410</v>
      </c>
      <c r="Z582" t="s">
        <v>410</v>
      </c>
      <c r="AA582" t="s">
        <v>411</v>
      </c>
      <c r="AB582" t="s">
        <v>554</v>
      </c>
      <c r="AC582" t="s">
        <v>411</v>
      </c>
      <c r="AD582">
        <v>46102</v>
      </c>
      <c r="AE582">
        <v>46160</v>
      </c>
      <c r="AF582">
        <v>46106</v>
      </c>
      <c r="AG582" t="s">
        <v>754</v>
      </c>
      <c r="AH582">
        <v>6152243</v>
      </c>
      <c r="AI582">
        <v>46101</v>
      </c>
      <c r="AJ582">
        <v>46102</v>
      </c>
      <c r="AK582">
        <v>9600</v>
      </c>
      <c r="AL582" t="s">
        <v>396</v>
      </c>
      <c r="AM582" t="s">
        <v>2211</v>
      </c>
      <c r="AN582">
        <v>46102</v>
      </c>
      <c r="AO582">
        <v>46102.370613425926</v>
      </c>
      <c r="AP582" t="s">
        <v>51</v>
      </c>
      <c r="AQ582">
        <v>0.12992000000000001</v>
      </c>
      <c r="AR582">
        <v>1247.24</v>
      </c>
      <c r="AS582" t="s">
        <v>51</v>
      </c>
      <c r="AT582">
        <v>1247.24</v>
      </c>
      <c r="AU582" t="s">
        <v>415</v>
      </c>
      <c r="AV582" t="s">
        <v>557</v>
      </c>
      <c r="AW582" t="s">
        <v>2044</v>
      </c>
      <c r="AX582">
        <v>46106</v>
      </c>
      <c r="AY582">
        <v>46155</v>
      </c>
      <c r="AZ582" t="s">
        <v>2127</v>
      </c>
      <c r="BA582" t="s">
        <v>560</v>
      </c>
      <c r="BB582" t="s">
        <v>2128</v>
      </c>
      <c r="BC582">
        <v>160</v>
      </c>
      <c r="BD582" t="s">
        <v>521</v>
      </c>
      <c r="BE582">
        <v>4.2907000000000002</v>
      </c>
      <c r="BF582">
        <v>3.3837000000000002</v>
      </c>
      <c r="BG582" t="s">
        <v>522</v>
      </c>
      <c r="BH582">
        <v>395</v>
      </c>
      <c r="BI582">
        <v>295</v>
      </c>
      <c r="BJ582">
        <v>270</v>
      </c>
      <c r="BK582">
        <v>30</v>
      </c>
      <c r="BL582" t="s">
        <v>521</v>
      </c>
      <c r="BM582">
        <v>155.721</v>
      </c>
      <c r="BN582">
        <v>101.511</v>
      </c>
      <c r="BO582">
        <v>311.44080000000002</v>
      </c>
      <c r="BP582" t="s">
        <v>522</v>
      </c>
      <c r="BQ582">
        <v>1200</v>
      </c>
      <c r="BR582">
        <v>1000</v>
      </c>
      <c r="BS582">
        <v>968</v>
      </c>
      <c r="BT582">
        <v>2</v>
      </c>
      <c r="BU582">
        <v>0</v>
      </c>
      <c r="BV582">
        <v>2</v>
      </c>
      <c r="BW582">
        <v>60</v>
      </c>
      <c r="BX582">
        <v>0</v>
      </c>
      <c r="BY582">
        <v>60</v>
      </c>
      <c r="BZ582">
        <v>9600</v>
      </c>
      <c r="CA582">
        <v>0</v>
      </c>
      <c r="CB582">
        <v>9600</v>
      </c>
      <c r="CC582">
        <v>203.02080000000001</v>
      </c>
      <c r="CD582" t="s">
        <v>1151</v>
      </c>
      <c r="CE582" t="s">
        <v>634</v>
      </c>
      <c r="CG582" t="s">
        <v>421</v>
      </c>
      <c r="CN582" t="str">
        <v>M19</v>
      </c>
      <c r="CO582" t="str">
        <v>1301-5YY0322EN0093</v>
      </c>
      <c r="CP582" t="str">
        <v>MSMU8888430</v>
      </c>
      <c r="CQ582" s="23">
        <v>1782.3396</v>
      </c>
      <c r="CR582" s="25">
        <f t="shared" ref="CR582:CR645" si="24">IFERROR(CQ582/(SUMIFS(CQ:CQ,CP:CP,CP582)),100%)</f>
        <v>9.3308716587583579E-2</v>
      </c>
      <c r="CS582" s="21">
        <f t="shared" si="23"/>
        <v>233.27179146895895</v>
      </c>
    </row>
    <row r="583" spans="2:97" x14ac:dyDescent="0.35">
      <c r="B583" t="s">
        <v>297</v>
      </c>
      <c r="C583" t="s">
        <v>2212</v>
      </c>
      <c r="D583" t="s">
        <v>395</v>
      </c>
      <c r="E583" t="s">
        <v>395</v>
      </c>
      <c r="F583" t="s">
        <v>396</v>
      </c>
      <c r="G583" t="s">
        <v>397</v>
      </c>
      <c r="H583" t="s">
        <v>398</v>
      </c>
      <c r="I583" t="s">
        <v>399</v>
      </c>
      <c r="J583" t="s">
        <v>400</v>
      </c>
      <c r="K583" t="s">
        <v>401</v>
      </c>
      <c r="L583" t="s">
        <v>402</v>
      </c>
      <c r="M583" t="s">
        <v>403</v>
      </c>
      <c r="N583">
        <v>1</v>
      </c>
      <c r="O583">
        <v>1</v>
      </c>
      <c r="P583" t="s">
        <v>2213</v>
      </c>
      <c r="Q583" t="s">
        <v>430</v>
      </c>
      <c r="R583" t="s">
        <v>2214</v>
      </c>
      <c r="S583" t="s">
        <v>2215</v>
      </c>
      <c r="T583" t="s">
        <v>408</v>
      </c>
      <c r="U583">
        <v>50950080807</v>
      </c>
      <c r="W583">
        <v>30000</v>
      </c>
      <c r="X583" t="s">
        <v>409</v>
      </c>
      <c r="Y583" t="s">
        <v>410</v>
      </c>
      <c r="Z583" t="s">
        <v>410</v>
      </c>
      <c r="AA583" t="s">
        <v>411</v>
      </c>
      <c r="AB583" t="s">
        <v>412</v>
      </c>
      <c r="AC583" t="s">
        <v>411</v>
      </c>
      <c r="AD583">
        <v>46104</v>
      </c>
      <c r="AE583">
        <v>46160</v>
      </c>
      <c r="AF583">
        <v>46111</v>
      </c>
      <c r="AG583" t="s">
        <v>413</v>
      </c>
      <c r="AH583">
        <v>6154624</v>
      </c>
      <c r="AI583">
        <v>46104</v>
      </c>
      <c r="AJ583">
        <v>46104</v>
      </c>
      <c r="AK583">
        <v>30000</v>
      </c>
      <c r="AL583" t="s">
        <v>396</v>
      </c>
      <c r="AM583" t="s">
        <v>2216</v>
      </c>
      <c r="AN583">
        <v>46104</v>
      </c>
      <c r="AO583">
        <v>46104.618622685186</v>
      </c>
      <c r="AP583" t="s">
        <v>51</v>
      </c>
      <c r="AQ583">
        <v>2.6200000000000001E-2</v>
      </c>
      <c r="AR583">
        <v>786</v>
      </c>
      <c r="AS583" t="s">
        <v>51</v>
      </c>
      <c r="AT583">
        <v>786</v>
      </c>
      <c r="AU583" t="s">
        <v>415</v>
      </c>
      <c r="AV583" t="s">
        <v>772</v>
      </c>
      <c r="AW583" t="s">
        <v>2217</v>
      </c>
      <c r="AX583">
        <v>46114</v>
      </c>
      <c r="AY583">
        <v>46163</v>
      </c>
      <c r="AZ583" t="s">
        <v>2218</v>
      </c>
      <c r="BA583" t="s">
        <v>2219</v>
      </c>
      <c r="BB583" t="s">
        <v>2220</v>
      </c>
      <c r="BE583">
        <v>0</v>
      </c>
      <c r="BF583">
        <v>0</v>
      </c>
      <c r="BM583">
        <v>0</v>
      </c>
      <c r="BN583">
        <v>0</v>
      </c>
      <c r="BO583">
        <v>20</v>
      </c>
      <c r="CG583" t="s">
        <v>421</v>
      </c>
      <c r="CN583" t="str">
        <v>M45</v>
      </c>
      <c r="CO583" t="str">
        <v>1339-12C0007EN</v>
      </c>
      <c r="CP583" t="str">
        <v>MSMU8888430</v>
      </c>
      <c r="CQ583" s="23">
        <v>5097.9592000000002</v>
      </c>
      <c r="CR583" s="25">
        <f t="shared" si="24"/>
        <v>0.26688742715914765</v>
      </c>
      <c r="CS583" s="21">
        <f t="shared" ref="CS583:CS646" si="25">CR583*$CS$2</f>
        <v>667.21856789786909</v>
      </c>
    </row>
    <row r="584" spans="2:97" x14ac:dyDescent="0.35">
      <c r="B584" t="s">
        <v>297</v>
      </c>
      <c r="C584" t="s">
        <v>422</v>
      </c>
      <c r="D584" t="s">
        <v>395</v>
      </c>
      <c r="E584" t="s">
        <v>395</v>
      </c>
      <c r="F584" t="s">
        <v>396</v>
      </c>
      <c r="G584" t="s">
        <v>397</v>
      </c>
      <c r="H584" t="s">
        <v>398</v>
      </c>
      <c r="I584" t="s">
        <v>399</v>
      </c>
      <c r="J584" t="s">
        <v>400</v>
      </c>
      <c r="K584" t="s">
        <v>401</v>
      </c>
      <c r="L584" t="s">
        <v>402</v>
      </c>
      <c r="M584" t="s">
        <v>403</v>
      </c>
      <c r="N584">
        <v>1</v>
      </c>
      <c r="O584">
        <v>1</v>
      </c>
      <c r="P584" t="s">
        <v>423</v>
      </c>
      <c r="Q584" t="s">
        <v>424</v>
      </c>
      <c r="R584" t="s">
        <v>425</v>
      </c>
      <c r="S584" t="s">
        <v>426</v>
      </c>
      <c r="T584" t="s">
        <v>408</v>
      </c>
      <c r="U584">
        <v>50950080808</v>
      </c>
      <c r="W584">
        <v>50000</v>
      </c>
      <c r="X584" t="s">
        <v>409</v>
      </c>
      <c r="Y584" t="s">
        <v>410</v>
      </c>
      <c r="Z584" t="s">
        <v>410</v>
      </c>
      <c r="AA584" t="s">
        <v>411</v>
      </c>
      <c r="AB584" t="s">
        <v>412</v>
      </c>
      <c r="AC584" t="s">
        <v>411</v>
      </c>
      <c r="AD584">
        <v>46104</v>
      </c>
      <c r="AE584">
        <v>46160</v>
      </c>
      <c r="AF584">
        <v>46111</v>
      </c>
      <c r="AG584" t="s">
        <v>413</v>
      </c>
      <c r="AH584">
        <v>6154625</v>
      </c>
      <c r="AI584">
        <v>46104</v>
      </c>
      <c r="AJ584">
        <v>46104</v>
      </c>
      <c r="AK584">
        <v>50000</v>
      </c>
      <c r="AL584" t="s">
        <v>396</v>
      </c>
      <c r="AM584" t="s">
        <v>2221</v>
      </c>
      <c r="AN584">
        <v>46104</v>
      </c>
      <c r="AO584">
        <v>46104.618622685186</v>
      </c>
      <c r="AP584" t="s">
        <v>51</v>
      </c>
      <c r="AQ584">
        <v>2.018E-2</v>
      </c>
      <c r="AR584">
        <v>1009</v>
      </c>
      <c r="AS584" t="s">
        <v>51</v>
      </c>
      <c r="AT584">
        <v>1009</v>
      </c>
      <c r="AU584" t="s">
        <v>415</v>
      </c>
      <c r="AV584" t="s">
        <v>772</v>
      </c>
      <c r="AW584" t="s">
        <v>2217</v>
      </c>
      <c r="AX584">
        <v>46114</v>
      </c>
      <c r="AY584">
        <v>46163</v>
      </c>
      <c r="AZ584" t="s">
        <v>2218</v>
      </c>
      <c r="BA584" t="s">
        <v>2219</v>
      </c>
      <c r="BB584" t="s">
        <v>2220</v>
      </c>
      <c r="BE584">
        <v>0</v>
      </c>
      <c r="BF584">
        <v>0</v>
      </c>
      <c r="BM584">
        <v>0</v>
      </c>
      <c r="BN584">
        <v>0</v>
      </c>
      <c r="BO584">
        <v>20</v>
      </c>
      <c r="CG584" t="s">
        <v>421</v>
      </c>
      <c r="CN584" t="str">
        <v>M45</v>
      </c>
      <c r="CO584" t="str">
        <v>1339-12C0008EN</v>
      </c>
      <c r="CP584" t="str">
        <v>MSMU8888430</v>
      </c>
      <c r="CQ584" s="23">
        <v>4469.1814999999997</v>
      </c>
      <c r="CR584" s="25">
        <f t="shared" si="24"/>
        <v>0.23396977206923508</v>
      </c>
      <c r="CS584" s="21">
        <f t="shared" si="25"/>
        <v>584.92443017308767</v>
      </c>
    </row>
    <row r="585" spans="2:97" x14ac:dyDescent="0.35">
      <c r="B585" t="s">
        <v>297</v>
      </c>
      <c r="C585" t="s">
        <v>2222</v>
      </c>
      <c r="D585" t="s">
        <v>395</v>
      </c>
      <c r="E585" t="s">
        <v>395</v>
      </c>
      <c r="F585" t="s">
        <v>396</v>
      </c>
      <c r="G585" t="s">
        <v>397</v>
      </c>
      <c r="H585" t="s">
        <v>398</v>
      </c>
      <c r="I585" t="s">
        <v>399</v>
      </c>
      <c r="J585" t="s">
        <v>400</v>
      </c>
      <c r="K585" t="s">
        <v>401</v>
      </c>
      <c r="L585" t="s">
        <v>402</v>
      </c>
      <c r="M585" t="s">
        <v>403</v>
      </c>
      <c r="N585">
        <v>2</v>
      </c>
      <c r="O585">
        <v>1</v>
      </c>
      <c r="P585" t="s">
        <v>2223</v>
      </c>
      <c r="Q585" t="s">
        <v>645</v>
      </c>
      <c r="R585" t="s">
        <v>431</v>
      </c>
      <c r="S585" t="s">
        <v>432</v>
      </c>
      <c r="T585" t="s">
        <v>408</v>
      </c>
      <c r="U585">
        <v>50950080810</v>
      </c>
      <c r="W585">
        <v>30000</v>
      </c>
      <c r="X585" t="s">
        <v>409</v>
      </c>
      <c r="Y585" t="s">
        <v>410</v>
      </c>
      <c r="Z585" t="s">
        <v>410</v>
      </c>
      <c r="AA585" t="s">
        <v>411</v>
      </c>
      <c r="AB585" t="s">
        <v>412</v>
      </c>
      <c r="AC585" t="s">
        <v>411</v>
      </c>
      <c r="AD585">
        <v>46104</v>
      </c>
      <c r="AE585">
        <v>46160</v>
      </c>
      <c r="AF585">
        <v>46111</v>
      </c>
      <c r="AG585" t="s">
        <v>413</v>
      </c>
      <c r="AH585">
        <v>6154623</v>
      </c>
      <c r="AI585">
        <v>46104</v>
      </c>
      <c r="AJ585">
        <v>46104</v>
      </c>
      <c r="AK585">
        <v>30000</v>
      </c>
      <c r="AL585" t="s">
        <v>396</v>
      </c>
      <c r="AM585" t="s">
        <v>2224</v>
      </c>
      <c r="AN585">
        <v>46104</v>
      </c>
      <c r="AO585">
        <v>46104.618622685186</v>
      </c>
      <c r="AP585" t="s">
        <v>51</v>
      </c>
      <c r="AQ585">
        <v>3.363E-2</v>
      </c>
      <c r="AR585">
        <v>1008.9</v>
      </c>
      <c r="AS585" t="s">
        <v>51</v>
      </c>
      <c r="AT585">
        <v>1008.9</v>
      </c>
      <c r="AU585" t="s">
        <v>415</v>
      </c>
      <c r="AV585" t="s">
        <v>772</v>
      </c>
      <c r="AW585" t="s">
        <v>2217</v>
      </c>
      <c r="AX585">
        <v>46114</v>
      </c>
      <c r="AY585">
        <v>46163</v>
      </c>
      <c r="AZ585" t="s">
        <v>2218</v>
      </c>
      <c r="BA585" t="s">
        <v>2219</v>
      </c>
      <c r="BB585" t="s">
        <v>2220</v>
      </c>
      <c r="BE585">
        <v>0</v>
      </c>
      <c r="BF585">
        <v>0</v>
      </c>
      <c r="BM585">
        <v>0</v>
      </c>
      <c r="BN585">
        <v>0</v>
      </c>
      <c r="BO585">
        <v>10</v>
      </c>
      <c r="CG585" t="s">
        <v>421</v>
      </c>
      <c r="CN585" t="str">
        <v>M45</v>
      </c>
      <c r="CO585" t="str">
        <v>AYSP61AS872EN</v>
      </c>
      <c r="CP585" t="str">
        <v>MSMU8888430</v>
      </c>
      <c r="CQ585" s="23">
        <v>596.18010000000004</v>
      </c>
      <c r="CR585" s="25">
        <f t="shared" si="24"/>
        <v>3.1211111499770999E-2</v>
      </c>
      <c r="CS585" s="21">
        <f t="shared" si="25"/>
        <v>78.027778749427497</v>
      </c>
    </row>
    <row r="586" spans="2:97" x14ac:dyDescent="0.35">
      <c r="B586" t="s">
        <v>297</v>
      </c>
      <c r="C586" t="s">
        <v>434</v>
      </c>
      <c r="D586" t="s">
        <v>395</v>
      </c>
      <c r="E586" t="s">
        <v>395</v>
      </c>
      <c r="F586" t="s">
        <v>396</v>
      </c>
      <c r="G586" t="s">
        <v>397</v>
      </c>
      <c r="H586" t="s">
        <v>398</v>
      </c>
      <c r="I586" t="s">
        <v>399</v>
      </c>
      <c r="J586" t="s">
        <v>400</v>
      </c>
      <c r="K586" t="s">
        <v>401</v>
      </c>
      <c r="L586" t="s">
        <v>402</v>
      </c>
      <c r="M586" t="s">
        <v>403</v>
      </c>
      <c r="N586">
        <v>1</v>
      </c>
      <c r="O586">
        <v>1</v>
      </c>
      <c r="P586" t="s">
        <v>435</v>
      </c>
      <c r="Q586" t="s">
        <v>424</v>
      </c>
      <c r="R586" t="s">
        <v>431</v>
      </c>
      <c r="S586" t="s">
        <v>432</v>
      </c>
      <c r="T586" t="s">
        <v>408</v>
      </c>
      <c r="U586">
        <v>50950080817</v>
      </c>
      <c r="W586">
        <v>40000</v>
      </c>
      <c r="X586" t="s">
        <v>409</v>
      </c>
      <c r="Y586" t="s">
        <v>410</v>
      </c>
      <c r="Z586" t="s">
        <v>410</v>
      </c>
      <c r="AA586" t="s">
        <v>411</v>
      </c>
      <c r="AB586" t="s">
        <v>412</v>
      </c>
      <c r="AC586" t="s">
        <v>411</v>
      </c>
      <c r="AD586">
        <v>46104</v>
      </c>
      <c r="AE586">
        <v>46160</v>
      </c>
      <c r="AF586">
        <v>46111</v>
      </c>
      <c r="AG586" t="s">
        <v>413</v>
      </c>
      <c r="AH586">
        <v>6154621</v>
      </c>
      <c r="AI586">
        <v>46104</v>
      </c>
      <c r="AJ586">
        <v>46104</v>
      </c>
      <c r="AK586">
        <v>40000</v>
      </c>
      <c r="AL586" t="s">
        <v>396</v>
      </c>
      <c r="AM586" t="s">
        <v>2225</v>
      </c>
      <c r="AN586">
        <v>46104</v>
      </c>
      <c r="AO586">
        <v>46104.618622685186</v>
      </c>
      <c r="AP586" t="s">
        <v>51</v>
      </c>
      <c r="AQ586">
        <v>5.2150000000000002E-2</v>
      </c>
      <c r="AR586">
        <v>2086</v>
      </c>
      <c r="AS586" t="s">
        <v>51</v>
      </c>
      <c r="AT586">
        <v>2086</v>
      </c>
      <c r="AU586" t="s">
        <v>415</v>
      </c>
      <c r="AV586" t="s">
        <v>772</v>
      </c>
      <c r="AW586" t="s">
        <v>2217</v>
      </c>
      <c r="AX586">
        <v>46114</v>
      </c>
      <c r="AY586">
        <v>46163</v>
      </c>
      <c r="AZ586" t="s">
        <v>2226</v>
      </c>
      <c r="BA586" t="s">
        <v>419</v>
      </c>
      <c r="BB586" t="s">
        <v>2227</v>
      </c>
      <c r="BE586">
        <v>0</v>
      </c>
      <c r="BF586">
        <v>0</v>
      </c>
      <c r="BM586">
        <v>0</v>
      </c>
      <c r="BN586">
        <v>0</v>
      </c>
      <c r="BO586">
        <v>10</v>
      </c>
      <c r="CG586" t="s">
        <v>421</v>
      </c>
      <c r="CN586" t="str">
        <v>M19</v>
      </c>
      <c r="CO586" t="str">
        <v>1330-5YY0088EN</v>
      </c>
      <c r="CP586" t="str">
        <v>MSMU8888430</v>
      </c>
      <c r="CQ586" s="23">
        <v>250.73975999999999</v>
      </c>
      <c r="CR586" s="25">
        <f t="shared" si="24"/>
        <v>1.3126682032469417E-2</v>
      </c>
      <c r="CS586" s="21">
        <f t="shared" si="25"/>
        <v>32.816705081173545</v>
      </c>
    </row>
    <row r="587" spans="2:97" x14ac:dyDescent="0.35">
      <c r="B587" t="s">
        <v>297</v>
      </c>
      <c r="C587" t="s">
        <v>437</v>
      </c>
      <c r="D587" t="s">
        <v>395</v>
      </c>
      <c r="E587" t="s">
        <v>395</v>
      </c>
      <c r="F587" t="s">
        <v>396</v>
      </c>
      <c r="G587" t="s">
        <v>397</v>
      </c>
      <c r="H587" t="s">
        <v>398</v>
      </c>
      <c r="I587" t="s">
        <v>399</v>
      </c>
      <c r="J587" t="s">
        <v>400</v>
      </c>
      <c r="K587" t="s">
        <v>401</v>
      </c>
      <c r="L587" t="s">
        <v>402</v>
      </c>
      <c r="M587" t="s">
        <v>403</v>
      </c>
      <c r="N587">
        <v>1</v>
      </c>
      <c r="O587">
        <v>1</v>
      </c>
      <c r="P587" t="s">
        <v>438</v>
      </c>
      <c r="Q587" t="s">
        <v>424</v>
      </c>
      <c r="R587" t="s">
        <v>439</v>
      </c>
      <c r="S587" t="s">
        <v>440</v>
      </c>
      <c r="T587" t="s">
        <v>408</v>
      </c>
      <c r="U587">
        <v>50950080814</v>
      </c>
      <c r="W587">
        <v>92800</v>
      </c>
      <c r="X587" t="s">
        <v>409</v>
      </c>
      <c r="Y587" t="s">
        <v>410</v>
      </c>
      <c r="Z587" t="s">
        <v>410</v>
      </c>
      <c r="AA587" t="s">
        <v>411</v>
      </c>
      <c r="AB587" t="s">
        <v>412</v>
      </c>
      <c r="AC587" t="s">
        <v>411</v>
      </c>
      <c r="AD587">
        <v>46104</v>
      </c>
      <c r="AE587">
        <v>46160</v>
      </c>
      <c r="AF587">
        <v>46111</v>
      </c>
      <c r="AG587" t="s">
        <v>413</v>
      </c>
      <c r="AH587">
        <v>6154626</v>
      </c>
      <c r="AI587">
        <v>46104</v>
      </c>
      <c r="AJ587">
        <v>46104</v>
      </c>
      <c r="AK587">
        <v>92800</v>
      </c>
      <c r="AL587" t="s">
        <v>396</v>
      </c>
      <c r="AM587" t="s">
        <v>2228</v>
      </c>
      <c r="AN587">
        <v>46104</v>
      </c>
      <c r="AO587">
        <v>46104.618622685186</v>
      </c>
      <c r="AP587" t="s">
        <v>51</v>
      </c>
      <c r="AQ587">
        <v>2.512E-2</v>
      </c>
      <c r="AR587">
        <v>2331.14</v>
      </c>
      <c r="AS587" t="s">
        <v>51</v>
      </c>
      <c r="AT587">
        <v>2331.14</v>
      </c>
      <c r="AU587" t="s">
        <v>415</v>
      </c>
      <c r="AV587" t="s">
        <v>772</v>
      </c>
      <c r="AW587" t="s">
        <v>2217</v>
      </c>
      <c r="AX587">
        <v>46114</v>
      </c>
      <c r="AY587">
        <v>46163</v>
      </c>
      <c r="AZ587" t="s">
        <v>2218</v>
      </c>
      <c r="BA587" t="s">
        <v>2219</v>
      </c>
      <c r="BB587" t="s">
        <v>2220</v>
      </c>
      <c r="BE587">
        <v>0</v>
      </c>
      <c r="BF587">
        <v>0</v>
      </c>
      <c r="BM587">
        <v>0</v>
      </c>
      <c r="BN587">
        <v>0</v>
      </c>
      <c r="BO587">
        <v>4000</v>
      </c>
      <c r="CG587" t="s">
        <v>421</v>
      </c>
      <c r="CN587" t="str">
        <v>M01</v>
      </c>
      <c r="CO587" t="str">
        <v>1999-1010399E1</v>
      </c>
      <c r="CP587" t="str">
        <v>MSNU7011814</v>
      </c>
      <c r="CQ587" s="23">
        <v>417.88</v>
      </c>
      <c r="CR587" s="25">
        <f t="shared" si="24"/>
        <v>2.2533888347353221E-2</v>
      </c>
      <c r="CS587" s="21">
        <f t="shared" si="25"/>
        <v>56.334720868383052</v>
      </c>
    </row>
    <row r="588" spans="2:97" x14ac:dyDescent="0.35">
      <c r="B588" t="s">
        <v>297</v>
      </c>
      <c r="C588" t="s">
        <v>2229</v>
      </c>
      <c r="D588" t="s">
        <v>395</v>
      </c>
      <c r="E588" t="s">
        <v>395</v>
      </c>
      <c r="F588" t="s">
        <v>396</v>
      </c>
      <c r="G588" t="s">
        <v>397</v>
      </c>
      <c r="H588" t="s">
        <v>398</v>
      </c>
      <c r="I588" t="s">
        <v>399</v>
      </c>
      <c r="J588" t="s">
        <v>400</v>
      </c>
      <c r="K588" t="s">
        <v>401</v>
      </c>
      <c r="L588" t="s">
        <v>402</v>
      </c>
      <c r="M588" t="s">
        <v>403</v>
      </c>
      <c r="N588">
        <v>1</v>
      </c>
      <c r="O588">
        <v>1</v>
      </c>
      <c r="P588" t="s">
        <v>1183</v>
      </c>
      <c r="Q588" t="s">
        <v>637</v>
      </c>
      <c r="R588" t="s">
        <v>1184</v>
      </c>
      <c r="S588" t="s">
        <v>1185</v>
      </c>
      <c r="T588" t="s">
        <v>408</v>
      </c>
      <c r="U588">
        <v>50950081683</v>
      </c>
      <c r="W588">
        <v>201600</v>
      </c>
      <c r="X588" t="s">
        <v>409</v>
      </c>
      <c r="Y588" t="s">
        <v>410</v>
      </c>
      <c r="Z588" t="s">
        <v>410</v>
      </c>
      <c r="AA588" t="s">
        <v>411</v>
      </c>
      <c r="AB588" t="s">
        <v>412</v>
      </c>
      <c r="AC588" t="s">
        <v>411</v>
      </c>
      <c r="AD588">
        <v>46104</v>
      </c>
      <c r="AE588">
        <v>46160</v>
      </c>
      <c r="AF588">
        <v>46111</v>
      </c>
      <c r="AG588" t="s">
        <v>413</v>
      </c>
      <c r="AH588">
        <v>6154627</v>
      </c>
      <c r="AI588">
        <v>46104</v>
      </c>
      <c r="AJ588">
        <v>46104</v>
      </c>
      <c r="AK588">
        <v>201600</v>
      </c>
      <c r="AL588" t="s">
        <v>396</v>
      </c>
      <c r="AM588" t="s">
        <v>2230</v>
      </c>
      <c r="AN588">
        <v>46104</v>
      </c>
      <c r="AO588">
        <v>46104.618622685186</v>
      </c>
      <c r="AP588" t="s">
        <v>51</v>
      </c>
      <c r="AQ588">
        <v>6.0920000000000002E-2</v>
      </c>
      <c r="AR588">
        <v>12281.47</v>
      </c>
      <c r="AS588" t="s">
        <v>51</v>
      </c>
      <c r="AT588">
        <v>12281.47</v>
      </c>
      <c r="AU588" t="s">
        <v>415</v>
      </c>
      <c r="AV588" t="s">
        <v>772</v>
      </c>
      <c r="AW588" t="s">
        <v>2217</v>
      </c>
      <c r="AX588">
        <v>46114</v>
      </c>
      <c r="AY588">
        <v>46163</v>
      </c>
      <c r="AZ588" t="s">
        <v>2226</v>
      </c>
      <c r="BA588" t="s">
        <v>419</v>
      </c>
      <c r="BB588" t="s">
        <v>2227</v>
      </c>
      <c r="BE588">
        <v>0</v>
      </c>
      <c r="BF588">
        <v>0</v>
      </c>
      <c r="BM588">
        <v>0</v>
      </c>
      <c r="BN588">
        <v>0</v>
      </c>
      <c r="BO588">
        <v>20.159996717005907</v>
      </c>
      <c r="CG588" t="s">
        <v>421</v>
      </c>
      <c r="CN588" t="str">
        <v>M01</v>
      </c>
      <c r="CO588" t="str">
        <v>1999-1010399E1</v>
      </c>
      <c r="CP588" t="str">
        <v>MSNU7011814</v>
      </c>
      <c r="CQ588" s="23">
        <v>417.88</v>
      </c>
      <c r="CR588" s="25">
        <f t="shared" si="24"/>
        <v>2.2533888347353221E-2</v>
      </c>
      <c r="CS588" s="21">
        <f t="shared" si="25"/>
        <v>56.334720868383052</v>
      </c>
    </row>
    <row r="589" spans="2:97" x14ac:dyDescent="0.35">
      <c r="B589" t="s">
        <v>297</v>
      </c>
      <c r="C589" t="s">
        <v>2231</v>
      </c>
      <c r="D589" t="s">
        <v>395</v>
      </c>
      <c r="E589" t="s">
        <v>395</v>
      </c>
      <c r="F589" t="s">
        <v>396</v>
      </c>
      <c r="G589" t="s">
        <v>397</v>
      </c>
      <c r="H589" t="s">
        <v>398</v>
      </c>
      <c r="I589" t="s">
        <v>399</v>
      </c>
      <c r="J589" t="s">
        <v>400</v>
      </c>
      <c r="K589" t="s">
        <v>401</v>
      </c>
      <c r="L589" t="s">
        <v>402</v>
      </c>
      <c r="M589" t="s">
        <v>403</v>
      </c>
      <c r="N589">
        <v>2</v>
      </c>
      <c r="O589">
        <v>1</v>
      </c>
      <c r="P589" t="s">
        <v>429</v>
      </c>
      <c r="Q589" t="s">
        <v>430</v>
      </c>
      <c r="R589" t="s">
        <v>431</v>
      </c>
      <c r="S589" t="s">
        <v>432</v>
      </c>
      <c r="T589" t="s">
        <v>408</v>
      </c>
      <c r="U589">
        <v>50950081705</v>
      </c>
      <c r="W589">
        <v>100000</v>
      </c>
      <c r="X589" t="s">
        <v>409</v>
      </c>
      <c r="Y589" t="s">
        <v>410</v>
      </c>
      <c r="Z589" t="s">
        <v>410</v>
      </c>
      <c r="AA589" t="s">
        <v>411</v>
      </c>
      <c r="AB589" t="s">
        <v>412</v>
      </c>
      <c r="AC589" t="s">
        <v>411</v>
      </c>
      <c r="AD589">
        <v>46104</v>
      </c>
      <c r="AE589">
        <v>46160</v>
      </c>
      <c r="AF589">
        <v>46111</v>
      </c>
      <c r="AG589" t="s">
        <v>413</v>
      </c>
      <c r="AH589">
        <v>6154622</v>
      </c>
      <c r="AI589">
        <v>46104</v>
      </c>
      <c r="AJ589">
        <v>46104</v>
      </c>
      <c r="AK589">
        <v>100000</v>
      </c>
      <c r="AL589" t="s">
        <v>396</v>
      </c>
      <c r="AM589" t="s">
        <v>2232</v>
      </c>
      <c r="AN589">
        <v>46104</v>
      </c>
      <c r="AO589">
        <v>46104.618622685186</v>
      </c>
      <c r="AP589" t="s">
        <v>51</v>
      </c>
      <c r="AQ589">
        <v>9.4119999999999995E-2</v>
      </c>
      <c r="AR589">
        <v>9412</v>
      </c>
      <c r="AS589" t="s">
        <v>51</v>
      </c>
      <c r="AT589">
        <v>9412</v>
      </c>
      <c r="AU589" t="s">
        <v>415</v>
      </c>
      <c r="AV589" t="s">
        <v>772</v>
      </c>
      <c r="AW589" t="s">
        <v>2217</v>
      </c>
      <c r="AX589">
        <v>46114</v>
      </c>
      <c r="AY589">
        <v>46163</v>
      </c>
      <c r="AZ589" t="s">
        <v>2218</v>
      </c>
      <c r="BA589" t="s">
        <v>2219</v>
      </c>
      <c r="BB589" t="s">
        <v>2220</v>
      </c>
      <c r="BE589">
        <v>0</v>
      </c>
      <c r="BF589">
        <v>0</v>
      </c>
      <c r="BM589">
        <v>0</v>
      </c>
      <c r="BN589">
        <v>0</v>
      </c>
      <c r="BO589">
        <v>10</v>
      </c>
      <c r="CG589" t="s">
        <v>421</v>
      </c>
      <c r="CN589" t="str">
        <v>M01</v>
      </c>
      <c r="CO589" t="str">
        <v>1999-1031512EN</v>
      </c>
      <c r="CP589" t="str">
        <v>MSNU7011814</v>
      </c>
      <c r="CQ589" s="23">
        <v>484.24</v>
      </c>
      <c r="CR589" s="25">
        <f t="shared" si="24"/>
        <v>2.6112305191256641E-2</v>
      </c>
      <c r="CS589" s="21">
        <f t="shared" si="25"/>
        <v>65.28076297814161</v>
      </c>
    </row>
    <row r="590" spans="2:97" x14ac:dyDescent="0.35">
      <c r="B590" t="s">
        <v>299</v>
      </c>
      <c r="C590" t="s">
        <v>2233</v>
      </c>
      <c r="D590" t="s">
        <v>395</v>
      </c>
      <c r="E590" t="s">
        <v>395</v>
      </c>
      <c r="F590" t="s">
        <v>396</v>
      </c>
      <c r="G590" t="s">
        <v>397</v>
      </c>
      <c r="H590" t="s">
        <v>454</v>
      </c>
      <c r="I590" t="s">
        <v>399</v>
      </c>
      <c r="J590" t="s">
        <v>400</v>
      </c>
      <c r="K590" t="s">
        <v>455</v>
      </c>
      <c r="L590" t="s">
        <v>456</v>
      </c>
      <c r="M590" t="s">
        <v>403</v>
      </c>
      <c r="N590">
        <v>1</v>
      </c>
      <c r="O590">
        <v>1</v>
      </c>
      <c r="P590" t="s">
        <v>2234</v>
      </c>
      <c r="Q590" t="s">
        <v>405</v>
      </c>
      <c r="R590" t="s">
        <v>493</v>
      </c>
      <c r="S590" t="s">
        <v>2235</v>
      </c>
      <c r="T590" t="s">
        <v>408</v>
      </c>
      <c r="U590">
        <v>50950081208</v>
      </c>
      <c r="W590">
        <v>100000</v>
      </c>
      <c r="X590" t="s">
        <v>409</v>
      </c>
      <c r="Y590" t="s">
        <v>410</v>
      </c>
      <c r="Z590" t="s">
        <v>410</v>
      </c>
      <c r="AA590" t="s">
        <v>411</v>
      </c>
      <c r="AB590" t="s">
        <v>412</v>
      </c>
      <c r="AC590" t="s">
        <v>411</v>
      </c>
      <c r="AD590">
        <v>46104</v>
      </c>
      <c r="AE590">
        <v>46160</v>
      </c>
      <c r="AF590">
        <v>46111</v>
      </c>
      <c r="AG590" t="s">
        <v>460</v>
      </c>
      <c r="AH590">
        <v>6154619</v>
      </c>
      <c r="AI590">
        <v>46104</v>
      </c>
      <c r="AJ590">
        <v>46104</v>
      </c>
      <c r="AK590">
        <v>100000</v>
      </c>
      <c r="AL590" t="s">
        <v>396</v>
      </c>
      <c r="AM590" t="s">
        <v>2236</v>
      </c>
      <c r="AN590">
        <v>46104</v>
      </c>
      <c r="AO590">
        <v>46104.607141203705</v>
      </c>
      <c r="AP590" t="s">
        <v>51</v>
      </c>
      <c r="AQ590">
        <v>2.7040000000000002E-2</v>
      </c>
      <c r="AR590">
        <v>2704</v>
      </c>
      <c r="AS590" t="s">
        <v>51</v>
      </c>
      <c r="AT590">
        <v>2704</v>
      </c>
      <c r="AU590" t="s">
        <v>415</v>
      </c>
      <c r="AV590" t="s">
        <v>772</v>
      </c>
      <c r="AW590" t="s">
        <v>2217</v>
      </c>
      <c r="AX590">
        <v>46114</v>
      </c>
      <c r="AY590">
        <v>46163</v>
      </c>
      <c r="AZ590" t="s">
        <v>2226</v>
      </c>
      <c r="BA590" t="s">
        <v>419</v>
      </c>
      <c r="BB590" t="s">
        <v>2227</v>
      </c>
      <c r="BE590">
        <v>0</v>
      </c>
      <c r="BF590">
        <v>0</v>
      </c>
      <c r="BM590">
        <v>0</v>
      </c>
      <c r="BN590">
        <v>0</v>
      </c>
      <c r="BO590">
        <v>50</v>
      </c>
      <c r="CG590" t="s">
        <v>421</v>
      </c>
      <c r="CN590" t="str">
        <v>M45</v>
      </c>
      <c r="CO590" t="str">
        <v>1210-10C0133EN</v>
      </c>
      <c r="CP590" t="str">
        <v>MSNU7011814</v>
      </c>
      <c r="CQ590" s="23">
        <v>283.06</v>
      </c>
      <c r="CR590" s="25">
        <f t="shared" si="24"/>
        <v>1.5263813620182356E-2</v>
      </c>
      <c r="CS590" s="21">
        <f t="shared" si="25"/>
        <v>38.159534050455889</v>
      </c>
    </row>
    <row r="591" spans="2:97" x14ac:dyDescent="0.35">
      <c r="B591" t="s">
        <v>3497</v>
      </c>
      <c r="C591" t="s">
        <v>2237</v>
      </c>
      <c r="D591" t="s">
        <v>395</v>
      </c>
      <c r="E591" t="s">
        <v>395</v>
      </c>
      <c r="F591" t="s">
        <v>396</v>
      </c>
      <c r="G591" t="s">
        <v>397</v>
      </c>
      <c r="H591" t="s">
        <v>470</v>
      </c>
      <c r="I591" t="s">
        <v>399</v>
      </c>
      <c r="J591" t="s">
        <v>400</v>
      </c>
      <c r="K591" t="s">
        <v>471</v>
      </c>
      <c r="L591" t="s">
        <v>472</v>
      </c>
      <c r="M591" t="s">
        <v>403</v>
      </c>
      <c r="N591">
        <v>1</v>
      </c>
      <c r="O591">
        <v>1</v>
      </c>
      <c r="P591" t="s">
        <v>479</v>
      </c>
      <c r="Q591" t="s">
        <v>424</v>
      </c>
      <c r="R591" t="s">
        <v>480</v>
      </c>
      <c r="S591" t="s">
        <v>481</v>
      </c>
      <c r="T591" t="s">
        <v>408</v>
      </c>
      <c r="U591">
        <v>50950081101</v>
      </c>
      <c r="W591">
        <v>4000</v>
      </c>
      <c r="X591" t="s">
        <v>409</v>
      </c>
      <c r="Y591" t="s">
        <v>410</v>
      </c>
      <c r="Z591" t="s">
        <v>410</v>
      </c>
      <c r="AA591" t="s">
        <v>411</v>
      </c>
      <c r="AB591" t="s">
        <v>412</v>
      </c>
      <c r="AC591" t="s">
        <v>411</v>
      </c>
      <c r="AD591">
        <v>46104</v>
      </c>
      <c r="AE591">
        <v>46160</v>
      </c>
      <c r="AF591">
        <v>46111</v>
      </c>
      <c r="AG591" t="s">
        <v>476</v>
      </c>
      <c r="AH591">
        <v>6154030</v>
      </c>
      <c r="AI591">
        <v>46104</v>
      </c>
      <c r="AJ591">
        <v>46104</v>
      </c>
      <c r="AK591">
        <v>4000</v>
      </c>
      <c r="AL591" t="s">
        <v>396</v>
      </c>
      <c r="AM591" t="s">
        <v>2238</v>
      </c>
      <c r="AN591">
        <v>46104</v>
      </c>
      <c r="AO591">
        <v>46104.371076388888</v>
      </c>
      <c r="AP591" t="s">
        <v>51</v>
      </c>
      <c r="AQ591">
        <v>3.04074</v>
      </c>
      <c r="AR591">
        <v>12162.96</v>
      </c>
      <c r="AS591" t="s">
        <v>51</v>
      </c>
      <c r="AT591">
        <v>12162.96</v>
      </c>
      <c r="AU591" t="s">
        <v>415</v>
      </c>
      <c r="AV591" t="s">
        <v>772</v>
      </c>
      <c r="AW591" t="s">
        <v>2217</v>
      </c>
      <c r="AX591">
        <v>46114</v>
      </c>
      <c r="AY591">
        <v>46163</v>
      </c>
      <c r="AZ591" t="s">
        <v>2218</v>
      </c>
      <c r="BA591" t="s">
        <v>2219</v>
      </c>
      <c r="BB591" t="s">
        <v>2220</v>
      </c>
      <c r="BE591">
        <v>0</v>
      </c>
      <c r="BF591">
        <v>0</v>
      </c>
      <c r="BM591">
        <v>0</v>
      </c>
      <c r="BN591">
        <v>0</v>
      </c>
      <c r="BO591" s="23">
        <f t="shared" ref="BO591:BO595" si="26">AR591/AQ591</f>
        <v>3999.9999999999995</v>
      </c>
      <c r="CG591" t="s">
        <v>421</v>
      </c>
      <c r="CN591" t="str">
        <v>M19</v>
      </c>
      <c r="CO591" t="str">
        <v>1307-5YY0182EN</v>
      </c>
      <c r="CP591" t="str">
        <v>MSNU7011814</v>
      </c>
      <c r="CQ591" s="23">
        <v>839.37612799999999</v>
      </c>
      <c r="CR591" s="25">
        <f t="shared" si="24"/>
        <v>4.5262773881941387E-2</v>
      </c>
      <c r="CS591" s="21">
        <f t="shared" si="25"/>
        <v>113.15693470485347</v>
      </c>
    </row>
    <row r="592" spans="2:97" x14ac:dyDescent="0.35">
      <c r="B592" t="s">
        <v>3497</v>
      </c>
      <c r="C592" t="s">
        <v>2239</v>
      </c>
      <c r="D592" t="s">
        <v>395</v>
      </c>
      <c r="E592" t="s">
        <v>395</v>
      </c>
      <c r="F592" t="s">
        <v>396</v>
      </c>
      <c r="G592" t="s">
        <v>397</v>
      </c>
      <c r="H592" t="s">
        <v>470</v>
      </c>
      <c r="I592" t="s">
        <v>399</v>
      </c>
      <c r="J592" t="s">
        <v>400</v>
      </c>
      <c r="K592" t="s">
        <v>471</v>
      </c>
      <c r="L592" t="s">
        <v>472</v>
      </c>
      <c r="M592" t="s">
        <v>403</v>
      </c>
      <c r="N592">
        <v>1</v>
      </c>
      <c r="O592">
        <v>1</v>
      </c>
      <c r="P592" t="s">
        <v>1221</v>
      </c>
      <c r="Q592" t="s">
        <v>424</v>
      </c>
      <c r="R592" t="s">
        <v>474</v>
      </c>
      <c r="S592" t="s">
        <v>1222</v>
      </c>
      <c r="T592" t="s">
        <v>408</v>
      </c>
      <c r="U592">
        <v>50950081593</v>
      </c>
      <c r="W592">
        <v>3000</v>
      </c>
      <c r="X592" t="s">
        <v>409</v>
      </c>
      <c r="Y592" t="s">
        <v>410</v>
      </c>
      <c r="Z592" t="s">
        <v>410</v>
      </c>
      <c r="AA592" t="s">
        <v>411</v>
      </c>
      <c r="AB592" t="s">
        <v>412</v>
      </c>
      <c r="AC592" t="s">
        <v>411</v>
      </c>
      <c r="AD592">
        <v>46104</v>
      </c>
      <c r="AE592">
        <v>46167</v>
      </c>
      <c r="AF592">
        <v>46111</v>
      </c>
      <c r="AG592" t="s">
        <v>476</v>
      </c>
      <c r="AH592">
        <v>6154028</v>
      </c>
      <c r="AI592">
        <v>46104</v>
      </c>
      <c r="AJ592">
        <v>46104</v>
      </c>
      <c r="AK592">
        <v>3000</v>
      </c>
      <c r="AL592" t="s">
        <v>396</v>
      </c>
      <c r="AM592" t="s">
        <v>2240</v>
      </c>
      <c r="AN592">
        <v>46104</v>
      </c>
      <c r="AO592">
        <v>46104.371076388888</v>
      </c>
      <c r="AP592" t="s">
        <v>51</v>
      </c>
      <c r="AQ592">
        <v>2.1007400000000001</v>
      </c>
      <c r="AR592">
        <v>6302.22</v>
      </c>
      <c r="AS592" t="s">
        <v>51</v>
      </c>
      <c r="AT592">
        <v>6302.22</v>
      </c>
      <c r="AU592" t="s">
        <v>415</v>
      </c>
      <c r="AV592" t="s">
        <v>772</v>
      </c>
      <c r="AW592" t="s">
        <v>2217</v>
      </c>
      <c r="AX592">
        <v>46114</v>
      </c>
      <c r="AY592">
        <v>46163</v>
      </c>
      <c r="AZ592" t="s">
        <v>2226</v>
      </c>
      <c r="BA592" t="s">
        <v>419</v>
      </c>
      <c r="BB592" t="s">
        <v>2227</v>
      </c>
      <c r="BE592">
        <v>0</v>
      </c>
      <c r="BF592">
        <v>0</v>
      </c>
      <c r="BM592">
        <v>0</v>
      </c>
      <c r="BN592">
        <v>0</v>
      </c>
      <c r="BO592" s="23">
        <f t="shared" si="26"/>
        <v>3000</v>
      </c>
      <c r="CG592" t="s">
        <v>421</v>
      </c>
      <c r="CN592" t="str">
        <v>M46</v>
      </c>
      <c r="CO592" t="str">
        <v>1415-EQN0006EN</v>
      </c>
      <c r="CP592" t="str">
        <v>MSNU7011814</v>
      </c>
      <c r="CQ592" s="23">
        <v>424.3374</v>
      </c>
      <c r="CR592" s="25">
        <f t="shared" si="24"/>
        <v>2.2882099150967176E-2</v>
      </c>
      <c r="CS592" s="21">
        <f t="shared" si="25"/>
        <v>57.205247877417939</v>
      </c>
    </row>
    <row r="593" spans="2:97" x14ac:dyDescent="0.35">
      <c r="B593" t="s">
        <v>3497</v>
      </c>
      <c r="C593" t="s">
        <v>2239</v>
      </c>
      <c r="D593" t="s">
        <v>395</v>
      </c>
      <c r="E593" t="s">
        <v>395</v>
      </c>
      <c r="F593" t="s">
        <v>396</v>
      </c>
      <c r="G593" t="s">
        <v>397</v>
      </c>
      <c r="H593" t="s">
        <v>470</v>
      </c>
      <c r="I593" t="s">
        <v>399</v>
      </c>
      <c r="J593" t="s">
        <v>400</v>
      </c>
      <c r="K593" t="s">
        <v>471</v>
      </c>
      <c r="L593" t="s">
        <v>472</v>
      </c>
      <c r="M593" t="s">
        <v>403</v>
      </c>
      <c r="N593">
        <v>2</v>
      </c>
      <c r="O593">
        <v>1</v>
      </c>
      <c r="P593" t="s">
        <v>1221</v>
      </c>
      <c r="Q593" t="s">
        <v>424</v>
      </c>
      <c r="R593" t="s">
        <v>474</v>
      </c>
      <c r="S593" t="s">
        <v>1222</v>
      </c>
      <c r="T593" t="s">
        <v>408</v>
      </c>
      <c r="U593">
        <v>50950081593</v>
      </c>
      <c r="W593">
        <v>3000</v>
      </c>
      <c r="X593" t="s">
        <v>409</v>
      </c>
      <c r="Y593" t="s">
        <v>410</v>
      </c>
      <c r="Z593" t="s">
        <v>410</v>
      </c>
      <c r="AA593" t="s">
        <v>411</v>
      </c>
      <c r="AB593" t="s">
        <v>412</v>
      </c>
      <c r="AC593" t="s">
        <v>411</v>
      </c>
      <c r="AD593">
        <v>46105</v>
      </c>
      <c r="AE593">
        <v>46174</v>
      </c>
      <c r="AF593">
        <v>46111</v>
      </c>
      <c r="AG593" t="s">
        <v>476</v>
      </c>
      <c r="AH593">
        <v>6154028</v>
      </c>
      <c r="AI593">
        <v>46104</v>
      </c>
      <c r="AJ593">
        <v>46104</v>
      </c>
      <c r="AK593">
        <v>3000</v>
      </c>
      <c r="AL593" t="s">
        <v>396</v>
      </c>
      <c r="AM593" t="s">
        <v>2240</v>
      </c>
      <c r="AN593">
        <v>46104</v>
      </c>
      <c r="AO593">
        <v>46104.371076388888</v>
      </c>
      <c r="AP593" t="s">
        <v>51</v>
      </c>
      <c r="AQ593">
        <v>2.1007400000000001</v>
      </c>
      <c r="AR593">
        <v>6302.22</v>
      </c>
      <c r="AS593" t="s">
        <v>51</v>
      </c>
      <c r="AT593">
        <v>6302.22</v>
      </c>
      <c r="AU593" t="s">
        <v>415</v>
      </c>
      <c r="AV593" t="s">
        <v>772</v>
      </c>
      <c r="AW593" t="s">
        <v>2217</v>
      </c>
      <c r="AX593">
        <v>46114</v>
      </c>
      <c r="AY593">
        <v>46163</v>
      </c>
      <c r="AZ593" t="s">
        <v>2226</v>
      </c>
      <c r="BA593" t="s">
        <v>419</v>
      </c>
      <c r="BB593" t="s">
        <v>2227</v>
      </c>
      <c r="BE593">
        <v>0</v>
      </c>
      <c r="BF593">
        <v>0</v>
      </c>
      <c r="BM593">
        <v>0</v>
      </c>
      <c r="BN593">
        <v>0</v>
      </c>
      <c r="BO593" s="23">
        <f t="shared" si="26"/>
        <v>3000</v>
      </c>
      <c r="CG593" t="s">
        <v>421</v>
      </c>
      <c r="CN593" t="str">
        <v>M45</v>
      </c>
      <c r="CO593" t="str">
        <v>1346-12C0011EN</v>
      </c>
      <c r="CP593" t="str">
        <v>MSNU7011814</v>
      </c>
      <c r="CQ593" s="23">
        <v>157.5094</v>
      </c>
      <c r="CR593" s="25">
        <f t="shared" si="24"/>
        <v>8.4935848407643282E-3</v>
      </c>
      <c r="CS593" s="21">
        <f t="shared" si="25"/>
        <v>21.233962101910819</v>
      </c>
    </row>
    <row r="594" spans="2:97" x14ac:dyDescent="0.35">
      <c r="B594" t="s">
        <v>3497</v>
      </c>
      <c r="C594" t="s">
        <v>2241</v>
      </c>
      <c r="D594" t="s">
        <v>395</v>
      </c>
      <c r="E594" t="s">
        <v>395</v>
      </c>
      <c r="F594" t="s">
        <v>396</v>
      </c>
      <c r="G594" t="s">
        <v>397</v>
      </c>
      <c r="H594" t="s">
        <v>470</v>
      </c>
      <c r="I594" t="s">
        <v>399</v>
      </c>
      <c r="J594" t="s">
        <v>400</v>
      </c>
      <c r="K594" t="s">
        <v>471</v>
      </c>
      <c r="L594" t="s">
        <v>472</v>
      </c>
      <c r="M594" t="s">
        <v>403</v>
      </c>
      <c r="N594">
        <v>1</v>
      </c>
      <c r="O594">
        <v>1</v>
      </c>
      <c r="P594" t="s">
        <v>473</v>
      </c>
      <c r="Q594" t="s">
        <v>424</v>
      </c>
      <c r="R594" t="s">
        <v>474</v>
      </c>
      <c r="S594" t="s">
        <v>475</v>
      </c>
      <c r="T594" t="s">
        <v>408</v>
      </c>
      <c r="U594">
        <v>50950081594</v>
      </c>
      <c r="W594">
        <v>500</v>
      </c>
      <c r="X594" t="s">
        <v>409</v>
      </c>
      <c r="Y594" t="s">
        <v>410</v>
      </c>
      <c r="Z594" t="s">
        <v>410</v>
      </c>
      <c r="AA594" t="s">
        <v>411</v>
      </c>
      <c r="AB594" t="s">
        <v>412</v>
      </c>
      <c r="AC594" t="s">
        <v>411</v>
      </c>
      <c r="AD594">
        <v>46104</v>
      </c>
      <c r="AE594">
        <v>46167</v>
      </c>
      <c r="AF594">
        <v>46111</v>
      </c>
      <c r="AG594" t="s">
        <v>476</v>
      </c>
      <c r="AH594">
        <v>6154027</v>
      </c>
      <c r="AI594">
        <v>46104</v>
      </c>
      <c r="AJ594">
        <v>46104</v>
      </c>
      <c r="AK594">
        <v>500</v>
      </c>
      <c r="AL594" t="s">
        <v>396</v>
      </c>
      <c r="AM594" t="s">
        <v>2242</v>
      </c>
      <c r="AN594">
        <v>46104</v>
      </c>
      <c r="AO594">
        <v>46104.371076388888</v>
      </c>
      <c r="AP594" t="s">
        <v>51</v>
      </c>
      <c r="AQ594">
        <v>3.7082299999999999</v>
      </c>
      <c r="AR594">
        <v>1854.12</v>
      </c>
      <c r="AS594" t="s">
        <v>51</v>
      </c>
      <c r="AT594">
        <v>1854.12</v>
      </c>
      <c r="AU594" t="s">
        <v>415</v>
      </c>
      <c r="AV594" t="s">
        <v>772</v>
      </c>
      <c r="AW594" t="s">
        <v>2217</v>
      </c>
      <c r="AX594">
        <v>46114</v>
      </c>
      <c r="AY594">
        <v>46163</v>
      </c>
      <c r="AZ594" t="s">
        <v>2218</v>
      </c>
      <c r="BA594" t="s">
        <v>2219</v>
      </c>
      <c r="BB594" t="s">
        <v>2220</v>
      </c>
      <c r="BE594">
        <v>0</v>
      </c>
      <c r="BF594">
        <v>0</v>
      </c>
      <c r="BM594">
        <v>0</v>
      </c>
      <c r="BN594">
        <v>0</v>
      </c>
      <c r="BO594" s="23">
        <f t="shared" si="26"/>
        <v>500.00134835217881</v>
      </c>
      <c r="CG594" t="s">
        <v>421</v>
      </c>
      <c r="CN594" t="str">
        <v>M19</v>
      </c>
      <c r="CO594" t="str">
        <v>1152-5YY0221EN</v>
      </c>
      <c r="CP594" t="str">
        <v>MSNU7011814</v>
      </c>
      <c r="CQ594" s="23">
        <v>739.49279999999999</v>
      </c>
      <c r="CR594" s="25">
        <f t="shared" si="24"/>
        <v>3.9876634892484941E-2</v>
      </c>
      <c r="CS594" s="21">
        <f t="shared" si="25"/>
        <v>99.691587231212353</v>
      </c>
    </row>
    <row r="595" spans="2:97" x14ac:dyDescent="0.35">
      <c r="B595" t="s">
        <v>3497</v>
      </c>
      <c r="C595" t="s">
        <v>2243</v>
      </c>
      <c r="D595" t="s">
        <v>395</v>
      </c>
      <c r="E595" t="s">
        <v>395</v>
      </c>
      <c r="F595" t="s">
        <v>396</v>
      </c>
      <c r="G595" t="s">
        <v>397</v>
      </c>
      <c r="H595" t="s">
        <v>470</v>
      </c>
      <c r="I595" t="s">
        <v>399</v>
      </c>
      <c r="J595" t="s">
        <v>400</v>
      </c>
      <c r="K595" t="s">
        <v>471</v>
      </c>
      <c r="L595" t="s">
        <v>472</v>
      </c>
      <c r="M595" t="s">
        <v>403</v>
      </c>
      <c r="N595">
        <v>3</v>
      </c>
      <c r="O595">
        <v>1</v>
      </c>
      <c r="P595" t="s">
        <v>1221</v>
      </c>
      <c r="Q595" t="s">
        <v>424</v>
      </c>
      <c r="R595" t="s">
        <v>474</v>
      </c>
      <c r="S595" t="s">
        <v>1222</v>
      </c>
      <c r="T595" t="s">
        <v>408</v>
      </c>
      <c r="U595">
        <v>50950081662</v>
      </c>
      <c r="W595">
        <v>6000</v>
      </c>
      <c r="X595" t="s">
        <v>409</v>
      </c>
      <c r="Y595" t="s">
        <v>410</v>
      </c>
      <c r="Z595" t="s">
        <v>410</v>
      </c>
      <c r="AA595" t="s">
        <v>411</v>
      </c>
      <c r="AB595" t="s">
        <v>412</v>
      </c>
      <c r="AC595" t="s">
        <v>411</v>
      </c>
      <c r="AD595">
        <v>46105</v>
      </c>
      <c r="AE595">
        <v>46174</v>
      </c>
      <c r="AF595">
        <v>46111</v>
      </c>
      <c r="AG595" t="s">
        <v>476</v>
      </c>
      <c r="AH595">
        <v>6154029</v>
      </c>
      <c r="AI595">
        <v>46104</v>
      </c>
      <c r="AJ595">
        <v>46104</v>
      </c>
      <c r="AK595">
        <v>6000</v>
      </c>
      <c r="AL595" t="s">
        <v>396</v>
      </c>
      <c r="AM595" t="s">
        <v>2244</v>
      </c>
      <c r="AN595">
        <v>46104</v>
      </c>
      <c r="AO595">
        <v>46104.371076388888</v>
      </c>
      <c r="AP595" t="s">
        <v>51</v>
      </c>
      <c r="AQ595">
        <v>2.1007400000000001</v>
      </c>
      <c r="AR595">
        <v>12604.44</v>
      </c>
      <c r="AS595" t="s">
        <v>51</v>
      </c>
      <c r="AT595">
        <v>12604.44</v>
      </c>
      <c r="AU595" t="s">
        <v>415</v>
      </c>
      <c r="AV595" t="s">
        <v>772</v>
      </c>
      <c r="AW595" t="s">
        <v>2217</v>
      </c>
      <c r="AX595">
        <v>46114</v>
      </c>
      <c r="AY595">
        <v>46163</v>
      </c>
      <c r="AZ595" t="s">
        <v>2226</v>
      </c>
      <c r="BA595" t="s">
        <v>419</v>
      </c>
      <c r="BB595" t="s">
        <v>2227</v>
      </c>
      <c r="BE595">
        <v>0</v>
      </c>
      <c r="BF595">
        <v>0</v>
      </c>
      <c r="BM595">
        <v>0</v>
      </c>
      <c r="BN595">
        <v>0</v>
      </c>
      <c r="BO595" s="23">
        <f t="shared" si="26"/>
        <v>6000</v>
      </c>
      <c r="CG595" t="s">
        <v>421</v>
      </c>
      <c r="CN595" t="str">
        <v>M19</v>
      </c>
      <c r="CO595" t="str">
        <v>1330-5YY0182EN</v>
      </c>
      <c r="CP595" t="str">
        <v>MSNU7011814</v>
      </c>
      <c r="CQ595" s="23">
        <v>1053.8136</v>
      </c>
      <c r="CR595" s="25">
        <f t="shared" si="24"/>
        <v>5.6826165409501167E-2</v>
      </c>
      <c r="CS595" s="21">
        <f t="shared" si="25"/>
        <v>142.06541352375291</v>
      </c>
    </row>
    <row r="596" spans="2:97" x14ac:dyDescent="0.35">
      <c r="B596" t="s">
        <v>296</v>
      </c>
      <c r="C596" t="s">
        <v>2245</v>
      </c>
      <c r="D596" t="s">
        <v>395</v>
      </c>
      <c r="E596" t="s">
        <v>395</v>
      </c>
      <c r="F596" t="s">
        <v>396</v>
      </c>
      <c r="G596" t="s">
        <v>397</v>
      </c>
      <c r="H596" t="s">
        <v>398</v>
      </c>
      <c r="I596" t="s">
        <v>399</v>
      </c>
      <c r="J596" t="s">
        <v>400</v>
      </c>
      <c r="K596" t="s">
        <v>484</v>
      </c>
      <c r="L596" t="s">
        <v>1716</v>
      </c>
      <c r="M596" t="s">
        <v>403</v>
      </c>
      <c r="N596">
        <v>1</v>
      </c>
      <c r="O596">
        <v>1</v>
      </c>
      <c r="P596" t="s">
        <v>1717</v>
      </c>
      <c r="Q596" t="s">
        <v>424</v>
      </c>
      <c r="R596" t="s">
        <v>1718</v>
      </c>
      <c r="S596" t="s">
        <v>1719</v>
      </c>
      <c r="T596" t="s">
        <v>408</v>
      </c>
      <c r="U596">
        <v>50950081522</v>
      </c>
      <c r="W596">
        <v>18000</v>
      </c>
      <c r="X596" t="s">
        <v>409</v>
      </c>
      <c r="Y596" t="s">
        <v>410</v>
      </c>
      <c r="Z596" t="s">
        <v>410</v>
      </c>
      <c r="AA596" t="s">
        <v>411</v>
      </c>
      <c r="AB596" t="s">
        <v>412</v>
      </c>
      <c r="AC596" t="s">
        <v>411</v>
      </c>
      <c r="AD596">
        <v>46104</v>
      </c>
      <c r="AE596">
        <v>46160</v>
      </c>
      <c r="AF596">
        <v>46111</v>
      </c>
      <c r="AG596" t="s">
        <v>489</v>
      </c>
      <c r="AH596">
        <v>6154630</v>
      </c>
      <c r="AI596">
        <v>46104</v>
      </c>
      <c r="AJ596">
        <v>46104</v>
      </c>
      <c r="AK596">
        <v>18000</v>
      </c>
      <c r="AL596" t="s">
        <v>396</v>
      </c>
      <c r="AM596" t="s">
        <v>2246</v>
      </c>
      <c r="AN596">
        <v>46104</v>
      </c>
      <c r="AO596">
        <v>46104.618622685186</v>
      </c>
      <c r="AP596" t="s">
        <v>51</v>
      </c>
      <c r="AQ596">
        <v>0.14984</v>
      </c>
      <c r="AR596">
        <v>2697.12</v>
      </c>
      <c r="AS596" t="s">
        <v>51</v>
      </c>
      <c r="AT596">
        <v>2697.12</v>
      </c>
      <c r="AU596" t="s">
        <v>415</v>
      </c>
      <c r="AV596" t="s">
        <v>772</v>
      </c>
      <c r="AW596" t="s">
        <v>2217</v>
      </c>
      <c r="AX596">
        <v>46114</v>
      </c>
      <c r="AY596">
        <v>46163</v>
      </c>
      <c r="AZ596" t="s">
        <v>2226</v>
      </c>
      <c r="BA596" t="s">
        <v>419</v>
      </c>
      <c r="BB596" t="s">
        <v>2227</v>
      </c>
      <c r="BE596">
        <v>0</v>
      </c>
      <c r="BF596">
        <v>0</v>
      </c>
      <c r="BM596">
        <v>0</v>
      </c>
      <c r="BN596">
        <v>0</v>
      </c>
      <c r="BO596">
        <v>200</v>
      </c>
      <c r="CG596" t="s">
        <v>421</v>
      </c>
      <c r="CN596" t="str">
        <v>M19</v>
      </c>
      <c r="CO596" t="str">
        <v>1330-5YY0167EN</v>
      </c>
      <c r="CP596" t="str">
        <v>MSNU7011814</v>
      </c>
      <c r="CQ596" s="23">
        <v>175.2276</v>
      </c>
      <c r="CR596" s="25">
        <f t="shared" si="24"/>
        <v>9.4490264520308981E-3</v>
      </c>
      <c r="CS596" s="21">
        <f t="shared" si="25"/>
        <v>23.622566130077246</v>
      </c>
    </row>
    <row r="597" spans="2:97" x14ac:dyDescent="0.35">
      <c r="B597" t="s">
        <v>296</v>
      </c>
      <c r="C597" t="s">
        <v>2247</v>
      </c>
      <c r="D597" t="s">
        <v>395</v>
      </c>
      <c r="E597" t="s">
        <v>395</v>
      </c>
      <c r="F597" t="s">
        <v>396</v>
      </c>
      <c r="G597" t="s">
        <v>397</v>
      </c>
      <c r="H597" t="s">
        <v>398</v>
      </c>
      <c r="I597" t="s">
        <v>399</v>
      </c>
      <c r="J597" t="s">
        <v>400</v>
      </c>
      <c r="K597" t="s">
        <v>484</v>
      </c>
      <c r="L597" t="s">
        <v>485</v>
      </c>
      <c r="M597" t="s">
        <v>403</v>
      </c>
      <c r="N597">
        <v>1</v>
      </c>
      <c r="O597">
        <v>1</v>
      </c>
      <c r="P597" t="s">
        <v>492</v>
      </c>
      <c r="Q597" t="s">
        <v>430</v>
      </c>
      <c r="R597" t="s">
        <v>493</v>
      </c>
      <c r="S597" t="s">
        <v>494</v>
      </c>
      <c r="T597" t="s">
        <v>408</v>
      </c>
      <c r="U597">
        <v>50950081465</v>
      </c>
      <c r="W597">
        <v>60000</v>
      </c>
      <c r="X597" t="s">
        <v>409</v>
      </c>
      <c r="Y597" t="s">
        <v>410</v>
      </c>
      <c r="Z597" t="s">
        <v>410</v>
      </c>
      <c r="AA597" t="s">
        <v>411</v>
      </c>
      <c r="AB597" t="s">
        <v>412</v>
      </c>
      <c r="AC597" t="s">
        <v>411</v>
      </c>
      <c r="AD597">
        <v>46104</v>
      </c>
      <c r="AE597">
        <v>46160</v>
      </c>
      <c r="AF597">
        <v>46111</v>
      </c>
      <c r="AG597" t="s">
        <v>489</v>
      </c>
      <c r="AH597">
        <v>6154638</v>
      </c>
      <c r="AI597">
        <v>46104</v>
      </c>
      <c r="AJ597">
        <v>46104</v>
      </c>
      <c r="AK597">
        <v>60000</v>
      </c>
      <c r="AL597" t="s">
        <v>396</v>
      </c>
      <c r="AM597" t="s">
        <v>2248</v>
      </c>
      <c r="AN597">
        <v>46104</v>
      </c>
      <c r="AO597">
        <v>46104.618622685186</v>
      </c>
      <c r="AP597" t="s">
        <v>51</v>
      </c>
      <c r="AQ597">
        <v>4.4589999999999998E-2</v>
      </c>
      <c r="AR597">
        <v>2675.4</v>
      </c>
      <c r="AS597" t="s">
        <v>51</v>
      </c>
      <c r="AT597">
        <v>2675.4</v>
      </c>
      <c r="AU597" t="s">
        <v>415</v>
      </c>
      <c r="AV597" t="s">
        <v>772</v>
      </c>
      <c r="AW597" t="s">
        <v>2217</v>
      </c>
      <c r="AX597">
        <v>46114</v>
      </c>
      <c r="AY597">
        <v>46163</v>
      </c>
      <c r="AZ597" t="s">
        <v>2218</v>
      </c>
      <c r="BA597" t="s">
        <v>2219</v>
      </c>
      <c r="BB597" t="s">
        <v>2220</v>
      </c>
      <c r="BE597">
        <v>0</v>
      </c>
      <c r="BF597">
        <v>0</v>
      </c>
      <c r="BM597">
        <v>0</v>
      </c>
      <c r="BN597">
        <v>0</v>
      </c>
      <c r="BO597">
        <v>50</v>
      </c>
      <c r="CG597" t="s">
        <v>421</v>
      </c>
      <c r="CN597" t="str">
        <v>M19</v>
      </c>
      <c r="CO597" t="str">
        <v>1330-5YY0176EN</v>
      </c>
      <c r="CP597" t="str">
        <v>MSNU7011814</v>
      </c>
      <c r="CQ597" s="23">
        <v>273.75360000000001</v>
      </c>
      <c r="CR597" s="25">
        <f t="shared" si="24"/>
        <v>1.4761972473164534E-2</v>
      </c>
      <c r="CS597" s="21">
        <f t="shared" si="25"/>
        <v>36.904931182911334</v>
      </c>
    </row>
    <row r="598" spans="2:97" x14ac:dyDescent="0.35">
      <c r="B598" t="s">
        <v>296</v>
      </c>
      <c r="C598" t="s">
        <v>2249</v>
      </c>
      <c r="D598" t="s">
        <v>395</v>
      </c>
      <c r="E598" t="s">
        <v>395</v>
      </c>
      <c r="F598" t="s">
        <v>396</v>
      </c>
      <c r="G598" t="s">
        <v>397</v>
      </c>
      <c r="H598" t="s">
        <v>398</v>
      </c>
      <c r="I598" t="s">
        <v>399</v>
      </c>
      <c r="J598" t="s">
        <v>400</v>
      </c>
      <c r="K598" t="s">
        <v>484</v>
      </c>
      <c r="L598" t="s">
        <v>485</v>
      </c>
      <c r="M598" t="s">
        <v>403</v>
      </c>
      <c r="N598">
        <v>1</v>
      </c>
      <c r="O598">
        <v>1</v>
      </c>
      <c r="P598" t="s">
        <v>1250</v>
      </c>
      <c r="Q598" t="s">
        <v>424</v>
      </c>
      <c r="R598" t="s">
        <v>511</v>
      </c>
      <c r="S598" t="s">
        <v>1238</v>
      </c>
      <c r="T598" t="s">
        <v>408</v>
      </c>
      <c r="U598">
        <v>50950081476</v>
      </c>
      <c r="W598">
        <v>1770.28</v>
      </c>
      <c r="X598" t="s">
        <v>409</v>
      </c>
      <c r="Y598" t="s">
        <v>410</v>
      </c>
      <c r="Z598" t="s">
        <v>410</v>
      </c>
      <c r="AA598" t="s">
        <v>411</v>
      </c>
      <c r="AB598" t="s">
        <v>412</v>
      </c>
      <c r="AC598" t="s">
        <v>411</v>
      </c>
      <c r="AD598">
        <v>46104</v>
      </c>
      <c r="AE598">
        <v>46160</v>
      </c>
      <c r="AF598">
        <v>46111</v>
      </c>
      <c r="AG598" t="s">
        <v>489</v>
      </c>
      <c r="AH598">
        <v>6154636</v>
      </c>
      <c r="AI598">
        <v>46104</v>
      </c>
      <c r="AJ598">
        <v>46104</v>
      </c>
      <c r="AK598">
        <v>1770.28</v>
      </c>
      <c r="AL598" t="s">
        <v>396</v>
      </c>
      <c r="AM598" t="s">
        <v>2250</v>
      </c>
      <c r="AN598">
        <v>46104</v>
      </c>
      <c r="AO598">
        <v>46104.618622685186</v>
      </c>
      <c r="AP598" t="s">
        <v>51</v>
      </c>
      <c r="AQ598">
        <v>6.5055100000000001</v>
      </c>
      <c r="AR598">
        <v>11516.57</v>
      </c>
      <c r="AS598" t="s">
        <v>51</v>
      </c>
      <c r="AT598">
        <v>11516.57</v>
      </c>
      <c r="AU598" t="s">
        <v>415</v>
      </c>
      <c r="AV598" t="s">
        <v>772</v>
      </c>
      <c r="AW598" t="s">
        <v>2217</v>
      </c>
      <c r="AX598">
        <v>46114</v>
      </c>
      <c r="AY598">
        <v>46163</v>
      </c>
      <c r="AZ598" t="s">
        <v>2226</v>
      </c>
      <c r="BA598" t="s">
        <v>419</v>
      </c>
      <c r="BB598" t="s">
        <v>2227</v>
      </c>
      <c r="BO598" s="23">
        <f t="shared" ref="BO598:BO602" si="27">AR598/AQ598</f>
        <v>1770.279347814391</v>
      </c>
      <c r="CG598" t="s">
        <v>421</v>
      </c>
      <c r="CN598" t="str">
        <v>M19</v>
      </c>
      <c r="CO598" t="str">
        <v>1330-5YY0177EN</v>
      </c>
      <c r="CP598" t="str">
        <v>MSNU7011814</v>
      </c>
      <c r="CQ598" s="23">
        <v>1217.5128</v>
      </c>
      <c r="CR598" s="25">
        <f t="shared" si="24"/>
        <v>6.5653530910006211E-2</v>
      </c>
      <c r="CS598" s="21">
        <f t="shared" si="25"/>
        <v>164.13382727501553</v>
      </c>
    </row>
    <row r="599" spans="2:97" x14ac:dyDescent="0.35">
      <c r="B599" t="s">
        <v>296</v>
      </c>
      <c r="C599" t="s">
        <v>2251</v>
      </c>
      <c r="D599" t="s">
        <v>395</v>
      </c>
      <c r="E599" t="s">
        <v>395</v>
      </c>
      <c r="F599" t="s">
        <v>396</v>
      </c>
      <c r="G599" t="s">
        <v>397</v>
      </c>
      <c r="H599" t="s">
        <v>398</v>
      </c>
      <c r="I599" t="s">
        <v>399</v>
      </c>
      <c r="J599" t="s">
        <v>400</v>
      </c>
      <c r="K599" t="s">
        <v>484</v>
      </c>
      <c r="L599" t="s">
        <v>485</v>
      </c>
      <c r="M599" t="s">
        <v>403</v>
      </c>
      <c r="N599">
        <v>1</v>
      </c>
      <c r="O599">
        <v>1</v>
      </c>
      <c r="P599" t="s">
        <v>1236</v>
      </c>
      <c r="Q599" t="s">
        <v>424</v>
      </c>
      <c r="R599" t="s">
        <v>1237</v>
      </c>
      <c r="S599" t="s">
        <v>1238</v>
      </c>
      <c r="T599" t="s">
        <v>408</v>
      </c>
      <c r="U599">
        <v>50950081477</v>
      </c>
      <c r="W599">
        <v>1990.32</v>
      </c>
      <c r="X599" t="s">
        <v>409</v>
      </c>
      <c r="Y599" t="s">
        <v>410</v>
      </c>
      <c r="Z599" t="s">
        <v>410</v>
      </c>
      <c r="AA599" t="s">
        <v>411</v>
      </c>
      <c r="AB599" t="s">
        <v>412</v>
      </c>
      <c r="AC599" t="s">
        <v>411</v>
      </c>
      <c r="AD599">
        <v>46104</v>
      </c>
      <c r="AE599">
        <v>46160</v>
      </c>
      <c r="AF599">
        <v>46111</v>
      </c>
      <c r="AG599" t="s">
        <v>489</v>
      </c>
      <c r="AH599">
        <v>6154637</v>
      </c>
      <c r="AI599">
        <v>46104</v>
      </c>
      <c r="AJ599">
        <v>46104</v>
      </c>
      <c r="AK599">
        <v>1990.32</v>
      </c>
      <c r="AL599" t="s">
        <v>396</v>
      </c>
      <c r="AM599" t="s">
        <v>2252</v>
      </c>
      <c r="AN599">
        <v>46104</v>
      </c>
      <c r="AO599">
        <v>46104.618622685186</v>
      </c>
      <c r="AP599" t="s">
        <v>51</v>
      </c>
      <c r="AQ599">
        <v>7.3144900000000002</v>
      </c>
      <c r="AR599">
        <v>14558.18</v>
      </c>
      <c r="AS599" t="s">
        <v>51</v>
      </c>
      <c r="AT599">
        <v>14558.18</v>
      </c>
      <c r="AU599" t="s">
        <v>415</v>
      </c>
      <c r="AV599" t="s">
        <v>772</v>
      </c>
      <c r="AW599" t="s">
        <v>2217</v>
      </c>
      <c r="AX599">
        <v>46114</v>
      </c>
      <c r="AY599">
        <v>46163</v>
      </c>
      <c r="AZ599" t="s">
        <v>2226</v>
      </c>
      <c r="BA599" t="s">
        <v>419</v>
      </c>
      <c r="BB599" t="s">
        <v>2227</v>
      </c>
      <c r="BO599" s="23">
        <f t="shared" si="27"/>
        <v>1990.3205828430964</v>
      </c>
      <c r="CG599" t="s">
        <v>421</v>
      </c>
      <c r="CN599" t="str">
        <v>M01</v>
      </c>
      <c r="CO599" t="str">
        <v>1301-1030476EN</v>
      </c>
      <c r="CP599" t="str">
        <v>MSNU7011814</v>
      </c>
      <c r="CQ599" s="23">
        <v>737.44</v>
      </c>
      <c r="CR599" s="25">
        <f t="shared" si="24"/>
        <v>3.9765939080291378E-2</v>
      </c>
      <c r="CS599" s="21">
        <f t="shared" si="25"/>
        <v>99.414847700728444</v>
      </c>
    </row>
    <row r="600" spans="2:97" x14ac:dyDescent="0.35">
      <c r="B600" t="s">
        <v>3497</v>
      </c>
      <c r="C600" t="s">
        <v>2253</v>
      </c>
      <c r="D600" t="s">
        <v>395</v>
      </c>
      <c r="E600" t="s">
        <v>395</v>
      </c>
      <c r="F600" t="s">
        <v>396</v>
      </c>
      <c r="G600" t="s">
        <v>397</v>
      </c>
      <c r="H600" t="s">
        <v>470</v>
      </c>
      <c r="I600" t="s">
        <v>399</v>
      </c>
      <c r="J600" t="s">
        <v>400</v>
      </c>
      <c r="K600" t="s">
        <v>471</v>
      </c>
      <c r="L600" t="s">
        <v>2254</v>
      </c>
      <c r="M600" t="s">
        <v>403</v>
      </c>
      <c r="N600">
        <v>1</v>
      </c>
      <c r="O600">
        <v>1</v>
      </c>
      <c r="P600" t="s">
        <v>545</v>
      </c>
      <c r="Q600" t="s">
        <v>424</v>
      </c>
      <c r="R600" t="s">
        <v>528</v>
      </c>
      <c r="S600" t="s">
        <v>546</v>
      </c>
      <c r="T600" t="s">
        <v>408</v>
      </c>
      <c r="U600">
        <v>50950082330</v>
      </c>
      <c r="W600">
        <v>1000</v>
      </c>
      <c r="X600" t="s">
        <v>409</v>
      </c>
      <c r="Y600" t="s">
        <v>410</v>
      </c>
      <c r="Z600" t="s">
        <v>410</v>
      </c>
      <c r="AA600" t="s">
        <v>411</v>
      </c>
      <c r="AB600" t="s">
        <v>412</v>
      </c>
      <c r="AC600" t="s">
        <v>411</v>
      </c>
      <c r="AD600">
        <v>46105</v>
      </c>
      <c r="AE600">
        <v>46153</v>
      </c>
      <c r="AF600">
        <v>46111</v>
      </c>
      <c r="AG600" t="s">
        <v>476</v>
      </c>
      <c r="AH600">
        <v>6154032</v>
      </c>
      <c r="AI600">
        <v>46104</v>
      </c>
      <c r="AJ600">
        <v>46104</v>
      </c>
      <c r="AK600">
        <v>1000</v>
      </c>
      <c r="AL600" t="s">
        <v>396</v>
      </c>
      <c r="AM600" t="s">
        <v>2255</v>
      </c>
      <c r="AN600">
        <v>46104</v>
      </c>
      <c r="AO600">
        <v>46104.371076388888</v>
      </c>
      <c r="AP600" t="s">
        <v>51</v>
      </c>
      <c r="AQ600">
        <v>6.2474999999999996</v>
      </c>
      <c r="AR600">
        <v>6247.5</v>
      </c>
      <c r="AS600" t="s">
        <v>51</v>
      </c>
      <c r="AT600">
        <v>6247.5</v>
      </c>
      <c r="AU600" t="s">
        <v>415</v>
      </c>
      <c r="AV600" t="s">
        <v>772</v>
      </c>
      <c r="AW600" t="s">
        <v>2217</v>
      </c>
      <c r="AX600">
        <v>46114</v>
      </c>
      <c r="AY600">
        <v>46163</v>
      </c>
      <c r="AZ600" t="s">
        <v>2218</v>
      </c>
      <c r="BA600" t="s">
        <v>2219</v>
      </c>
      <c r="BB600" t="s">
        <v>2220</v>
      </c>
      <c r="BO600" s="23">
        <f t="shared" si="27"/>
        <v>1000.0000000000001</v>
      </c>
      <c r="CG600" t="s">
        <v>421</v>
      </c>
      <c r="CN600" t="str">
        <v>M45</v>
      </c>
      <c r="CO600" t="str">
        <v>AYSP61AS871EN</v>
      </c>
      <c r="CP600" t="str">
        <v>MSNU7011814</v>
      </c>
      <c r="CQ600" s="23">
        <v>946.40020000000004</v>
      </c>
      <c r="CR600" s="25">
        <f t="shared" si="24"/>
        <v>5.1033972524918064E-2</v>
      </c>
      <c r="CS600" s="21">
        <f t="shared" si="25"/>
        <v>127.58493131229515</v>
      </c>
    </row>
    <row r="601" spans="2:97" x14ac:dyDescent="0.35">
      <c r="B601" t="s">
        <v>3497</v>
      </c>
      <c r="C601" t="s">
        <v>2256</v>
      </c>
      <c r="D601" t="s">
        <v>395</v>
      </c>
      <c r="E601" t="s">
        <v>395</v>
      </c>
      <c r="F601" t="s">
        <v>396</v>
      </c>
      <c r="G601" t="s">
        <v>397</v>
      </c>
      <c r="H601" t="s">
        <v>470</v>
      </c>
      <c r="I601" t="s">
        <v>399</v>
      </c>
      <c r="J601" t="s">
        <v>400</v>
      </c>
      <c r="K601" t="s">
        <v>471</v>
      </c>
      <c r="L601" t="s">
        <v>2254</v>
      </c>
      <c r="M601" t="s">
        <v>403</v>
      </c>
      <c r="N601">
        <v>1</v>
      </c>
      <c r="O601">
        <v>1</v>
      </c>
      <c r="P601" t="s">
        <v>545</v>
      </c>
      <c r="Q601" t="s">
        <v>424</v>
      </c>
      <c r="R601" t="s">
        <v>528</v>
      </c>
      <c r="S601" t="s">
        <v>546</v>
      </c>
      <c r="T601" t="s">
        <v>408</v>
      </c>
      <c r="U601">
        <v>50950082329</v>
      </c>
      <c r="W601">
        <v>1000</v>
      </c>
      <c r="X601" t="s">
        <v>409</v>
      </c>
      <c r="Y601" t="s">
        <v>410</v>
      </c>
      <c r="Z601" t="s">
        <v>410</v>
      </c>
      <c r="AA601" t="s">
        <v>411</v>
      </c>
      <c r="AB601" t="s">
        <v>412</v>
      </c>
      <c r="AC601" t="s">
        <v>411</v>
      </c>
      <c r="AD601">
        <v>46105</v>
      </c>
      <c r="AE601">
        <v>46097</v>
      </c>
      <c r="AF601">
        <v>46111</v>
      </c>
      <c r="AG601" t="s">
        <v>476</v>
      </c>
      <c r="AH601">
        <v>6154033</v>
      </c>
      <c r="AI601">
        <v>46104</v>
      </c>
      <c r="AJ601">
        <v>46104</v>
      </c>
      <c r="AK601">
        <v>1000</v>
      </c>
      <c r="AL601" t="s">
        <v>396</v>
      </c>
      <c r="AM601" t="s">
        <v>2257</v>
      </c>
      <c r="AN601">
        <v>46104</v>
      </c>
      <c r="AO601">
        <v>46104.371076388888</v>
      </c>
      <c r="AP601" t="s">
        <v>51</v>
      </c>
      <c r="AQ601">
        <v>6.2474999999999996</v>
      </c>
      <c r="AR601">
        <v>6247.5</v>
      </c>
      <c r="AS601" t="s">
        <v>51</v>
      </c>
      <c r="AT601">
        <v>6247.5</v>
      </c>
      <c r="AU601" t="s">
        <v>415</v>
      </c>
      <c r="AV601" t="s">
        <v>772</v>
      </c>
      <c r="AW601" t="s">
        <v>2217</v>
      </c>
      <c r="AX601">
        <v>46114</v>
      </c>
      <c r="AY601">
        <v>46163</v>
      </c>
      <c r="AZ601" t="s">
        <v>2218</v>
      </c>
      <c r="BA601" t="s">
        <v>2219</v>
      </c>
      <c r="BB601" t="s">
        <v>2220</v>
      </c>
      <c r="BO601" s="23">
        <f t="shared" si="27"/>
        <v>1000.0000000000001</v>
      </c>
      <c r="CG601" t="s">
        <v>421</v>
      </c>
      <c r="CN601" t="str">
        <v>M45</v>
      </c>
      <c r="CO601" t="str">
        <v>AYSP61AS871EN</v>
      </c>
      <c r="CP601" t="str">
        <v>MSNU7011814</v>
      </c>
      <c r="CQ601" s="23">
        <v>473.20010000000002</v>
      </c>
      <c r="CR601" s="25">
        <f t="shared" si="24"/>
        <v>2.5516986262459032E-2</v>
      </c>
      <c r="CS601" s="21">
        <f t="shared" si="25"/>
        <v>63.792465656147577</v>
      </c>
    </row>
    <row r="602" spans="2:97" x14ac:dyDescent="0.35">
      <c r="B602" t="s">
        <v>296</v>
      </c>
      <c r="C602" t="s">
        <v>2258</v>
      </c>
      <c r="D602" t="s">
        <v>395</v>
      </c>
      <c r="E602" t="s">
        <v>395</v>
      </c>
      <c r="F602" t="s">
        <v>396</v>
      </c>
      <c r="G602" t="s">
        <v>397</v>
      </c>
      <c r="H602" t="s">
        <v>398</v>
      </c>
      <c r="I602" t="s">
        <v>399</v>
      </c>
      <c r="J602" t="s">
        <v>400</v>
      </c>
      <c r="K602" t="s">
        <v>484</v>
      </c>
      <c r="L602" t="s">
        <v>2259</v>
      </c>
      <c r="M602" t="s">
        <v>403</v>
      </c>
      <c r="N602">
        <v>1</v>
      </c>
      <c r="O602">
        <v>1</v>
      </c>
      <c r="P602" t="s">
        <v>2260</v>
      </c>
      <c r="Q602" t="s">
        <v>424</v>
      </c>
      <c r="R602" t="s">
        <v>2261</v>
      </c>
      <c r="S602" t="s">
        <v>1238</v>
      </c>
      <c r="T602" t="s">
        <v>408</v>
      </c>
      <c r="U602">
        <v>50950082438</v>
      </c>
      <c r="W602">
        <v>539.46</v>
      </c>
      <c r="X602" t="s">
        <v>409</v>
      </c>
      <c r="Y602" t="s">
        <v>410</v>
      </c>
      <c r="Z602" t="s">
        <v>410</v>
      </c>
      <c r="AA602" t="s">
        <v>411</v>
      </c>
      <c r="AB602" t="s">
        <v>412</v>
      </c>
      <c r="AC602" t="s">
        <v>411</v>
      </c>
      <c r="AD602">
        <v>46104</v>
      </c>
      <c r="AE602">
        <v>46139</v>
      </c>
      <c r="AF602">
        <v>46111</v>
      </c>
      <c r="AG602" t="s">
        <v>489</v>
      </c>
      <c r="AH602">
        <v>6154631</v>
      </c>
      <c r="AI602">
        <v>46104</v>
      </c>
      <c r="AJ602">
        <v>46104</v>
      </c>
      <c r="AK602">
        <v>539.46</v>
      </c>
      <c r="AL602" t="s">
        <v>396</v>
      </c>
      <c r="AM602" t="s">
        <v>2262</v>
      </c>
      <c r="AN602">
        <v>46104</v>
      </c>
      <c r="AO602">
        <v>46104.618622685186</v>
      </c>
      <c r="AP602" t="s">
        <v>51</v>
      </c>
      <c r="AQ602">
        <v>5.5122200000000001</v>
      </c>
      <c r="AR602">
        <v>2973.62</v>
      </c>
      <c r="AS602" t="s">
        <v>51</v>
      </c>
      <c r="AT602">
        <v>2973.62</v>
      </c>
      <c r="AU602" t="s">
        <v>415</v>
      </c>
      <c r="AV602" t="s">
        <v>772</v>
      </c>
      <c r="AW602" t="s">
        <v>2217</v>
      </c>
      <c r="AX602">
        <v>46114</v>
      </c>
      <c r="AY602">
        <v>46163</v>
      </c>
      <c r="AZ602" t="s">
        <v>2226</v>
      </c>
      <c r="BA602" t="s">
        <v>419</v>
      </c>
      <c r="BB602" t="s">
        <v>2227</v>
      </c>
      <c r="BO602" s="23">
        <f t="shared" si="27"/>
        <v>539.45960066905889</v>
      </c>
      <c r="CG602" t="s">
        <v>421</v>
      </c>
      <c r="CN602" t="str">
        <v>M45</v>
      </c>
      <c r="CO602" t="str">
        <v>AYSP61AS981EN</v>
      </c>
      <c r="CP602" t="str">
        <v>MSNU7011814</v>
      </c>
      <c r="CQ602" s="23">
        <v>394.30009999999999</v>
      </c>
      <c r="CR602" s="25">
        <f t="shared" si="24"/>
        <v>2.1262358640638964E-2</v>
      </c>
      <c r="CS602" s="21">
        <f t="shared" si="25"/>
        <v>53.155896601597412</v>
      </c>
    </row>
    <row r="603" spans="2:97" x14ac:dyDescent="0.35">
      <c r="B603" t="s">
        <v>3497</v>
      </c>
      <c r="C603" t="s">
        <v>2263</v>
      </c>
      <c r="D603" t="s">
        <v>395</v>
      </c>
      <c r="E603" t="s">
        <v>395</v>
      </c>
      <c r="F603" t="s">
        <v>396</v>
      </c>
      <c r="G603" t="s">
        <v>397</v>
      </c>
      <c r="H603" t="s">
        <v>454</v>
      </c>
      <c r="I603" t="s">
        <v>399</v>
      </c>
      <c r="J603" t="s">
        <v>400</v>
      </c>
      <c r="K603" t="s">
        <v>455</v>
      </c>
      <c r="L603" t="s">
        <v>2264</v>
      </c>
      <c r="M603" t="s">
        <v>403</v>
      </c>
      <c r="N603">
        <v>1</v>
      </c>
      <c r="O603">
        <v>1</v>
      </c>
      <c r="P603" t="s">
        <v>2265</v>
      </c>
      <c r="Q603" t="s">
        <v>645</v>
      </c>
      <c r="R603" t="s">
        <v>2266</v>
      </c>
      <c r="S603" t="s">
        <v>2267</v>
      </c>
      <c r="T603" t="s">
        <v>408</v>
      </c>
      <c r="U603">
        <v>50950082753</v>
      </c>
      <c r="W603">
        <v>10000</v>
      </c>
      <c r="X603" t="s">
        <v>448</v>
      </c>
      <c r="Y603" t="s">
        <v>410</v>
      </c>
      <c r="Z603" t="s">
        <v>410</v>
      </c>
      <c r="AA603" t="s">
        <v>411</v>
      </c>
      <c r="AB603" t="s">
        <v>412</v>
      </c>
      <c r="AC603" t="s">
        <v>411</v>
      </c>
      <c r="AD603">
        <v>46106</v>
      </c>
      <c r="AE603">
        <v>46118</v>
      </c>
      <c r="AF603">
        <v>46107</v>
      </c>
      <c r="AG603" t="s">
        <v>460</v>
      </c>
      <c r="AH603">
        <v>6158086</v>
      </c>
      <c r="AI603">
        <v>46106</v>
      </c>
      <c r="AJ603">
        <v>46106</v>
      </c>
      <c r="AK603">
        <v>10000</v>
      </c>
      <c r="AL603" t="s">
        <v>396</v>
      </c>
      <c r="AM603" t="s">
        <v>2268</v>
      </c>
      <c r="AN603">
        <v>46106</v>
      </c>
      <c r="AO603">
        <v>46106.613587962966</v>
      </c>
      <c r="AP603" t="s">
        <v>51</v>
      </c>
      <c r="AQ603">
        <v>5.0319999999999997E-2</v>
      </c>
      <c r="AR603">
        <v>503.2</v>
      </c>
      <c r="AS603" t="s">
        <v>51</v>
      </c>
      <c r="AT603">
        <v>503.2</v>
      </c>
      <c r="AU603" t="s">
        <v>450</v>
      </c>
      <c r="AV603" t="s">
        <v>448</v>
      </c>
      <c r="AW603" t="s">
        <v>2269</v>
      </c>
      <c r="AX603">
        <v>46109</v>
      </c>
      <c r="AY603">
        <v>46112</v>
      </c>
      <c r="BA603" t="s">
        <v>448</v>
      </c>
      <c r="BB603" t="s">
        <v>2270</v>
      </c>
      <c r="BE603">
        <v>0</v>
      </c>
      <c r="BF603">
        <v>0</v>
      </c>
      <c r="BM603">
        <v>0</v>
      </c>
      <c r="BN603">
        <v>0</v>
      </c>
      <c r="BO603">
        <v>0.1</v>
      </c>
      <c r="CG603" t="s">
        <v>421</v>
      </c>
      <c r="CN603" t="str">
        <v>M45</v>
      </c>
      <c r="CO603" t="str">
        <v>AYSP61AS981EN</v>
      </c>
      <c r="CP603" t="str">
        <v>MSNU7011814</v>
      </c>
      <c r="CQ603" s="23">
        <v>1577.2003999999999</v>
      </c>
      <c r="CR603" s="25">
        <f t="shared" si="24"/>
        <v>8.5049434562555856E-2</v>
      </c>
      <c r="CS603" s="21">
        <f t="shared" si="25"/>
        <v>212.62358640638965</v>
      </c>
    </row>
    <row r="604" spans="2:97" x14ac:dyDescent="0.35">
      <c r="B604" t="s">
        <v>295</v>
      </c>
      <c r="C604" t="s">
        <v>2271</v>
      </c>
      <c r="D604" t="s">
        <v>395</v>
      </c>
      <c r="E604" t="s">
        <v>395</v>
      </c>
      <c r="F604" t="s">
        <v>396</v>
      </c>
      <c r="G604" t="s">
        <v>397</v>
      </c>
      <c r="H604" t="s">
        <v>398</v>
      </c>
      <c r="I604" t="s">
        <v>399</v>
      </c>
      <c r="J604" t="s">
        <v>400</v>
      </c>
      <c r="K604" t="s">
        <v>566</v>
      </c>
      <c r="L604" t="s">
        <v>2272</v>
      </c>
      <c r="M604" t="s">
        <v>403</v>
      </c>
      <c r="N604">
        <v>1</v>
      </c>
      <c r="O604">
        <v>1</v>
      </c>
      <c r="P604" t="s">
        <v>2273</v>
      </c>
      <c r="Q604" t="s">
        <v>587</v>
      </c>
      <c r="R604" t="s">
        <v>2274</v>
      </c>
      <c r="S604" t="s">
        <v>2275</v>
      </c>
      <c r="T604" t="s">
        <v>408</v>
      </c>
      <c r="U604">
        <v>50950082660</v>
      </c>
      <c r="W604">
        <v>50000</v>
      </c>
      <c r="X604" t="s">
        <v>448</v>
      </c>
      <c r="Y604" t="s">
        <v>410</v>
      </c>
      <c r="Z604" t="s">
        <v>410</v>
      </c>
      <c r="AA604" t="s">
        <v>411</v>
      </c>
      <c r="AB604" t="s">
        <v>412</v>
      </c>
      <c r="AC604" t="s">
        <v>411</v>
      </c>
      <c r="AD604">
        <v>46106</v>
      </c>
      <c r="AE604">
        <v>46104</v>
      </c>
      <c r="AF604">
        <v>46107</v>
      </c>
      <c r="AG604" t="s">
        <v>413</v>
      </c>
      <c r="AH604">
        <v>6157997</v>
      </c>
      <c r="AI604">
        <v>46106</v>
      </c>
      <c r="AJ604">
        <v>46106</v>
      </c>
      <c r="AK604">
        <v>50000</v>
      </c>
      <c r="AL604" t="s">
        <v>396</v>
      </c>
      <c r="AM604" t="s">
        <v>2276</v>
      </c>
      <c r="AN604">
        <v>46106</v>
      </c>
      <c r="AO604">
        <v>46106.569490740738</v>
      </c>
      <c r="AP604" t="s">
        <v>51</v>
      </c>
      <c r="AQ604">
        <v>3.9629999999999999E-2</v>
      </c>
      <c r="AR604">
        <v>1981.5</v>
      </c>
      <c r="AS604" t="s">
        <v>51</v>
      </c>
      <c r="AT604">
        <v>1981.5</v>
      </c>
      <c r="AU604" t="s">
        <v>450</v>
      </c>
      <c r="AV604" t="s">
        <v>448</v>
      </c>
      <c r="AW604" t="s">
        <v>2277</v>
      </c>
      <c r="AX604">
        <v>46106</v>
      </c>
      <c r="AY604">
        <v>46112</v>
      </c>
      <c r="BA604" t="s">
        <v>448</v>
      </c>
      <c r="BB604" t="s">
        <v>2278</v>
      </c>
      <c r="BE604">
        <v>0</v>
      </c>
      <c r="BF604">
        <v>0</v>
      </c>
      <c r="BM604">
        <v>0</v>
      </c>
      <c r="BN604">
        <v>0</v>
      </c>
      <c r="BO604">
        <v>0.1</v>
      </c>
      <c r="CG604" t="s">
        <v>421</v>
      </c>
      <c r="CN604" t="str">
        <v>M01</v>
      </c>
      <c r="CO604" t="str">
        <v>1301-1030476EN</v>
      </c>
      <c r="CP604" t="str">
        <v>MSNU7011814</v>
      </c>
      <c r="CQ604" s="23">
        <v>1474.88</v>
      </c>
      <c r="CR604" s="25">
        <f t="shared" si="24"/>
        <v>7.9531878160582756E-2</v>
      </c>
      <c r="CS604" s="21">
        <f t="shared" si="25"/>
        <v>198.82969540145689</v>
      </c>
    </row>
    <row r="605" spans="2:97" x14ac:dyDescent="0.35">
      <c r="B605" t="s">
        <v>295</v>
      </c>
      <c r="C605" t="s">
        <v>2279</v>
      </c>
      <c r="D605" t="s">
        <v>395</v>
      </c>
      <c r="E605" t="s">
        <v>395</v>
      </c>
      <c r="F605" t="s">
        <v>396</v>
      </c>
      <c r="G605" t="s">
        <v>397</v>
      </c>
      <c r="H605" t="s">
        <v>398</v>
      </c>
      <c r="I605" t="s">
        <v>399</v>
      </c>
      <c r="J605" t="s">
        <v>400</v>
      </c>
      <c r="K605" t="s">
        <v>1214</v>
      </c>
      <c r="L605" t="s">
        <v>2272</v>
      </c>
      <c r="M605" t="s">
        <v>403</v>
      </c>
      <c r="N605">
        <v>1</v>
      </c>
      <c r="O605">
        <v>1</v>
      </c>
      <c r="P605" t="s">
        <v>2280</v>
      </c>
      <c r="Q605" t="s">
        <v>637</v>
      </c>
      <c r="R605" t="s">
        <v>2274</v>
      </c>
      <c r="S605" t="s">
        <v>2281</v>
      </c>
      <c r="T605" t="s">
        <v>408</v>
      </c>
      <c r="U605">
        <v>50950082662</v>
      </c>
      <c r="W605">
        <v>50000</v>
      </c>
      <c r="X605" t="s">
        <v>448</v>
      </c>
      <c r="Y605" t="s">
        <v>410</v>
      </c>
      <c r="Z605" t="s">
        <v>410</v>
      </c>
      <c r="AA605" t="s">
        <v>411</v>
      </c>
      <c r="AB605" t="s">
        <v>412</v>
      </c>
      <c r="AC605" t="s">
        <v>411</v>
      </c>
      <c r="AD605">
        <v>46106</v>
      </c>
      <c r="AE605">
        <v>46111</v>
      </c>
      <c r="AF605">
        <v>46107</v>
      </c>
      <c r="AG605" t="s">
        <v>413</v>
      </c>
      <c r="AH605">
        <v>6157998</v>
      </c>
      <c r="AI605">
        <v>46106</v>
      </c>
      <c r="AJ605">
        <v>46106</v>
      </c>
      <c r="AK605">
        <v>50000</v>
      </c>
      <c r="AL605" t="s">
        <v>396</v>
      </c>
      <c r="AM605" t="s">
        <v>2282</v>
      </c>
      <c r="AN605">
        <v>46106</v>
      </c>
      <c r="AO605">
        <v>46106.569490740738</v>
      </c>
      <c r="AP605" t="s">
        <v>51</v>
      </c>
      <c r="AQ605">
        <v>1.6389999999999998E-2</v>
      </c>
      <c r="AR605">
        <v>819.5</v>
      </c>
      <c r="AS605" t="s">
        <v>51</v>
      </c>
      <c r="AT605">
        <v>819.5</v>
      </c>
      <c r="AU605" t="s">
        <v>450</v>
      </c>
      <c r="AV605" t="s">
        <v>448</v>
      </c>
      <c r="AW605" t="s">
        <v>2277</v>
      </c>
      <c r="AX605">
        <v>46106</v>
      </c>
      <c r="AY605">
        <v>46112</v>
      </c>
      <c r="BA605" t="s">
        <v>448</v>
      </c>
      <c r="BB605" t="s">
        <v>2278</v>
      </c>
      <c r="BE605">
        <v>0</v>
      </c>
      <c r="BF605">
        <v>0</v>
      </c>
      <c r="BM605">
        <v>0</v>
      </c>
      <c r="BN605">
        <v>0</v>
      </c>
      <c r="BO605">
        <v>10</v>
      </c>
      <c r="CG605" t="s">
        <v>421</v>
      </c>
      <c r="CN605" t="str">
        <v>M01</v>
      </c>
      <c r="CO605" t="str">
        <v>1458-1030109EN</v>
      </c>
      <c r="CP605" t="str">
        <v>MSNU7011814</v>
      </c>
      <c r="CQ605" s="23">
        <v>315.61680000000001</v>
      </c>
      <c r="CR605" s="25">
        <f t="shared" si="24"/>
        <v>1.7019416415595179E-2</v>
      </c>
      <c r="CS605" s="21">
        <f t="shared" si="25"/>
        <v>42.548541038987949</v>
      </c>
    </row>
    <row r="606" spans="2:97" x14ac:dyDescent="0.35">
      <c r="B606" t="s">
        <v>298</v>
      </c>
      <c r="C606" t="s">
        <v>2283</v>
      </c>
      <c r="D606" t="s">
        <v>565</v>
      </c>
      <c r="E606" t="s">
        <v>395</v>
      </c>
      <c r="F606" t="s">
        <v>396</v>
      </c>
      <c r="G606" t="s">
        <v>397</v>
      </c>
      <c r="H606" t="s">
        <v>398</v>
      </c>
      <c r="I606" t="s">
        <v>399</v>
      </c>
      <c r="J606" t="s">
        <v>400</v>
      </c>
      <c r="K606" t="s">
        <v>566</v>
      </c>
      <c r="L606" t="s">
        <v>567</v>
      </c>
      <c r="M606" t="s">
        <v>403</v>
      </c>
      <c r="N606">
        <v>1</v>
      </c>
      <c r="O606">
        <v>1</v>
      </c>
      <c r="P606" t="s">
        <v>1767</v>
      </c>
      <c r="Q606" t="s">
        <v>424</v>
      </c>
      <c r="R606" t="s">
        <v>1768</v>
      </c>
      <c r="S606" t="s">
        <v>1769</v>
      </c>
      <c r="T606" t="s">
        <v>408</v>
      </c>
      <c r="U606">
        <v>50950081658</v>
      </c>
      <c r="W606">
        <v>7776</v>
      </c>
      <c r="X606" t="s">
        <v>409</v>
      </c>
      <c r="Y606" t="s">
        <v>410</v>
      </c>
      <c r="Z606" t="s">
        <v>410</v>
      </c>
      <c r="AA606" t="s">
        <v>411</v>
      </c>
      <c r="AB606" t="s">
        <v>412</v>
      </c>
      <c r="AC606" t="s">
        <v>411</v>
      </c>
      <c r="AD606">
        <v>46105</v>
      </c>
      <c r="AE606">
        <v>46167</v>
      </c>
      <c r="AF606">
        <v>46111</v>
      </c>
      <c r="AG606" t="s">
        <v>570</v>
      </c>
      <c r="AH606">
        <v>6158289</v>
      </c>
      <c r="AI606">
        <v>46106</v>
      </c>
      <c r="AJ606">
        <v>46107</v>
      </c>
      <c r="AK606">
        <v>7776</v>
      </c>
      <c r="AL606" t="s">
        <v>396</v>
      </c>
      <c r="AM606" t="s">
        <v>2284</v>
      </c>
      <c r="AN606">
        <v>46107</v>
      </c>
      <c r="AO606">
        <v>46107.364050925928</v>
      </c>
      <c r="AP606" t="s">
        <v>51</v>
      </c>
      <c r="AQ606">
        <v>0.37989000000000001</v>
      </c>
      <c r="AR606">
        <v>2954.02</v>
      </c>
      <c r="AS606" t="s">
        <v>51</v>
      </c>
      <c r="AT606">
        <v>2954.02</v>
      </c>
      <c r="AU606" t="s">
        <v>415</v>
      </c>
      <c r="AV606" t="s">
        <v>772</v>
      </c>
      <c r="AW606" t="s">
        <v>2217</v>
      </c>
      <c r="AX606">
        <v>46114</v>
      </c>
      <c r="AY606">
        <v>46163</v>
      </c>
      <c r="AZ606" t="s">
        <v>2226</v>
      </c>
      <c r="BA606" t="s">
        <v>419</v>
      </c>
      <c r="BB606" t="s">
        <v>2227</v>
      </c>
      <c r="BC606">
        <v>81</v>
      </c>
      <c r="BD606" t="s">
        <v>521</v>
      </c>
      <c r="BE606">
        <v>6.1428000000000003</v>
      </c>
      <c r="BF606">
        <v>5.2187999999999999</v>
      </c>
      <c r="BG606" t="s">
        <v>522</v>
      </c>
      <c r="BH606">
        <v>395</v>
      </c>
      <c r="BI606">
        <v>295</v>
      </c>
      <c r="BJ606">
        <v>150</v>
      </c>
      <c r="BK606">
        <v>48</v>
      </c>
      <c r="BL606" t="s">
        <v>521</v>
      </c>
      <c r="BM606">
        <v>318.8544</v>
      </c>
      <c r="BN606">
        <v>250.50239999999999</v>
      </c>
      <c r="BO606">
        <v>637.71168</v>
      </c>
      <c r="BP606" t="s">
        <v>522</v>
      </c>
      <c r="BQ606">
        <v>1200</v>
      </c>
      <c r="BR606">
        <v>800</v>
      </c>
      <c r="BS606">
        <v>1060</v>
      </c>
      <c r="BT606">
        <v>2</v>
      </c>
      <c r="BU606">
        <v>0</v>
      </c>
      <c r="BV606">
        <v>2</v>
      </c>
      <c r="BW606">
        <v>96</v>
      </c>
      <c r="BX606">
        <v>0</v>
      </c>
      <c r="BY606">
        <v>96</v>
      </c>
      <c r="BZ606">
        <v>7776</v>
      </c>
      <c r="CA606">
        <v>0</v>
      </c>
      <c r="CB606">
        <v>7776</v>
      </c>
      <c r="CC606">
        <v>501.00767999999999</v>
      </c>
      <c r="CD606" t="s">
        <v>694</v>
      </c>
      <c r="CE606" t="s">
        <v>1771</v>
      </c>
      <c r="CG606" t="s">
        <v>421</v>
      </c>
      <c r="CN606" t="str">
        <v>M01</v>
      </c>
      <c r="CO606" t="str">
        <v>1277-1030069EN</v>
      </c>
      <c r="CP606" t="str">
        <v>MSNU7011814</v>
      </c>
      <c r="CQ606" s="23">
        <v>305.16000000000003</v>
      </c>
      <c r="CR606" s="25">
        <f t="shared" si="24"/>
        <v>1.645554074872765E-2</v>
      </c>
      <c r="CS606" s="21">
        <f t="shared" si="25"/>
        <v>41.138851871819128</v>
      </c>
    </row>
    <row r="607" spans="2:97" x14ac:dyDescent="0.35">
      <c r="B607" t="s">
        <v>299</v>
      </c>
      <c r="C607" t="s">
        <v>2285</v>
      </c>
      <c r="D607" t="s">
        <v>395</v>
      </c>
      <c r="E607" t="s">
        <v>395</v>
      </c>
      <c r="F607" t="s">
        <v>396</v>
      </c>
      <c r="G607" t="s">
        <v>397</v>
      </c>
      <c r="H607" t="s">
        <v>532</v>
      </c>
      <c r="I607" t="s">
        <v>399</v>
      </c>
      <c r="J607" t="s">
        <v>400</v>
      </c>
      <c r="K607" t="s">
        <v>515</v>
      </c>
      <c r="L607" t="s">
        <v>585</v>
      </c>
      <c r="M607" t="s">
        <v>403</v>
      </c>
      <c r="N607">
        <v>1</v>
      </c>
      <c r="O607">
        <v>1</v>
      </c>
      <c r="P607" t="s">
        <v>586</v>
      </c>
      <c r="Q607" t="s">
        <v>587</v>
      </c>
      <c r="R607" t="s">
        <v>588</v>
      </c>
      <c r="S607" t="s">
        <v>589</v>
      </c>
      <c r="T607" t="s">
        <v>408</v>
      </c>
      <c r="U607">
        <v>50950080274</v>
      </c>
      <c r="W607">
        <v>5400</v>
      </c>
      <c r="X607" t="s">
        <v>409</v>
      </c>
      <c r="Y607" t="s">
        <v>410</v>
      </c>
      <c r="Z607" t="s">
        <v>410</v>
      </c>
      <c r="AA607" t="s">
        <v>411</v>
      </c>
      <c r="AB607" t="s">
        <v>412</v>
      </c>
      <c r="AC607" t="s">
        <v>411</v>
      </c>
      <c r="AD607">
        <v>46104</v>
      </c>
      <c r="AE607">
        <v>46160</v>
      </c>
      <c r="AF607">
        <v>46111</v>
      </c>
      <c r="AG607" t="s">
        <v>590</v>
      </c>
      <c r="AH607">
        <v>6158293</v>
      </c>
      <c r="AI607">
        <v>46106</v>
      </c>
      <c r="AJ607">
        <v>46107</v>
      </c>
      <c r="AK607">
        <v>5400</v>
      </c>
      <c r="AL607" t="s">
        <v>396</v>
      </c>
      <c r="AM607" t="s">
        <v>2286</v>
      </c>
      <c r="AN607">
        <v>46107</v>
      </c>
      <c r="AO607">
        <v>46107.364050925928</v>
      </c>
      <c r="AP607" t="s">
        <v>51</v>
      </c>
      <c r="AQ607">
        <v>1.9509799999999999</v>
      </c>
      <c r="AR607">
        <v>10535.28</v>
      </c>
      <c r="AS607" t="s">
        <v>51</v>
      </c>
      <c r="AT607">
        <v>10535.28</v>
      </c>
      <c r="AU607" t="s">
        <v>415</v>
      </c>
      <c r="AV607" t="s">
        <v>772</v>
      </c>
      <c r="AW607" t="s">
        <v>2217</v>
      </c>
      <c r="AX607">
        <v>46114</v>
      </c>
      <c r="AY607">
        <v>46163</v>
      </c>
      <c r="AZ607" t="s">
        <v>2226</v>
      </c>
      <c r="BA607" t="s">
        <v>419</v>
      </c>
      <c r="BB607" t="s">
        <v>2227</v>
      </c>
      <c r="BC607">
        <v>27</v>
      </c>
      <c r="BD607" t="s">
        <v>521</v>
      </c>
      <c r="BE607">
        <v>2.6560000000000001</v>
      </c>
      <c r="BF607">
        <v>1.623</v>
      </c>
      <c r="BG607" t="s">
        <v>522</v>
      </c>
      <c r="BH607">
        <v>395</v>
      </c>
      <c r="BI607">
        <v>295</v>
      </c>
      <c r="BJ607">
        <v>190</v>
      </c>
      <c r="BK607">
        <v>50</v>
      </c>
      <c r="BL607" t="s">
        <v>521</v>
      </c>
      <c r="BM607">
        <v>159.80000000000001</v>
      </c>
      <c r="BN607">
        <v>81.150000000000006</v>
      </c>
      <c r="BO607">
        <v>639.19939999999997</v>
      </c>
      <c r="BP607" t="s">
        <v>522</v>
      </c>
      <c r="BQ607">
        <v>1200</v>
      </c>
      <c r="BR607">
        <v>1000</v>
      </c>
      <c r="BS607">
        <v>1110</v>
      </c>
      <c r="BT607">
        <v>4</v>
      </c>
      <c r="BU607">
        <v>0</v>
      </c>
      <c r="BV607">
        <v>4</v>
      </c>
      <c r="BW607">
        <v>200</v>
      </c>
      <c r="BX607">
        <v>0</v>
      </c>
      <c r="BY607">
        <v>200</v>
      </c>
      <c r="BZ607">
        <v>5400</v>
      </c>
      <c r="CA607">
        <v>0</v>
      </c>
      <c r="CB607">
        <v>5400</v>
      </c>
      <c r="CC607">
        <v>324.5994</v>
      </c>
      <c r="CD607" t="s">
        <v>592</v>
      </c>
      <c r="CE607" t="s">
        <v>593</v>
      </c>
      <c r="CG607" t="s">
        <v>421</v>
      </c>
      <c r="CN607" t="str">
        <v>M19</v>
      </c>
      <c r="CO607" t="str">
        <v>1330-5YY0112EN</v>
      </c>
      <c r="CP607" t="str">
        <v>MSNU7011814</v>
      </c>
      <c r="CQ607" s="23">
        <v>592.42272000000003</v>
      </c>
      <c r="CR607" s="25">
        <f t="shared" si="24"/>
        <v>3.1945983121746201E-2</v>
      </c>
      <c r="CS607" s="21">
        <f t="shared" si="25"/>
        <v>79.864957804365503</v>
      </c>
    </row>
    <row r="608" spans="2:97" x14ac:dyDescent="0.35">
      <c r="B608" t="s">
        <v>298</v>
      </c>
      <c r="C608" t="s">
        <v>1778</v>
      </c>
      <c r="D608" t="s">
        <v>395</v>
      </c>
      <c r="E608" t="s">
        <v>395</v>
      </c>
      <c r="F608" t="s">
        <v>396</v>
      </c>
      <c r="G608" t="s">
        <v>397</v>
      </c>
      <c r="H608" t="s">
        <v>398</v>
      </c>
      <c r="I608" t="s">
        <v>399</v>
      </c>
      <c r="J608" t="s">
        <v>400</v>
      </c>
      <c r="K608" t="s">
        <v>607</v>
      </c>
      <c r="L608" t="s">
        <v>585</v>
      </c>
      <c r="M608" t="s">
        <v>403</v>
      </c>
      <c r="N608">
        <v>1</v>
      </c>
      <c r="O608">
        <v>2</v>
      </c>
      <c r="P608" t="s">
        <v>649</v>
      </c>
      <c r="Q608" t="s">
        <v>430</v>
      </c>
      <c r="R608" t="s">
        <v>650</v>
      </c>
      <c r="S608" t="s">
        <v>651</v>
      </c>
      <c r="T608" t="s">
        <v>408</v>
      </c>
      <c r="U608">
        <v>50950080682</v>
      </c>
      <c r="W608">
        <v>10800</v>
      </c>
      <c r="X608" t="s">
        <v>409</v>
      </c>
      <c r="Y608" t="s">
        <v>410</v>
      </c>
      <c r="Z608" t="s">
        <v>410</v>
      </c>
      <c r="AA608" t="s">
        <v>411</v>
      </c>
      <c r="AB608" t="s">
        <v>412</v>
      </c>
      <c r="AC608" t="s">
        <v>411</v>
      </c>
      <c r="AD608">
        <v>46104</v>
      </c>
      <c r="AE608">
        <v>46160</v>
      </c>
      <c r="AF608">
        <v>46111</v>
      </c>
      <c r="AG608" t="s">
        <v>590</v>
      </c>
      <c r="AH608">
        <v>6158294</v>
      </c>
      <c r="AI608">
        <v>46106</v>
      </c>
      <c r="AJ608">
        <v>46107</v>
      </c>
      <c r="AK608">
        <v>10800</v>
      </c>
      <c r="AL608" t="s">
        <v>396</v>
      </c>
      <c r="AM608" t="s">
        <v>2287</v>
      </c>
      <c r="AN608">
        <v>46107</v>
      </c>
      <c r="AO608">
        <v>46107.364050925928</v>
      </c>
      <c r="AP608" t="s">
        <v>51</v>
      </c>
      <c r="AQ608">
        <v>0.19273000000000001</v>
      </c>
      <c r="AR608">
        <v>2081.48</v>
      </c>
      <c r="AS608" t="s">
        <v>51</v>
      </c>
      <c r="AT608">
        <v>2081.48</v>
      </c>
      <c r="AU608" t="s">
        <v>415</v>
      </c>
      <c r="AV608" t="s">
        <v>772</v>
      </c>
      <c r="AW608" t="s">
        <v>2217</v>
      </c>
      <c r="AX608">
        <v>46114</v>
      </c>
      <c r="AY608">
        <v>46163</v>
      </c>
      <c r="AZ608" t="s">
        <v>2226</v>
      </c>
      <c r="BA608" t="s">
        <v>419</v>
      </c>
      <c r="BB608" t="s">
        <v>2227</v>
      </c>
      <c r="BC608">
        <v>900</v>
      </c>
      <c r="BD608" t="s">
        <v>521</v>
      </c>
      <c r="BE608">
        <v>16.950500000000002</v>
      </c>
      <c r="BF608">
        <v>16.560500000000001</v>
      </c>
      <c r="BG608" t="s">
        <v>522</v>
      </c>
      <c r="BH608">
        <v>368</v>
      </c>
      <c r="BI608">
        <v>257</v>
      </c>
      <c r="BJ608">
        <v>136</v>
      </c>
      <c r="BK608">
        <v>6</v>
      </c>
      <c r="BL608" t="s">
        <v>521</v>
      </c>
      <c r="BM608">
        <v>109.703</v>
      </c>
      <c r="BN608">
        <v>99.363</v>
      </c>
      <c r="BO608">
        <v>219.40539999999999</v>
      </c>
      <c r="BP608" t="s">
        <v>522</v>
      </c>
      <c r="BQ608">
        <v>800</v>
      </c>
      <c r="BR608">
        <v>300</v>
      </c>
      <c r="BS608">
        <v>608</v>
      </c>
      <c r="BT608">
        <v>2</v>
      </c>
      <c r="BU608">
        <v>0</v>
      </c>
      <c r="BV608">
        <v>2</v>
      </c>
      <c r="BW608">
        <v>12</v>
      </c>
      <c r="BX608">
        <v>0</v>
      </c>
      <c r="BY608">
        <v>12</v>
      </c>
      <c r="BZ608">
        <v>10800</v>
      </c>
      <c r="CA608">
        <v>0</v>
      </c>
      <c r="CB608">
        <v>10800</v>
      </c>
      <c r="CC608">
        <v>198.72540000000001</v>
      </c>
      <c r="CD608" t="s">
        <v>523</v>
      </c>
      <c r="CE608" t="s">
        <v>653</v>
      </c>
      <c r="CG608" t="s">
        <v>421</v>
      </c>
      <c r="CN608" t="str">
        <v>M01</v>
      </c>
      <c r="CO608" t="str">
        <v>1458-1030127EN</v>
      </c>
      <c r="CP608" t="str">
        <v>MSNU7011814</v>
      </c>
      <c r="CQ608" s="23">
        <v>203.89599999999999</v>
      </c>
      <c r="CR608" s="25">
        <f t="shared" si="24"/>
        <v>1.0994949981985098E-2</v>
      </c>
      <c r="CS608" s="21">
        <f t="shared" si="25"/>
        <v>27.487374954962746</v>
      </c>
    </row>
    <row r="609" spans="2:97" x14ac:dyDescent="0.35">
      <c r="B609" t="s">
        <v>299</v>
      </c>
      <c r="C609" t="s">
        <v>2288</v>
      </c>
      <c r="D609" t="s">
        <v>395</v>
      </c>
      <c r="E609" t="s">
        <v>395</v>
      </c>
      <c r="F609" t="s">
        <v>396</v>
      </c>
      <c r="G609" t="s">
        <v>397</v>
      </c>
      <c r="H609" t="s">
        <v>532</v>
      </c>
      <c r="I609" t="s">
        <v>399</v>
      </c>
      <c r="J609" t="s">
        <v>400</v>
      </c>
      <c r="K609" t="s">
        <v>595</v>
      </c>
      <c r="L609" t="s">
        <v>585</v>
      </c>
      <c r="M609" t="s">
        <v>403</v>
      </c>
      <c r="N609">
        <v>1</v>
      </c>
      <c r="O609">
        <v>1</v>
      </c>
      <c r="P609" t="s">
        <v>1795</v>
      </c>
      <c r="Q609" t="s">
        <v>430</v>
      </c>
      <c r="R609" t="s">
        <v>597</v>
      </c>
      <c r="S609" t="s">
        <v>1796</v>
      </c>
      <c r="T609" t="s">
        <v>408</v>
      </c>
      <c r="U609">
        <v>50950081014</v>
      </c>
      <c r="W609">
        <v>10880</v>
      </c>
      <c r="X609" t="s">
        <v>409</v>
      </c>
      <c r="Y609" t="s">
        <v>410</v>
      </c>
      <c r="Z609" t="s">
        <v>410</v>
      </c>
      <c r="AA609" t="s">
        <v>411</v>
      </c>
      <c r="AB609" t="s">
        <v>412</v>
      </c>
      <c r="AC609" t="s">
        <v>411</v>
      </c>
      <c r="AD609">
        <v>46104</v>
      </c>
      <c r="AE609">
        <v>46160</v>
      </c>
      <c r="AF609">
        <v>46111</v>
      </c>
      <c r="AG609" t="s">
        <v>590</v>
      </c>
      <c r="AH609">
        <v>6158295</v>
      </c>
      <c r="AI609">
        <v>46106</v>
      </c>
      <c r="AJ609">
        <v>46107</v>
      </c>
      <c r="AK609">
        <v>10880</v>
      </c>
      <c r="AL609" t="s">
        <v>396</v>
      </c>
      <c r="AM609" t="s">
        <v>2289</v>
      </c>
      <c r="AN609">
        <v>46107</v>
      </c>
      <c r="AO609">
        <v>46107.364050925928</v>
      </c>
      <c r="AP609" t="s">
        <v>51</v>
      </c>
      <c r="AQ609">
        <v>0.18581</v>
      </c>
      <c r="AR609">
        <v>2021.61</v>
      </c>
      <c r="AS609" t="s">
        <v>51</v>
      </c>
      <c r="AT609">
        <v>2021.61</v>
      </c>
      <c r="AU609" t="s">
        <v>415</v>
      </c>
      <c r="AV609" t="s">
        <v>772</v>
      </c>
      <c r="AW609" t="s">
        <v>2217</v>
      </c>
      <c r="AX609">
        <v>46114</v>
      </c>
      <c r="AY609">
        <v>46163</v>
      </c>
      <c r="AZ609" t="s">
        <v>2226</v>
      </c>
      <c r="BA609" t="s">
        <v>419</v>
      </c>
      <c r="BB609" t="s">
        <v>2227</v>
      </c>
      <c r="BC609">
        <v>320</v>
      </c>
      <c r="BD609" t="s">
        <v>521</v>
      </c>
      <c r="BE609">
        <v>7.5701999999999998</v>
      </c>
      <c r="BF609">
        <v>7.2702</v>
      </c>
      <c r="BG609" t="s">
        <v>522</v>
      </c>
      <c r="BH609">
        <v>295</v>
      </c>
      <c r="BI609">
        <v>195</v>
      </c>
      <c r="BJ609">
        <v>100</v>
      </c>
      <c r="BK609">
        <v>64</v>
      </c>
      <c r="BL609" t="s">
        <v>521</v>
      </c>
      <c r="BM609">
        <v>287.38816000000003</v>
      </c>
      <c r="BN609">
        <v>247.18816000000001</v>
      </c>
      <c r="BO609">
        <v>287.38816000000003</v>
      </c>
      <c r="BP609" t="s">
        <v>522</v>
      </c>
      <c r="BQ609">
        <v>1200</v>
      </c>
      <c r="BR609">
        <v>800</v>
      </c>
      <c r="BS609">
        <v>573</v>
      </c>
      <c r="BT609">
        <v>0</v>
      </c>
      <c r="BU609">
        <v>1</v>
      </c>
      <c r="BV609">
        <v>1</v>
      </c>
      <c r="BW609">
        <v>34</v>
      </c>
      <c r="BX609">
        <v>0</v>
      </c>
      <c r="BY609">
        <v>34</v>
      </c>
      <c r="BZ609">
        <v>0</v>
      </c>
      <c r="CA609">
        <v>10880</v>
      </c>
      <c r="CB609">
        <v>10880</v>
      </c>
      <c r="CC609">
        <v>247.18816000000001</v>
      </c>
      <c r="CD609" t="s">
        <v>600</v>
      </c>
      <c r="CE609" t="s">
        <v>601</v>
      </c>
      <c r="CG609" t="s">
        <v>421</v>
      </c>
      <c r="CN609" t="str">
        <v>M01</v>
      </c>
      <c r="CO609" t="str">
        <v>1458-1030127EN</v>
      </c>
      <c r="CP609" t="str">
        <v>MSNU7011814</v>
      </c>
      <c r="CQ609" s="23">
        <v>203.89599999999999</v>
      </c>
      <c r="CR609" s="25">
        <f t="shared" si="24"/>
        <v>1.0994949981985098E-2</v>
      </c>
      <c r="CS609" s="21">
        <f t="shared" si="25"/>
        <v>27.487374954962746</v>
      </c>
    </row>
    <row r="610" spans="2:97" x14ac:dyDescent="0.35">
      <c r="B610" t="s">
        <v>299</v>
      </c>
      <c r="C610" t="s">
        <v>2290</v>
      </c>
      <c r="D610" t="s">
        <v>395</v>
      </c>
      <c r="E610" t="s">
        <v>395</v>
      </c>
      <c r="F610" t="s">
        <v>396</v>
      </c>
      <c r="G610" t="s">
        <v>397</v>
      </c>
      <c r="H610" t="s">
        <v>532</v>
      </c>
      <c r="I610" t="s">
        <v>399</v>
      </c>
      <c r="J610" t="s">
        <v>400</v>
      </c>
      <c r="K610" t="s">
        <v>607</v>
      </c>
      <c r="L610" t="s">
        <v>585</v>
      </c>
      <c r="M610" t="s">
        <v>403</v>
      </c>
      <c r="N610">
        <v>1</v>
      </c>
      <c r="O610">
        <v>1</v>
      </c>
      <c r="P610" t="s">
        <v>622</v>
      </c>
      <c r="Q610" t="s">
        <v>424</v>
      </c>
      <c r="R610" t="s">
        <v>623</v>
      </c>
      <c r="S610" t="s">
        <v>624</v>
      </c>
      <c r="T610" t="s">
        <v>408</v>
      </c>
      <c r="U610">
        <v>50950081015</v>
      </c>
      <c r="W610">
        <v>24000</v>
      </c>
      <c r="X610" t="s">
        <v>409</v>
      </c>
      <c r="Y610" t="s">
        <v>410</v>
      </c>
      <c r="Z610" t="s">
        <v>410</v>
      </c>
      <c r="AA610" t="s">
        <v>411</v>
      </c>
      <c r="AB610" t="s">
        <v>412</v>
      </c>
      <c r="AC610" t="s">
        <v>411</v>
      </c>
      <c r="AD610">
        <v>46104</v>
      </c>
      <c r="AE610">
        <v>46160</v>
      </c>
      <c r="AF610">
        <v>46111</v>
      </c>
      <c r="AG610" t="s">
        <v>590</v>
      </c>
      <c r="AH610">
        <v>6158296</v>
      </c>
      <c r="AI610">
        <v>46106</v>
      </c>
      <c r="AJ610">
        <v>46107</v>
      </c>
      <c r="AK610">
        <v>24000</v>
      </c>
      <c r="AL610" t="s">
        <v>396</v>
      </c>
      <c r="AM610" t="s">
        <v>2291</v>
      </c>
      <c r="AN610">
        <v>46107</v>
      </c>
      <c r="AO610">
        <v>46107.364050925928</v>
      </c>
      <c r="AP610" t="s">
        <v>51</v>
      </c>
      <c r="AQ610">
        <v>0.1051</v>
      </c>
      <c r="AR610">
        <v>2522.4</v>
      </c>
      <c r="AS610" t="s">
        <v>51</v>
      </c>
      <c r="AT610">
        <v>2522.4</v>
      </c>
      <c r="AU610" t="s">
        <v>415</v>
      </c>
      <c r="AV610" t="s">
        <v>772</v>
      </c>
      <c r="AW610" t="s">
        <v>2217</v>
      </c>
      <c r="AX610">
        <v>46114</v>
      </c>
      <c r="AY610">
        <v>46163</v>
      </c>
      <c r="AZ610" t="s">
        <v>2226</v>
      </c>
      <c r="BA610" t="s">
        <v>419</v>
      </c>
      <c r="BB610" t="s">
        <v>2227</v>
      </c>
      <c r="BC610">
        <v>2400</v>
      </c>
      <c r="BD610" t="s">
        <v>521</v>
      </c>
      <c r="BE610">
        <v>8.7984000000000009</v>
      </c>
      <c r="BF610">
        <v>7.4774000000000003</v>
      </c>
      <c r="BG610" t="s">
        <v>522</v>
      </c>
      <c r="BH610">
        <v>395</v>
      </c>
      <c r="BI610">
        <v>295</v>
      </c>
      <c r="BJ610">
        <v>210</v>
      </c>
      <c r="BK610">
        <v>6</v>
      </c>
      <c r="BL610" t="s">
        <v>521</v>
      </c>
      <c r="BM610">
        <v>60.790399999999998</v>
      </c>
      <c r="BN610">
        <v>44.864400000000003</v>
      </c>
      <c r="BO610">
        <v>103.98439999999999</v>
      </c>
      <c r="BP610" t="s">
        <v>522</v>
      </c>
      <c r="BQ610">
        <v>800</v>
      </c>
      <c r="BR610">
        <v>300</v>
      </c>
      <c r="BS610">
        <v>790</v>
      </c>
      <c r="BT610">
        <v>1</v>
      </c>
      <c r="BU610">
        <v>1</v>
      </c>
      <c r="BV610">
        <v>2</v>
      </c>
      <c r="BW610">
        <v>10</v>
      </c>
      <c r="BX610">
        <v>0</v>
      </c>
      <c r="BY610">
        <v>10</v>
      </c>
      <c r="BZ610">
        <v>14400</v>
      </c>
      <c r="CA610">
        <v>9600</v>
      </c>
      <c r="CB610">
        <v>24000</v>
      </c>
      <c r="CC610">
        <v>74.7744</v>
      </c>
      <c r="CD610" t="s">
        <v>626</v>
      </c>
      <c r="CE610" t="s">
        <v>627</v>
      </c>
      <c r="CG610" t="s">
        <v>421</v>
      </c>
      <c r="CN610" t="str">
        <v>M01</v>
      </c>
      <c r="CO610" t="str">
        <v>1458-1030109EN</v>
      </c>
      <c r="CP610" t="str">
        <v>MSNU7011814</v>
      </c>
      <c r="CQ610" s="23">
        <v>157.80840000000001</v>
      </c>
      <c r="CR610" s="25">
        <f t="shared" si="24"/>
        <v>8.5097082077975894E-3</v>
      </c>
      <c r="CS610" s="21">
        <f t="shared" si="25"/>
        <v>21.274270519493975</v>
      </c>
    </row>
    <row r="611" spans="2:97" x14ac:dyDescent="0.35">
      <c r="B611" t="s">
        <v>299</v>
      </c>
      <c r="C611" t="s">
        <v>2292</v>
      </c>
      <c r="D611" t="s">
        <v>395</v>
      </c>
      <c r="E611" t="s">
        <v>395</v>
      </c>
      <c r="F611" t="s">
        <v>396</v>
      </c>
      <c r="G611" t="s">
        <v>397</v>
      </c>
      <c r="H611" t="s">
        <v>532</v>
      </c>
      <c r="I611" t="s">
        <v>399</v>
      </c>
      <c r="J611" t="s">
        <v>400</v>
      </c>
      <c r="K611" t="s">
        <v>595</v>
      </c>
      <c r="L611" t="s">
        <v>585</v>
      </c>
      <c r="M611" t="s">
        <v>403</v>
      </c>
      <c r="N611">
        <v>1</v>
      </c>
      <c r="O611">
        <v>1</v>
      </c>
      <c r="P611" t="s">
        <v>596</v>
      </c>
      <c r="Q611" t="s">
        <v>430</v>
      </c>
      <c r="R611" t="s">
        <v>597</v>
      </c>
      <c r="S611" t="s">
        <v>598</v>
      </c>
      <c r="T611" t="s">
        <v>408</v>
      </c>
      <c r="U611">
        <v>50950081091</v>
      </c>
      <c r="W611">
        <v>23040</v>
      </c>
      <c r="X611" t="s">
        <v>409</v>
      </c>
      <c r="Y611" t="s">
        <v>410</v>
      </c>
      <c r="Z611" t="s">
        <v>410</v>
      </c>
      <c r="AA611" t="s">
        <v>411</v>
      </c>
      <c r="AB611" t="s">
        <v>412</v>
      </c>
      <c r="AC611" t="s">
        <v>411</v>
      </c>
      <c r="AD611">
        <v>46104</v>
      </c>
      <c r="AE611">
        <v>46160</v>
      </c>
      <c r="AF611">
        <v>46111</v>
      </c>
      <c r="AG611" t="s">
        <v>590</v>
      </c>
      <c r="AH611">
        <v>6158297</v>
      </c>
      <c r="AI611">
        <v>46106</v>
      </c>
      <c r="AJ611">
        <v>46107</v>
      </c>
      <c r="AK611">
        <v>23040</v>
      </c>
      <c r="AL611" t="s">
        <v>396</v>
      </c>
      <c r="AM611" t="s">
        <v>2293</v>
      </c>
      <c r="AN611">
        <v>46107</v>
      </c>
      <c r="AO611">
        <v>46107.364050925928</v>
      </c>
      <c r="AP611" t="s">
        <v>51</v>
      </c>
      <c r="AQ611">
        <v>7.4770000000000003E-2</v>
      </c>
      <c r="AR611">
        <v>1722.7</v>
      </c>
      <c r="AS611" t="s">
        <v>51</v>
      </c>
      <c r="AT611">
        <v>1722.7</v>
      </c>
      <c r="AU611" t="s">
        <v>415</v>
      </c>
      <c r="AV611" t="s">
        <v>772</v>
      </c>
      <c r="AW611" t="s">
        <v>2217</v>
      </c>
      <c r="AX611">
        <v>46114</v>
      </c>
      <c r="AY611">
        <v>46163</v>
      </c>
      <c r="AZ611" t="s">
        <v>2226</v>
      </c>
      <c r="BA611" t="s">
        <v>419</v>
      </c>
      <c r="BB611" t="s">
        <v>2227</v>
      </c>
      <c r="BC611">
        <v>320</v>
      </c>
      <c r="BD611" t="s">
        <v>521</v>
      </c>
      <c r="BE611">
        <v>6.0304000000000002</v>
      </c>
      <c r="BF611">
        <v>5.7304000000000004</v>
      </c>
      <c r="BG611" t="s">
        <v>522</v>
      </c>
      <c r="BH611">
        <v>295</v>
      </c>
      <c r="BI611">
        <v>195</v>
      </c>
      <c r="BJ611">
        <v>100</v>
      </c>
      <c r="BK611">
        <v>64</v>
      </c>
      <c r="BL611" t="s">
        <v>521</v>
      </c>
      <c r="BM611">
        <v>415.94560000000001</v>
      </c>
      <c r="BN611">
        <v>366.74560000000002</v>
      </c>
      <c r="BO611">
        <v>494.18649599999998</v>
      </c>
      <c r="BP611" t="s">
        <v>522</v>
      </c>
      <c r="BQ611">
        <v>1200</v>
      </c>
      <c r="BR611">
        <v>800</v>
      </c>
      <c r="BS611">
        <v>573</v>
      </c>
      <c r="BT611">
        <v>1</v>
      </c>
      <c r="BU611">
        <v>1</v>
      </c>
      <c r="BV611">
        <v>2</v>
      </c>
      <c r="BW611">
        <v>72</v>
      </c>
      <c r="BX611">
        <v>0</v>
      </c>
      <c r="BY611">
        <v>72</v>
      </c>
      <c r="BZ611">
        <v>20480</v>
      </c>
      <c r="CA611">
        <v>2560</v>
      </c>
      <c r="CB611">
        <v>23040</v>
      </c>
      <c r="CC611">
        <v>412.58649600000001</v>
      </c>
      <c r="CD611" t="s">
        <v>600</v>
      </c>
      <c r="CE611" t="s">
        <v>601</v>
      </c>
      <c r="CG611" t="s">
        <v>421</v>
      </c>
      <c r="CN611" t="str">
        <v>M01</v>
      </c>
      <c r="CO611" t="str">
        <v>1458-1030109EN</v>
      </c>
      <c r="CP611" t="str">
        <v>MSNU7011814</v>
      </c>
      <c r="CQ611" s="23">
        <v>157.80840000000001</v>
      </c>
      <c r="CR611" s="25">
        <f t="shared" si="24"/>
        <v>8.5097082077975894E-3</v>
      </c>
      <c r="CS611" s="21">
        <f t="shared" si="25"/>
        <v>21.274270519493975</v>
      </c>
    </row>
    <row r="612" spans="2:97" x14ac:dyDescent="0.35">
      <c r="B612" t="s">
        <v>3497</v>
      </c>
      <c r="C612" t="s">
        <v>2294</v>
      </c>
      <c r="D612" t="s">
        <v>395</v>
      </c>
      <c r="E612" t="s">
        <v>395</v>
      </c>
      <c r="F612" t="s">
        <v>396</v>
      </c>
      <c r="G612" t="s">
        <v>397</v>
      </c>
      <c r="H612" t="s">
        <v>398</v>
      </c>
      <c r="I612" t="s">
        <v>399</v>
      </c>
      <c r="J612" t="s">
        <v>400</v>
      </c>
      <c r="K612" t="s">
        <v>515</v>
      </c>
      <c r="L612" t="s">
        <v>585</v>
      </c>
      <c r="M612" t="s">
        <v>403</v>
      </c>
      <c r="N612">
        <v>1</v>
      </c>
      <c r="O612">
        <v>1</v>
      </c>
      <c r="P612" t="s">
        <v>1849</v>
      </c>
      <c r="Q612" t="s">
        <v>424</v>
      </c>
      <c r="R612" t="s">
        <v>691</v>
      </c>
      <c r="S612" t="s">
        <v>1850</v>
      </c>
      <c r="T612" t="s">
        <v>408</v>
      </c>
      <c r="U612">
        <v>50950081098</v>
      </c>
      <c r="W612">
        <v>9000</v>
      </c>
      <c r="X612" t="s">
        <v>409</v>
      </c>
      <c r="Y612" t="s">
        <v>410</v>
      </c>
      <c r="Z612" t="s">
        <v>410</v>
      </c>
      <c r="AA612" t="s">
        <v>411</v>
      </c>
      <c r="AB612" t="s">
        <v>412</v>
      </c>
      <c r="AC612" t="s">
        <v>411</v>
      </c>
      <c r="AD612">
        <v>46106</v>
      </c>
      <c r="AE612">
        <v>46167</v>
      </c>
      <c r="AF612">
        <v>46111</v>
      </c>
      <c r="AG612" t="s">
        <v>590</v>
      </c>
      <c r="AH612">
        <v>6158298</v>
      </c>
      <c r="AI612">
        <v>46106</v>
      </c>
      <c r="AJ612">
        <v>46107</v>
      </c>
      <c r="AK612">
        <v>9000</v>
      </c>
      <c r="AL612" t="s">
        <v>396</v>
      </c>
      <c r="AM612" t="s">
        <v>2295</v>
      </c>
      <c r="AN612">
        <v>46107</v>
      </c>
      <c r="AO612">
        <v>46107.364050925928</v>
      </c>
      <c r="AP612" t="s">
        <v>51</v>
      </c>
      <c r="AQ612">
        <v>5.5019999999999999E-2</v>
      </c>
      <c r="AR612">
        <v>495.18</v>
      </c>
      <c r="AS612" t="s">
        <v>51</v>
      </c>
      <c r="AT612">
        <v>495.18</v>
      </c>
      <c r="AU612" t="s">
        <v>415</v>
      </c>
      <c r="AV612" t="s">
        <v>772</v>
      </c>
      <c r="AW612" t="s">
        <v>2217</v>
      </c>
      <c r="AX612">
        <v>46114</v>
      </c>
      <c r="AY612">
        <v>46163</v>
      </c>
      <c r="AZ612" t="s">
        <v>2226</v>
      </c>
      <c r="BA612" t="s">
        <v>419</v>
      </c>
      <c r="BB612" t="s">
        <v>2227</v>
      </c>
      <c r="BC612">
        <v>900</v>
      </c>
      <c r="BD612" t="s">
        <v>521</v>
      </c>
      <c r="BE612">
        <v>3.004</v>
      </c>
      <c r="BF612">
        <v>1.4039999999999999</v>
      </c>
      <c r="BG612" t="s">
        <v>522</v>
      </c>
      <c r="BH612">
        <v>395</v>
      </c>
      <c r="BI612">
        <v>295</v>
      </c>
      <c r="BJ612">
        <v>150</v>
      </c>
      <c r="BK612">
        <v>48</v>
      </c>
      <c r="BL612" t="s">
        <v>521</v>
      </c>
      <c r="BM612">
        <v>54.04</v>
      </c>
      <c r="BN612">
        <v>14.04</v>
      </c>
      <c r="BO612">
        <v>54.04</v>
      </c>
      <c r="BP612" t="s">
        <v>522</v>
      </c>
      <c r="BQ612">
        <v>1200</v>
      </c>
      <c r="BR612">
        <v>800</v>
      </c>
      <c r="BS612">
        <v>1060</v>
      </c>
      <c r="BT612">
        <v>0</v>
      </c>
      <c r="BU612">
        <v>1</v>
      </c>
      <c r="BV612">
        <v>1</v>
      </c>
      <c r="BW612">
        <v>10</v>
      </c>
      <c r="BX612">
        <v>0</v>
      </c>
      <c r="BY612">
        <v>10</v>
      </c>
      <c r="BZ612">
        <v>0</v>
      </c>
      <c r="CA612">
        <v>9000</v>
      </c>
      <c r="CB612">
        <v>9000</v>
      </c>
      <c r="CC612">
        <v>14.04</v>
      </c>
      <c r="CD612" t="s">
        <v>694</v>
      </c>
      <c r="CE612" t="s">
        <v>695</v>
      </c>
      <c r="CG612" t="s">
        <v>421</v>
      </c>
      <c r="CN612" t="str">
        <v>M45</v>
      </c>
      <c r="CO612" t="str">
        <v>AYSP61AS982EN</v>
      </c>
      <c r="CP612" t="str">
        <v>MSNU7011814</v>
      </c>
      <c r="CQ612" s="23">
        <v>4520.4012000000002</v>
      </c>
      <c r="CR612" s="25">
        <f t="shared" si="24"/>
        <v>0.24375949058591348</v>
      </c>
      <c r="CS612" s="21">
        <f t="shared" si="25"/>
        <v>609.39872646478375</v>
      </c>
    </row>
    <row r="613" spans="2:97" x14ac:dyDescent="0.35">
      <c r="B613" t="s">
        <v>3497</v>
      </c>
      <c r="C613" t="s">
        <v>2296</v>
      </c>
      <c r="D613" t="s">
        <v>395</v>
      </c>
      <c r="E613" t="s">
        <v>395</v>
      </c>
      <c r="F613" t="s">
        <v>396</v>
      </c>
      <c r="G613" t="s">
        <v>397</v>
      </c>
      <c r="H613" t="s">
        <v>398</v>
      </c>
      <c r="I613" t="s">
        <v>399</v>
      </c>
      <c r="J613" t="s">
        <v>400</v>
      </c>
      <c r="K613" t="s">
        <v>515</v>
      </c>
      <c r="L613" t="s">
        <v>585</v>
      </c>
      <c r="M613" t="s">
        <v>403</v>
      </c>
      <c r="N613">
        <v>1</v>
      </c>
      <c r="O613">
        <v>1</v>
      </c>
      <c r="P613" t="s">
        <v>1321</v>
      </c>
      <c r="Q613" t="s">
        <v>424</v>
      </c>
      <c r="R613" t="s">
        <v>691</v>
      </c>
      <c r="S613" t="s">
        <v>1322</v>
      </c>
      <c r="T613" t="s">
        <v>408</v>
      </c>
      <c r="U613">
        <v>50950081099</v>
      </c>
      <c r="W613">
        <v>9000</v>
      </c>
      <c r="X613" t="s">
        <v>409</v>
      </c>
      <c r="Y613" t="s">
        <v>410</v>
      </c>
      <c r="Z613" t="s">
        <v>410</v>
      </c>
      <c r="AA613" t="s">
        <v>411</v>
      </c>
      <c r="AB613" t="s">
        <v>412</v>
      </c>
      <c r="AC613" t="s">
        <v>411</v>
      </c>
      <c r="AD613">
        <v>46106</v>
      </c>
      <c r="AE613">
        <v>46167</v>
      </c>
      <c r="AF613">
        <v>46111</v>
      </c>
      <c r="AG613" t="s">
        <v>590</v>
      </c>
      <c r="AH613">
        <v>6158299</v>
      </c>
      <c r="AI613">
        <v>46106</v>
      </c>
      <c r="AJ613">
        <v>46107</v>
      </c>
      <c r="AK613">
        <v>9000</v>
      </c>
      <c r="AL613" t="s">
        <v>396</v>
      </c>
      <c r="AM613" t="s">
        <v>2297</v>
      </c>
      <c r="AN613">
        <v>46107</v>
      </c>
      <c r="AO613">
        <v>46107.364050925928</v>
      </c>
      <c r="AP613" t="s">
        <v>51</v>
      </c>
      <c r="AQ613">
        <v>5.6279999999999997E-2</v>
      </c>
      <c r="AR613">
        <v>506.52</v>
      </c>
      <c r="AS613" t="s">
        <v>51</v>
      </c>
      <c r="AT613">
        <v>506.52</v>
      </c>
      <c r="AU613" t="s">
        <v>415</v>
      </c>
      <c r="AV613" t="s">
        <v>772</v>
      </c>
      <c r="AW613" t="s">
        <v>2217</v>
      </c>
      <c r="AX613">
        <v>46114</v>
      </c>
      <c r="AY613">
        <v>46163</v>
      </c>
      <c r="AZ613" t="s">
        <v>2226</v>
      </c>
      <c r="BA613" t="s">
        <v>419</v>
      </c>
      <c r="BB613" t="s">
        <v>2227</v>
      </c>
      <c r="BC613">
        <v>900</v>
      </c>
      <c r="BD613" t="s">
        <v>521</v>
      </c>
      <c r="BE613">
        <v>3.0463</v>
      </c>
      <c r="BF613">
        <v>1.4462999999999999</v>
      </c>
      <c r="BG613" t="s">
        <v>522</v>
      </c>
      <c r="BH613">
        <v>395</v>
      </c>
      <c r="BI613">
        <v>295</v>
      </c>
      <c r="BJ613">
        <v>150</v>
      </c>
      <c r="BK613">
        <v>48</v>
      </c>
      <c r="BL613" t="s">
        <v>521</v>
      </c>
      <c r="BM613">
        <v>54.463000000000001</v>
      </c>
      <c r="BN613">
        <v>14.462999999999999</v>
      </c>
      <c r="BO613">
        <v>54.463000000000001</v>
      </c>
      <c r="BP613" t="s">
        <v>522</v>
      </c>
      <c r="BQ613">
        <v>1200</v>
      </c>
      <c r="BR613">
        <v>800</v>
      </c>
      <c r="BS613">
        <v>1060</v>
      </c>
      <c r="BT613">
        <v>0</v>
      </c>
      <c r="BU613">
        <v>1</v>
      </c>
      <c r="BV613">
        <v>1</v>
      </c>
      <c r="BW613">
        <v>10</v>
      </c>
      <c r="BX613">
        <v>0</v>
      </c>
      <c r="BY613">
        <v>10</v>
      </c>
      <c r="BZ613">
        <v>0</v>
      </c>
      <c r="CA613">
        <v>9000</v>
      </c>
      <c r="CB613">
        <v>9000</v>
      </c>
      <c r="CC613">
        <v>14.462999999999999</v>
      </c>
      <c r="CD613" t="s">
        <v>694</v>
      </c>
      <c r="CE613" t="s">
        <v>695</v>
      </c>
      <c r="CG613" t="s">
        <v>421</v>
      </c>
      <c r="CN613" t="str">
        <v>M01</v>
      </c>
      <c r="CO613" t="str">
        <v>1200-1030955EN</v>
      </c>
      <c r="CP613" t="str">
        <v>MSNU9003952</v>
      </c>
      <c r="CQ613" s="23">
        <v>474.98399999999998</v>
      </c>
      <c r="CR613" s="25">
        <f t="shared" si="24"/>
        <v>4.1626723615240314E-2</v>
      </c>
      <c r="CS613" s="21">
        <f t="shared" si="25"/>
        <v>104.06680903810079</v>
      </c>
    </row>
    <row r="614" spans="2:97" x14ac:dyDescent="0.35">
      <c r="B614" t="s">
        <v>3497</v>
      </c>
      <c r="C614" t="s">
        <v>2298</v>
      </c>
      <c r="D614" t="s">
        <v>395</v>
      </c>
      <c r="E614" t="s">
        <v>395</v>
      </c>
      <c r="F614" t="s">
        <v>396</v>
      </c>
      <c r="G614" t="s">
        <v>397</v>
      </c>
      <c r="H614" t="s">
        <v>398</v>
      </c>
      <c r="I614" t="s">
        <v>399</v>
      </c>
      <c r="J614" t="s">
        <v>400</v>
      </c>
      <c r="K614" t="s">
        <v>515</v>
      </c>
      <c r="L614" t="s">
        <v>585</v>
      </c>
      <c r="M614" t="s">
        <v>403</v>
      </c>
      <c r="N614">
        <v>1</v>
      </c>
      <c r="O614">
        <v>1</v>
      </c>
      <c r="P614" t="s">
        <v>1829</v>
      </c>
      <c r="Q614" t="s">
        <v>424</v>
      </c>
      <c r="R614" t="s">
        <v>691</v>
      </c>
      <c r="S614" t="s">
        <v>1830</v>
      </c>
      <c r="T614" t="s">
        <v>408</v>
      </c>
      <c r="U614">
        <v>50950081140</v>
      </c>
      <c r="W614">
        <v>17280</v>
      </c>
      <c r="X614" t="s">
        <v>409</v>
      </c>
      <c r="Y614" t="s">
        <v>410</v>
      </c>
      <c r="Z614" t="s">
        <v>410</v>
      </c>
      <c r="AA614" t="s">
        <v>411</v>
      </c>
      <c r="AB614" t="s">
        <v>412</v>
      </c>
      <c r="AC614" t="s">
        <v>411</v>
      </c>
      <c r="AD614">
        <v>46106</v>
      </c>
      <c r="AE614">
        <v>46167</v>
      </c>
      <c r="AF614">
        <v>46111</v>
      </c>
      <c r="AG614" t="s">
        <v>590</v>
      </c>
      <c r="AH614">
        <v>6158300</v>
      </c>
      <c r="AI614">
        <v>46106</v>
      </c>
      <c r="AJ614">
        <v>46107</v>
      </c>
      <c r="AK614">
        <v>17280</v>
      </c>
      <c r="AL614" t="s">
        <v>396</v>
      </c>
      <c r="AM614" t="s">
        <v>2299</v>
      </c>
      <c r="AN614">
        <v>46107</v>
      </c>
      <c r="AO614">
        <v>46107.364050925928</v>
      </c>
      <c r="AP614" t="s">
        <v>51</v>
      </c>
      <c r="AQ614">
        <v>5.8130000000000001E-2</v>
      </c>
      <c r="AR614">
        <v>1004.49</v>
      </c>
      <c r="AS614" t="s">
        <v>51</v>
      </c>
      <c r="AT614">
        <v>1004.49</v>
      </c>
      <c r="AU614" t="s">
        <v>415</v>
      </c>
      <c r="AV614" t="s">
        <v>772</v>
      </c>
      <c r="AW614" t="s">
        <v>2217</v>
      </c>
      <c r="AX614">
        <v>46114</v>
      </c>
      <c r="AY614">
        <v>46163</v>
      </c>
      <c r="AZ614" t="s">
        <v>2226</v>
      </c>
      <c r="BA614" t="s">
        <v>419</v>
      </c>
      <c r="BB614" t="s">
        <v>2227</v>
      </c>
      <c r="BC614">
        <v>1080</v>
      </c>
      <c r="BD614" t="s">
        <v>521</v>
      </c>
      <c r="BE614">
        <v>4.016</v>
      </c>
      <c r="BF614">
        <v>2.4159999999999999</v>
      </c>
      <c r="BG614" t="s">
        <v>522</v>
      </c>
      <c r="BH614">
        <v>395</v>
      </c>
      <c r="BI614">
        <v>295</v>
      </c>
      <c r="BJ614">
        <v>150</v>
      </c>
      <c r="BK614">
        <v>48</v>
      </c>
      <c r="BL614" t="s">
        <v>521</v>
      </c>
      <c r="BM614">
        <v>88.255359999999996</v>
      </c>
      <c r="BN614">
        <v>38.655360000000002</v>
      </c>
      <c r="BO614">
        <v>88.255359999999996</v>
      </c>
      <c r="BP614" t="s">
        <v>522</v>
      </c>
      <c r="BQ614">
        <v>1200</v>
      </c>
      <c r="BR614">
        <v>800</v>
      </c>
      <c r="BS614">
        <v>1060</v>
      </c>
      <c r="BT614">
        <v>0</v>
      </c>
      <c r="BU614">
        <v>1</v>
      </c>
      <c r="BV614">
        <v>1</v>
      </c>
      <c r="BW614">
        <v>16</v>
      </c>
      <c r="BX614">
        <v>0</v>
      </c>
      <c r="BY614">
        <v>16</v>
      </c>
      <c r="BZ614">
        <v>0</v>
      </c>
      <c r="CA614">
        <v>17280</v>
      </c>
      <c r="CB614">
        <v>17280</v>
      </c>
      <c r="CC614">
        <v>38.655360000000002</v>
      </c>
      <c r="CD614" t="s">
        <v>694</v>
      </c>
      <c r="CE614" t="s">
        <v>695</v>
      </c>
      <c r="CG614" t="s">
        <v>421</v>
      </c>
      <c r="CN614" t="str">
        <v>M46</v>
      </c>
      <c r="CO614" t="str">
        <v>1200-1061164EN</v>
      </c>
      <c r="CP614" t="str">
        <v>MSNU9003952</v>
      </c>
      <c r="CQ614" s="23">
        <v>264.76799999999997</v>
      </c>
      <c r="CR614" s="25">
        <f t="shared" si="24"/>
        <v>2.320378024977672E-2</v>
      </c>
      <c r="CS614" s="21">
        <f t="shared" si="25"/>
        <v>58.009450624441804</v>
      </c>
    </row>
    <row r="615" spans="2:97" x14ac:dyDescent="0.35">
      <c r="B615" t="s">
        <v>299</v>
      </c>
      <c r="C615" t="s">
        <v>2300</v>
      </c>
      <c r="D615" t="s">
        <v>395</v>
      </c>
      <c r="E615" t="s">
        <v>395</v>
      </c>
      <c r="F615" t="s">
        <v>396</v>
      </c>
      <c r="G615" t="s">
        <v>397</v>
      </c>
      <c r="H615" t="s">
        <v>532</v>
      </c>
      <c r="I615" t="s">
        <v>399</v>
      </c>
      <c r="J615" t="s">
        <v>400</v>
      </c>
      <c r="K615" t="s">
        <v>607</v>
      </c>
      <c r="L615" t="s">
        <v>585</v>
      </c>
      <c r="M615" t="s">
        <v>403</v>
      </c>
      <c r="N615">
        <v>1</v>
      </c>
      <c r="O615">
        <v>1</v>
      </c>
      <c r="P615" t="s">
        <v>1314</v>
      </c>
      <c r="Q615" t="s">
        <v>430</v>
      </c>
      <c r="R615" t="s">
        <v>1315</v>
      </c>
      <c r="S615" t="s">
        <v>1316</v>
      </c>
      <c r="T615" t="s">
        <v>408</v>
      </c>
      <c r="U615">
        <v>50950081152</v>
      </c>
      <c r="W615">
        <v>13500</v>
      </c>
      <c r="X615" t="s">
        <v>409</v>
      </c>
      <c r="Y615" t="s">
        <v>410</v>
      </c>
      <c r="Z615" t="s">
        <v>410</v>
      </c>
      <c r="AA615" t="s">
        <v>411</v>
      </c>
      <c r="AB615" t="s">
        <v>412</v>
      </c>
      <c r="AC615" t="s">
        <v>411</v>
      </c>
      <c r="AD615">
        <v>46104</v>
      </c>
      <c r="AE615">
        <v>46160</v>
      </c>
      <c r="AF615">
        <v>46111</v>
      </c>
      <c r="AG615" t="s">
        <v>590</v>
      </c>
      <c r="AH615">
        <v>6158301</v>
      </c>
      <c r="AI615">
        <v>46106</v>
      </c>
      <c r="AJ615">
        <v>46107</v>
      </c>
      <c r="AK615">
        <v>13500</v>
      </c>
      <c r="AL615" t="s">
        <v>396</v>
      </c>
      <c r="AM615" t="s">
        <v>2301</v>
      </c>
      <c r="AN615">
        <v>46107</v>
      </c>
      <c r="AO615">
        <v>46107.364050925928</v>
      </c>
      <c r="AP615" t="s">
        <v>51</v>
      </c>
      <c r="AQ615">
        <v>0.10399</v>
      </c>
      <c r="AR615">
        <v>1403.87</v>
      </c>
      <c r="AS615" t="s">
        <v>51</v>
      </c>
      <c r="AT615">
        <v>1403.87</v>
      </c>
      <c r="AU615" t="s">
        <v>415</v>
      </c>
      <c r="AV615" t="s">
        <v>772</v>
      </c>
      <c r="AW615" t="s">
        <v>2217</v>
      </c>
      <c r="AX615">
        <v>46114</v>
      </c>
      <c r="AY615">
        <v>46163</v>
      </c>
      <c r="AZ615" t="s">
        <v>2226</v>
      </c>
      <c r="BA615" t="s">
        <v>419</v>
      </c>
      <c r="BB615" t="s">
        <v>2227</v>
      </c>
      <c r="BC615">
        <v>1500</v>
      </c>
      <c r="BD615" t="s">
        <v>521</v>
      </c>
      <c r="BE615">
        <v>9.6994000000000007</v>
      </c>
      <c r="BF615">
        <v>9.1484000000000005</v>
      </c>
      <c r="BG615" t="s">
        <v>522</v>
      </c>
      <c r="BH615">
        <v>368</v>
      </c>
      <c r="BI615">
        <v>257</v>
      </c>
      <c r="BJ615">
        <v>136</v>
      </c>
      <c r="BK615">
        <v>27</v>
      </c>
      <c r="BL615" t="s">
        <v>521</v>
      </c>
      <c r="BM615">
        <v>116.29415</v>
      </c>
      <c r="BN615">
        <v>82.335149999999999</v>
      </c>
      <c r="BO615">
        <v>116.29415</v>
      </c>
      <c r="BP615" t="s">
        <v>522</v>
      </c>
      <c r="BQ615">
        <v>1140</v>
      </c>
      <c r="BR615">
        <v>800</v>
      </c>
      <c r="BS615">
        <v>565</v>
      </c>
      <c r="BT615">
        <v>0</v>
      </c>
      <c r="BU615">
        <v>1</v>
      </c>
      <c r="BV615">
        <v>1</v>
      </c>
      <c r="BW615">
        <v>9</v>
      </c>
      <c r="BX615">
        <v>0</v>
      </c>
      <c r="BY615">
        <v>9</v>
      </c>
      <c r="BZ615">
        <v>0</v>
      </c>
      <c r="CA615">
        <v>13500</v>
      </c>
      <c r="CB615">
        <v>13500</v>
      </c>
      <c r="CC615">
        <v>82.335149999999999</v>
      </c>
      <c r="CD615" t="s">
        <v>1318</v>
      </c>
      <c r="CE615" t="s">
        <v>1319</v>
      </c>
      <c r="CG615" t="s">
        <v>421</v>
      </c>
      <c r="CN615" t="str">
        <v>M23</v>
      </c>
      <c r="CO615" t="str">
        <v>1293-1060012EN</v>
      </c>
      <c r="CP615" t="str">
        <v>MSNU9003952</v>
      </c>
      <c r="CQ615" s="23">
        <v>302.93439999999998</v>
      </c>
      <c r="CR615" s="25">
        <f t="shared" si="24"/>
        <v>2.654861330560325E-2</v>
      </c>
      <c r="CS615" s="21">
        <f t="shared" si="25"/>
        <v>66.371533264008121</v>
      </c>
    </row>
    <row r="616" spans="2:97" x14ac:dyDescent="0.35">
      <c r="B616" t="s">
        <v>299</v>
      </c>
      <c r="C616" t="s">
        <v>2302</v>
      </c>
      <c r="D616" t="s">
        <v>395</v>
      </c>
      <c r="E616" t="s">
        <v>395</v>
      </c>
      <c r="F616" t="s">
        <v>396</v>
      </c>
      <c r="G616" t="s">
        <v>397</v>
      </c>
      <c r="H616" t="s">
        <v>532</v>
      </c>
      <c r="I616" t="s">
        <v>399</v>
      </c>
      <c r="J616" t="s">
        <v>400</v>
      </c>
      <c r="K616" t="s">
        <v>629</v>
      </c>
      <c r="L616" t="s">
        <v>585</v>
      </c>
      <c r="M616" t="s">
        <v>403</v>
      </c>
      <c r="N616">
        <v>1</v>
      </c>
      <c r="O616">
        <v>1</v>
      </c>
      <c r="P616" t="s">
        <v>683</v>
      </c>
      <c r="Q616" t="s">
        <v>430</v>
      </c>
      <c r="R616" t="s">
        <v>684</v>
      </c>
      <c r="S616" t="s">
        <v>685</v>
      </c>
      <c r="T616" t="s">
        <v>408</v>
      </c>
      <c r="U616">
        <v>50950081226</v>
      </c>
      <c r="W616">
        <v>19200</v>
      </c>
      <c r="X616" t="s">
        <v>409</v>
      </c>
      <c r="Y616" t="s">
        <v>410</v>
      </c>
      <c r="Z616" t="s">
        <v>410</v>
      </c>
      <c r="AA616" t="s">
        <v>411</v>
      </c>
      <c r="AB616" t="s">
        <v>412</v>
      </c>
      <c r="AC616" t="s">
        <v>411</v>
      </c>
      <c r="AD616">
        <v>46104</v>
      </c>
      <c r="AE616">
        <v>46160</v>
      </c>
      <c r="AF616">
        <v>46111</v>
      </c>
      <c r="AG616" t="s">
        <v>590</v>
      </c>
      <c r="AH616">
        <v>6158302</v>
      </c>
      <c r="AI616">
        <v>46106</v>
      </c>
      <c r="AJ616">
        <v>46107</v>
      </c>
      <c r="AK616">
        <v>19200</v>
      </c>
      <c r="AL616" t="s">
        <v>396</v>
      </c>
      <c r="AM616" t="s">
        <v>2303</v>
      </c>
      <c r="AN616">
        <v>46107</v>
      </c>
      <c r="AO616">
        <v>46107.364050925928</v>
      </c>
      <c r="AP616" t="s">
        <v>51</v>
      </c>
      <c r="AQ616">
        <v>0.16977</v>
      </c>
      <c r="AR616">
        <v>3259.58</v>
      </c>
      <c r="AS616" t="s">
        <v>51</v>
      </c>
      <c r="AT616">
        <v>3259.58</v>
      </c>
      <c r="AU616" t="s">
        <v>415</v>
      </c>
      <c r="AV616" t="s">
        <v>772</v>
      </c>
      <c r="AW616" t="s">
        <v>2217</v>
      </c>
      <c r="AX616">
        <v>46114</v>
      </c>
      <c r="AY616">
        <v>46163</v>
      </c>
      <c r="AZ616" t="s">
        <v>2226</v>
      </c>
      <c r="BA616" t="s">
        <v>419</v>
      </c>
      <c r="BB616" t="s">
        <v>2227</v>
      </c>
      <c r="BC616">
        <v>1600</v>
      </c>
      <c r="BD616" t="s">
        <v>521</v>
      </c>
      <c r="BE616">
        <v>4.4706000000000001</v>
      </c>
      <c r="BF616">
        <v>2.7936000000000001</v>
      </c>
      <c r="BG616" t="s">
        <v>522</v>
      </c>
      <c r="BH616">
        <v>360</v>
      </c>
      <c r="BI616">
        <v>260</v>
      </c>
      <c r="BJ616">
        <v>220</v>
      </c>
      <c r="BK616">
        <v>12</v>
      </c>
      <c r="BL616" t="s">
        <v>521</v>
      </c>
      <c r="BM616">
        <v>66.947199999999995</v>
      </c>
      <c r="BN616">
        <v>33.523200000000003</v>
      </c>
      <c r="BO616">
        <v>66.947199999999995</v>
      </c>
      <c r="BP616" t="s">
        <v>522</v>
      </c>
      <c r="BQ616">
        <v>820</v>
      </c>
      <c r="BR616">
        <v>545</v>
      </c>
      <c r="BS616">
        <v>876</v>
      </c>
      <c r="BT616">
        <v>1</v>
      </c>
      <c r="BU616">
        <v>0</v>
      </c>
      <c r="BV616">
        <v>1</v>
      </c>
      <c r="BW616">
        <v>12</v>
      </c>
      <c r="BX616">
        <v>0</v>
      </c>
      <c r="BY616">
        <v>12</v>
      </c>
      <c r="BZ616">
        <v>19200</v>
      </c>
      <c r="CA616">
        <v>0</v>
      </c>
      <c r="CB616">
        <v>19200</v>
      </c>
      <c r="CC616">
        <v>33.523200000000003</v>
      </c>
      <c r="CD616" t="s">
        <v>687</v>
      </c>
      <c r="CE616" t="s">
        <v>688</v>
      </c>
      <c r="CG616" t="s">
        <v>421</v>
      </c>
      <c r="CN616" t="str">
        <v>M23</v>
      </c>
      <c r="CO616" t="str">
        <v>1293-1060012EN</v>
      </c>
      <c r="CP616" t="str">
        <v>MSNU9003952</v>
      </c>
      <c r="CQ616" s="23">
        <v>454.40159999999997</v>
      </c>
      <c r="CR616" s="25">
        <f t="shared" si="24"/>
        <v>3.9822919958404875E-2</v>
      </c>
      <c r="CS616" s="21">
        <f t="shared" si="25"/>
        <v>99.557299896012182</v>
      </c>
    </row>
    <row r="617" spans="2:97" x14ac:dyDescent="0.35">
      <c r="B617" t="s">
        <v>298</v>
      </c>
      <c r="C617" t="s">
        <v>2304</v>
      </c>
      <c r="D617" t="s">
        <v>395</v>
      </c>
      <c r="E617" t="s">
        <v>395</v>
      </c>
      <c r="F617" t="s">
        <v>396</v>
      </c>
      <c r="G617" t="s">
        <v>397</v>
      </c>
      <c r="H617" t="s">
        <v>398</v>
      </c>
      <c r="I617" t="s">
        <v>399</v>
      </c>
      <c r="J617" t="s">
        <v>400</v>
      </c>
      <c r="K617" t="s">
        <v>845</v>
      </c>
      <c r="L617" t="s">
        <v>585</v>
      </c>
      <c r="M617" t="s">
        <v>403</v>
      </c>
      <c r="N617">
        <v>1</v>
      </c>
      <c r="O617">
        <v>1</v>
      </c>
      <c r="P617" t="s">
        <v>2305</v>
      </c>
      <c r="Q617" t="s">
        <v>424</v>
      </c>
      <c r="R617" t="s">
        <v>2306</v>
      </c>
      <c r="S617" t="s">
        <v>2307</v>
      </c>
      <c r="T617" t="s">
        <v>408</v>
      </c>
      <c r="U617">
        <v>50950081576</v>
      </c>
      <c r="W617">
        <v>10000</v>
      </c>
      <c r="X617" t="s">
        <v>409</v>
      </c>
      <c r="Y617" t="s">
        <v>410</v>
      </c>
      <c r="Z617" t="s">
        <v>410</v>
      </c>
      <c r="AA617" t="s">
        <v>411</v>
      </c>
      <c r="AB617" t="s">
        <v>412</v>
      </c>
      <c r="AC617" t="s">
        <v>411</v>
      </c>
      <c r="AD617">
        <v>46104</v>
      </c>
      <c r="AE617">
        <v>46160</v>
      </c>
      <c r="AF617">
        <v>46111</v>
      </c>
      <c r="AG617" t="s">
        <v>590</v>
      </c>
      <c r="AH617">
        <v>6158303</v>
      </c>
      <c r="AI617">
        <v>46106</v>
      </c>
      <c r="AJ617">
        <v>46107</v>
      </c>
      <c r="AK617">
        <v>10000</v>
      </c>
      <c r="AL617" t="s">
        <v>396</v>
      </c>
      <c r="AM617" t="s">
        <v>2308</v>
      </c>
      <c r="AN617">
        <v>46107</v>
      </c>
      <c r="AO617">
        <v>46107.364050925928</v>
      </c>
      <c r="AP617" t="s">
        <v>51</v>
      </c>
      <c r="AQ617">
        <v>3.8519999999999999E-2</v>
      </c>
      <c r="AR617">
        <v>385.2</v>
      </c>
      <c r="AS617" t="s">
        <v>51</v>
      </c>
      <c r="AT617">
        <v>385.2</v>
      </c>
      <c r="AU617" t="s">
        <v>415</v>
      </c>
      <c r="AV617" t="s">
        <v>772</v>
      </c>
      <c r="AW617" t="s">
        <v>2217</v>
      </c>
      <c r="AX617">
        <v>46114</v>
      </c>
      <c r="AY617">
        <v>46163</v>
      </c>
      <c r="AZ617" t="s">
        <v>2226</v>
      </c>
      <c r="BA617" t="s">
        <v>419</v>
      </c>
      <c r="BB617" t="s">
        <v>2227</v>
      </c>
      <c r="BC617">
        <v>400</v>
      </c>
      <c r="BD617" t="s">
        <v>521</v>
      </c>
      <c r="BE617">
        <v>11.862</v>
      </c>
      <c r="BF617">
        <v>10.992000000000001</v>
      </c>
      <c r="BG617" t="s">
        <v>522</v>
      </c>
      <c r="BH617">
        <v>595</v>
      </c>
      <c r="BI617">
        <v>395</v>
      </c>
      <c r="BJ617">
        <v>190</v>
      </c>
      <c r="BK617">
        <v>25</v>
      </c>
      <c r="BL617" t="s">
        <v>521</v>
      </c>
      <c r="BM617">
        <v>323.55</v>
      </c>
      <c r="BN617">
        <v>274.8</v>
      </c>
      <c r="BO617">
        <v>323.55</v>
      </c>
      <c r="BP617" t="s">
        <v>522</v>
      </c>
      <c r="BQ617">
        <v>1200</v>
      </c>
      <c r="BR617">
        <v>1000</v>
      </c>
      <c r="BS617">
        <v>1088</v>
      </c>
      <c r="BT617">
        <v>1</v>
      </c>
      <c r="BU617">
        <v>0</v>
      </c>
      <c r="BV617">
        <v>1</v>
      </c>
      <c r="BW617">
        <v>25</v>
      </c>
      <c r="BX617">
        <v>0</v>
      </c>
      <c r="BY617">
        <v>25</v>
      </c>
      <c r="BZ617">
        <v>10000</v>
      </c>
      <c r="CA617">
        <v>0</v>
      </c>
      <c r="CB617">
        <v>10000</v>
      </c>
      <c r="CC617">
        <v>274.8</v>
      </c>
      <c r="CD617" t="s">
        <v>842</v>
      </c>
      <c r="CE617" t="s">
        <v>898</v>
      </c>
      <c r="CG617" t="s">
        <v>421</v>
      </c>
      <c r="CN617" t="str">
        <v>M19</v>
      </c>
      <c r="CO617" t="str">
        <v>1220-5YY0030EN</v>
      </c>
      <c r="CP617" t="str">
        <v>MSNU9003952</v>
      </c>
      <c r="CQ617" s="23">
        <v>319.59969999999998</v>
      </c>
      <c r="CR617" s="25">
        <f t="shared" si="24"/>
        <v>2.8009129527339277E-2</v>
      </c>
      <c r="CS617" s="21">
        <f t="shared" si="25"/>
        <v>70.022823818348186</v>
      </c>
    </row>
    <row r="618" spans="2:97" x14ac:dyDescent="0.35">
      <c r="B618" t="s">
        <v>296</v>
      </c>
      <c r="C618" t="s">
        <v>2309</v>
      </c>
      <c r="D618" t="s">
        <v>395</v>
      </c>
      <c r="E618" t="s">
        <v>395</v>
      </c>
      <c r="F618" t="s">
        <v>396</v>
      </c>
      <c r="G618" t="s">
        <v>397</v>
      </c>
      <c r="H618" t="s">
        <v>398</v>
      </c>
      <c r="I618" t="s">
        <v>399</v>
      </c>
      <c r="J618" t="s">
        <v>400</v>
      </c>
      <c r="K618" t="s">
        <v>629</v>
      </c>
      <c r="L618" t="s">
        <v>585</v>
      </c>
      <c r="M618" t="s">
        <v>403</v>
      </c>
      <c r="N618">
        <v>1</v>
      </c>
      <c r="O618">
        <v>1</v>
      </c>
      <c r="P618" t="s">
        <v>2310</v>
      </c>
      <c r="Q618" t="s">
        <v>424</v>
      </c>
      <c r="R618" t="s">
        <v>2311</v>
      </c>
      <c r="S618" t="s">
        <v>2312</v>
      </c>
      <c r="T618" t="s">
        <v>408</v>
      </c>
      <c r="U618">
        <v>50950081635</v>
      </c>
      <c r="W618">
        <v>240000</v>
      </c>
      <c r="X618" t="s">
        <v>409</v>
      </c>
      <c r="Y618" t="s">
        <v>410</v>
      </c>
      <c r="Z618" t="s">
        <v>410</v>
      </c>
      <c r="AA618" t="s">
        <v>411</v>
      </c>
      <c r="AB618" t="s">
        <v>412</v>
      </c>
      <c r="AC618" t="s">
        <v>411</v>
      </c>
      <c r="AD618">
        <v>46104</v>
      </c>
      <c r="AE618">
        <v>46160</v>
      </c>
      <c r="AF618">
        <v>46111</v>
      </c>
      <c r="AG618" t="s">
        <v>590</v>
      </c>
      <c r="AH618">
        <v>6158304</v>
      </c>
      <c r="AI618">
        <v>46106</v>
      </c>
      <c r="AJ618">
        <v>46107</v>
      </c>
      <c r="AK618">
        <v>240000</v>
      </c>
      <c r="AL618" t="s">
        <v>396</v>
      </c>
      <c r="AM618" t="s">
        <v>2313</v>
      </c>
      <c r="AN618">
        <v>46107</v>
      </c>
      <c r="AO618">
        <v>46107.364050925928</v>
      </c>
      <c r="AP618" t="s">
        <v>51</v>
      </c>
      <c r="AQ618">
        <v>5.4999999999999997E-3</v>
      </c>
      <c r="AR618">
        <v>1320</v>
      </c>
      <c r="AS618" t="s">
        <v>51</v>
      </c>
      <c r="AT618">
        <v>1320</v>
      </c>
      <c r="AU618" t="s">
        <v>415</v>
      </c>
      <c r="AV618" t="s">
        <v>772</v>
      </c>
      <c r="AW618" t="s">
        <v>2217</v>
      </c>
      <c r="AX618">
        <v>46114</v>
      </c>
      <c r="AY618">
        <v>46163</v>
      </c>
      <c r="AZ618" t="s">
        <v>2226</v>
      </c>
      <c r="BA618" t="s">
        <v>419</v>
      </c>
      <c r="BB618" t="s">
        <v>2227</v>
      </c>
      <c r="BC618">
        <v>40000</v>
      </c>
      <c r="BD618" t="s">
        <v>521</v>
      </c>
      <c r="BE618">
        <v>2.331</v>
      </c>
      <c r="BF618">
        <v>1.6519999999999999</v>
      </c>
      <c r="BG618" t="s">
        <v>522</v>
      </c>
      <c r="BH618">
        <v>395</v>
      </c>
      <c r="BI618">
        <v>295</v>
      </c>
      <c r="BJ618">
        <v>174</v>
      </c>
      <c r="BK618">
        <v>6</v>
      </c>
      <c r="BL618" t="s">
        <v>521</v>
      </c>
      <c r="BM618">
        <v>21.986000000000001</v>
      </c>
      <c r="BN618">
        <v>9.9120000000000008</v>
      </c>
      <c r="BO618">
        <v>21.986000000000001</v>
      </c>
      <c r="BP618" t="s">
        <v>522</v>
      </c>
      <c r="BQ618">
        <v>800</v>
      </c>
      <c r="BR618">
        <v>300</v>
      </c>
      <c r="BS618">
        <v>698</v>
      </c>
      <c r="BT618">
        <v>1</v>
      </c>
      <c r="BU618">
        <v>0</v>
      </c>
      <c r="BV618">
        <v>1</v>
      </c>
      <c r="BW618">
        <v>6</v>
      </c>
      <c r="BX618">
        <v>0</v>
      </c>
      <c r="BY618">
        <v>6</v>
      </c>
      <c r="BZ618">
        <v>240000</v>
      </c>
      <c r="CA618">
        <v>0</v>
      </c>
      <c r="CB618">
        <v>240000</v>
      </c>
      <c r="CC618">
        <v>9.9120000000000008</v>
      </c>
      <c r="CD618" t="s">
        <v>659</v>
      </c>
      <c r="CE618" t="s">
        <v>1006</v>
      </c>
      <c r="CG618" t="s">
        <v>421</v>
      </c>
      <c r="CN618" t="str">
        <v>M19</v>
      </c>
      <c r="CO618" t="str">
        <v>1101-5YY0361EN</v>
      </c>
      <c r="CP618" t="str">
        <v>MSNU9003952</v>
      </c>
      <c r="CQ618" s="23">
        <v>494.18649599999998</v>
      </c>
      <c r="CR618" s="25">
        <f t="shared" si="24"/>
        <v>4.3309595025045187E-2</v>
      </c>
      <c r="CS618" s="21">
        <f t="shared" si="25"/>
        <v>108.27398756261297</v>
      </c>
    </row>
    <row r="619" spans="2:97" x14ac:dyDescent="0.35">
      <c r="B619" t="s">
        <v>298</v>
      </c>
      <c r="C619" t="s">
        <v>2314</v>
      </c>
      <c r="D619" t="s">
        <v>395</v>
      </c>
      <c r="E619" t="s">
        <v>395</v>
      </c>
      <c r="F619" t="s">
        <v>396</v>
      </c>
      <c r="G619" t="s">
        <v>397</v>
      </c>
      <c r="H619" t="s">
        <v>398</v>
      </c>
      <c r="I619" t="s">
        <v>399</v>
      </c>
      <c r="J619" t="s">
        <v>400</v>
      </c>
      <c r="K619" t="s">
        <v>595</v>
      </c>
      <c r="L619" t="s">
        <v>585</v>
      </c>
      <c r="M619" t="s">
        <v>403</v>
      </c>
      <c r="N619">
        <v>1</v>
      </c>
      <c r="O619">
        <v>1</v>
      </c>
      <c r="P619" t="s">
        <v>737</v>
      </c>
      <c r="Q619" t="s">
        <v>430</v>
      </c>
      <c r="R619" t="s">
        <v>675</v>
      </c>
      <c r="S619" t="s">
        <v>676</v>
      </c>
      <c r="T619" t="s">
        <v>408</v>
      </c>
      <c r="U619">
        <v>50950081660</v>
      </c>
      <c r="W619">
        <v>18000</v>
      </c>
      <c r="X619" t="s">
        <v>409</v>
      </c>
      <c r="Y619" t="s">
        <v>410</v>
      </c>
      <c r="Z619" t="s">
        <v>410</v>
      </c>
      <c r="AA619" t="s">
        <v>411</v>
      </c>
      <c r="AB619" t="s">
        <v>412</v>
      </c>
      <c r="AC619" t="s">
        <v>411</v>
      </c>
      <c r="AD619">
        <v>46111</v>
      </c>
      <c r="AE619">
        <v>46167</v>
      </c>
      <c r="AF619">
        <v>46111</v>
      </c>
      <c r="AG619" t="s">
        <v>590</v>
      </c>
      <c r="AH619">
        <v>6158305</v>
      </c>
      <c r="AI619">
        <v>46106</v>
      </c>
      <c r="AJ619">
        <v>46107</v>
      </c>
      <c r="AK619">
        <v>18000</v>
      </c>
      <c r="AL619" t="s">
        <v>396</v>
      </c>
      <c r="AM619" t="s">
        <v>2315</v>
      </c>
      <c r="AN619">
        <v>46107</v>
      </c>
      <c r="AO619">
        <v>46107.364050925928</v>
      </c>
      <c r="AP619" t="s">
        <v>51</v>
      </c>
      <c r="AQ619">
        <v>1.242E-2</v>
      </c>
      <c r="AR619">
        <v>223.56</v>
      </c>
      <c r="AS619" t="s">
        <v>51</v>
      </c>
      <c r="AT619">
        <v>223.56</v>
      </c>
      <c r="AU619" t="s">
        <v>415</v>
      </c>
      <c r="AV619" t="s">
        <v>772</v>
      </c>
      <c r="AW619" t="s">
        <v>2217</v>
      </c>
      <c r="AX619">
        <v>46114</v>
      </c>
      <c r="AY619">
        <v>46163</v>
      </c>
      <c r="AZ619" t="s">
        <v>2226</v>
      </c>
      <c r="BA619" t="s">
        <v>419</v>
      </c>
      <c r="BB619" t="s">
        <v>2227</v>
      </c>
      <c r="BC619">
        <v>6000</v>
      </c>
      <c r="BD619" t="s">
        <v>521</v>
      </c>
      <c r="BE619">
        <v>9.0969999999999995</v>
      </c>
      <c r="BF619">
        <v>8.7690000000000001</v>
      </c>
      <c r="BG619" t="s">
        <v>522</v>
      </c>
      <c r="BH619">
        <v>296</v>
      </c>
      <c r="BI619">
        <v>195</v>
      </c>
      <c r="BJ619">
        <v>145</v>
      </c>
      <c r="BK619">
        <v>12</v>
      </c>
      <c r="BL619" t="s">
        <v>521</v>
      </c>
      <c r="BM619">
        <v>35.290999999999997</v>
      </c>
      <c r="BN619">
        <v>26.306999999999999</v>
      </c>
      <c r="BO619">
        <v>35.290999999999997</v>
      </c>
      <c r="BP619" t="s">
        <v>522</v>
      </c>
      <c r="BQ619">
        <v>800</v>
      </c>
      <c r="BR619">
        <v>300</v>
      </c>
      <c r="BS619">
        <v>608</v>
      </c>
      <c r="BT619">
        <v>0</v>
      </c>
      <c r="BU619">
        <v>1</v>
      </c>
      <c r="BV619">
        <v>1</v>
      </c>
      <c r="BW619">
        <v>3</v>
      </c>
      <c r="BX619">
        <v>0</v>
      </c>
      <c r="BY619">
        <v>3</v>
      </c>
      <c r="BZ619">
        <v>0</v>
      </c>
      <c r="CA619">
        <v>18000</v>
      </c>
      <c r="CB619">
        <v>18000</v>
      </c>
      <c r="CC619">
        <v>26.306999999999999</v>
      </c>
      <c r="CD619" t="s">
        <v>523</v>
      </c>
      <c r="CE619" t="s">
        <v>728</v>
      </c>
      <c r="CG619" t="s">
        <v>421</v>
      </c>
      <c r="CN619" t="str">
        <v>M19</v>
      </c>
      <c r="CO619" t="str">
        <v>1101-5YY0299EN</v>
      </c>
      <c r="CP619" t="str">
        <v>MSNU9003952</v>
      </c>
      <c r="CQ619" s="23">
        <v>166.35936000000001</v>
      </c>
      <c r="CR619" s="25">
        <f t="shared" si="24"/>
        <v>1.4579428148165549E-2</v>
      </c>
      <c r="CS619" s="21">
        <f t="shared" si="25"/>
        <v>36.448570370413876</v>
      </c>
    </row>
    <row r="620" spans="2:97" x14ac:dyDescent="0.35">
      <c r="B620" t="s">
        <v>295</v>
      </c>
      <c r="C620" t="s">
        <v>2316</v>
      </c>
      <c r="D620" t="s">
        <v>395</v>
      </c>
      <c r="E620" t="s">
        <v>395</v>
      </c>
      <c r="F620" t="s">
        <v>396</v>
      </c>
      <c r="G620" t="s">
        <v>397</v>
      </c>
      <c r="H620" t="s">
        <v>398</v>
      </c>
      <c r="I620" t="s">
        <v>399</v>
      </c>
      <c r="J620" t="s">
        <v>400</v>
      </c>
      <c r="K620" t="s">
        <v>1214</v>
      </c>
      <c r="L620" t="s">
        <v>2272</v>
      </c>
      <c r="M620" t="s">
        <v>403</v>
      </c>
      <c r="N620">
        <v>1</v>
      </c>
      <c r="O620">
        <v>1</v>
      </c>
      <c r="P620" t="s">
        <v>2317</v>
      </c>
      <c r="Q620" t="s">
        <v>424</v>
      </c>
      <c r="R620" t="s">
        <v>2318</v>
      </c>
      <c r="S620" t="s">
        <v>2319</v>
      </c>
      <c r="T620" t="s">
        <v>408</v>
      </c>
      <c r="U620">
        <v>50950082647</v>
      </c>
      <c r="W620">
        <v>40000</v>
      </c>
      <c r="X620" t="s">
        <v>448</v>
      </c>
      <c r="Y620" t="s">
        <v>410</v>
      </c>
      <c r="Z620" t="s">
        <v>410</v>
      </c>
      <c r="AA620" t="s">
        <v>411</v>
      </c>
      <c r="AB620" t="s">
        <v>412</v>
      </c>
      <c r="AC620" t="s">
        <v>411</v>
      </c>
      <c r="AD620">
        <v>46108</v>
      </c>
      <c r="AE620">
        <v>46111</v>
      </c>
      <c r="AF620">
        <v>46118</v>
      </c>
      <c r="AG620" t="s">
        <v>413</v>
      </c>
      <c r="AH620">
        <v>6161932</v>
      </c>
      <c r="AI620">
        <v>46108</v>
      </c>
      <c r="AJ620">
        <v>46108</v>
      </c>
      <c r="AK620">
        <v>40000</v>
      </c>
      <c r="AL620" t="s">
        <v>396</v>
      </c>
      <c r="AM620" t="s">
        <v>2320</v>
      </c>
      <c r="AN620">
        <v>46108</v>
      </c>
      <c r="AO620">
        <v>46108.580081018517</v>
      </c>
      <c r="AP620" t="s">
        <v>51</v>
      </c>
      <c r="AQ620">
        <v>8.6099999999999996E-3</v>
      </c>
      <c r="AR620">
        <v>344.4</v>
      </c>
      <c r="AS620" t="s">
        <v>51</v>
      </c>
      <c r="AT620">
        <v>344.4</v>
      </c>
      <c r="AU620" t="s">
        <v>450</v>
      </c>
      <c r="AV620" t="s">
        <v>448</v>
      </c>
      <c r="AW620" t="s">
        <v>2321</v>
      </c>
      <c r="AX620">
        <v>46111</v>
      </c>
      <c r="AY620">
        <v>46123</v>
      </c>
      <c r="BA620" t="s">
        <v>448</v>
      </c>
      <c r="BB620" t="s">
        <v>2322</v>
      </c>
      <c r="BE620">
        <v>0</v>
      </c>
      <c r="BF620">
        <v>0</v>
      </c>
      <c r="BM620">
        <v>0</v>
      </c>
      <c r="BN620">
        <v>0</v>
      </c>
      <c r="BO620">
        <v>50</v>
      </c>
      <c r="CG620" t="s">
        <v>421</v>
      </c>
      <c r="CN620" t="str">
        <v>M19</v>
      </c>
      <c r="CO620" t="str">
        <v>1140-5YY0004EN</v>
      </c>
      <c r="CP620" t="str">
        <v>MSNU9003952</v>
      </c>
      <c r="CQ620" s="23">
        <v>574.75840000000005</v>
      </c>
      <c r="CR620" s="25">
        <f t="shared" si="24"/>
        <v>5.0370768409752201E-2</v>
      </c>
      <c r="CS620" s="21">
        <f t="shared" si="25"/>
        <v>125.9269210243805</v>
      </c>
    </row>
    <row r="621" spans="2:97" x14ac:dyDescent="0.35">
      <c r="B621" t="s">
        <v>295</v>
      </c>
      <c r="C621" t="s">
        <v>2323</v>
      </c>
      <c r="D621" t="s">
        <v>395</v>
      </c>
      <c r="E621" t="s">
        <v>395</v>
      </c>
      <c r="F621" t="s">
        <v>396</v>
      </c>
      <c r="G621" t="s">
        <v>397</v>
      </c>
      <c r="H621" t="s">
        <v>398</v>
      </c>
      <c r="I621" t="s">
        <v>399</v>
      </c>
      <c r="J621" t="s">
        <v>400</v>
      </c>
      <c r="K621" t="s">
        <v>566</v>
      </c>
      <c r="L621" t="s">
        <v>2272</v>
      </c>
      <c r="M621" t="s">
        <v>403</v>
      </c>
      <c r="N621">
        <v>1</v>
      </c>
      <c r="O621">
        <v>1</v>
      </c>
      <c r="P621" t="s">
        <v>2324</v>
      </c>
      <c r="Q621" t="s">
        <v>637</v>
      </c>
      <c r="R621" t="s">
        <v>2325</v>
      </c>
      <c r="S621" t="s">
        <v>1185</v>
      </c>
      <c r="T621" t="s">
        <v>408</v>
      </c>
      <c r="U621">
        <v>50950082654</v>
      </c>
      <c r="W621">
        <v>42000</v>
      </c>
      <c r="X621" t="s">
        <v>448</v>
      </c>
      <c r="Y621" t="s">
        <v>410</v>
      </c>
      <c r="Z621" t="s">
        <v>410</v>
      </c>
      <c r="AA621" t="s">
        <v>411</v>
      </c>
      <c r="AB621" t="s">
        <v>412</v>
      </c>
      <c r="AC621" t="s">
        <v>411</v>
      </c>
      <c r="AD621">
        <v>46108</v>
      </c>
      <c r="AE621">
        <v>46111</v>
      </c>
      <c r="AF621">
        <v>46111</v>
      </c>
      <c r="AG621" t="s">
        <v>413</v>
      </c>
      <c r="AH621">
        <v>6161931</v>
      </c>
      <c r="AI621">
        <v>46108</v>
      </c>
      <c r="AJ621">
        <v>46108</v>
      </c>
      <c r="AK621">
        <v>42000</v>
      </c>
      <c r="AL621" t="s">
        <v>396</v>
      </c>
      <c r="AM621" t="s">
        <v>2326</v>
      </c>
      <c r="AN621">
        <v>46108</v>
      </c>
      <c r="AO621">
        <v>46108.580081018517</v>
      </c>
      <c r="AP621" t="s">
        <v>51</v>
      </c>
      <c r="AQ621">
        <v>7.7109999999999998E-2</v>
      </c>
      <c r="AR621">
        <v>3238.62</v>
      </c>
      <c r="AS621" t="s">
        <v>51</v>
      </c>
      <c r="AT621">
        <v>3238.62</v>
      </c>
      <c r="AU621" t="s">
        <v>450</v>
      </c>
      <c r="AV621" t="s">
        <v>448</v>
      </c>
      <c r="AW621" t="s">
        <v>2321</v>
      </c>
      <c r="AX621">
        <v>46111</v>
      </c>
      <c r="AY621">
        <v>46116</v>
      </c>
      <c r="BA621" t="s">
        <v>448</v>
      </c>
      <c r="BB621" t="s">
        <v>2322</v>
      </c>
      <c r="BE621">
        <v>0</v>
      </c>
      <c r="BF621">
        <v>0</v>
      </c>
      <c r="BM621">
        <v>0</v>
      </c>
      <c r="BN621">
        <v>0</v>
      </c>
      <c r="BO621">
        <v>22</v>
      </c>
      <c r="CG621" t="s">
        <v>421</v>
      </c>
      <c r="CN621" t="str">
        <v>M19</v>
      </c>
      <c r="CO621" t="str">
        <v>1106-5YY0012-T2EN</v>
      </c>
      <c r="CP621" t="str">
        <v>MSNU9003952</v>
      </c>
      <c r="CQ621" s="23">
        <v>124.7988</v>
      </c>
      <c r="CR621" s="25">
        <f t="shared" si="24"/>
        <v>1.0937137156438223E-2</v>
      </c>
      <c r="CS621" s="21">
        <f t="shared" si="25"/>
        <v>27.342842891095557</v>
      </c>
    </row>
    <row r="622" spans="2:97" x14ac:dyDescent="0.35">
      <c r="B622" t="s">
        <v>295</v>
      </c>
      <c r="C622" t="s">
        <v>2327</v>
      </c>
      <c r="D622" t="s">
        <v>395</v>
      </c>
      <c r="E622" t="s">
        <v>395</v>
      </c>
      <c r="F622" t="s">
        <v>396</v>
      </c>
      <c r="G622" t="s">
        <v>397</v>
      </c>
      <c r="H622" t="s">
        <v>398</v>
      </c>
      <c r="I622" t="s">
        <v>399</v>
      </c>
      <c r="J622" t="s">
        <v>400</v>
      </c>
      <c r="K622" t="s">
        <v>1214</v>
      </c>
      <c r="L622" t="s">
        <v>2272</v>
      </c>
      <c r="M622" t="s">
        <v>403</v>
      </c>
      <c r="N622">
        <v>1</v>
      </c>
      <c r="O622">
        <v>1</v>
      </c>
      <c r="P622" t="s">
        <v>2328</v>
      </c>
      <c r="Q622" t="s">
        <v>405</v>
      </c>
      <c r="R622" t="s">
        <v>2329</v>
      </c>
      <c r="S622" t="s">
        <v>1265</v>
      </c>
      <c r="T622" t="s">
        <v>408</v>
      </c>
      <c r="U622">
        <v>50950082657</v>
      </c>
      <c r="W622">
        <v>100000</v>
      </c>
      <c r="X622" t="s">
        <v>448</v>
      </c>
      <c r="Y622" t="s">
        <v>410</v>
      </c>
      <c r="Z622" t="s">
        <v>410</v>
      </c>
      <c r="AA622" t="s">
        <v>411</v>
      </c>
      <c r="AB622" t="s">
        <v>412</v>
      </c>
      <c r="AC622" t="s">
        <v>411</v>
      </c>
      <c r="AD622">
        <v>46108</v>
      </c>
      <c r="AE622">
        <v>46111</v>
      </c>
      <c r="AF622">
        <v>46118</v>
      </c>
      <c r="AG622" t="s">
        <v>413</v>
      </c>
      <c r="AH622">
        <v>6161933</v>
      </c>
      <c r="AI622">
        <v>46108</v>
      </c>
      <c r="AJ622">
        <v>46108</v>
      </c>
      <c r="AK622">
        <v>100000</v>
      </c>
      <c r="AL622" t="s">
        <v>396</v>
      </c>
      <c r="AM622" t="s">
        <v>2330</v>
      </c>
      <c r="AN622">
        <v>46108</v>
      </c>
      <c r="AO622">
        <v>46108.580081018517</v>
      </c>
      <c r="AP622" t="s">
        <v>51</v>
      </c>
      <c r="AQ622">
        <v>9.0799999999999995E-3</v>
      </c>
      <c r="AR622">
        <v>908</v>
      </c>
      <c r="AS622" t="s">
        <v>51</v>
      </c>
      <c r="AT622">
        <v>908</v>
      </c>
      <c r="AU622" t="s">
        <v>450</v>
      </c>
      <c r="AV622" t="s">
        <v>448</v>
      </c>
      <c r="AW622" t="s">
        <v>2321</v>
      </c>
      <c r="AX622">
        <v>46111</v>
      </c>
      <c r="AY622">
        <v>46123</v>
      </c>
      <c r="BA622" t="s">
        <v>448</v>
      </c>
      <c r="BB622" t="s">
        <v>2322</v>
      </c>
      <c r="BE622">
        <v>0</v>
      </c>
      <c r="BF622">
        <v>0</v>
      </c>
      <c r="BM622">
        <v>0</v>
      </c>
      <c r="BN622">
        <v>0</v>
      </c>
      <c r="BO622">
        <v>0.1</v>
      </c>
      <c r="CG622" t="s">
        <v>421</v>
      </c>
      <c r="CN622" t="str">
        <v>M19</v>
      </c>
      <c r="CO622" t="str">
        <v>1252-5YY0073EN</v>
      </c>
      <c r="CP622" t="str">
        <v>MSNU9003952</v>
      </c>
      <c r="CQ622" s="23">
        <v>103.98439999999999</v>
      </c>
      <c r="CR622" s="25">
        <f t="shared" si="24"/>
        <v>9.1130014465678737E-3</v>
      </c>
      <c r="CS622" s="21">
        <f t="shared" si="25"/>
        <v>22.782503616419685</v>
      </c>
    </row>
    <row r="623" spans="2:97" x14ac:dyDescent="0.35">
      <c r="B623" s="34" t="s">
        <v>298</v>
      </c>
      <c r="C623" t="s">
        <v>2331</v>
      </c>
      <c r="D623" t="s">
        <v>395</v>
      </c>
      <c r="E623" t="s">
        <v>395</v>
      </c>
      <c r="F623" t="s">
        <v>396</v>
      </c>
      <c r="G623" t="s">
        <v>397</v>
      </c>
      <c r="H623" t="s">
        <v>398</v>
      </c>
      <c r="I623" t="s">
        <v>399</v>
      </c>
      <c r="J623" t="s">
        <v>400</v>
      </c>
      <c r="K623" t="s">
        <v>607</v>
      </c>
      <c r="L623" t="s">
        <v>2254</v>
      </c>
      <c r="M623" t="s">
        <v>751</v>
      </c>
      <c r="N623">
        <v>1</v>
      </c>
      <c r="O623">
        <v>1</v>
      </c>
      <c r="P623" t="s">
        <v>2332</v>
      </c>
      <c r="Q623" t="s">
        <v>430</v>
      </c>
      <c r="R623" t="s">
        <v>2333</v>
      </c>
      <c r="S623" t="s">
        <v>2334</v>
      </c>
      <c r="T623" t="s">
        <v>408</v>
      </c>
      <c r="U623">
        <v>50950082674</v>
      </c>
      <c r="W623">
        <v>3600</v>
      </c>
      <c r="X623" t="s">
        <v>448</v>
      </c>
      <c r="Y623" t="s">
        <v>410</v>
      </c>
      <c r="Z623" t="s">
        <v>410</v>
      </c>
      <c r="AA623" t="s">
        <v>411</v>
      </c>
      <c r="AC623" t="s">
        <v>411</v>
      </c>
      <c r="AD623">
        <v>46111</v>
      </c>
      <c r="AE623">
        <v>46111</v>
      </c>
      <c r="AF623">
        <v>46115</v>
      </c>
      <c r="AG623" t="s">
        <v>519</v>
      </c>
      <c r="AH623">
        <v>6161853</v>
      </c>
      <c r="AI623">
        <v>46108</v>
      </c>
      <c r="AJ623">
        <v>46108</v>
      </c>
      <c r="AK623">
        <v>3600</v>
      </c>
      <c r="AL623" t="s">
        <v>396</v>
      </c>
      <c r="AM623" t="s">
        <v>2335</v>
      </c>
      <c r="AN623">
        <v>46108</v>
      </c>
      <c r="AO623">
        <v>46108.591458333336</v>
      </c>
      <c r="AP623" t="s">
        <v>51</v>
      </c>
      <c r="AQ623">
        <v>0.30031999999999998</v>
      </c>
      <c r="AR623">
        <v>1081.1500000000001</v>
      </c>
      <c r="AS623" t="s">
        <v>51</v>
      </c>
      <c r="AT623">
        <v>1081.1500000000001</v>
      </c>
      <c r="AU623" t="s">
        <v>450</v>
      </c>
      <c r="AV623" t="s">
        <v>756</v>
      </c>
      <c r="AX623">
        <v>46115</v>
      </c>
      <c r="AY623">
        <v>46122</v>
      </c>
      <c r="BA623" t="s">
        <v>448</v>
      </c>
      <c r="BB623" t="s">
        <v>2336</v>
      </c>
      <c r="BC623">
        <v>780</v>
      </c>
      <c r="BD623" t="s">
        <v>521</v>
      </c>
      <c r="BE623">
        <v>8.4613999999999994</v>
      </c>
      <c r="BF623">
        <v>7.6353999999999997</v>
      </c>
      <c r="BG623" t="s">
        <v>522</v>
      </c>
      <c r="BH623">
        <v>395</v>
      </c>
      <c r="BI623">
        <v>295</v>
      </c>
      <c r="BJ623">
        <v>150</v>
      </c>
      <c r="BK623">
        <v>8</v>
      </c>
      <c r="BL623" t="s">
        <v>521</v>
      </c>
      <c r="BM623">
        <v>47.370399999999997</v>
      </c>
      <c r="BN623">
        <v>35.240400000000001</v>
      </c>
      <c r="BO623">
        <v>47.370399999999997</v>
      </c>
      <c r="BP623" t="s">
        <v>522</v>
      </c>
      <c r="BQ623">
        <v>800</v>
      </c>
      <c r="BR623">
        <v>300</v>
      </c>
      <c r="BS623">
        <v>760</v>
      </c>
      <c r="BT623">
        <v>0</v>
      </c>
      <c r="BU623">
        <v>1</v>
      </c>
      <c r="BV623">
        <v>1</v>
      </c>
      <c r="BW623">
        <v>4</v>
      </c>
      <c r="BX623">
        <v>1</v>
      </c>
      <c r="BY623">
        <v>5</v>
      </c>
      <c r="BZ623">
        <v>0</v>
      </c>
      <c r="CA623">
        <v>3600</v>
      </c>
      <c r="CB623">
        <v>3600</v>
      </c>
      <c r="CC623">
        <v>35.240400000000001</v>
      </c>
      <c r="CD623" t="s">
        <v>700</v>
      </c>
      <c r="CE623" t="s">
        <v>2337</v>
      </c>
      <c r="CG623" t="s">
        <v>421</v>
      </c>
      <c r="CN623" t="str">
        <v>M01</v>
      </c>
      <c r="CO623" t="str">
        <v>1200-3030001EN</v>
      </c>
      <c r="CP623" t="str">
        <v>MSNU9003952</v>
      </c>
      <c r="CQ623" s="23">
        <v>234.43360000000001</v>
      </c>
      <c r="CR623" s="25">
        <f t="shared" si="24"/>
        <v>2.0545329260197823E-2</v>
      </c>
      <c r="CS623" s="21">
        <f t="shared" si="25"/>
        <v>51.363323150494558</v>
      </c>
    </row>
    <row r="624" spans="2:97" x14ac:dyDescent="0.35">
      <c r="B624" t="s">
        <v>297</v>
      </c>
      <c r="C624" t="s">
        <v>1363</v>
      </c>
      <c r="D624" t="s">
        <v>549</v>
      </c>
      <c r="E624" t="s">
        <v>395</v>
      </c>
      <c r="F624" t="s">
        <v>396</v>
      </c>
      <c r="G624" t="s">
        <v>397</v>
      </c>
      <c r="H624" t="s">
        <v>398</v>
      </c>
      <c r="I624" t="s">
        <v>399</v>
      </c>
      <c r="J624" t="s">
        <v>749</v>
      </c>
      <c r="K624" t="s">
        <v>401</v>
      </c>
      <c r="L624" t="s">
        <v>766</v>
      </c>
      <c r="M624" t="s">
        <v>403</v>
      </c>
      <c r="N624">
        <v>2</v>
      </c>
      <c r="O624">
        <v>3</v>
      </c>
      <c r="P624" t="s">
        <v>767</v>
      </c>
      <c r="Q624" t="s">
        <v>424</v>
      </c>
      <c r="R624" t="s">
        <v>552</v>
      </c>
      <c r="S624" t="s">
        <v>768</v>
      </c>
      <c r="T624" t="s">
        <v>408</v>
      </c>
      <c r="U624">
        <v>50950080815</v>
      </c>
      <c r="W624">
        <v>23040</v>
      </c>
      <c r="X624" t="s">
        <v>409</v>
      </c>
      <c r="Y624" t="s">
        <v>410</v>
      </c>
      <c r="Z624" t="s">
        <v>410</v>
      </c>
      <c r="AA624" t="s">
        <v>411</v>
      </c>
      <c r="AB624" t="s">
        <v>769</v>
      </c>
      <c r="AC624" t="s">
        <v>411</v>
      </c>
      <c r="AD624">
        <v>46102</v>
      </c>
      <c r="AE624">
        <v>46160</v>
      </c>
      <c r="AF624">
        <v>46109</v>
      </c>
      <c r="AG624" t="s">
        <v>770</v>
      </c>
      <c r="AH624">
        <v>6153601</v>
      </c>
      <c r="AI624">
        <v>46103</v>
      </c>
      <c r="AJ624">
        <v>46104</v>
      </c>
      <c r="AK624">
        <v>23040</v>
      </c>
      <c r="AL624" t="s">
        <v>396</v>
      </c>
      <c r="AM624" t="s">
        <v>2338</v>
      </c>
      <c r="AN624">
        <v>46104</v>
      </c>
      <c r="AO624">
        <v>46104.607141203705</v>
      </c>
      <c r="AP624" t="s">
        <v>51</v>
      </c>
      <c r="AQ624">
        <v>0.18359</v>
      </c>
      <c r="AR624">
        <v>4229.92</v>
      </c>
      <c r="AS624" t="s">
        <v>51</v>
      </c>
      <c r="AT624">
        <v>4229.92</v>
      </c>
      <c r="AU624" t="s">
        <v>415</v>
      </c>
      <c r="AV624" t="s">
        <v>416</v>
      </c>
      <c r="AW624" t="s">
        <v>2339</v>
      </c>
      <c r="AX624">
        <v>46109</v>
      </c>
      <c r="AY624">
        <v>46158</v>
      </c>
      <c r="AZ624" t="s">
        <v>2340</v>
      </c>
      <c r="BA624" t="s">
        <v>560</v>
      </c>
      <c r="BB624" t="s">
        <v>2341</v>
      </c>
      <c r="BC624">
        <v>240</v>
      </c>
      <c r="BD624" t="s">
        <v>521</v>
      </c>
      <c r="BE624">
        <v>2.5634000000000001</v>
      </c>
      <c r="BF624">
        <v>1.2864</v>
      </c>
      <c r="BG624" t="s">
        <v>522</v>
      </c>
      <c r="BH624">
        <v>340</v>
      </c>
      <c r="BI624">
        <v>250</v>
      </c>
      <c r="BJ624">
        <v>230</v>
      </c>
      <c r="BK624">
        <v>48</v>
      </c>
      <c r="BL624" t="s">
        <v>521</v>
      </c>
      <c r="BM624">
        <v>144.04320000000001</v>
      </c>
      <c r="BN624">
        <v>61.747199999999999</v>
      </c>
      <c r="BO624">
        <v>288.08640000000003</v>
      </c>
      <c r="BP624" t="s">
        <v>522</v>
      </c>
      <c r="BQ624">
        <v>1066</v>
      </c>
      <c r="BR624">
        <v>1066</v>
      </c>
      <c r="BS624">
        <v>1080</v>
      </c>
      <c r="BT624">
        <v>2</v>
      </c>
      <c r="BU624">
        <v>0</v>
      </c>
      <c r="BV624">
        <v>2</v>
      </c>
      <c r="BW624">
        <v>96</v>
      </c>
      <c r="BX624">
        <v>0</v>
      </c>
      <c r="BY624">
        <v>96</v>
      </c>
      <c r="BZ624">
        <v>23040</v>
      </c>
      <c r="CA624">
        <v>0</v>
      </c>
      <c r="CB624">
        <v>23040</v>
      </c>
      <c r="CC624">
        <v>123.4944</v>
      </c>
      <c r="CD624" t="s">
        <v>562</v>
      </c>
      <c r="CE624" t="s">
        <v>563</v>
      </c>
      <c r="CG624" t="s">
        <v>421</v>
      </c>
      <c r="CN624" t="str">
        <v>M46</v>
      </c>
      <c r="CO624" t="str">
        <v>1415-EQN0004EN</v>
      </c>
      <c r="CP624" t="str">
        <v>MSNU9003952</v>
      </c>
      <c r="CQ624" s="23">
        <v>708.09659280000005</v>
      </c>
      <c r="CR624" s="25">
        <f t="shared" si="24"/>
        <v>6.2056282235567868E-2</v>
      </c>
      <c r="CS624" s="21">
        <f t="shared" si="25"/>
        <v>155.14070558891967</v>
      </c>
    </row>
    <row r="625" spans="2:97" x14ac:dyDescent="0.35">
      <c r="B625" t="s">
        <v>299</v>
      </c>
      <c r="C625" t="s">
        <v>2049</v>
      </c>
      <c r="D625" t="s">
        <v>395</v>
      </c>
      <c r="E625" t="s">
        <v>395</v>
      </c>
      <c r="F625" t="s">
        <v>396</v>
      </c>
      <c r="G625" t="s">
        <v>397</v>
      </c>
      <c r="H625" t="s">
        <v>398</v>
      </c>
      <c r="I625" t="s">
        <v>399</v>
      </c>
      <c r="J625" t="s">
        <v>749</v>
      </c>
      <c r="K625" t="s">
        <v>777</v>
      </c>
      <c r="L625" t="s">
        <v>778</v>
      </c>
      <c r="M625" t="s">
        <v>403</v>
      </c>
      <c r="N625">
        <v>1</v>
      </c>
      <c r="O625">
        <v>3</v>
      </c>
      <c r="P625" t="s">
        <v>779</v>
      </c>
      <c r="Q625" t="s">
        <v>587</v>
      </c>
      <c r="R625" t="s">
        <v>536</v>
      </c>
      <c r="S625" t="s">
        <v>780</v>
      </c>
      <c r="T625" t="s">
        <v>408</v>
      </c>
      <c r="U625">
        <v>50950076725</v>
      </c>
      <c r="W625">
        <v>2016</v>
      </c>
      <c r="X625" t="s">
        <v>409</v>
      </c>
      <c r="Y625" t="s">
        <v>410</v>
      </c>
      <c r="Z625" t="s">
        <v>410</v>
      </c>
      <c r="AA625" t="s">
        <v>411</v>
      </c>
      <c r="AB625" t="s">
        <v>769</v>
      </c>
      <c r="AC625" t="s">
        <v>411</v>
      </c>
      <c r="AD625">
        <v>46097</v>
      </c>
      <c r="AE625">
        <v>46153</v>
      </c>
      <c r="AF625">
        <v>46109</v>
      </c>
      <c r="AG625" t="s">
        <v>781</v>
      </c>
      <c r="AH625">
        <v>6153602</v>
      </c>
      <c r="AI625">
        <v>46103</v>
      </c>
      <c r="AJ625">
        <v>46104</v>
      </c>
      <c r="AK625">
        <v>2016</v>
      </c>
      <c r="AL625" t="s">
        <v>396</v>
      </c>
      <c r="AM625" t="s">
        <v>2342</v>
      </c>
      <c r="AN625">
        <v>46104</v>
      </c>
      <c r="AO625">
        <v>46104.607141203705</v>
      </c>
      <c r="AP625" t="s">
        <v>51</v>
      </c>
      <c r="AQ625">
        <v>2.1913299999999998</v>
      </c>
      <c r="AR625">
        <v>4417.72</v>
      </c>
      <c r="AS625" t="s">
        <v>51</v>
      </c>
      <c r="AT625">
        <v>4417.72</v>
      </c>
      <c r="AU625" t="s">
        <v>415</v>
      </c>
      <c r="AV625" t="s">
        <v>416</v>
      </c>
      <c r="AW625" t="s">
        <v>2339</v>
      </c>
      <c r="AX625">
        <v>46109</v>
      </c>
      <c r="AY625">
        <v>46158</v>
      </c>
      <c r="AZ625" t="s">
        <v>2340</v>
      </c>
      <c r="BA625" t="s">
        <v>560</v>
      </c>
      <c r="BB625" t="s">
        <v>2341</v>
      </c>
      <c r="BC625">
        <v>28</v>
      </c>
      <c r="BD625" t="s">
        <v>521</v>
      </c>
      <c r="BE625">
        <v>4.1197999999999997</v>
      </c>
      <c r="BF625">
        <v>2.2568000000000001</v>
      </c>
      <c r="BG625" t="s">
        <v>522</v>
      </c>
      <c r="BH625">
        <v>795</v>
      </c>
      <c r="BI625">
        <v>395</v>
      </c>
      <c r="BJ625">
        <v>145</v>
      </c>
      <c r="BK625">
        <v>18</v>
      </c>
      <c r="BL625" t="s">
        <v>521</v>
      </c>
      <c r="BM625">
        <v>99.156400000000005</v>
      </c>
      <c r="BN625">
        <v>40.622399999999999</v>
      </c>
      <c r="BO625">
        <v>396.62560000000002</v>
      </c>
      <c r="BP625" t="s">
        <v>522</v>
      </c>
      <c r="BQ625">
        <v>1200</v>
      </c>
      <c r="BR625">
        <v>800</v>
      </c>
      <c r="BS625">
        <v>1030</v>
      </c>
      <c r="BT625">
        <v>4</v>
      </c>
      <c r="BU625">
        <v>0</v>
      </c>
      <c r="BV625">
        <v>4</v>
      </c>
      <c r="BW625">
        <v>72</v>
      </c>
      <c r="BX625">
        <v>0</v>
      </c>
      <c r="BY625">
        <v>72</v>
      </c>
      <c r="BZ625">
        <v>2016</v>
      </c>
      <c r="CA625">
        <v>0</v>
      </c>
      <c r="CB625">
        <v>2016</v>
      </c>
      <c r="CC625">
        <v>162.4896</v>
      </c>
      <c r="CD625" t="s">
        <v>783</v>
      </c>
      <c r="CE625" t="s">
        <v>784</v>
      </c>
      <c r="CG625" t="s">
        <v>421</v>
      </c>
      <c r="CN625" t="str">
        <v>M46</v>
      </c>
      <c r="CO625" t="str">
        <v>1415-EQN0007EN</v>
      </c>
      <c r="CP625" t="str">
        <v>MSNU9003952</v>
      </c>
      <c r="CQ625" s="23">
        <v>886.02478799999994</v>
      </c>
      <c r="CR625" s="25">
        <f t="shared" si="24"/>
        <v>7.7649581809761781E-2</v>
      </c>
      <c r="CS625" s="21">
        <f t="shared" si="25"/>
        <v>194.12395452440444</v>
      </c>
    </row>
    <row r="626" spans="2:97" x14ac:dyDescent="0.35">
      <c r="B626" t="s">
        <v>299</v>
      </c>
      <c r="C626" t="s">
        <v>2343</v>
      </c>
      <c r="D626" t="s">
        <v>395</v>
      </c>
      <c r="E626" t="s">
        <v>395</v>
      </c>
      <c r="F626" t="s">
        <v>396</v>
      </c>
      <c r="G626" t="s">
        <v>397</v>
      </c>
      <c r="H626" t="s">
        <v>398</v>
      </c>
      <c r="I626" t="s">
        <v>399</v>
      </c>
      <c r="J626" t="s">
        <v>749</v>
      </c>
      <c r="K626" t="s">
        <v>777</v>
      </c>
      <c r="L626" t="s">
        <v>778</v>
      </c>
      <c r="M626" t="s">
        <v>403</v>
      </c>
      <c r="N626">
        <v>1</v>
      </c>
      <c r="O626">
        <v>1</v>
      </c>
      <c r="P626" t="s">
        <v>1367</v>
      </c>
      <c r="Q626" t="s">
        <v>645</v>
      </c>
      <c r="R626" t="s">
        <v>536</v>
      </c>
      <c r="S626" t="s">
        <v>1368</v>
      </c>
      <c r="T626" t="s">
        <v>408</v>
      </c>
      <c r="U626">
        <v>50950079407</v>
      </c>
      <c r="W626">
        <v>4032</v>
      </c>
      <c r="X626" t="s">
        <v>409</v>
      </c>
      <c r="Y626" t="s">
        <v>410</v>
      </c>
      <c r="Z626" t="s">
        <v>410</v>
      </c>
      <c r="AA626" t="s">
        <v>411</v>
      </c>
      <c r="AB626" t="s">
        <v>769</v>
      </c>
      <c r="AC626" t="s">
        <v>411</v>
      </c>
      <c r="AD626">
        <v>46102</v>
      </c>
      <c r="AE626">
        <v>46160</v>
      </c>
      <c r="AF626">
        <v>46109</v>
      </c>
      <c r="AG626" t="s">
        <v>781</v>
      </c>
      <c r="AH626">
        <v>6153603</v>
      </c>
      <c r="AI626">
        <v>46103</v>
      </c>
      <c r="AJ626">
        <v>46104</v>
      </c>
      <c r="AK626">
        <v>4032</v>
      </c>
      <c r="AL626" t="s">
        <v>396</v>
      </c>
      <c r="AM626" t="s">
        <v>2344</v>
      </c>
      <c r="AN626">
        <v>46104</v>
      </c>
      <c r="AO626">
        <v>46104.607141203705</v>
      </c>
      <c r="AP626" t="s">
        <v>51</v>
      </c>
      <c r="AQ626">
        <v>2.85012</v>
      </c>
      <c r="AR626">
        <v>11491.68</v>
      </c>
      <c r="AS626" t="s">
        <v>51</v>
      </c>
      <c r="AT626">
        <v>11491.68</v>
      </c>
      <c r="AU626" t="s">
        <v>415</v>
      </c>
      <c r="AV626" t="s">
        <v>416</v>
      </c>
      <c r="AW626" t="s">
        <v>2339</v>
      </c>
      <c r="AX626">
        <v>46109</v>
      </c>
      <c r="AY626">
        <v>46158</v>
      </c>
      <c r="AZ626" t="s">
        <v>2340</v>
      </c>
      <c r="BA626" t="s">
        <v>560</v>
      </c>
      <c r="BB626" t="s">
        <v>2341</v>
      </c>
      <c r="BC626">
        <v>14</v>
      </c>
      <c r="BD626" t="s">
        <v>521</v>
      </c>
      <c r="BE626">
        <v>3.2919999999999998</v>
      </c>
      <c r="BF626">
        <v>1.792</v>
      </c>
      <c r="BG626" t="s">
        <v>522</v>
      </c>
      <c r="BH626">
        <v>595</v>
      </c>
      <c r="BI626">
        <v>395</v>
      </c>
      <c r="BJ626">
        <v>145</v>
      </c>
      <c r="BK626">
        <v>24</v>
      </c>
      <c r="BL626" t="s">
        <v>521</v>
      </c>
      <c r="BM626">
        <v>104.008</v>
      </c>
      <c r="BN626">
        <v>43.008000000000003</v>
      </c>
      <c r="BO626">
        <v>1248.096</v>
      </c>
      <c r="BP626" t="s">
        <v>522</v>
      </c>
      <c r="BQ626">
        <v>1200</v>
      </c>
      <c r="BR626">
        <v>800</v>
      </c>
      <c r="BS626">
        <v>1030</v>
      </c>
      <c r="BT626">
        <v>12</v>
      </c>
      <c r="BU626">
        <v>0</v>
      </c>
      <c r="BV626">
        <v>12</v>
      </c>
      <c r="BW626">
        <v>288</v>
      </c>
      <c r="BX626">
        <v>0</v>
      </c>
      <c r="BY626">
        <v>288</v>
      </c>
      <c r="BZ626">
        <v>4032</v>
      </c>
      <c r="CA626">
        <v>0</v>
      </c>
      <c r="CB626">
        <v>4032</v>
      </c>
      <c r="CC626">
        <v>516.096</v>
      </c>
      <c r="CD626" t="s">
        <v>783</v>
      </c>
      <c r="CE626" t="s">
        <v>1370</v>
      </c>
      <c r="CG626" t="s">
        <v>421</v>
      </c>
      <c r="CN626" t="str">
        <v>M46</v>
      </c>
      <c r="CO626" t="str">
        <v>1415-EQN0005EN</v>
      </c>
      <c r="CP626" t="str">
        <v>MSNU9003952</v>
      </c>
      <c r="CQ626" s="23">
        <v>438.81079999999997</v>
      </c>
      <c r="CR626" s="25">
        <f t="shared" si="24"/>
        <v>3.845657093919478E-2</v>
      </c>
      <c r="CS626" s="21">
        <f t="shared" si="25"/>
        <v>96.141427347986948</v>
      </c>
    </row>
    <row r="627" spans="2:97" x14ac:dyDescent="0.35">
      <c r="B627" t="s">
        <v>297</v>
      </c>
      <c r="C627" t="s">
        <v>831</v>
      </c>
      <c r="D627" t="s">
        <v>395</v>
      </c>
      <c r="E627" t="s">
        <v>395</v>
      </c>
      <c r="F627" t="s">
        <v>396</v>
      </c>
      <c r="G627" t="s">
        <v>397</v>
      </c>
      <c r="H627" t="s">
        <v>398</v>
      </c>
      <c r="I627" t="s">
        <v>399</v>
      </c>
      <c r="J627" t="s">
        <v>749</v>
      </c>
      <c r="K627" t="s">
        <v>629</v>
      </c>
      <c r="L627" t="s">
        <v>787</v>
      </c>
      <c r="M627" t="s">
        <v>403</v>
      </c>
      <c r="N627">
        <v>2</v>
      </c>
      <c r="O627">
        <v>1</v>
      </c>
      <c r="P627" t="s">
        <v>832</v>
      </c>
      <c r="Q627" t="s">
        <v>645</v>
      </c>
      <c r="R627" t="s">
        <v>833</v>
      </c>
      <c r="S627" t="s">
        <v>834</v>
      </c>
      <c r="T627" t="s">
        <v>408</v>
      </c>
      <c r="U627">
        <v>50950080792</v>
      </c>
      <c r="W627">
        <v>9600</v>
      </c>
      <c r="X627" t="s">
        <v>409</v>
      </c>
      <c r="Y627" t="s">
        <v>410</v>
      </c>
      <c r="Z627" t="s">
        <v>410</v>
      </c>
      <c r="AA627" t="s">
        <v>411</v>
      </c>
      <c r="AB627" t="s">
        <v>769</v>
      </c>
      <c r="AC627" t="s">
        <v>411</v>
      </c>
      <c r="AD627">
        <v>46102</v>
      </c>
      <c r="AE627">
        <v>46146</v>
      </c>
      <c r="AF627">
        <v>46109</v>
      </c>
      <c r="AG627" t="s">
        <v>754</v>
      </c>
      <c r="AH627">
        <v>6153604</v>
      </c>
      <c r="AI627">
        <v>46103</v>
      </c>
      <c r="AJ627">
        <v>46104</v>
      </c>
      <c r="AK627">
        <v>9600</v>
      </c>
      <c r="AL627" t="s">
        <v>396</v>
      </c>
      <c r="AM627" t="s">
        <v>2345</v>
      </c>
      <c r="AN627">
        <v>46104</v>
      </c>
      <c r="AO627">
        <v>46104.607141203705</v>
      </c>
      <c r="AP627" t="s">
        <v>51</v>
      </c>
      <c r="AQ627">
        <v>0.11833</v>
      </c>
      <c r="AR627">
        <v>1135.97</v>
      </c>
      <c r="AS627" t="s">
        <v>51</v>
      </c>
      <c r="AT627">
        <v>1135.97</v>
      </c>
      <c r="AU627" t="s">
        <v>415</v>
      </c>
      <c r="AV627" t="s">
        <v>416</v>
      </c>
      <c r="AW627" t="s">
        <v>2339</v>
      </c>
      <c r="AX627">
        <v>46109</v>
      </c>
      <c r="AY627">
        <v>46158</v>
      </c>
      <c r="AZ627" t="s">
        <v>2340</v>
      </c>
      <c r="BA627" t="s">
        <v>560</v>
      </c>
      <c r="BB627" t="s">
        <v>2341</v>
      </c>
      <c r="BC627">
        <v>320</v>
      </c>
      <c r="BD627" t="s">
        <v>521</v>
      </c>
      <c r="BE627">
        <v>4.1859999999999999</v>
      </c>
      <c r="BF627">
        <v>3.6160000000000001</v>
      </c>
      <c r="BG627" t="s">
        <v>522</v>
      </c>
      <c r="BH627">
        <v>395</v>
      </c>
      <c r="BI627">
        <v>295</v>
      </c>
      <c r="BJ627">
        <v>255</v>
      </c>
      <c r="BK627">
        <v>30</v>
      </c>
      <c r="BL627" t="s">
        <v>521</v>
      </c>
      <c r="BM627">
        <v>152.58000000000001</v>
      </c>
      <c r="BN627">
        <v>108.48</v>
      </c>
      <c r="BO627">
        <v>152.58000000000001</v>
      </c>
      <c r="BP627" t="s">
        <v>522</v>
      </c>
      <c r="BQ627">
        <v>1200</v>
      </c>
      <c r="BR627">
        <v>1000</v>
      </c>
      <c r="BS627">
        <v>918</v>
      </c>
      <c r="BT627">
        <v>1</v>
      </c>
      <c r="BU627">
        <v>0</v>
      </c>
      <c r="BV627">
        <v>1</v>
      </c>
      <c r="BW627">
        <v>30</v>
      </c>
      <c r="BX627">
        <v>0</v>
      </c>
      <c r="BY627">
        <v>30</v>
      </c>
      <c r="BZ627">
        <v>9600</v>
      </c>
      <c r="CA627">
        <v>0</v>
      </c>
      <c r="CB627">
        <v>9600</v>
      </c>
      <c r="CC627">
        <v>108.48</v>
      </c>
      <c r="CD627" t="s">
        <v>633</v>
      </c>
      <c r="CE627" t="s">
        <v>836</v>
      </c>
      <c r="CG627" t="s">
        <v>421</v>
      </c>
      <c r="CN627" t="str">
        <v>M01</v>
      </c>
      <c r="CO627" t="str">
        <v>1308-0033550EN</v>
      </c>
      <c r="CP627" t="str">
        <v>MSNU9003952</v>
      </c>
      <c r="CQ627" s="23">
        <v>141.04400000000001</v>
      </c>
      <c r="CR627" s="25">
        <f t="shared" si="24"/>
        <v>1.236083658731232E-2</v>
      </c>
      <c r="CS627" s="21">
        <f t="shared" si="25"/>
        <v>30.902091468280801</v>
      </c>
    </row>
    <row r="628" spans="2:97" x14ac:dyDescent="0.35">
      <c r="B628" t="s">
        <v>299</v>
      </c>
      <c r="C628" t="s">
        <v>2346</v>
      </c>
      <c r="D628" t="s">
        <v>395</v>
      </c>
      <c r="E628" t="s">
        <v>395</v>
      </c>
      <c r="F628" t="s">
        <v>396</v>
      </c>
      <c r="G628" t="s">
        <v>397</v>
      </c>
      <c r="H628" t="s">
        <v>398</v>
      </c>
      <c r="I628" t="s">
        <v>399</v>
      </c>
      <c r="J628" t="s">
        <v>749</v>
      </c>
      <c r="K628" t="s">
        <v>809</v>
      </c>
      <c r="L628" t="s">
        <v>787</v>
      </c>
      <c r="M628" t="s">
        <v>403</v>
      </c>
      <c r="N628">
        <v>1</v>
      </c>
      <c r="O628">
        <v>1</v>
      </c>
      <c r="P628" t="s">
        <v>1069</v>
      </c>
      <c r="Q628" t="s">
        <v>424</v>
      </c>
      <c r="R628" t="s">
        <v>811</v>
      </c>
      <c r="S628" t="s">
        <v>1070</v>
      </c>
      <c r="T628" t="s">
        <v>408</v>
      </c>
      <c r="U628">
        <v>50950081202</v>
      </c>
      <c r="W628">
        <v>1440</v>
      </c>
      <c r="X628" t="s">
        <v>409</v>
      </c>
      <c r="Y628" t="s">
        <v>410</v>
      </c>
      <c r="Z628" t="s">
        <v>410</v>
      </c>
      <c r="AA628" t="s">
        <v>411</v>
      </c>
      <c r="AB628" t="s">
        <v>769</v>
      </c>
      <c r="AC628" t="s">
        <v>411</v>
      </c>
      <c r="AD628">
        <v>46102</v>
      </c>
      <c r="AE628">
        <v>46153</v>
      </c>
      <c r="AF628">
        <v>46109</v>
      </c>
      <c r="AG628" t="s">
        <v>754</v>
      </c>
      <c r="AH628">
        <v>6153605</v>
      </c>
      <c r="AI628">
        <v>46103</v>
      </c>
      <c r="AJ628">
        <v>46104</v>
      </c>
      <c r="AK628">
        <v>1440</v>
      </c>
      <c r="AL628" t="s">
        <v>396</v>
      </c>
      <c r="AM628" t="s">
        <v>2347</v>
      </c>
      <c r="AN628">
        <v>46104</v>
      </c>
      <c r="AO628">
        <v>46104.607141203705</v>
      </c>
      <c r="AP628" t="s">
        <v>51</v>
      </c>
      <c r="AQ628">
        <v>2.3610099999999998</v>
      </c>
      <c r="AR628">
        <v>3399.84</v>
      </c>
      <c r="AS628" t="s">
        <v>51</v>
      </c>
      <c r="AT628">
        <v>3399.84</v>
      </c>
      <c r="AU628" t="s">
        <v>415</v>
      </c>
      <c r="AV628" t="s">
        <v>416</v>
      </c>
      <c r="AW628" t="s">
        <v>2339</v>
      </c>
      <c r="AX628">
        <v>46109</v>
      </c>
      <c r="AY628">
        <v>46158</v>
      </c>
      <c r="AZ628" t="s">
        <v>2340</v>
      </c>
      <c r="BA628" t="s">
        <v>560</v>
      </c>
      <c r="BB628" t="s">
        <v>2341</v>
      </c>
      <c r="BC628">
        <v>16</v>
      </c>
      <c r="BD628" t="s">
        <v>521</v>
      </c>
      <c r="BE628">
        <v>6.3334000000000001</v>
      </c>
      <c r="BF628">
        <v>5.1344000000000003</v>
      </c>
      <c r="BG628" t="s">
        <v>522</v>
      </c>
      <c r="BH628">
        <v>495</v>
      </c>
      <c r="BI628">
        <v>395</v>
      </c>
      <c r="BJ628">
        <v>190</v>
      </c>
      <c r="BK628">
        <v>30</v>
      </c>
      <c r="BL628" t="s">
        <v>521</v>
      </c>
      <c r="BM628">
        <v>217.00200000000001</v>
      </c>
      <c r="BN628">
        <v>154.03200000000001</v>
      </c>
      <c r="BO628">
        <v>651.00599999999997</v>
      </c>
      <c r="BP628" t="s">
        <v>522</v>
      </c>
      <c r="BQ628">
        <v>1200</v>
      </c>
      <c r="BR628">
        <v>1000</v>
      </c>
      <c r="BS628">
        <v>1120</v>
      </c>
      <c r="BT628">
        <v>3</v>
      </c>
      <c r="BU628">
        <v>0</v>
      </c>
      <c r="BV628">
        <v>3</v>
      </c>
      <c r="BW628">
        <v>90</v>
      </c>
      <c r="BX628">
        <v>0</v>
      </c>
      <c r="BY628">
        <v>90</v>
      </c>
      <c r="BZ628">
        <v>1440</v>
      </c>
      <c r="CA628">
        <v>0</v>
      </c>
      <c r="CB628">
        <v>1440</v>
      </c>
      <c r="CC628">
        <v>462.096</v>
      </c>
      <c r="CD628" t="s">
        <v>806</v>
      </c>
      <c r="CE628" t="s">
        <v>816</v>
      </c>
      <c r="CG628" t="s">
        <v>421</v>
      </c>
      <c r="CN628" t="str">
        <v>M01</v>
      </c>
      <c r="CO628" t="str">
        <v>1202-1030350EN</v>
      </c>
      <c r="CP628" t="str">
        <v>MSNU9003952</v>
      </c>
      <c r="CQ628" s="23">
        <v>196.8768</v>
      </c>
      <c r="CR628" s="25">
        <f t="shared" si="24"/>
        <v>1.7253920426483722E-2</v>
      </c>
      <c r="CS628" s="21">
        <f t="shared" si="25"/>
        <v>43.134801066209306</v>
      </c>
    </row>
    <row r="629" spans="2:97" x14ac:dyDescent="0.35">
      <c r="B629" t="s">
        <v>299</v>
      </c>
      <c r="C629" t="s">
        <v>2348</v>
      </c>
      <c r="D629" t="s">
        <v>395</v>
      </c>
      <c r="E629" t="s">
        <v>395</v>
      </c>
      <c r="F629" t="s">
        <v>396</v>
      </c>
      <c r="G629" t="s">
        <v>397</v>
      </c>
      <c r="H629" t="s">
        <v>398</v>
      </c>
      <c r="I629" t="s">
        <v>399</v>
      </c>
      <c r="J629" t="s">
        <v>749</v>
      </c>
      <c r="K629" t="s">
        <v>809</v>
      </c>
      <c r="L629" t="s">
        <v>787</v>
      </c>
      <c r="M629" t="s">
        <v>403</v>
      </c>
      <c r="N629">
        <v>1</v>
      </c>
      <c r="O629">
        <v>1</v>
      </c>
      <c r="P629" t="s">
        <v>828</v>
      </c>
      <c r="Q629" t="s">
        <v>587</v>
      </c>
      <c r="R629" t="s">
        <v>811</v>
      </c>
      <c r="S629" t="s">
        <v>829</v>
      </c>
      <c r="T629" t="s">
        <v>408</v>
      </c>
      <c r="U629">
        <v>50950081232</v>
      </c>
      <c r="W629">
        <v>2880</v>
      </c>
      <c r="X629" t="s">
        <v>409</v>
      </c>
      <c r="Y629" t="s">
        <v>410</v>
      </c>
      <c r="Z629" t="s">
        <v>410</v>
      </c>
      <c r="AA629" t="s">
        <v>411</v>
      </c>
      <c r="AB629" t="s">
        <v>769</v>
      </c>
      <c r="AC629" t="s">
        <v>411</v>
      </c>
      <c r="AD629">
        <v>46102</v>
      </c>
      <c r="AE629">
        <v>46160</v>
      </c>
      <c r="AF629">
        <v>46109</v>
      </c>
      <c r="AG629" t="s">
        <v>754</v>
      </c>
      <c r="AH629">
        <v>6153606</v>
      </c>
      <c r="AI629">
        <v>46103</v>
      </c>
      <c r="AJ629">
        <v>46104</v>
      </c>
      <c r="AK629">
        <v>2880</v>
      </c>
      <c r="AL629" t="s">
        <v>396</v>
      </c>
      <c r="AM629" t="s">
        <v>2349</v>
      </c>
      <c r="AN629">
        <v>46104</v>
      </c>
      <c r="AO629">
        <v>46104.607141203705</v>
      </c>
      <c r="AP629" t="s">
        <v>51</v>
      </c>
      <c r="AQ629">
        <v>1.8924799999999999</v>
      </c>
      <c r="AR629">
        <v>5450.34</v>
      </c>
      <c r="AS629" t="s">
        <v>51</v>
      </c>
      <c r="AT629">
        <v>5450.34</v>
      </c>
      <c r="AU629" t="s">
        <v>415</v>
      </c>
      <c r="AV629" t="s">
        <v>416</v>
      </c>
      <c r="AW629" t="s">
        <v>2339</v>
      </c>
      <c r="AX629">
        <v>46109</v>
      </c>
      <c r="AY629">
        <v>46158</v>
      </c>
      <c r="AZ629" t="s">
        <v>2340</v>
      </c>
      <c r="BA629" t="s">
        <v>560</v>
      </c>
      <c r="BB629" t="s">
        <v>2341</v>
      </c>
      <c r="BC629">
        <v>16</v>
      </c>
      <c r="BD629" t="s">
        <v>521</v>
      </c>
      <c r="BE629">
        <v>4.9409000000000001</v>
      </c>
      <c r="BF629">
        <v>3.7418999999999998</v>
      </c>
      <c r="BG629" t="s">
        <v>522</v>
      </c>
      <c r="BH629">
        <v>495</v>
      </c>
      <c r="BI629">
        <v>395</v>
      </c>
      <c r="BJ629">
        <v>190</v>
      </c>
      <c r="BK629">
        <v>30</v>
      </c>
      <c r="BL629" t="s">
        <v>521</v>
      </c>
      <c r="BM629">
        <v>175.227</v>
      </c>
      <c r="BN629">
        <v>112.25700000000001</v>
      </c>
      <c r="BO629">
        <v>1051.3656000000001</v>
      </c>
      <c r="BP629" t="s">
        <v>522</v>
      </c>
      <c r="BQ629">
        <v>1200</v>
      </c>
      <c r="BR629">
        <v>1000</v>
      </c>
      <c r="BS629">
        <v>1120</v>
      </c>
      <c r="BT629">
        <v>6</v>
      </c>
      <c r="BU629">
        <v>0</v>
      </c>
      <c r="BV629">
        <v>6</v>
      </c>
      <c r="BW629">
        <v>180</v>
      </c>
      <c r="BX629">
        <v>0</v>
      </c>
      <c r="BY629">
        <v>180</v>
      </c>
      <c r="BZ629">
        <v>2880</v>
      </c>
      <c r="CA629">
        <v>0</v>
      </c>
      <c r="CB629">
        <v>2880</v>
      </c>
      <c r="CC629">
        <v>673.54560000000004</v>
      </c>
      <c r="CD629" t="s">
        <v>806</v>
      </c>
      <c r="CE629" t="s">
        <v>816</v>
      </c>
      <c r="CG629" t="s">
        <v>421</v>
      </c>
      <c r="CN629" t="str">
        <v>M01</v>
      </c>
      <c r="CO629" t="str">
        <v>1101-0037350EN</v>
      </c>
      <c r="CP629" t="str">
        <v>MSNU9003952</v>
      </c>
      <c r="CQ629" s="23">
        <v>175.655</v>
      </c>
      <c r="CR629" s="25">
        <f t="shared" si="24"/>
        <v>1.5394080930378787E-2</v>
      </c>
      <c r="CS629" s="21">
        <f t="shared" si="25"/>
        <v>38.485202325946965</v>
      </c>
    </row>
    <row r="630" spans="2:97" x14ac:dyDescent="0.35">
      <c r="B630" t="s">
        <v>299</v>
      </c>
      <c r="C630" t="s">
        <v>2350</v>
      </c>
      <c r="D630" t="s">
        <v>395</v>
      </c>
      <c r="E630" t="s">
        <v>395</v>
      </c>
      <c r="F630" t="s">
        <v>396</v>
      </c>
      <c r="G630" t="s">
        <v>397</v>
      </c>
      <c r="H630" t="s">
        <v>398</v>
      </c>
      <c r="I630" t="s">
        <v>399</v>
      </c>
      <c r="J630" t="s">
        <v>749</v>
      </c>
      <c r="K630" t="s">
        <v>845</v>
      </c>
      <c r="L630" t="s">
        <v>787</v>
      </c>
      <c r="M630" t="s">
        <v>403</v>
      </c>
      <c r="N630">
        <v>1</v>
      </c>
      <c r="O630">
        <v>1</v>
      </c>
      <c r="P630" t="s">
        <v>1058</v>
      </c>
      <c r="Q630" t="s">
        <v>430</v>
      </c>
      <c r="R630" t="s">
        <v>847</v>
      </c>
      <c r="S630" t="s">
        <v>1059</v>
      </c>
      <c r="T630" t="s">
        <v>408</v>
      </c>
      <c r="U630">
        <v>50950081263</v>
      </c>
      <c r="W630">
        <v>4860</v>
      </c>
      <c r="X630" t="s">
        <v>409</v>
      </c>
      <c r="Y630" t="s">
        <v>410</v>
      </c>
      <c r="Z630" t="s">
        <v>410</v>
      </c>
      <c r="AA630" t="s">
        <v>411</v>
      </c>
      <c r="AB630" t="s">
        <v>769</v>
      </c>
      <c r="AC630" t="s">
        <v>411</v>
      </c>
      <c r="AD630">
        <v>46102</v>
      </c>
      <c r="AE630">
        <v>46160</v>
      </c>
      <c r="AF630">
        <v>46109</v>
      </c>
      <c r="AG630" t="s">
        <v>754</v>
      </c>
      <c r="AH630">
        <v>6153607</v>
      </c>
      <c r="AI630">
        <v>46103</v>
      </c>
      <c r="AJ630">
        <v>46104</v>
      </c>
      <c r="AK630">
        <v>4860</v>
      </c>
      <c r="AL630" t="s">
        <v>396</v>
      </c>
      <c r="AM630" t="s">
        <v>2351</v>
      </c>
      <c r="AN630">
        <v>46104</v>
      </c>
      <c r="AO630">
        <v>46104.607141203705</v>
      </c>
      <c r="AP630" t="s">
        <v>51</v>
      </c>
      <c r="AQ630">
        <v>1.4178500000000001</v>
      </c>
      <c r="AR630">
        <v>6890.76</v>
      </c>
      <c r="AS630" t="s">
        <v>51</v>
      </c>
      <c r="AT630">
        <v>6890.76</v>
      </c>
      <c r="AU630" t="s">
        <v>415</v>
      </c>
      <c r="AV630" t="s">
        <v>416</v>
      </c>
      <c r="AW630" t="s">
        <v>2339</v>
      </c>
      <c r="AX630">
        <v>46109</v>
      </c>
      <c r="AY630">
        <v>46158</v>
      </c>
      <c r="AZ630" t="s">
        <v>2340</v>
      </c>
      <c r="BA630" t="s">
        <v>560</v>
      </c>
      <c r="BB630" t="s">
        <v>2341</v>
      </c>
      <c r="BC630">
        <v>27</v>
      </c>
      <c r="BD630" t="s">
        <v>521</v>
      </c>
      <c r="BE630">
        <v>13.9528</v>
      </c>
      <c r="BF630">
        <v>12.7248</v>
      </c>
      <c r="BG630" t="s">
        <v>522</v>
      </c>
      <c r="BH630">
        <v>495</v>
      </c>
      <c r="BI630">
        <v>395</v>
      </c>
      <c r="BJ630">
        <v>170</v>
      </c>
      <c r="BK630">
        <v>30</v>
      </c>
      <c r="BL630" t="s">
        <v>521</v>
      </c>
      <c r="BM630">
        <v>445.584</v>
      </c>
      <c r="BN630">
        <v>381.74400000000003</v>
      </c>
      <c r="BO630">
        <v>2673.5093999999999</v>
      </c>
      <c r="BP630" t="s">
        <v>522</v>
      </c>
      <c r="BQ630">
        <v>1200</v>
      </c>
      <c r="BR630">
        <v>1000</v>
      </c>
      <c r="BS630">
        <v>1000</v>
      </c>
      <c r="BT630">
        <v>6</v>
      </c>
      <c r="BU630">
        <v>0</v>
      </c>
      <c r="BV630">
        <v>6</v>
      </c>
      <c r="BW630">
        <v>180</v>
      </c>
      <c r="BX630">
        <v>0</v>
      </c>
      <c r="BY630">
        <v>180</v>
      </c>
      <c r="BZ630">
        <v>4860</v>
      </c>
      <c r="CA630">
        <v>0</v>
      </c>
      <c r="CB630">
        <v>4860</v>
      </c>
      <c r="CC630">
        <v>2290.4694</v>
      </c>
      <c r="CD630" t="s">
        <v>850</v>
      </c>
      <c r="CE630" t="s">
        <v>851</v>
      </c>
      <c r="CG630" t="s">
        <v>421</v>
      </c>
      <c r="CN630" t="str">
        <v>M45</v>
      </c>
      <c r="CO630" t="str">
        <v>1101-10C0244EN</v>
      </c>
      <c r="CP630" t="str">
        <v>MSNU9003952</v>
      </c>
      <c r="CQ630" s="23">
        <v>159.3176</v>
      </c>
      <c r="CR630" s="25">
        <f t="shared" si="24"/>
        <v>1.3962301261186503E-2</v>
      </c>
      <c r="CS630" s="21">
        <f t="shared" si="25"/>
        <v>34.905753152966255</v>
      </c>
    </row>
    <row r="631" spans="2:97" x14ac:dyDescent="0.35">
      <c r="B631" t="s">
        <v>299</v>
      </c>
      <c r="C631" t="s">
        <v>1546</v>
      </c>
      <c r="D631" t="s">
        <v>395</v>
      </c>
      <c r="E631" t="s">
        <v>395</v>
      </c>
      <c r="F631" t="s">
        <v>396</v>
      </c>
      <c r="G631" t="s">
        <v>397</v>
      </c>
      <c r="H631" t="s">
        <v>398</v>
      </c>
      <c r="I631" t="s">
        <v>399</v>
      </c>
      <c r="J631" t="s">
        <v>749</v>
      </c>
      <c r="K631" t="s">
        <v>845</v>
      </c>
      <c r="L631" t="s">
        <v>787</v>
      </c>
      <c r="M631" t="s">
        <v>403</v>
      </c>
      <c r="N631">
        <v>1</v>
      </c>
      <c r="O631">
        <v>4</v>
      </c>
      <c r="P631" t="s">
        <v>853</v>
      </c>
      <c r="Q631" t="s">
        <v>789</v>
      </c>
      <c r="R631" t="s">
        <v>847</v>
      </c>
      <c r="S631" t="s">
        <v>854</v>
      </c>
      <c r="T631" t="s">
        <v>408</v>
      </c>
      <c r="U631">
        <v>50950081249</v>
      </c>
      <c r="W631">
        <v>3564</v>
      </c>
      <c r="X631" t="s">
        <v>409</v>
      </c>
      <c r="Y631" t="s">
        <v>410</v>
      </c>
      <c r="Z631" t="s">
        <v>410</v>
      </c>
      <c r="AA631" t="s">
        <v>411</v>
      </c>
      <c r="AB631" t="s">
        <v>769</v>
      </c>
      <c r="AC631" t="s">
        <v>411</v>
      </c>
      <c r="AD631">
        <v>46095</v>
      </c>
      <c r="AE631">
        <v>46153</v>
      </c>
      <c r="AF631">
        <v>46109</v>
      </c>
      <c r="AG631" t="s">
        <v>754</v>
      </c>
      <c r="AH631">
        <v>6153608</v>
      </c>
      <c r="AI631">
        <v>46103</v>
      </c>
      <c r="AJ631">
        <v>46104</v>
      </c>
      <c r="AK631">
        <v>3564</v>
      </c>
      <c r="AL631" t="s">
        <v>396</v>
      </c>
      <c r="AM631" t="s">
        <v>2352</v>
      </c>
      <c r="AN631">
        <v>46104</v>
      </c>
      <c r="AO631">
        <v>46104.607141203705</v>
      </c>
      <c r="AP631" t="s">
        <v>51</v>
      </c>
      <c r="AQ631">
        <v>1.00054</v>
      </c>
      <c r="AR631">
        <v>3565.92</v>
      </c>
      <c r="AS631" t="s">
        <v>51</v>
      </c>
      <c r="AT631">
        <v>3565.92</v>
      </c>
      <c r="AU631" t="s">
        <v>415</v>
      </c>
      <c r="AV631" t="s">
        <v>416</v>
      </c>
      <c r="AW631" t="s">
        <v>2339</v>
      </c>
      <c r="AX631">
        <v>46109</v>
      </c>
      <c r="AY631">
        <v>46158</v>
      </c>
      <c r="AZ631" t="s">
        <v>2340</v>
      </c>
      <c r="BA631" t="s">
        <v>560</v>
      </c>
      <c r="BB631" t="s">
        <v>2341</v>
      </c>
      <c r="BC631">
        <v>33</v>
      </c>
      <c r="BD631" t="s">
        <v>521</v>
      </c>
      <c r="BE631">
        <v>12.9557</v>
      </c>
      <c r="BF631">
        <v>12.005699999999999</v>
      </c>
      <c r="BG631" t="s">
        <v>522</v>
      </c>
      <c r="BH631">
        <v>495</v>
      </c>
      <c r="BI631">
        <v>395</v>
      </c>
      <c r="BJ631">
        <v>150</v>
      </c>
      <c r="BK631">
        <v>36</v>
      </c>
      <c r="BL631" t="s">
        <v>521</v>
      </c>
      <c r="BM631">
        <v>493.40519999999998</v>
      </c>
      <c r="BN631">
        <v>432.20519999999999</v>
      </c>
      <c r="BO631">
        <v>1480.21884</v>
      </c>
      <c r="BP631" t="s">
        <v>522</v>
      </c>
      <c r="BQ631">
        <v>1200</v>
      </c>
      <c r="BR631">
        <v>1000</v>
      </c>
      <c r="BS631">
        <v>1053</v>
      </c>
      <c r="BT631">
        <v>3</v>
      </c>
      <c r="BU631">
        <v>0</v>
      </c>
      <c r="BV631">
        <v>3</v>
      </c>
      <c r="BW631">
        <v>108</v>
      </c>
      <c r="BX631">
        <v>0</v>
      </c>
      <c r="BY631">
        <v>108</v>
      </c>
      <c r="BZ631">
        <v>3564</v>
      </c>
      <c r="CA631">
        <v>0</v>
      </c>
      <c r="CB631">
        <v>3564</v>
      </c>
      <c r="CC631">
        <v>1296.6188400000001</v>
      </c>
      <c r="CD631" t="s">
        <v>856</v>
      </c>
      <c r="CE631" t="s">
        <v>857</v>
      </c>
      <c r="CG631" t="s">
        <v>421</v>
      </c>
      <c r="CN631" t="str">
        <v>M01</v>
      </c>
      <c r="CO631" t="str">
        <v>1202-1030170-71EN</v>
      </c>
      <c r="CP631" t="str">
        <v>MSNU9003952</v>
      </c>
      <c r="CQ631" s="23">
        <v>28.521999999999998</v>
      </c>
      <c r="CR631" s="25">
        <f t="shared" si="24"/>
        <v>2.4996155890595981E-3</v>
      </c>
      <c r="CS631" s="21">
        <f t="shared" si="25"/>
        <v>6.2490389726489957</v>
      </c>
    </row>
    <row r="632" spans="2:97" x14ac:dyDescent="0.35">
      <c r="B632" t="s">
        <v>299</v>
      </c>
      <c r="C632" t="s">
        <v>2353</v>
      </c>
      <c r="D632" t="s">
        <v>395</v>
      </c>
      <c r="E632" t="s">
        <v>395</v>
      </c>
      <c r="F632" t="s">
        <v>396</v>
      </c>
      <c r="G632" t="s">
        <v>397</v>
      </c>
      <c r="H632" t="s">
        <v>398</v>
      </c>
      <c r="I632" t="s">
        <v>399</v>
      </c>
      <c r="J632" t="s">
        <v>749</v>
      </c>
      <c r="K632" t="s">
        <v>845</v>
      </c>
      <c r="L632" t="s">
        <v>787</v>
      </c>
      <c r="M632" t="s">
        <v>403</v>
      </c>
      <c r="N632">
        <v>1</v>
      </c>
      <c r="O632">
        <v>1</v>
      </c>
      <c r="P632" t="s">
        <v>853</v>
      </c>
      <c r="Q632" t="s">
        <v>789</v>
      </c>
      <c r="R632" t="s">
        <v>847</v>
      </c>
      <c r="S632" t="s">
        <v>854</v>
      </c>
      <c r="T632" t="s">
        <v>408</v>
      </c>
      <c r="U632">
        <v>50950081250</v>
      </c>
      <c r="W632">
        <v>2376</v>
      </c>
      <c r="X632" t="s">
        <v>409</v>
      </c>
      <c r="Y632" t="s">
        <v>410</v>
      </c>
      <c r="Z632" t="s">
        <v>410</v>
      </c>
      <c r="AA632" t="s">
        <v>411</v>
      </c>
      <c r="AB632" t="s">
        <v>769</v>
      </c>
      <c r="AC632" t="s">
        <v>411</v>
      </c>
      <c r="AD632">
        <v>46102</v>
      </c>
      <c r="AE632">
        <v>46160</v>
      </c>
      <c r="AF632">
        <v>46109</v>
      </c>
      <c r="AG632" t="s">
        <v>754</v>
      </c>
      <c r="AH632">
        <v>6153609</v>
      </c>
      <c r="AI632">
        <v>46103</v>
      </c>
      <c r="AJ632">
        <v>46104</v>
      </c>
      <c r="AK632">
        <v>2376</v>
      </c>
      <c r="AL632" t="s">
        <v>396</v>
      </c>
      <c r="AM632" t="s">
        <v>2354</v>
      </c>
      <c r="AN632">
        <v>46104</v>
      </c>
      <c r="AO632">
        <v>46104.607141203705</v>
      </c>
      <c r="AP632" t="s">
        <v>51</v>
      </c>
      <c r="AQ632">
        <v>1.00054</v>
      </c>
      <c r="AR632">
        <v>2377.2800000000002</v>
      </c>
      <c r="AS632" t="s">
        <v>51</v>
      </c>
      <c r="AT632">
        <v>2377.2800000000002</v>
      </c>
      <c r="AU632" t="s">
        <v>415</v>
      </c>
      <c r="AV632" t="s">
        <v>416</v>
      </c>
      <c r="AW632" t="s">
        <v>2339</v>
      </c>
      <c r="AX632">
        <v>46109</v>
      </c>
      <c r="AY632">
        <v>46158</v>
      </c>
      <c r="AZ632" t="s">
        <v>2340</v>
      </c>
      <c r="BA632" t="s">
        <v>560</v>
      </c>
      <c r="BB632" t="s">
        <v>2341</v>
      </c>
      <c r="BC632">
        <v>33</v>
      </c>
      <c r="BD632" t="s">
        <v>521</v>
      </c>
      <c r="BE632">
        <v>12.9557</v>
      </c>
      <c r="BF632">
        <v>12.005699999999999</v>
      </c>
      <c r="BG632" t="s">
        <v>522</v>
      </c>
      <c r="BH632">
        <v>495</v>
      </c>
      <c r="BI632">
        <v>395</v>
      </c>
      <c r="BJ632">
        <v>150</v>
      </c>
      <c r="BK632">
        <v>36</v>
      </c>
      <c r="BL632" t="s">
        <v>521</v>
      </c>
      <c r="BM632">
        <v>493.40519999999998</v>
      </c>
      <c r="BN632">
        <v>432.20519999999999</v>
      </c>
      <c r="BO632">
        <v>986.81255999999996</v>
      </c>
      <c r="BP632" t="s">
        <v>522</v>
      </c>
      <c r="BQ632">
        <v>1200</v>
      </c>
      <c r="BR632">
        <v>1000</v>
      </c>
      <c r="BS632">
        <v>1053</v>
      </c>
      <c r="BT632">
        <v>2</v>
      </c>
      <c r="BU632">
        <v>0</v>
      </c>
      <c r="BV632">
        <v>2</v>
      </c>
      <c r="BW632">
        <v>72</v>
      </c>
      <c r="BX632">
        <v>0</v>
      </c>
      <c r="BY632">
        <v>72</v>
      </c>
      <c r="BZ632">
        <v>2376</v>
      </c>
      <c r="CA632">
        <v>0</v>
      </c>
      <c r="CB632">
        <v>2376</v>
      </c>
      <c r="CC632">
        <v>864.41255999999998</v>
      </c>
      <c r="CD632" t="s">
        <v>856</v>
      </c>
      <c r="CE632" t="s">
        <v>857</v>
      </c>
      <c r="CG632" t="s">
        <v>421</v>
      </c>
      <c r="CN632" t="str">
        <v>M19</v>
      </c>
      <c r="CO632" t="str">
        <v>1326-5YY0082EN</v>
      </c>
      <c r="CP632" t="str">
        <v>MSNU9003952</v>
      </c>
      <c r="CQ632" s="23">
        <v>66.947199999999995</v>
      </c>
      <c r="CR632" s="25">
        <f t="shared" si="24"/>
        <v>5.8671294005992122E-3</v>
      </c>
      <c r="CS632" s="21">
        <f t="shared" si="25"/>
        <v>14.667823501498031</v>
      </c>
    </row>
    <row r="633" spans="2:97" x14ac:dyDescent="0.35">
      <c r="B633" t="s">
        <v>299</v>
      </c>
      <c r="C633" t="s">
        <v>2355</v>
      </c>
      <c r="D633" t="s">
        <v>395</v>
      </c>
      <c r="E633" t="s">
        <v>395</v>
      </c>
      <c r="F633" t="s">
        <v>396</v>
      </c>
      <c r="G633" t="s">
        <v>397</v>
      </c>
      <c r="H633" t="s">
        <v>398</v>
      </c>
      <c r="I633" t="s">
        <v>399</v>
      </c>
      <c r="J633" t="s">
        <v>749</v>
      </c>
      <c r="K633" t="s">
        <v>809</v>
      </c>
      <c r="L633" t="s">
        <v>787</v>
      </c>
      <c r="M633" t="s">
        <v>403</v>
      </c>
      <c r="N633">
        <v>1</v>
      </c>
      <c r="O633">
        <v>1</v>
      </c>
      <c r="P633" t="s">
        <v>1171</v>
      </c>
      <c r="Q633" t="s">
        <v>424</v>
      </c>
      <c r="R633" t="s">
        <v>811</v>
      </c>
      <c r="S633" t="s">
        <v>1172</v>
      </c>
      <c r="T633" t="s">
        <v>408</v>
      </c>
      <c r="U633">
        <v>50950081405</v>
      </c>
      <c r="W633">
        <v>2880</v>
      </c>
      <c r="X633" t="s">
        <v>409</v>
      </c>
      <c r="Y633" t="s">
        <v>410</v>
      </c>
      <c r="Z633" t="s">
        <v>410</v>
      </c>
      <c r="AA633" t="s">
        <v>411</v>
      </c>
      <c r="AB633" t="s">
        <v>769</v>
      </c>
      <c r="AC633" t="s">
        <v>411</v>
      </c>
      <c r="AD633">
        <v>46102</v>
      </c>
      <c r="AE633">
        <v>46160</v>
      </c>
      <c r="AF633">
        <v>46109</v>
      </c>
      <c r="AG633" t="s">
        <v>754</v>
      </c>
      <c r="AH633">
        <v>6153610</v>
      </c>
      <c r="AI633">
        <v>46103</v>
      </c>
      <c r="AJ633">
        <v>46104</v>
      </c>
      <c r="AK633">
        <v>2880</v>
      </c>
      <c r="AL633" t="s">
        <v>396</v>
      </c>
      <c r="AM633" t="s">
        <v>2356</v>
      </c>
      <c r="AN633">
        <v>46104</v>
      </c>
      <c r="AO633">
        <v>46104.607141203705</v>
      </c>
      <c r="AP633" t="s">
        <v>51</v>
      </c>
      <c r="AQ633">
        <v>2.2482600000000001</v>
      </c>
      <c r="AR633">
        <v>6474.96</v>
      </c>
      <c r="AS633" t="s">
        <v>51</v>
      </c>
      <c r="AT633">
        <v>6474.96</v>
      </c>
      <c r="AU633" t="s">
        <v>415</v>
      </c>
      <c r="AV633" t="s">
        <v>416</v>
      </c>
      <c r="AW633" t="s">
        <v>2339</v>
      </c>
      <c r="AX633">
        <v>46109</v>
      </c>
      <c r="AY633">
        <v>46158</v>
      </c>
      <c r="AZ633" t="s">
        <v>2340</v>
      </c>
      <c r="BA633" t="s">
        <v>560</v>
      </c>
      <c r="BB633" t="s">
        <v>2341</v>
      </c>
      <c r="BC633">
        <v>16</v>
      </c>
      <c r="BD633" t="s">
        <v>521</v>
      </c>
      <c r="BE633">
        <v>6.3556999999999997</v>
      </c>
      <c r="BF633">
        <v>5.1566999999999998</v>
      </c>
      <c r="BG633" t="s">
        <v>522</v>
      </c>
      <c r="BH633">
        <v>495</v>
      </c>
      <c r="BI633">
        <v>395</v>
      </c>
      <c r="BJ633">
        <v>190</v>
      </c>
      <c r="BK633">
        <v>30</v>
      </c>
      <c r="BL633" t="s">
        <v>521</v>
      </c>
      <c r="BM633">
        <v>217.67099999999999</v>
      </c>
      <c r="BN633">
        <v>154.70099999999999</v>
      </c>
      <c r="BO633">
        <v>1306.0209600000001</v>
      </c>
      <c r="BP633" t="s">
        <v>522</v>
      </c>
      <c r="BQ633">
        <v>1200</v>
      </c>
      <c r="BR633">
        <v>1000</v>
      </c>
      <c r="BS633">
        <v>1120</v>
      </c>
      <c r="BT633">
        <v>6</v>
      </c>
      <c r="BU633">
        <v>0</v>
      </c>
      <c r="BV633">
        <v>6</v>
      </c>
      <c r="BW633">
        <v>180</v>
      </c>
      <c r="BX633">
        <v>0</v>
      </c>
      <c r="BY633">
        <v>180</v>
      </c>
      <c r="BZ633">
        <v>2880</v>
      </c>
      <c r="CA633">
        <v>0</v>
      </c>
      <c r="CB633">
        <v>2880</v>
      </c>
      <c r="CC633">
        <v>928.20096000000001</v>
      </c>
      <c r="CD633" t="s">
        <v>806</v>
      </c>
      <c r="CE633" t="s">
        <v>816</v>
      </c>
      <c r="CG633" t="s">
        <v>421</v>
      </c>
      <c r="CN633" t="str">
        <v>MCS</v>
      </c>
      <c r="CO633" t="str">
        <v>1209-5YY0476EN</v>
      </c>
      <c r="CP633" t="str">
        <v>MSNU9003952</v>
      </c>
      <c r="CQ633" s="23">
        <v>68.636799999999994</v>
      </c>
      <c r="CR633" s="25">
        <f t="shared" si="24"/>
        <v>6.0152028351155538E-3</v>
      </c>
      <c r="CS633" s="21">
        <f t="shared" si="25"/>
        <v>15.038007087788884</v>
      </c>
    </row>
    <row r="634" spans="2:97" x14ac:dyDescent="0.35">
      <c r="B634" t="s">
        <v>297</v>
      </c>
      <c r="C634" t="s">
        <v>2357</v>
      </c>
      <c r="D634" t="s">
        <v>395</v>
      </c>
      <c r="E634" t="s">
        <v>395</v>
      </c>
      <c r="F634" t="s">
        <v>396</v>
      </c>
      <c r="G634" t="s">
        <v>397</v>
      </c>
      <c r="H634" t="s">
        <v>398</v>
      </c>
      <c r="I634" t="s">
        <v>399</v>
      </c>
      <c r="J634" t="s">
        <v>749</v>
      </c>
      <c r="K634" t="s">
        <v>629</v>
      </c>
      <c r="L634" t="s">
        <v>787</v>
      </c>
      <c r="M634" t="s">
        <v>403</v>
      </c>
      <c r="N634">
        <v>2</v>
      </c>
      <c r="O634">
        <v>1</v>
      </c>
      <c r="P634" t="s">
        <v>896</v>
      </c>
      <c r="Q634" t="s">
        <v>424</v>
      </c>
      <c r="R634" t="s">
        <v>833</v>
      </c>
      <c r="S634" t="s">
        <v>834</v>
      </c>
      <c r="T634" t="s">
        <v>408</v>
      </c>
      <c r="U634">
        <v>50950081500</v>
      </c>
      <c r="W634">
        <v>7000</v>
      </c>
      <c r="X634" t="s">
        <v>409</v>
      </c>
      <c r="Y634" t="s">
        <v>410</v>
      </c>
      <c r="Z634" t="s">
        <v>410</v>
      </c>
      <c r="AA634" t="s">
        <v>411</v>
      </c>
      <c r="AB634" t="s">
        <v>769</v>
      </c>
      <c r="AC634" t="s">
        <v>411</v>
      </c>
      <c r="AD634">
        <v>46102</v>
      </c>
      <c r="AE634">
        <v>46160</v>
      </c>
      <c r="AF634">
        <v>46109</v>
      </c>
      <c r="AG634" t="s">
        <v>754</v>
      </c>
      <c r="AH634">
        <v>6153611</v>
      </c>
      <c r="AI634">
        <v>46103</v>
      </c>
      <c r="AJ634">
        <v>46104</v>
      </c>
      <c r="AK634">
        <v>7000</v>
      </c>
      <c r="AL634" t="s">
        <v>396</v>
      </c>
      <c r="AM634" t="s">
        <v>2358</v>
      </c>
      <c r="AN634">
        <v>46104</v>
      </c>
      <c r="AO634">
        <v>46104.607141203705</v>
      </c>
      <c r="AP634" t="s">
        <v>51</v>
      </c>
      <c r="AQ634">
        <v>0.11308</v>
      </c>
      <c r="AR634">
        <v>791.56</v>
      </c>
      <c r="AS634" t="s">
        <v>51</v>
      </c>
      <c r="AT634">
        <v>791.56</v>
      </c>
      <c r="AU634" t="s">
        <v>415</v>
      </c>
      <c r="AV634" t="s">
        <v>416</v>
      </c>
      <c r="AW634" t="s">
        <v>2339</v>
      </c>
      <c r="AX634">
        <v>46109</v>
      </c>
      <c r="AY634">
        <v>46158</v>
      </c>
      <c r="AZ634" t="s">
        <v>2340</v>
      </c>
      <c r="BA634" t="s">
        <v>560</v>
      </c>
      <c r="BB634" t="s">
        <v>2341</v>
      </c>
      <c r="BC634">
        <v>1400</v>
      </c>
      <c r="BD634" t="s">
        <v>521</v>
      </c>
      <c r="BE634">
        <v>10.201000000000001</v>
      </c>
      <c r="BF634">
        <v>9.3309999999999995</v>
      </c>
      <c r="BG634" t="s">
        <v>522</v>
      </c>
      <c r="BH634">
        <v>595</v>
      </c>
      <c r="BI634">
        <v>395</v>
      </c>
      <c r="BJ634">
        <v>190</v>
      </c>
      <c r="BK634">
        <v>25</v>
      </c>
      <c r="BL634" t="s">
        <v>521</v>
      </c>
      <c r="BM634">
        <v>78.004999999999995</v>
      </c>
      <c r="BN634">
        <v>46.655000000000001</v>
      </c>
      <c r="BO634">
        <v>78.004999999999995</v>
      </c>
      <c r="BP634" t="s">
        <v>522</v>
      </c>
      <c r="BQ634">
        <v>1200</v>
      </c>
      <c r="BR634">
        <v>1000</v>
      </c>
      <c r="BS634">
        <v>1088</v>
      </c>
      <c r="BT634">
        <v>0</v>
      </c>
      <c r="BU634">
        <v>1</v>
      </c>
      <c r="BV634">
        <v>1</v>
      </c>
      <c r="BW634">
        <v>5</v>
      </c>
      <c r="BX634">
        <v>0</v>
      </c>
      <c r="BY634">
        <v>5</v>
      </c>
      <c r="BZ634">
        <v>0</v>
      </c>
      <c r="CA634">
        <v>7000</v>
      </c>
      <c r="CB634">
        <v>7000</v>
      </c>
      <c r="CC634">
        <v>46.655000000000001</v>
      </c>
      <c r="CD634" t="s">
        <v>842</v>
      </c>
      <c r="CE634" t="s">
        <v>898</v>
      </c>
      <c r="CG634" t="s">
        <v>421</v>
      </c>
      <c r="CN634" t="str">
        <v>MCS</v>
      </c>
      <c r="CO634" t="str">
        <v>1209-5YY0498EN</v>
      </c>
      <c r="CP634" t="str">
        <v>MSNU9003952</v>
      </c>
      <c r="CQ634" s="23">
        <v>32.692799999999998</v>
      </c>
      <c r="CR634" s="25">
        <f t="shared" si="24"/>
        <v>2.8651368252579634E-3</v>
      </c>
      <c r="CS634" s="21">
        <f t="shared" si="25"/>
        <v>7.1628420631449083</v>
      </c>
    </row>
    <row r="635" spans="2:97" x14ac:dyDescent="0.35">
      <c r="B635" t="s">
        <v>297</v>
      </c>
      <c r="C635" t="s">
        <v>1955</v>
      </c>
      <c r="D635" t="s">
        <v>395</v>
      </c>
      <c r="E635" t="s">
        <v>395</v>
      </c>
      <c r="F635" t="s">
        <v>396</v>
      </c>
      <c r="G635" t="s">
        <v>397</v>
      </c>
      <c r="H635" t="s">
        <v>398</v>
      </c>
      <c r="I635" t="s">
        <v>399</v>
      </c>
      <c r="J635" t="s">
        <v>749</v>
      </c>
      <c r="K635" t="s">
        <v>629</v>
      </c>
      <c r="L635" t="s">
        <v>787</v>
      </c>
      <c r="M635" t="s">
        <v>403</v>
      </c>
      <c r="N635">
        <v>2</v>
      </c>
      <c r="O635">
        <v>1</v>
      </c>
      <c r="P635" t="s">
        <v>1956</v>
      </c>
      <c r="Q635" t="s">
        <v>430</v>
      </c>
      <c r="R635" t="s">
        <v>833</v>
      </c>
      <c r="S635" t="s">
        <v>834</v>
      </c>
      <c r="T635" t="s">
        <v>408</v>
      </c>
      <c r="U635">
        <v>50950081501</v>
      </c>
      <c r="W635">
        <v>9600</v>
      </c>
      <c r="X635" t="s">
        <v>409</v>
      </c>
      <c r="Y635" t="s">
        <v>410</v>
      </c>
      <c r="Z635" t="s">
        <v>410</v>
      </c>
      <c r="AA635" t="s">
        <v>411</v>
      </c>
      <c r="AB635" t="s">
        <v>769</v>
      </c>
      <c r="AC635" t="s">
        <v>411</v>
      </c>
      <c r="AD635">
        <v>46101</v>
      </c>
      <c r="AE635">
        <v>46146</v>
      </c>
      <c r="AF635">
        <v>46109</v>
      </c>
      <c r="AG635" t="s">
        <v>754</v>
      </c>
      <c r="AH635">
        <v>6153612</v>
      </c>
      <c r="AI635">
        <v>46103</v>
      </c>
      <c r="AJ635">
        <v>46104</v>
      </c>
      <c r="AK635">
        <v>9600</v>
      </c>
      <c r="AL635" t="s">
        <v>396</v>
      </c>
      <c r="AM635" t="s">
        <v>2359</v>
      </c>
      <c r="AN635">
        <v>46104</v>
      </c>
      <c r="AO635">
        <v>46104.607141203705</v>
      </c>
      <c r="AP635" t="s">
        <v>51</v>
      </c>
      <c r="AQ635">
        <v>0.11895</v>
      </c>
      <c r="AR635">
        <v>1141.92</v>
      </c>
      <c r="AS635" t="s">
        <v>51</v>
      </c>
      <c r="AT635">
        <v>1141.92</v>
      </c>
      <c r="AU635" t="s">
        <v>415</v>
      </c>
      <c r="AV635" t="s">
        <v>416</v>
      </c>
      <c r="AW635" t="s">
        <v>2339</v>
      </c>
      <c r="AX635">
        <v>46109</v>
      </c>
      <c r="AY635">
        <v>46158</v>
      </c>
      <c r="AZ635" t="s">
        <v>2340</v>
      </c>
      <c r="BA635" t="s">
        <v>560</v>
      </c>
      <c r="BB635" t="s">
        <v>2341</v>
      </c>
      <c r="BC635">
        <v>320</v>
      </c>
      <c r="BD635" t="s">
        <v>521</v>
      </c>
      <c r="BE635">
        <v>4.202</v>
      </c>
      <c r="BF635">
        <v>3.6320000000000001</v>
      </c>
      <c r="BG635" t="s">
        <v>522</v>
      </c>
      <c r="BH635">
        <v>395</v>
      </c>
      <c r="BI635">
        <v>295</v>
      </c>
      <c r="BJ635">
        <v>255</v>
      </c>
      <c r="BK635">
        <v>30</v>
      </c>
      <c r="BL635" t="s">
        <v>521</v>
      </c>
      <c r="BM635">
        <v>153.06</v>
      </c>
      <c r="BN635">
        <v>108.96</v>
      </c>
      <c r="BO635">
        <v>153.06</v>
      </c>
      <c r="BP635" t="s">
        <v>522</v>
      </c>
      <c r="BQ635">
        <v>1200</v>
      </c>
      <c r="BR635">
        <v>1000</v>
      </c>
      <c r="BS635">
        <v>918</v>
      </c>
      <c r="BT635">
        <v>1</v>
      </c>
      <c r="BU635">
        <v>0</v>
      </c>
      <c r="BV635">
        <v>1</v>
      </c>
      <c r="BW635">
        <v>30</v>
      </c>
      <c r="BX635">
        <v>0</v>
      </c>
      <c r="BY635">
        <v>30</v>
      </c>
      <c r="BZ635">
        <v>9600</v>
      </c>
      <c r="CA635">
        <v>0</v>
      </c>
      <c r="CB635">
        <v>9600</v>
      </c>
      <c r="CC635">
        <v>108.96</v>
      </c>
      <c r="CD635" t="s">
        <v>633</v>
      </c>
      <c r="CE635" t="s">
        <v>836</v>
      </c>
      <c r="CG635" t="s">
        <v>421</v>
      </c>
      <c r="CN635" t="str">
        <v>MCS</v>
      </c>
      <c r="CO635" t="str">
        <v>1209-5YY0497EN</v>
      </c>
      <c r="CP635" t="str">
        <v>MSNU9003952</v>
      </c>
      <c r="CQ635" s="23">
        <v>31.720800000000001</v>
      </c>
      <c r="CR635" s="25">
        <f t="shared" si="24"/>
        <v>2.7799525340944432E-3</v>
      </c>
      <c r="CS635" s="21">
        <f t="shared" si="25"/>
        <v>6.9498813352361077</v>
      </c>
    </row>
    <row r="636" spans="2:97" x14ac:dyDescent="0.35">
      <c r="B636" t="s">
        <v>299</v>
      </c>
      <c r="C636" t="s">
        <v>2360</v>
      </c>
      <c r="D636" t="s">
        <v>395</v>
      </c>
      <c r="E636" t="s">
        <v>395</v>
      </c>
      <c r="F636" t="s">
        <v>396</v>
      </c>
      <c r="G636" t="s">
        <v>397</v>
      </c>
      <c r="H636" t="s">
        <v>398</v>
      </c>
      <c r="I636" t="s">
        <v>399</v>
      </c>
      <c r="J636" t="s">
        <v>749</v>
      </c>
      <c r="K636" t="s">
        <v>777</v>
      </c>
      <c r="L636" t="s">
        <v>778</v>
      </c>
      <c r="M636" t="s">
        <v>403</v>
      </c>
      <c r="N636">
        <v>1</v>
      </c>
      <c r="O636">
        <v>1</v>
      </c>
      <c r="P636" t="s">
        <v>2361</v>
      </c>
      <c r="Q636" t="s">
        <v>789</v>
      </c>
      <c r="R636" t="s">
        <v>536</v>
      </c>
      <c r="S636" t="s">
        <v>780</v>
      </c>
      <c r="T636" t="s">
        <v>408</v>
      </c>
      <c r="U636">
        <v>50950078355</v>
      </c>
      <c r="W636">
        <v>2016</v>
      </c>
      <c r="X636" t="s">
        <v>409</v>
      </c>
      <c r="Y636" t="s">
        <v>410</v>
      </c>
      <c r="Z636" t="s">
        <v>410</v>
      </c>
      <c r="AA636" t="s">
        <v>411</v>
      </c>
      <c r="AB636" t="s">
        <v>554</v>
      </c>
      <c r="AC636" t="s">
        <v>411</v>
      </c>
      <c r="AD636">
        <v>46102</v>
      </c>
      <c r="AE636">
        <v>46160</v>
      </c>
      <c r="AF636">
        <v>46113</v>
      </c>
      <c r="AG636" t="s">
        <v>781</v>
      </c>
      <c r="AH636">
        <v>6154587</v>
      </c>
      <c r="AI636">
        <v>46104</v>
      </c>
      <c r="AJ636">
        <v>46105</v>
      </c>
      <c r="AK636">
        <v>2016</v>
      </c>
      <c r="AL636" t="s">
        <v>396</v>
      </c>
      <c r="AM636" t="s">
        <v>2362</v>
      </c>
      <c r="AN636">
        <v>46105</v>
      </c>
      <c r="AO636">
        <v>46105.392129629632</v>
      </c>
      <c r="AP636" t="s">
        <v>51</v>
      </c>
      <c r="AQ636">
        <v>2.2066300000000001</v>
      </c>
      <c r="AR636">
        <v>4448.5600000000004</v>
      </c>
      <c r="AS636" t="s">
        <v>51</v>
      </c>
      <c r="AT636">
        <v>4448.5600000000004</v>
      </c>
      <c r="AU636" t="s">
        <v>415</v>
      </c>
      <c r="AV636" t="s">
        <v>1420</v>
      </c>
      <c r="AW636" t="s">
        <v>2363</v>
      </c>
      <c r="AX636">
        <v>46113</v>
      </c>
      <c r="AY636">
        <v>46162</v>
      </c>
      <c r="AZ636" t="s">
        <v>2364</v>
      </c>
      <c r="BA636" t="s">
        <v>560</v>
      </c>
      <c r="BB636" t="s">
        <v>2365</v>
      </c>
      <c r="BC636">
        <v>28</v>
      </c>
      <c r="BD636" t="s">
        <v>521</v>
      </c>
      <c r="BE636">
        <v>4.3465999999999996</v>
      </c>
      <c r="BF636">
        <v>2.4836</v>
      </c>
      <c r="BG636" t="s">
        <v>522</v>
      </c>
      <c r="BH636">
        <v>795</v>
      </c>
      <c r="BI636">
        <v>395</v>
      </c>
      <c r="BJ636">
        <v>145</v>
      </c>
      <c r="BK636">
        <v>18</v>
      </c>
      <c r="BL636" t="s">
        <v>521</v>
      </c>
      <c r="BM636">
        <v>103.2388</v>
      </c>
      <c r="BN636">
        <v>44.704799999999999</v>
      </c>
      <c r="BO636">
        <v>412.95519999999999</v>
      </c>
      <c r="BP636" t="s">
        <v>522</v>
      </c>
      <c r="BQ636">
        <v>1200</v>
      </c>
      <c r="BR636">
        <v>800</v>
      </c>
      <c r="BS636">
        <v>1030</v>
      </c>
      <c r="BT636">
        <v>4</v>
      </c>
      <c r="BU636">
        <v>0</v>
      </c>
      <c r="BV636">
        <v>4</v>
      </c>
      <c r="BW636">
        <v>72</v>
      </c>
      <c r="BX636">
        <v>0</v>
      </c>
      <c r="BY636">
        <v>72</v>
      </c>
      <c r="BZ636">
        <v>2016</v>
      </c>
      <c r="CA636">
        <v>0</v>
      </c>
      <c r="CB636">
        <v>2016</v>
      </c>
      <c r="CC636">
        <v>178.8192</v>
      </c>
      <c r="CD636" t="s">
        <v>783</v>
      </c>
      <c r="CE636" t="s">
        <v>784</v>
      </c>
      <c r="CG636" t="s">
        <v>421</v>
      </c>
      <c r="CN636" t="str">
        <v>MCS</v>
      </c>
      <c r="CO636" t="str">
        <v>1209-5YY0475EN</v>
      </c>
      <c r="CP636" t="str">
        <v>MSNU9003952</v>
      </c>
      <c r="CQ636" s="23">
        <v>130.94399999999999</v>
      </c>
      <c r="CR636" s="25">
        <f t="shared" si="24"/>
        <v>1.1475691175016478E-2</v>
      </c>
      <c r="CS636" s="21">
        <f t="shared" si="25"/>
        <v>28.689227937541197</v>
      </c>
    </row>
    <row r="637" spans="2:97" x14ac:dyDescent="0.35">
      <c r="B637" t="s">
        <v>299</v>
      </c>
      <c r="C637" t="s">
        <v>2366</v>
      </c>
      <c r="D637" t="s">
        <v>395</v>
      </c>
      <c r="E637" t="s">
        <v>395</v>
      </c>
      <c r="F637" t="s">
        <v>396</v>
      </c>
      <c r="G637" t="s">
        <v>397</v>
      </c>
      <c r="H637" t="s">
        <v>398</v>
      </c>
      <c r="I637" t="s">
        <v>399</v>
      </c>
      <c r="J637" t="s">
        <v>749</v>
      </c>
      <c r="K637" t="s">
        <v>777</v>
      </c>
      <c r="L637" t="s">
        <v>778</v>
      </c>
      <c r="M637" t="s">
        <v>403</v>
      </c>
      <c r="N637">
        <v>1</v>
      </c>
      <c r="O637">
        <v>1</v>
      </c>
      <c r="P637" t="s">
        <v>1490</v>
      </c>
      <c r="Q637" t="s">
        <v>637</v>
      </c>
      <c r="R637" t="s">
        <v>536</v>
      </c>
      <c r="S637" t="s">
        <v>1491</v>
      </c>
      <c r="T637" t="s">
        <v>408</v>
      </c>
      <c r="U637">
        <v>50950079238</v>
      </c>
      <c r="W637">
        <v>5040</v>
      </c>
      <c r="X637" t="s">
        <v>409</v>
      </c>
      <c r="Y637" t="s">
        <v>410</v>
      </c>
      <c r="Z637" t="s">
        <v>410</v>
      </c>
      <c r="AA637" t="s">
        <v>411</v>
      </c>
      <c r="AB637" t="s">
        <v>554</v>
      </c>
      <c r="AC637" t="s">
        <v>411</v>
      </c>
      <c r="AD637">
        <v>46102</v>
      </c>
      <c r="AE637">
        <v>46160</v>
      </c>
      <c r="AF637">
        <v>46113</v>
      </c>
      <c r="AG637" t="s">
        <v>781</v>
      </c>
      <c r="AH637">
        <v>6154588</v>
      </c>
      <c r="AI637">
        <v>46104</v>
      </c>
      <c r="AJ637">
        <v>46105</v>
      </c>
      <c r="AK637">
        <v>5040</v>
      </c>
      <c r="AL637" t="s">
        <v>396</v>
      </c>
      <c r="AM637" t="s">
        <v>2367</v>
      </c>
      <c r="AN637">
        <v>46105</v>
      </c>
      <c r="AO637">
        <v>46105.392129629632</v>
      </c>
      <c r="AP637" t="s">
        <v>51</v>
      </c>
      <c r="AQ637">
        <v>3.2103700000000002</v>
      </c>
      <c r="AR637">
        <v>16180.3</v>
      </c>
      <c r="AS637" t="s">
        <v>51</v>
      </c>
      <c r="AT637">
        <v>16180.3</v>
      </c>
      <c r="AU637" t="s">
        <v>415</v>
      </c>
      <c r="AV637" t="s">
        <v>1420</v>
      </c>
      <c r="AW637" t="s">
        <v>2363</v>
      </c>
      <c r="AX637">
        <v>46113</v>
      </c>
      <c r="AY637">
        <v>46162</v>
      </c>
      <c r="AZ637" t="s">
        <v>2364</v>
      </c>
      <c r="BA637" t="s">
        <v>560</v>
      </c>
      <c r="BB637" t="s">
        <v>2365</v>
      </c>
      <c r="BC637">
        <v>28</v>
      </c>
      <c r="BD637" t="s">
        <v>521</v>
      </c>
      <c r="BE637">
        <v>6.0069999999999997</v>
      </c>
      <c r="BF637">
        <v>4.1440000000000001</v>
      </c>
      <c r="BG637" t="s">
        <v>522</v>
      </c>
      <c r="BH637">
        <v>795</v>
      </c>
      <c r="BI637">
        <v>395</v>
      </c>
      <c r="BJ637">
        <v>145</v>
      </c>
      <c r="BK637">
        <v>18</v>
      </c>
      <c r="BL637" t="s">
        <v>521</v>
      </c>
      <c r="BM637">
        <v>133.126</v>
      </c>
      <c r="BN637">
        <v>74.591999999999999</v>
      </c>
      <c r="BO637">
        <v>1331.26</v>
      </c>
      <c r="BP637" t="s">
        <v>522</v>
      </c>
      <c r="BQ637">
        <v>1200</v>
      </c>
      <c r="BR637">
        <v>800</v>
      </c>
      <c r="BS637">
        <v>1030</v>
      </c>
      <c r="BT637">
        <v>10</v>
      </c>
      <c r="BU637">
        <v>0</v>
      </c>
      <c r="BV637">
        <v>10</v>
      </c>
      <c r="BW637">
        <v>180</v>
      </c>
      <c r="BX637">
        <v>0</v>
      </c>
      <c r="BY637">
        <v>180</v>
      </c>
      <c r="BZ637">
        <v>5040</v>
      </c>
      <c r="CA637">
        <v>0</v>
      </c>
      <c r="CB637">
        <v>5040</v>
      </c>
      <c r="CC637">
        <v>745.92</v>
      </c>
      <c r="CD637" t="s">
        <v>783</v>
      </c>
      <c r="CE637" t="s">
        <v>784</v>
      </c>
      <c r="CG637" t="s">
        <v>421</v>
      </c>
      <c r="CN637" t="str">
        <v>MCS</v>
      </c>
      <c r="CO637" t="str">
        <v>1209-5YY0477EN</v>
      </c>
      <c r="CP637" t="str">
        <v>MSNU9003952</v>
      </c>
      <c r="CQ637" s="23">
        <v>68.276799999999994</v>
      </c>
      <c r="CR637" s="25">
        <f t="shared" si="24"/>
        <v>5.983653097647583E-3</v>
      </c>
      <c r="CS637" s="21">
        <f t="shared" si="25"/>
        <v>14.959132744118957</v>
      </c>
    </row>
    <row r="638" spans="2:97" x14ac:dyDescent="0.35">
      <c r="B638" t="s">
        <v>296</v>
      </c>
      <c r="C638" t="s">
        <v>2368</v>
      </c>
      <c r="D638" t="s">
        <v>395</v>
      </c>
      <c r="E638" t="s">
        <v>395</v>
      </c>
      <c r="F638" t="s">
        <v>396</v>
      </c>
      <c r="G638" t="s">
        <v>397</v>
      </c>
      <c r="H638" t="s">
        <v>398</v>
      </c>
      <c r="I638" t="s">
        <v>399</v>
      </c>
      <c r="J638" t="s">
        <v>749</v>
      </c>
      <c r="K638" t="s">
        <v>629</v>
      </c>
      <c r="L638" t="s">
        <v>787</v>
      </c>
      <c r="M638" t="s">
        <v>403</v>
      </c>
      <c r="N638">
        <v>1</v>
      </c>
      <c r="O638">
        <v>1</v>
      </c>
      <c r="P638" t="s">
        <v>881</v>
      </c>
      <c r="Q638" t="s">
        <v>645</v>
      </c>
      <c r="R638" t="s">
        <v>882</v>
      </c>
      <c r="S638" t="s">
        <v>883</v>
      </c>
      <c r="T638" t="s">
        <v>408</v>
      </c>
      <c r="U638">
        <v>50950079647</v>
      </c>
      <c r="W638">
        <v>19800</v>
      </c>
      <c r="X638" t="s">
        <v>409</v>
      </c>
      <c r="Y638" t="s">
        <v>410</v>
      </c>
      <c r="Z638" t="s">
        <v>410</v>
      </c>
      <c r="AA638" t="s">
        <v>411</v>
      </c>
      <c r="AB638" t="s">
        <v>554</v>
      </c>
      <c r="AC638" t="s">
        <v>411</v>
      </c>
      <c r="AD638">
        <v>46104</v>
      </c>
      <c r="AE638">
        <v>46195</v>
      </c>
      <c r="AF638">
        <v>46113</v>
      </c>
      <c r="AG638" t="s">
        <v>754</v>
      </c>
      <c r="AH638">
        <v>6154589</v>
      </c>
      <c r="AI638">
        <v>46104</v>
      </c>
      <c r="AJ638">
        <v>46105</v>
      </c>
      <c r="AK638">
        <v>19800</v>
      </c>
      <c r="AL638" t="s">
        <v>396</v>
      </c>
      <c r="AM638" t="s">
        <v>2369</v>
      </c>
      <c r="AN638">
        <v>46105</v>
      </c>
      <c r="AO638">
        <v>46105.392129629632</v>
      </c>
      <c r="AP638" t="s">
        <v>51</v>
      </c>
      <c r="AQ638">
        <v>0.19572000000000001</v>
      </c>
      <c r="AR638">
        <v>3875.25</v>
      </c>
      <c r="AS638" t="s">
        <v>51</v>
      </c>
      <c r="AT638">
        <v>3875.25</v>
      </c>
      <c r="AU638" t="s">
        <v>415</v>
      </c>
      <c r="AV638" t="s">
        <v>1420</v>
      </c>
      <c r="AW638" t="s">
        <v>2363</v>
      </c>
      <c r="AX638">
        <v>46113</v>
      </c>
      <c r="AY638">
        <v>46162</v>
      </c>
      <c r="AZ638" t="s">
        <v>2364</v>
      </c>
      <c r="BA638" t="s">
        <v>560</v>
      </c>
      <c r="BB638" t="s">
        <v>2365</v>
      </c>
      <c r="BC638">
        <v>264</v>
      </c>
      <c r="BD638" t="s">
        <v>521</v>
      </c>
      <c r="BE638">
        <v>5.2203999999999997</v>
      </c>
      <c r="BF638">
        <v>3.8304</v>
      </c>
      <c r="BG638" t="s">
        <v>522</v>
      </c>
      <c r="BH638">
        <v>595</v>
      </c>
      <c r="BI638">
        <v>395</v>
      </c>
      <c r="BJ638">
        <v>175</v>
      </c>
      <c r="BK638">
        <v>25</v>
      </c>
      <c r="BL638" t="s">
        <v>521</v>
      </c>
      <c r="BM638">
        <v>157.51</v>
      </c>
      <c r="BN638">
        <v>95.76</v>
      </c>
      <c r="BO638">
        <v>472.52820000000003</v>
      </c>
      <c r="BP638" t="s">
        <v>522</v>
      </c>
      <c r="BQ638">
        <v>1200</v>
      </c>
      <c r="BR638">
        <v>1000</v>
      </c>
      <c r="BS638">
        <v>1035</v>
      </c>
      <c r="BT638">
        <v>3</v>
      </c>
      <c r="BU638">
        <v>0</v>
      </c>
      <c r="BV638">
        <v>3</v>
      </c>
      <c r="BW638">
        <v>75</v>
      </c>
      <c r="BX638">
        <v>0</v>
      </c>
      <c r="BY638">
        <v>75</v>
      </c>
      <c r="BZ638">
        <v>19800</v>
      </c>
      <c r="CA638">
        <v>0</v>
      </c>
      <c r="CB638">
        <v>19800</v>
      </c>
      <c r="CC638">
        <v>287.27820000000003</v>
      </c>
      <c r="CD638" t="s">
        <v>885</v>
      </c>
      <c r="CE638" t="s">
        <v>886</v>
      </c>
      <c r="CG638" t="s">
        <v>421</v>
      </c>
      <c r="CN638" t="str">
        <v>MCS</v>
      </c>
      <c r="CO638" t="str">
        <v>1209-5YY0497EN</v>
      </c>
      <c r="CP638" t="str">
        <v>MSNU9003952</v>
      </c>
      <c r="CQ638" s="23">
        <v>31.720800000000001</v>
      </c>
      <c r="CR638" s="25">
        <f t="shared" si="24"/>
        <v>2.7799525340944432E-3</v>
      </c>
      <c r="CS638" s="21">
        <f t="shared" si="25"/>
        <v>6.9498813352361077</v>
      </c>
    </row>
    <row r="639" spans="2:97" x14ac:dyDescent="0.35">
      <c r="B639" t="s">
        <v>299</v>
      </c>
      <c r="C639" t="s">
        <v>1380</v>
      </c>
      <c r="D639" t="s">
        <v>965</v>
      </c>
      <c r="E639" t="s">
        <v>395</v>
      </c>
      <c r="F639" t="s">
        <v>396</v>
      </c>
      <c r="G639" t="s">
        <v>397</v>
      </c>
      <c r="H639" t="s">
        <v>398</v>
      </c>
      <c r="I639" t="s">
        <v>399</v>
      </c>
      <c r="J639" t="s">
        <v>749</v>
      </c>
      <c r="K639" t="s">
        <v>809</v>
      </c>
      <c r="L639" t="s">
        <v>787</v>
      </c>
      <c r="M639" t="s">
        <v>403</v>
      </c>
      <c r="N639">
        <v>1</v>
      </c>
      <c r="O639">
        <v>14</v>
      </c>
      <c r="P639" t="s">
        <v>810</v>
      </c>
      <c r="Q639" t="s">
        <v>405</v>
      </c>
      <c r="R639" t="s">
        <v>811</v>
      </c>
      <c r="S639" t="s">
        <v>812</v>
      </c>
      <c r="T639" t="s">
        <v>408</v>
      </c>
      <c r="U639">
        <v>50950080270</v>
      </c>
      <c r="W639">
        <v>3840</v>
      </c>
      <c r="X639" t="s">
        <v>409</v>
      </c>
      <c r="Y639" t="s">
        <v>410</v>
      </c>
      <c r="Z639" t="s">
        <v>410</v>
      </c>
      <c r="AA639" t="s">
        <v>411</v>
      </c>
      <c r="AB639" t="s">
        <v>554</v>
      </c>
      <c r="AC639" t="s">
        <v>411</v>
      </c>
      <c r="AD639">
        <v>46102</v>
      </c>
      <c r="AE639">
        <v>46125</v>
      </c>
      <c r="AF639">
        <v>46113</v>
      </c>
      <c r="AG639" t="s">
        <v>754</v>
      </c>
      <c r="AH639">
        <v>6154590</v>
      </c>
      <c r="AI639">
        <v>46104</v>
      </c>
      <c r="AJ639">
        <v>46105</v>
      </c>
      <c r="AK639">
        <v>3840</v>
      </c>
      <c r="AL639" t="s">
        <v>396</v>
      </c>
      <c r="AM639" t="s">
        <v>2370</v>
      </c>
      <c r="AN639">
        <v>46105</v>
      </c>
      <c r="AO639">
        <v>46105.392129629632</v>
      </c>
      <c r="AP639" t="s">
        <v>51</v>
      </c>
      <c r="AQ639">
        <v>1.96204</v>
      </c>
      <c r="AR639">
        <v>7534.24</v>
      </c>
      <c r="AS639" t="s">
        <v>51</v>
      </c>
      <c r="AT639">
        <v>7534.24</v>
      </c>
      <c r="AU639" t="s">
        <v>415</v>
      </c>
      <c r="AV639" t="s">
        <v>1420</v>
      </c>
      <c r="AW639" t="s">
        <v>2363</v>
      </c>
      <c r="AX639">
        <v>46113</v>
      </c>
      <c r="AY639">
        <v>46162</v>
      </c>
      <c r="AZ639" t="s">
        <v>2364</v>
      </c>
      <c r="BA639" t="s">
        <v>560</v>
      </c>
      <c r="BB639" t="s">
        <v>2365</v>
      </c>
      <c r="BC639">
        <v>16</v>
      </c>
      <c r="BD639" t="s">
        <v>521</v>
      </c>
      <c r="BE639">
        <v>4.9545000000000003</v>
      </c>
      <c r="BF639">
        <v>3.7555000000000001</v>
      </c>
      <c r="BG639" t="s">
        <v>522</v>
      </c>
      <c r="BH639">
        <v>495</v>
      </c>
      <c r="BI639">
        <v>395</v>
      </c>
      <c r="BJ639">
        <v>190</v>
      </c>
      <c r="BK639">
        <v>30</v>
      </c>
      <c r="BL639" t="s">
        <v>521</v>
      </c>
      <c r="BM639">
        <v>175.63499999999999</v>
      </c>
      <c r="BN639">
        <v>112.66500000000001</v>
      </c>
      <c r="BO639">
        <v>1405.0848000000001</v>
      </c>
      <c r="BP639" t="s">
        <v>522</v>
      </c>
      <c r="BQ639">
        <v>1200</v>
      </c>
      <c r="BR639">
        <v>1000</v>
      </c>
      <c r="BS639">
        <v>1120</v>
      </c>
      <c r="BT639">
        <v>8</v>
      </c>
      <c r="BU639">
        <v>0</v>
      </c>
      <c r="BV639">
        <v>8</v>
      </c>
      <c r="BW639">
        <v>240</v>
      </c>
      <c r="BX639">
        <v>0</v>
      </c>
      <c r="BY639">
        <v>240</v>
      </c>
      <c r="BZ639">
        <v>3840</v>
      </c>
      <c r="CA639">
        <v>0</v>
      </c>
      <c r="CB639">
        <v>3840</v>
      </c>
      <c r="CC639">
        <v>901.32479999999998</v>
      </c>
      <c r="CD639" t="s">
        <v>806</v>
      </c>
      <c r="CE639" t="s">
        <v>816</v>
      </c>
      <c r="CG639" t="s">
        <v>421</v>
      </c>
      <c r="CN639" t="str">
        <v>M19</v>
      </c>
      <c r="CO639" t="str">
        <v>1322-5YY0003EP</v>
      </c>
      <c r="CP639" t="str">
        <v>MSNU9003952</v>
      </c>
      <c r="CQ639" s="23">
        <v>56.984000000000002</v>
      </c>
      <c r="CR639" s="25">
        <f t="shared" si="24"/>
        <v>4.9939728885412017E-3</v>
      </c>
      <c r="CS639" s="21">
        <f t="shared" si="25"/>
        <v>12.484932221353004</v>
      </c>
    </row>
    <row r="640" spans="2:97" x14ac:dyDescent="0.35">
      <c r="B640" t="s">
        <v>299</v>
      </c>
      <c r="C640" t="s">
        <v>1937</v>
      </c>
      <c r="D640" t="s">
        <v>395</v>
      </c>
      <c r="E640" t="s">
        <v>395</v>
      </c>
      <c r="F640" t="s">
        <v>396</v>
      </c>
      <c r="G640" t="s">
        <v>397</v>
      </c>
      <c r="H640" t="s">
        <v>398</v>
      </c>
      <c r="I640" t="s">
        <v>399</v>
      </c>
      <c r="J640" t="s">
        <v>749</v>
      </c>
      <c r="K640" t="s">
        <v>809</v>
      </c>
      <c r="L640" t="s">
        <v>787</v>
      </c>
      <c r="M640" t="s">
        <v>403</v>
      </c>
      <c r="N640">
        <v>1</v>
      </c>
      <c r="O640">
        <v>8</v>
      </c>
      <c r="P640" t="s">
        <v>818</v>
      </c>
      <c r="Q640" t="s">
        <v>430</v>
      </c>
      <c r="R640" t="s">
        <v>811</v>
      </c>
      <c r="S640" t="s">
        <v>819</v>
      </c>
      <c r="T640" t="s">
        <v>408</v>
      </c>
      <c r="U640">
        <v>50950080296</v>
      </c>
      <c r="W640">
        <v>5760</v>
      </c>
      <c r="X640" t="s">
        <v>409</v>
      </c>
      <c r="Y640" t="s">
        <v>410</v>
      </c>
      <c r="Z640" t="s">
        <v>410</v>
      </c>
      <c r="AA640" t="s">
        <v>411</v>
      </c>
      <c r="AB640" t="s">
        <v>554</v>
      </c>
      <c r="AC640" t="s">
        <v>411</v>
      </c>
      <c r="AD640">
        <v>46102</v>
      </c>
      <c r="AE640">
        <v>46132</v>
      </c>
      <c r="AF640">
        <v>46113</v>
      </c>
      <c r="AG640" t="s">
        <v>754</v>
      </c>
      <c r="AH640">
        <v>6154591</v>
      </c>
      <c r="AI640">
        <v>46104</v>
      </c>
      <c r="AJ640">
        <v>46105</v>
      </c>
      <c r="AK640">
        <v>5760</v>
      </c>
      <c r="AL640" t="s">
        <v>396</v>
      </c>
      <c r="AM640" t="s">
        <v>2371</v>
      </c>
      <c r="AN640">
        <v>46105</v>
      </c>
      <c r="AO640">
        <v>46105.392129629632</v>
      </c>
      <c r="AP640" t="s">
        <v>51</v>
      </c>
      <c r="AQ640">
        <v>1.20448</v>
      </c>
      <c r="AR640">
        <v>6937.8</v>
      </c>
      <c r="AS640" t="s">
        <v>51</v>
      </c>
      <c r="AT640">
        <v>6937.8</v>
      </c>
      <c r="AU640" t="s">
        <v>415</v>
      </c>
      <c r="AV640" t="s">
        <v>1420</v>
      </c>
      <c r="AW640" t="s">
        <v>2363</v>
      </c>
      <c r="AX640">
        <v>46113</v>
      </c>
      <c r="AY640">
        <v>46162</v>
      </c>
      <c r="AZ640" t="s">
        <v>2364</v>
      </c>
      <c r="BA640" t="s">
        <v>560</v>
      </c>
      <c r="BB640" t="s">
        <v>2365</v>
      </c>
      <c r="BC640">
        <v>48</v>
      </c>
      <c r="BD640" t="s">
        <v>521</v>
      </c>
      <c r="BE640">
        <v>7.6898999999999997</v>
      </c>
      <c r="BF640">
        <v>6.2298999999999998</v>
      </c>
      <c r="BG640" t="s">
        <v>522</v>
      </c>
      <c r="BH640">
        <v>495</v>
      </c>
      <c r="BI640">
        <v>395</v>
      </c>
      <c r="BJ640">
        <v>190</v>
      </c>
      <c r="BK640">
        <v>30</v>
      </c>
      <c r="BL640" t="s">
        <v>521</v>
      </c>
      <c r="BM640">
        <v>257.697</v>
      </c>
      <c r="BN640">
        <v>186.89699999999999</v>
      </c>
      <c r="BO640">
        <v>1030.7904000000001</v>
      </c>
      <c r="BP640" t="s">
        <v>522</v>
      </c>
      <c r="BQ640">
        <v>1200</v>
      </c>
      <c r="BR640">
        <v>1000</v>
      </c>
      <c r="BS640">
        <v>1120</v>
      </c>
      <c r="BT640">
        <v>4</v>
      </c>
      <c r="BU640">
        <v>0</v>
      </c>
      <c r="BV640">
        <v>4</v>
      </c>
      <c r="BW640">
        <v>120</v>
      </c>
      <c r="BX640">
        <v>0</v>
      </c>
      <c r="BY640">
        <v>120</v>
      </c>
      <c r="BZ640">
        <v>5760</v>
      </c>
      <c r="CA640">
        <v>0</v>
      </c>
      <c r="CB640">
        <v>5760</v>
      </c>
      <c r="CC640">
        <v>747.59040000000005</v>
      </c>
      <c r="CD640" t="s">
        <v>806</v>
      </c>
      <c r="CE640" t="s">
        <v>821</v>
      </c>
      <c r="CG640" t="s">
        <v>421</v>
      </c>
      <c r="CN640" t="str">
        <v>M46</v>
      </c>
      <c r="CO640" t="str">
        <v>1101-EQN0004EN</v>
      </c>
      <c r="CP640" t="str">
        <v>MSNU9003952</v>
      </c>
      <c r="CQ640" s="23">
        <v>88.147199999999998</v>
      </c>
      <c r="CR640" s="25">
        <f t="shared" si="24"/>
        <v>7.7250583848241438E-3</v>
      </c>
      <c r="CS640" s="21">
        <f t="shared" si="25"/>
        <v>19.312645962060358</v>
      </c>
    </row>
    <row r="641" spans="2:97" x14ac:dyDescent="0.35">
      <c r="B641" t="s">
        <v>299</v>
      </c>
      <c r="C641" t="s">
        <v>2348</v>
      </c>
      <c r="D641" t="s">
        <v>395</v>
      </c>
      <c r="E641" t="s">
        <v>395</v>
      </c>
      <c r="F641" t="s">
        <v>396</v>
      </c>
      <c r="G641" t="s">
        <v>397</v>
      </c>
      <c r="H641" t="s">
        <v>398</v>
      </c>
      <c r="I641" t="s">
        <v>399</v>
      </c>
      <c r="J641" t="s">
        <v>749</v>
      </c>
      <c r="K641" t="s">
        <v>809</v>
      </c>
      <c r="L641" t="s">
        <v>787</v>
      </c>
      <c r="M641" t="s">
        <v>403</v>
      </c>
      <c r="N641">
        <v>1</v>
      </c>
      <c r="O641">
        <v>2</v>
      </c>
      <c r="P641" t="s">
        <v>828</v>
      </c>
      <c r="Q641" t="s">
        <v>587</v>
      </c>
      <c r="R641" t="s">
        <v>811</v>
      </c>
      <c r="S641" t="s">
        <v>829</v>
      </c>
      <c r="T641" t="s">
        <v>408</v>
      </c>
      <c r="U641">
        <v>50950081232</v>
      </c>
      <c r="W641">
        <v>4800</v>
      </c>
      <c r="X641" t="s">
        <v>409</v>
      </c>
      <c r="Y641" t="s">
        <v>410</v>
      </c>
      <c r="Z641" t="s">
        <v>410</v>
      </c>
      <c r="AA641" t="s">
        <v>411</v>
      </c>
      <c r="AB641" t="s">
        <v>554</v>
      </c>
      <c r="AC641" t="s">
        <v>411</v>
      </c>
      <c r="AD641">
        <v>46102</v>
      </c>
      <c r="AE641">
        <v>46160</v>
      </c>
      <c r="AF641">
        <v>46113</v>
      </c>
      <c r="AG641" t="s">
        <v>754</v>
      </c>
      <c r="AH641">
        <v>6154592</v>
      </c>
      <c r="AI641">
        <v>46104</v>
      </c>
      <c r="AJ641">
        <v>46105</v>
      </c>
      <c r="AK641">
        <v>4800</v>
      </c>
      <c r="AL641" t="s">
        <v>396</v>
      </c>
      <c r="AM641" t="s">
        <v>2372</v>
      </c>
      <c r="AN641">
        <v>46105</v>
      </c>
      <c r="AO641">
        <v>46105.392129629632</v>
      </c>
      <c r="AP641" t="s">
        <v>51</v>
      </c>
      <c r="AQ641">
        <v>1.8924799999999999</v>
      </c>
      <c r="AR641">
        <v>9083.9</v>
      </c>
      <c r="AS641" t="s">
        <v>51</v>
      </c>
      <c r="AT641">
        <v>9083.9</v>
      </c>
      <c r="AU641" t="s">
        <v>415</v>
      </c>
      <c r="AV641" t="s">
        <v>1420</v>
      </c>
      <c r="AW641" t="s">
        <v>2363</v>
      </c>
      <c r="AX641">
        <v>46113</v>
      </c>
      <c r="AY641">
        <v>46162</v>
      </c>
      <c r="AZ641" t="s">
        <v>2364</v>
      </c>
      <c r="BA641" t="s">
        <v>560</v>
      </c>
      <c r="BB641" t="s">
        <v>2365</v>
      </c>
      <c r="BC641">
        <v>16</v>
      </c>
      <c r="BD641" t="s">
        <v>521</v>
      </c>
      <c r="BE641">
        <v>4.9409000000000001</v>
      </c>
      <c r="BF641">
        <v>3.7418999999999998</v>
      </c>
      <c r="BG641" t="s">
        <v>522</v>
      </c>
      <c r="BH641">
        <v>495</v>
      </c>
      <c r="BI641">
        <v>395</v>
      </c>
      <c r="BJ641">
        <v>190</v>
      </c>
      <c r="BK641">
        <v>30</v>
      </c>
      <c r="BL641" t="s">
        <v>521</v>
      </c>
      <c r="BM641">
        <v>175.227</v>
      </c>
      <c r="BN641">
        <v>112.25700000000001</v>
      </c>
      <c r="BO641">
        <v>1752.2760000000001</v>
      </c>
      <c r="BP641" t="s">
        <v>522</v>
      </c>
      <c r="BQ641">
        <v>1200</v>
      </c>
      <c r="BR641">
        <v>1000</v>
      </c>
      <c r="BS641">
        <v>1120</v>
      </c>
      <c r="BT641">
        <v>10</v>
      </c>
      <c r="BU641">
        <v>0</v>
      </c>
      <c r="BV641">
        <v>10</v>
      </c>
      <c r="BW641">
        <v>300</v>
      </c>
      <c r="BX641">
        <v>0</v>
      </c>
      <c r="BY641">
        <v>300</v>
      </c>
      <c r="BZ641">
        <v>4800</v>
      </c>
      <c r="CA641">
        <v>0</v>
      </c>
      <c r="CB641">
        <v>4800</v>
      </c>
      <c r="CC641">
        <v>1122.576</v>
      </c>
      <c r="CD641" t="s">
        <v>806</v>
      </c>
      <c r="CE641" t="s">
        <v>816</v>
      </c>
      <c r="CG641" t="s">
        <v>421</v>
      </c>
      <c r="CN641" t="str">
        <v>M23</v>
      </c>
      <c r="CO641" t="str">
        <v>1415-1060749EN</v>
      </c>
      <c r="CP641" t="str">
        <v>MSNU9003952</v>
      </c>
      <c r="CQ641" s="23">
        <v>228.0256</v>
      </c>
      <c r="CR641" s="25">
        <f t="shared" si="24"/>
        <v>1.9983743933267944E-2</v>
      </c>
      <c r="CS641" s="21">
        <f t="shared" si="25"/>
        <v>49.959359833169863</v>
      </c>
    </row>
    <row r="642" spans="2:97" x14ac:dyDescent="0.35">
      <c r="B642" t="s">
        <v>299</v>
      </c>
      <c r="C642" t="s">
        <v>2373</v>
      </c>
      <c r="D642" t="s">
        <v>395</v>
      </c>
      <c r="E642" t="s">
        <v>395</v>
      </c>
      <c r="F642" t="s">
        <v>396</v>
      </c>
      <c r="G642" t="s">
        <v>397</v>
      </c>
      <c r="H642" t="s">
        <v>398</v>
      </c>
      <c r="I642" t="s">
        <v>399</v>
      </c>
      <c r="J642" t="s">
        <v>749</v>
      </c>
      <c r="K642" t="s">
        <v>845</v>
      </c>
      <c r="L642" t="s">
        <v>787</v>
      </c>
      <c r="M642" t="s">
        <v>403</v>
      </c>
      <c r="N642">
        <v>1</v>
      </c>
      <c r="O642">
        <v>1</v>
      </c>
      <c r="P642" t="s">
        <v>1395</v>
      </c>
      <c r="Q642" t="s">
        <v>645</v>
      </c>
      <c r="R642" t="s">
        <v>847</v>
      </c>
      <c r="S642" t="s">
        <v>1396</v>
      </c>
      <c r="T642" t="s">
        <v>408</v>
      </c>
      <c r="U642">
        <v>50950081242</v>
      </c>
      <c r="W642">
        <v>1404</v>
      </c>
      <c r="X642" t="s">
        <v>409</v>
      </c>
      <c r="Y642" t="s">
        <v>410</v>
      </c>
      <c r="Z642" t="s">
        <v>410</v>
      </c>
      <c r="AA642" t="s">
        <v>411</v>
      </c>
      <c r="AB642" t="s">
        <v>554</v>
      </c>
      <c r="AC642" t="s">
        <v>411</v>
      </c>
      <c r="AD642">
        <v>46102</v>
      </c>
      <c r="AE642">
        <v>46160</v>
      </c>
      <c r="AF642">
        <v>46113</v>
      </c>
      <c r="AG642" t="s">
        <v>754</v>
      </c>
      <c r="AH642">
        <v>6154593</v>
      </c>
      <c r="AI642">
        <v>46104</v>
      </c>
      <c r="AJ642">
        <v>46105</v>
      </c>
      <c r="AK642">
        <v>1404</v>
      </c>
      <c r="AL642" t="s">
        <v>396</v>
      </c>
      <c r="AM642" t="s">
        <v>2374</v>
      </c>
      <c r="AN642">
        <v>46105</v>
      </c>
      <c r="AO642">
        <v>46105.392129629632</v>
      </c>
      <c r="AP642" t="s">
        <v>51</v>
      </c>
      <c r="AQ642">
        <v>0.88275000000000003</v>
      </c>
      <c r="AR642">
        <v>1239.3800000000001</v>
      </c>
      <c r="AS642" t="s">
        <v>51</v>
      </c>
      <c r="AT642">
        <v>1239.3800000000001</v>
      </c>
      <c r="AU642" t="s">
        <v>415</v>
      </c>
      <c r="AV642" t="s">
        <v>1420</v>
      </c>
      <c r="AW642" t="s">
        <v>2363</v>
      </c>
      <c r="AX642">
        <v>46113</v>
      </c>
      <c r="AY642">
        <v>46162</v>
      </c>
      <c r="AZ642" t="s">
        <v>2364</v>
      </c>
      <c r="BA642" t="s">
        <v>560</v>
      </c>
      <c r="BB642" t="s">
        <v>2365</v>
      </c>
      <c r="BC642">
        <v>39</v>
      </c>
      <c r="BD642" t="s">
        <v>521</v>
      </c>
      <c r="BE642">
        <v>13.174200000000001</v>
      </c>
      <c r="BF642">
        <v>12.2242</v>
      </c>
      <c r="BG642" t="s">
        <v>522</v>
      </c>
      <c r="BH642">
        <v>495</v>
      </c>
      <c r="BI642">
        <v>395</v>
      </c>
      <c r="BJ642">
        <v>150</v>
      </c>
      <c r="BK642">
        <v>36</v>
      </c>
      <c r="BL642" t="s">
        <v>521</v>
      </c>
      <c r="BM642">
        <v>501.26976000000002</v>
      </c>
      <c r="BN642">
        <v>440.06975999999997</v>
      </c>
      <c r="BO642">
        <v>501.26976000000002</v>
      </c>
      <c r="BP642" t="s">
        <v>522</v>
      </c>
      <c r="BQ642">
        <v>1200</v>
      </c>
      <c r="BR642">
        <v>1000</v>
      </c>
      <c r="BS642">
        <v>1053</v>
      </c>
      <c r="BT642">
        <v>1</v>
      </c>
      <c r="BU642">
        <v>0</v>
      </c>
      <c r="BV642">
        <v>1</v>
      </c>
      <c r="BW642">
        <v>36</v>
      </c>
      <c r="BX642">
        <v>0</v>
      </c>
      <c r="BY642">
        <v>36</v>
      </c>
      <c r="BZ642">
        <v>1404</v>
      </c>
      <c r="CA642">
        <v>0</v>
      </c>
      <c r="CB642">
        <v>1404</v>
      </c>
      <c r="CC642">
        <v>440.06975999999997</v>
      </c>
      <c r="CD642" t="s">
        <v>856</v>
      </c>
      <c r="CE642" t="s">
        <v>857</v>
      </c>
      <c r="CG642" t="s">
        <v>421</v>
      </c>
      <c r="CN642" t="str">
        <v>M46</v>
      </c>
      <c r="CO642" t="str">
        <v>1101-EQN0001EN</v>
      </c>
      <c r="CP642" t="str">
        <v>MSNU9003952</v>
      </c>
      <c r="CQ642" s="23">
        <v>35.290999999999997</v>
      </c>
      <c r="CR642" s="25">
        <f t="shared" si="24"/>
        <v>3.0928382916170774E-3</v>
      </c>
      <c r="CS642" s="21">
        <f t="shared" si="25"/>
        <v>7.732095729042693</v>
      </c>
    </row>
    <row r="643" spans="2:97" x14ac:dyDescent="0.35">
      <c r="B643" t="s">
        <v>299</v>
      </c>
      <c r="C643" t="s">
        <v>2119</v>
      </c>
      <c r="D643" t="s">
        <v>395</v>
      </c>
      <c r="E643" t="s">
        <v>395</v>
      </c>
      <c r="F643" t="s">
        <v>396</v>
      </c>
      <c r="G643" t="s">
        <v>397</v>
      </c>
      <c r="H643" t="s">
        <v>398</v>
      </c>
      <c r="I643" t="s">
        <v>399</v>
      </c>
      <c r="J643" t="s">
        <v>749</v>
      </c>
      <c r="K643" t="s">
        <v>809</v>
      </c>
      <c r="L643" t="s">
        <v>787</v>
      </c>
      <c r="M643" t="s">
        <v>403</v>
      </c>
      <c r="N643">
        <v>1</v>
      </c>
      <c r="O643">
        <v>3</v>
      </c>
      <c r="P643" t="s">
        <v>1138</v>
      </c>
      <c r="Q643" t="s">
        <v>943</v>
      </c>
      <c r="R643" t="s">
        <v>811</v>
      </c>
      <c r="S643" t="s">
        <v>1139</v>
      </c>
      <c r="T643" t="s">
        <v>408</v>
      </c>
      <c r="U643">
        <v>50950081277</v>
      </c>
      <c r="W643">
        <v>480</v>
      </c>
      <c r="X643" t="s">
        <v>409</v>
      </c>
      <c r="Y643" t="s">
        <v>410</v>
      </c>
      <c r="Z643" t="s">
        <v>410</v>
      </c>
      <c r="AA643" t="s">
        <v>411</v>
      </c>
      <c r="AB643" t="s">
        <v>554</v>
      </c>
      <c r="AC643" t="s">
        <v>411</v>
      </c>
      <c r="AD643">
        <v>46102</v>
      </c>
      <c r="AE643">
        <v>46160</v>
      </c>
      <c r="AF643">
        <v>46113</v>
      </c>
      <c r="AG643" t="s">
        <v>754</v>
      </c>
      <c r="AH643">
        <v>6154594</v>
      </c>
      <c r="AI643">
        <v>46104</v>
      </c>
      <c r="AJ643">
        <v>46105</v>
      </c>
      <c r="AK643">
        <v>480</v>
      </c>
      <c r="AL643" t="s">
        <v>396</v>
      </c>
      <c r="AM643" t="s">
        <v>2375</v>
      </c>
      <c r="AN643">
        <v>46105</v>
      </c>
      <c r="AO643">
        <v>46105.392129629632</v>
      </c>
      <c r="AP643" t="s">
        <v>51</v>
      </c>
      <c r="AQ643">
        <v>1.50905</v>
      </c>
      <c r="AR643">
        <v>724.34</v>
      </c>
      <c r="AS643" t="s">
        <v>51</v>
      </c>
      <c r="AT643">
        <v>724.34</v>
      </c>
      <c r="AU643" t="s">
        <v>415</v>
      </c>
      <c r="AV643" t="s">
        <v>1420</v>
      </c>
      <c r="AW643" t="s">
        <v>2363</v>
      </c>
      <c r="AX643">
        <v>46113</v>
      </c>
      <c r="AY643">
        <v>46162</v>
      </c>
      <c r="AZ643" t="s">
        <v>2364</v>
      </c>
      <c r="BA643" t="s">
        <v>560</v>
      </c>
      <c r="BB643" t="s">
        <v>2365</v>
      </c>
      <c r="BC643">
        <v>16</v>
      </c>
      <c r="BD643" t="s">
        <v>521</v>
      </c>
      <c r="BE643">
        <v>4.0369000000000002</v>
      </c>
      <c r="BF643">
        <v>2.8378999999999999</v>
      </c>
      <c r="BG643" t="s">
        <v>522</v>
      </c>
      <c r="BH643">
        <v>495</v>
      </c>
      <c r="BI643">
        <v>395</v>
      </c>
      <c r="BJ643">
        <v>190</v>
      </c>
      <c r="BK643">
        <v>30</v>
      </c>
      <c r="BL643" t="s">
        <v>521</v>
      </c>
      <c r="BM643">
        <v>148.10568000000001</v>
      </c>
      <c r="BN643">
        <v>85.135679999999994</v>
      </c>
      <c r="BO643">
        <v>148.10568000000001</v>
      </c>
      <c r="BP643" t="s">
        <v>522</v>
      </c>
      <c r="BQ643">
        <v>1200</v>
      </c>
      <c r="BR643">
        <v>1000</v>
      </c>
      <c r="BS643">
        <v>1120</v>
      </c>
      <c r="BT643">
        <v>1</v>
      </c>
      <c r="BU643">
        <v>0</v>
      </c>
      <c r="BV643">
        <v>1</v>
      </c>
      <c r="BW643">
        <v>30</v>
      </c>
      <c r="BX643">
        <v>0</v>
      </c>
      <c r="BY643">
        <v>30</v>
      </c>
      <c r="BZ643">
        <v>480</v>
      </c>
      <c r="CA643">
        <v>0</v>
      </c>
      <c r="CB643">
        <v>480</v>
      </c>
      <c r="CC643">
        <v>85.135679999999994</v>
      </c>
      <c r="CD643" t="s">
        <v>806</v>
      </c>
      <c r="CE643" t="s">
        <v>816</v>
      </c>
      <c r="CG643" t="s">
        <v>421</v>
      </c>
      <c r="CN643" t="str">
        <v>M46</v>
      </c>
      <c r="CO643" t="str">
        <v>1101-EQN0004EN</v>
      </c>
      <c r="CP643" t="str">
        <v>MSNU9003952</v>
      </c>
      <c r="CQ643" s="23">
        <v>88.147199999999998</v>
      </c>
      <c r="CR643" s="25">
        <f t="shared" si="24"/>
        <v>7.7250583848241438E-3</v>
      </c>
      <c r="CS643" s="21">
        <f t="shared" si="25"/>
        <v>19.312645962060358</v>
      </c>
    </row>
    <row r="644" spans="2:97" x14ac:dyDescent="0.35">
      <c r="B644" t="s">
        <v>299</v>
      </c>
      <c r="C644" t="s">
        <v>2353</v>
      </c>
      <c r="D644" t="s">
        <v>395</v>
      </c>
      <c r="E644" t="s">
        <v>395</v>
      </c>
      <c r="F644" t="s">
        <v>396</v>
      </c>
      <c r="G644" t="s">
        <v>397</v>
      </c>
      <c r="H644" t="s">
        <v>398</v>
      </c>
      <c r="I644" t="s">
        <v>399</v>
      </c>
      <c r="J644" t="s">
        <v>749</v>
      </c>
      <c r="K644" t="s">
        <v>845</v>
      </c>
      <c r="L644" t="s">
        <v>787</v>
      </c>
      <c r="M644" t="s">
        <v>403</v>
      </c>
      <c r="N644">
        <v>1</v>
      </c>
      <c r="O644">
        <v>2</v>
      </c>
      <c r="P644" t="s">
        <v>853</v>
      </c>
      <c r="Q644" t="s">
        <v>789</v>
      </c>
      <c r="R644" t="s">
        <v>847</v>
      </c>
      <c r="S644" t="s">
        <v>854</v>
      </c>
      <c r="T644" t="s">
        <v>408</v>
      </c>
      <c r="U644">
        <v>50950081250</v>
      </c>
      <c r="W644">
        <v>5940</v>
      </c>
      <c r="X644" t="s">
        <v>409</v>
      </c>
      <c r="Y644" t="s">
        <v>410</v>
      </c>
      <c r="Z644" t="s">
        <v>410</v>
      </c>
      <c r="AA644" t="s">
        <v>411</v>
      </c>
      <c r="AB644" t="s">
        <v>554</v>
      </c>
      <c r="AC644" t="s">
        <v>411</v>
      </c>
      <c r="AD644">
        <v>46102</v>
      </c>
      <c r="AE644">
        <v>46160</v>
      </c>
      <c r="AF644">
        <v>46113</v>
      </c>
      <c r="AG644" t="s">
        <v>754</v>
      </c>
      <c r="AH644">
        <v>6154595</v>
      </c>
      <c r="AI644">
        <v>46104</v>
      </c>
      <c r="AJ644">
        <v>46105</v>
      </c>
      <c r="AK644">
        <v>5940</v>
      </c>
      <c r="AL644" t="s">
        <v>396</v>
      </c>
      <c r="AM644" t="s">
        <v>2376</v>
      </c>
      <c r="AN644">
        <v>46105</v>
      </c>
      <c r="AO644">
        <v>46105.392129629632</v>
      </c>
      <c r="AP644" t="s">
        <v>51</v>
      </c>
      <c r="AQ644">
        <v>1.00054</v>
      </c>
      <c r="AR644">
        <v>5943.2</v>
      </c>
      <c r="AS644" t="s">
        <v>51</v>
      </c>
      <c r="AT644">
        <v>5943.2</v>
      </c>
      <c r="AU644" t="s">
        <v>415</v>
      </c>
      <c r="AV644" t="s">
        <v>1420</v>
      </c>
      <c r="AW644" t="s">
        <v>2363</v>
      </c>
      <c r="AX644">
        <v>46113</v>
      </c>
      <c r="AY644">
        <v>46162</v>
      </c>
      <c r="AZ644" t="s">
        <v>2364</v>
      </c>
      <c r="BA644" t="s">
        <v>560</v>
      </c>
      <c r="BB644" t="s">
        <v>2365</v>
      </c>
      <c r="BC644">
        <v>33</v>
      </c>
      <c r="BD644" t="s">
        <v>521</v>
      </c>
      <c r="BE644">
        <v>12.9557</v>
      </c>
      <c r="BF644">
        <v>12.005699999999999</v>
      </c>
      <c r="BG644" t="s">
        <v>522</v>
      </c>
      <c r="BH644">
        <v>495</v>
      </c>
      <c r="BI644">
        <v>395</v>
      </c>
      <c r="BJ644">
        <v>150</v>
      </c>
      <c r="BK644">
        <v>36</v>
      </c>
      <c r="BL644" t="s">
        <v>521</v>
      </c>
      <c r="BM644">
        <v>493.40519999999998</v>
      </c>
      <c r="BN644">
        <v>432.20519999999999</v>
      </c>
      <c r="BO644">
        <v>2467.0313999999998</v>
      </c>
      <c r="BP644" t="s">
        <v>522</v>
      </c>
      <c r="BQ644">
        <v>1200</v>
      </c>
      <c r="BR644">
        <v>1000</v>
      </c>
      <c r="BS644">
        <v>1053</v>
      </c>
      <c r="BT644">
        <v>5</v>
      </c>
      <c r="BU644">
        <v>0</v>
      </c>
      <c r="BV644">
        <v>5</v>
      </c>
      <c r="BW644">
        <v>180</v>
      </c>
      <c r="BX644">
        <v>0</v>
      </c>
      <c r="BY644">
        <v>180</v>
      </c>
      <c r="BZ644">
        <v>5940</v>
      </c>
      <c r="CA644">
        <v>0</v>
      </c>
      <c r="CB644">
        <v>5940</v>
      </c>
      <c r="CC644">
        <v>2161.0313999999998</v>
      </c>
      <c r="CD644" t="s">
        <v>856</v>
      </c>
      <c r="CE644" t="s">
        <v>857</v>
      </c>
      <c r="CG644" t="s">
        <v>421</v>
      </c>
      <c r="CN644" t="str">
        <v>M23</v>
      </c>
      <c r="CO644" t="str">
        <v>1101-1060600EN</v>
      </c>
      <c r="CP644" t="str">
        <v>MSNU9003952</v>
      </c>
      <c r="CQ644" s="23">
        <v>259.62</v>
      </c>
      <c r="CR644" s="25">
        <f t="shared" si="24"/>
        <v>2.2752619003984745E-2</v>
      </c>
      <c r="CS644" s="21">
        <f t="shared" si="25"/>
        <v>56.881547509961862</v>
      </c>
    </row>
    <row r="645" spans="2:97" x14ac:dyDescent="0.35">
      <c r="B645" t="s">
        <v>297</v>
      </c>
      <c r="C645" t="s">
        <v>2377</v>
      </c>
      <c r="D645" t="s">
        <v>549</v>
      </c>
      <c r="E645" t="s">
        <v>395</v>
      </c>
      <c r="F645" t="s">
        <v>396</v>
      </c>
      <c r="G645" t="s">
        <v>397</v>
      </c>
      <c r="H645" t="s">
        <v>398</v>
      </c>
      <c r="I645" t="s">
        <v>399</v>
      </c>
      <c r="J645" t="s">
        <v>749</v>
      </c>
      <c r="K645" t="s">
        <v>1081</v>
      </c>
      <c r="L645" t="s">
        <v>766</v>
      </c>
      <c r="M645" t="s">
        <v>403</v>
      </c>
      <c r="N645">
        <v>1</v>
      </c>
      <c r="O645">
        <v>1</v>
      </c>
      <c r="P645" t="s">
        <v>1463</v>
      </c>
      <c r="Q645" t="s">
        <v>424</v>
      </c>
      <c r="R645" t="s">
        <v>1083</v>
      </c>
      <c r="S645" t="s">
        <v>1464</v>
      </c>
      <c r="T645" t="s">
        <v>408</v>
      </c>
      <c r="U645">
        <v>50950081381</v>
      </c>
      <c r="W645">
        <v>10400</v>
      </c>
      <c r="X645" t="s">
        <v>409</v>
      </c>
      <c r="Y645" t="s">
        <v>410</v>
      </c>
      <c r="Z645" t="s">
        <v>410</v>
      </c>
      <c r="AA645" t="s">
        <v>411</v>
      </c>
      <c r="AB645" t="s">
        <v>554</v>
      </c>
      <c r="AC645" t="s">
        <v>411</v>
      </c>
      <c r="AD645">
        <v>46109</v>
      </c>
      <c r="AE645">
        <v>46167</v>
      </c>
      <c r="AF645">
        <v>46113</v>
      </c>
      <c r="AG645" t="s">
        <v>770</v>
      </c>
      <c r="AH645">
        <v>6156311</v>
      </c>
      <c r="AI645">
        <v>46105</v>
      </c>
      <c r="AJ645">
        <v>46106</v>
      </c>
      <c r="AK645">
        <v>10400</v>
      </c>
      <c r="AL645" t="s">
        <v>396</v>
      </c>
      <c r="AM645" t="s">
        <v>2378</v>
      </c>
      <c r="AN645">
        <v>46106</v>
      </c>
      <c r="AO645">
        <v>46106.392569444448</v>
      </c>
      <c r="AP645" t="s">
        <v>51</v>
      </c>
      <c r="AQ645">
        <v>1.0019400000000001</v>
      </c>
      <c r="AR645">
        <v>10420.17</v>
      </c>
      <c r="AS645" t="s">
        <v>51</v>
      </c>
      <c r="AT645">
        <v>10420.17</v>
      </c>
      <c r="AU645" t="s">
        <v>415</v>
      </c>
      <c r="AV645" t="s">
        <v>1420</v>
      </c>
      <c r="AW645" t="s">
        <v>2363</v>
      </c>
      <c r="AX645">
        <v>46113</v>
      </c>
      <c r="AY645">
        <v>46162</v>
      </c>
      <c r="AZ645" t="s">
        <v>2379</v>
      </c>
      <c r="BA645" t="s">
        <v>560</v>
      </c>
      <c r="BB645" t="s">
        <v>2380</v>
      </c>
      <c r="BC645">
        <v>130</v>
      </c>
      <c r="BD645" t="s">
        <v>521</v>
      </c>
      <c r="BE645">
        <v>12.355</v>
      </c>
      <c r="BF645">
        <v>10.92</v>
      </c>
      <c r="BG645" t="s">
        <v>522</v>
      </c>
      <c r="BH645">
        <v>395</v>
      </c>
      <c r="BI645">
        <v>295</v>
      </c>
      <c r="BJ645">
        <v>180</v>
      </c>
      <c r="BK645">
        <v>40</v>
      </c>
      <c r="BL645" t="s">
        <v>521</v>
      </c>
      <c r="BM645">
        <v>518.20000000000005</v>
      </c>
      <c r="BN645">
        <v>436.8</v>
      </c>
      <c r="BO645">
        <v>1036.4000000000001</v>
      </c>
      <c r="BP645" t="s">
        <v>522</v>
      </c>
      <c r="BQ645">
        <v>1200</v>
      </c>
      <c r="BR645">
        <v>800</v>
      </c>
      <c r="BS645">
        <v>1060</v>
      </c>
      <c r="BT645">
        <v>2</v>
      </c>
      <c r="BU645">
        <v>0</v>
      </c>
      <c r="BV645">
        <v>2</v>
      </c>
      <c r="BW645">
        <v>80</v>
      </c>
      <c r="BX645">
        <v>0</v>
      </c>
      <c r="BY645">
        <v>80</v>
      </c>
      <c r="BZ645">
        <v>10400</v>
      </c>
      <c r="CA645">
        <v>0</v>
      </c>
      <c r="CB645">
        <v>10400</v>
      </c>
      <c r="CC645">
        <v>873.6</v>
      </c>
      <c r="CD645" t="s">
        <v>694</v>
      </c>
      <c r="CE645" t="s">
        <v>1088</v>
      </c>
      <c r="CG645" t="s">
        <v>421</v>
      </c>
      <c r="CN645" t="str">
        <v>M23</v>
      </c>
      <c r="CO645" t="str">
        <v>1415-1060749EN</v>
      </c>
      <c r="CP645" t="str">
        <v>MSNU9003952</v>
      </c>
      <c r="CQ645" s="23">
        <v>228.0256</v>
      </c>
      <c r="CR645" s="25">
        <f t="shared" si="24"/>
        <v>1.9983743933267944E-2</v>
      </c>
      <c r="CS645" s="21">
        <f t="shared" si="25"/>
        <v>49.959359833169863</v>
      </c>
    </row>
    <row r="646" spans="2:97" x14ac:dyDescent="0.35">
      <c r="B646" t="s">
        <v>297</v>
      </c>
      <c r="C646" t="s">
        <v>2381</v>
      </c>
      <c r="D646" t="s">
        <v>549</v>
      </c>
      <c r="E646" t="s">
        <v>395</v>
      </c>
      <c r="F646" t="s">
        <v>396</v>
      </c>
      <c r="G646" t="s">
        <v>397</v>
      </c>
      <c r="H646" t="s">
        <v>398</v>
      </c>
      <c r="I646" t="s">
        <v>399</v>
      </c>
      <c r="J646" t="s">
        <v>749</v>
      </c>
      <c r="K646" t="s">
        <v>401</v>
      </c>
      <c r="L646" t="s">
        <v>766</v>
      </c>
      <c r="M646" t="s">
        <v>403</v>
      </c>
      <c r="N646">
        <v>2</v>
      </c>
      <c r="O646">
        <v>1</v>
      </c>
      <c r="P646" t="s">
        <v>767</v>
      </c>
      <c r="Q646" t="s">
        <v>424</v>
      </c>
      <c r="R646" t="s">
        <v>552</v>
      </c>
      <c r="S646" t="s">
        <v>768</v>
      </c>
      <c r="T646" t="s">
        <v>408</v>
      </c>
      <c r="U646">
        <v>50950081498</v>
      </c>
      <c r="W646">
        <v>34560</v>
      </c>
      <c r="X646" t="s">
        <v>409</v>
      </c>
      <c r="Y646" t="s">
        <v>410</v>
      </c>
      <c r="Z646" t="s">
        <v>410</v>
      </c>
      <c r="AA646" t="s">
        <v>411</v>
      </c>
      <c r="AB646" t="s">
        <v>554</v>
      </c>
      <c r="AC646" t="s">
        <v>411</v>
      </c>
      <c r="AD646">
        <v>46109</v>
      </c>
      <c r="AE646">
        <v>46167</v>
      </c>
      <c r="AF646">
        <v>46113</v>
      </c>
      <c r="AG646" t="s">
        <v>770</v>
      </c>
      <c r="AH646">
        <v>6156312</v>
      </c>
      <c r="AI646">
        <v>46105</v>
      </c>
      <c r="AJ646">
        <v>46106</v>
      </c>
      <c r="AK646">
        <v>34560</v>
      </c>
      <c r="AL646" t="s">
        <v>396</v>
      </c>
      <c r="AM646" t="s">
        <v>2382</v>
      </c>
      <c r="AN646">
        <v>46106</v>
      </c>
      <c r="AO646">
        <v>46106.392569444448</v>
      </c>
      <c r="AP646" t="s">
        <v>51</v>
      </c>
      <c r="AQ646">
        <v>0.18359</v>
      </c>
      <c r="AR646">
        <v>6344.88</v>
      </c>
      <c r="AS646" t="s">
        <v>51</v>
      </c>
      <c r="AT646">
        <v>6344.88</v>
      </c>
      <c r="AU646" t="s">
        <v>415</v>
      </c>
      <c r="AV646" t="s">
        <v>1420</v>
      </c>
      <c r="AW646" t="s">
        <v>2363</v>
      </c>
      <c r="AX646">
        <v>46113</v>
      </c>
      <c r="AY646">
        <v>46162</v>
      </c>
      <c r="AZ646" t="s">
        <v>2379</v>
      </c>
      <c r="BA646" t="s">
        <v>560</v>
      </c>
      <c r="BB646" t="s">
        <v>2380</v>
      </c>
      <c r="BC646">
        <v>240</v>
      </c>
      <c r="BD646" t="s">
        <v>521</v>
      </c>
      <c r="BE646">
        <v>2.5634000000000001</v>
      </c>
      <c r="BF646">
        <v>1.2864</v>
      </c>
      <c r="BG646" t="s">
        <v>522</v>
      </c>
      <c r="BH646">
        <v>340</v>
      </c>
      <c r="BI646">
        <v>250</v>
      </c>
      <c r="BJ646">
        <v>230</v>
      </c>
      <c r="BK646">
        <v>48</v>
      </c>
      <c r="BL646" t="s">
        <v>521</v>
      </c>
      <c r="BM646">
        <v>144.04320000000001</v>
      </c>
      <c r="BN646">
        <v>61.747199999999999</v>
      </c>
      <c r="BO646">
        <v>432.12959999999998</v>
      </c>
      <c r="BP646" t="s">
        <v>522</v>
      </c>
      <c r="BQ646">
        <v>1066</v>
      </c>
      <c r="BR646">
        <v>1066</v>
      </c>
      <c r="BS646">
        <v>1080</v>
      </c>
      <c r="BT646">
        <v>3</v>
      </c>
      <c r="BU646">
        <v>0</v>
      </c>
      <c r="BV646">
        <v>3</v>
      </c>
      <c r="BW646">
        <v>144</v>
      </c>
      <c r="BX646">
        <v>0</v>
      </c>
      <c r="BY646">
        <v>144</v>
      </c>
      <c r="BZ646">
        <v>34560</v>
      </c>
      <c r="CA646">
        <v>0</v>
      </c>
      <c r="CB646">
        <v>34560</v>
      </c>
      <c r="CC646">
        <v>185.24160000000001</v>
      </c>
      <c r="CD646" t="s">
        <v>562</v>
      </c>
      <c r="CE646" t="s">
        <v>563</v>
      </c>
      <c r="CG646" t="s">
        <v>421</v>
      </c>
      <c r="CN646" t="str">
        <v>M45</v>
      </c>
      <c r="CO646" t="str">
        <v>1438-12C0005EN</v>
      </c>
      <c r="CP646" t="str">
        <v>MSNU9003952</v>
      </c>
      <c r="CQ646" s="23">
        <v>319.27999999999997</v>
      </c>
      <c r="CR646" s="25">
        <f t="shared" ref="CR646:CR709" si="28">IFERROR(CQ646/(SUMIFS(CQ:CQ,CP:CP,CP646)),100%)</f>
        <v>2.7981111607704525E-2</v>
      </c>
      <c r="CS646" s="21">
        <f t="shared" si="25"/>
        <v>69.952779019261314</v>
      </c>
    </row>
    <row r="647" spans="2:97" x14ac:dyDescent="0.35">
      <c r="B647" t="s">
        <v>299</v>
      </c>
      <c r="C647" t="s">
        <v>2383</v>
      </c>
      <c r="D647" t="s">
        <v>395</v>
      </c>
      <c r="E647" t="s">
        <v>395</v>
      </c>
      <c r="F647" t="s">
        <v>396</v>
      </c>
      <c r="G647" t="s">
        <v>397</v>
      </c>
      <c r="H647" t="s">
        <v>398</v>
      </c>
      <c r="I647" t="s">
        <v>399</v>
      </c>
      <c r="J647" t="s">
        <v>749</v>
      </c>
      <c r="K647" t="s">
        <v>777</v>
      </c>
      <c r="L647" t="s">
        <v>778</v>
      </c>
      <c r="M647" t="s">
        <v>403</v>
      </c>
      <c r="N647">
        <v>1</v>
      </c>
      <c r="O647">
        <v>1</v>
      </c>
      <c r="P647" t="s">
        <v>1490</v>
      </c>
      <c r="Q647" t="s">
        <v>637</v>
      </c>
      <c r="R647" t="s">
        <v>536</v>
      </c>
      <c r="S647" t="s">
        <v>1491</v>
      </c>
      <c r="T647" t="s">
        <v>408</v>
      </c>
      <c r="U647">
        <v>50950079308</v>
      </c>
      <c r="W647">
        <v>1008</v>
      </c>
      <c r="X647" t="s">
        <v>409</v>
      </c>
      <c r="Y647" t="s">
        <v>410</v>
      </c>
      <c r="Z647" t="s">
        <v>410</v>
      </c>
      <c r="AA647" t="s">
        <v>411</v>
      </c>
      <c r="AB647" t="s">
        <v>554</v>
      </c>
      <c r="AC647" t="s">
        <v>411</v>
      </c>
      <c r="AD647">
        <v>46109</v>
      </c>
      <c r="AE647">
        <v>46167</v>
      </c>
      <c r="AF647">
        <v>46113</v>
      </c>
      <c r="AG647" t="s">
        <v>781</v>
      </c>
      <c r="AH647">
        <v>6156313</v>
      </c>
      <c r="AI647">
        <v>46105</v>
      </c>
      <c r="AJ647">
        <v>46106</v>
      </c>
      <c r="AK647">
        <v>1008</v>
      </c>
      <c r="AL647" t="s">
        <v>396</v>
      </c>
      <c r="AM647" t="s">
        <v>2384</v>
      </c>
      <c r="AN647">
        <v>46106</v>
      </c>
      <c r="AO647">
        <v>46106.392569444448</v>
      </c>
      <c r="AP647" t="s">
        <v>51</v>
      </c>
      <c r="AQ647">
        <v>3.2103700000000002</v>
      </c>
      <c r="AR647">
        <v>3236.06</v>
      </c>
      <c r="AS647" t="s">
        <v>51</v>
      </c>
      <c r="AT647">
        <v>3236.06</v>
      </c>
      <c r="AU647" t="s">
        <v>415</v>
      </c>
      <c r="AV647" t="s">
        <v>1420</v>
      </c>
      <c r="AW647" t="s">
        <v>2363</v>
      </c>
      <c r="AX647">
        <v>46113</v>
      </c>
      <c r="AY647">
        <v>46162</v>
      </c>
      <c r="AZ647" t="s">
        <v>2379</v>
      </c>
      <c r="BA647" t="s">
        <v>560</v>
      </c>
      <c r="BB647" t="s">
        <v>2380</v>
      </c>
      <c r="BC647">
        <v>28</v>
      </c>
      <c r="BD647" t="s">
        <v>521</v>
      </c>
      <c r="BE647">
        <v>6.0069999999999997</v>
      </c>
      <c r="BF647">
        <v>4.1440000000000001</v>
      </c>
      <c r="BG647" t="s">
        <v>522</v>
      </c>
      <c r="BH647">
        <v>795</v>
      </c>
      <c r="BI647">
        <v>395</v>
      </c>
      <c r="BJ647">
        <v>145</v>
      </c>
      <c r="BK647">
        <v>18</v>
      </c>
      <c r="BL647" t="s">
        <v>521</v>
      </c>
      <c r="BM647">
        <v>133.126</v>
      </c>
      <c r="BN647">
        <v>74.591999999999999</v>
      </c>
      <c r="BO647">
        <v>266.25200000000001</v>
      </c>
      <c r="BP647" t="s">
        <v>522</v>
      </c>
      <c r="BQ647">
        <v>1200</v>
      </c>
      <c r="BR647">
        <v>800</v>
      </c>
      <c r="BS647">
        <v>1030</v>
      </c>
      <c r="BT647">
        <v>2</v>
      </c>
      <c r="BU647">
        <v>0</v>
      </c>
      <c r="BV647">
        <v>2</v>
      </c>
      <c r="BW647">
        <v>36</v>
      </c>
      <c r="BX647">
        <v>0</v>
      </c>
      <c r="BY647">
        <v>36</v>
      </c>
      <c r="BZ647">
        <v>1008</v>
      </c>
      <c r="CA647">
        <v>0</v>
      </c>
      <c r="CB647">
        <v>1008</v>
      </c>
      <c r="CC647">
        <v>149.184</v>
      </c>
      <c r="CD647" t="s">
        <v>783</v>
      </c>
      <c r="CE647" t="s">
        <v>784</v>
      </c>
      <c r="CG647" t="s">
        <v>421</v>
      </c>
      <c r="CN647" t="str">
        <v>M19</v>
      </c>
      <c r="CO647" t="str">
        <v>1271-5YY0099EN</v>
      </c>
      <c r="CP647" t="str">
        <v>MSNU9003952</v>
      </c>
      <c r="CQ647" s="23">
        <v>470.83839999999998</v>
      </c>
      <c r="CR647" s="25">
        <f t="shared" si="28"/>
        <v>4.1263410860664707E-2</v>
      </c>
      <c r="CS647" s="21">
        <f t="shared" ref="CS647:CS710" si="29">CR647*$CS$2</f>
        <v>103.15852715166177</v>
      </c>
    </row>
    <row r="648" spans="2:97" x14ac:dyDescent="0.35">
      <c r="B648" t="s">
        <v>299</v>
      </c>
      <c r="C648" t="s">
        <v>2343</v>
      </c>
      <c r="D648" t="s">
        <v>395</v>
      </c>
      <c r="E648" t="s">
        <v>395</v>
      </c>
      <c r="F648" t="s">
        <v>396</v>
      </c>
      <c r="G648" t="s">
        <v>397</v>
      </c>
      <c r="H648" t="s">
        <v>398</v>
      </c>
      <c r="I648" t="s">
        <v>399</v>
      </c>
      <c r="J648" t="s">
        <v>749</v>
      </c>
      <c r="K648" t="s">
        <v>777</v>
      </c>
      <c r="L648" t="s">
        <v>778</v>
      </c>
      <c r="M648" t="s">
        <v>403</v>
      </c>
      <c r="N648">
        <v>1</v>
      </c>
      <c r="O648">
        <v>2</v>
      </c>
      <c r="P648" t="s">
        <v>1367</v>
      </c>
      <c r="Q648" t="s">
        <v>645</v>
      </c>
      <c r="R648" t="s">
        <v>536</v>
      </c>
      <c r="S648" t="s">
        <v>1368</v>
      </c>
      <c r="T648" t="s">
        <v>408</v>
      </c>
      <c r="U648">
        <v>50950079407</v>
      </c>
      <c r="W648">
        <v>1008</v>
      </c>
      <c r="X648" t="s">
        <v>409</v>
      </c>
      <c r="Y648" t="s">
        <v>410</v>
      </c>
      <c r="Z648" t="s">
        <v>410</v>
      </c>
      <c r="AA648" t="s">
        <v>411</v>
      </c>
      <c r="AB648" t="s">
        <v>554</v>
      </c>
      <c r="AC648" t="s">
        <v>411</v>
      </c>
      <c r="AD648">
        <v>46102</v>
      </c>
      <c r="AE648">
        <v>46160</v>
      </c>
      <c r="AF648">
        <v>46113</v>
      </c>
      <c r="AG648" t="s">
        <v>781</v>
      </c>
      <c r="AH648">
        <v>6156314</v>
      </c>
      <c r="AI648">
        <v>46105</v>
      </c>
      <c r="AJ648">
        <v>46106</v>
      </c>
      <c r="AK648">
        <v>1008</v>
      </c>
      <c r="AL648" t="s">
        <v>396</v>
      </c>
      <c r="AM648" t="s">
        <v>2385</v>
      </c>
      <c r="AN648">
        <v>46106</v>
      </c>
      <c r="AO648">
        <v>46106.392569444448</v>
      </c>
      <c r="AP648" t="s">
        <v>51</v>
      </c>
      <c r="AQ648">
        <v>2.85012</v>
      </c>
      <c r="AR648">
        <v>2872.92</v>
      </c>
      <c r="AS648" t="s">
        <v>51</v>
      </c>
      <c r="AT648">
        <v>2872.92</v>
      </c>
      <c r="AU648" t="s">
        <v>415</v>
      </c>
      <c r="AV648" t="s">
        <v>1420</v>
      </c>
      <c r="AW648" t="s">
        <v>2363</v>
      </c>
      <c r="AX648">
        <v>46113</v>
      </c>
      <c r="AY648">
        <v>46162</v>
      </c>
      <c r="AZ648" t="s">
        <v>2379</v>
      </c>
      <c r="BA648" t="s">
        <v>560</v>
      </c>
      <c r="BB648" t="s">
        <v>2380</v>
      </c>
      <c r="BC648">
        <v>14</v>
      </c>
      <c r="BD648" t="s">
        <v>521</v>
      </c>
      <c r="BE648">
        <v>3.2919999999999998</v>
      </c>
      <c r="BF648">
        <v>1.792</v>
      </c>
      <c r="BG648" t="s">
        <v>522</v>
      </c>
      <c r="BH648">
        <v>595</v>
      </c>
      <c r="BI648">
        <v>395</v>
      </c>
      <c r="BJ648">
        <v>145</v>
      </c>
      <c r="BK648">
        <v>24</v>
      </c>
      <c r="BL648" t="s">
        <v>521</v>
      </c>
      <c r="BM648">
        <v>104.008</v>
      </c>
      <c r="BN648">
        <v>43.008000000000003</v>
      </c>
      <c r="BO648">
        <v>312.024</v>
      </c>
      <c r="BP648" t="s">
        <v>522</v>
      </c>
      <c r="BQ648">
        <v>1200</v>
      </c>
      <c r="BR648">
        <v>800</v>
      </c>
      <c r="BS648">
        <v>1030</v>
      </c>
      <c r="BT648">
        <v>3</v>
      </c>
      <c r="BU648">
        <v>0</v>
      </c>
      <c r="BV648">
        <v>3</v>
      </c>
      <c r="BW648">
        <v>72</v>
      </c>
      <c r="BX648">
        <v>0</v>
      </c>
      <c r="BY648">
        <v>72</v>
      </c>
      <c r="BZ648">
        <v>1008</v>
      </c>
      <c r="CA648">
        <v>0</v>
      </c>
      <c r="CB648">
        <v>1008</v>
      </c>
      <c r="CC648">
        <v>129.024</v>
      </c>
      <c r="CD648" t="s">
        <v>783</v>
      </c>
      <c r="CE648" t="s">
        <v>1370</v>
      </c>
      <c r="CG648" t="s">
        <v>421</v>
      </c>
      <c r="CN648" t="str">
        <v>M19</v>
      </c>
      <c r="CO648" t="str">
        <v>1271-5YY0099EN</v>
      </c>
      <c r="CP648" t="str">
        <v>MSNU9003952</v>
      </c>
      <c r="CQ648" s="23">
        <v>1177.096</v>
      </c>
      <c r="CR648" s="25">
        <f t="shared" si="28"/>
        <v>0.10315852715166177</v>
      </c>
      <c r="CS648" s="21">
        <f t="shared" si="29"/>
        <v>257.89631787915442</v>
      </c>
    </row>
    <row r="649" spans="2:97" x14ac:dyDescent="0.35">
      <c r="B649" t="s">
        <v>299</v>
      </c>
      <c r="C649" t="s">
        <v>2386</v>
      </c>
      <c r="D649" t="s">
        <v>395</v>
      </c>
      <c r="E649" t="s">
        <v>395</v>
      </c>
      <c r="F649" t="s">
        <v>396</v>
      </c>
      <c r="G649" t="s">
        <v>397</v>
      </c>
      <c r="H649" t="s">
        <v>398</v>
      </c>
      <c r="I649" t="s">
        <v>399</v>
      </c>
      <c r="J649" t="s">
        <v>749</v>
      </c>
      <c r="K649" t="s">
        <v>777</v>
      </c>
      <c r="L649" t="s">
        <v>778</v>
      </c>
      <c r="M649" t="s">
        <v>403</v>
      </c>
      <c r="N649">
        <v>1</v>
      </c>
      <c r="O649">
        <v>1</v>
      </c>
      <c r="P649" t="s">
        <v>1367</v>
      </c>
      <c r="Q649" t="s">
        <v>645</v>
      </c>
      <c r="R649" t="s">
        <v>536</v>
      </c>
      <c r="S649" t="s">
        <v>1368</v>
      </c>
      <c r="T649" t="s">
        <v>408</v>
      </c>
      <c r="U649">
        <v>50950079436</v>
      </c>
      <c r="W649">
        <v>5040</v>
      </c>
      <c r="X649" t="s">
        <v>409</v>
      </c>
      <c r="Y649" t="s">
        <v>410</v>
      </c>
      <c r="Z649" t="s">
        <v>410</v>
      </c>
      <c r="AA649" t="s">
        <v>411</v>
      </c>
      <c r="AB649" t="s">
        <v>554</v>
      </c>
      <c r="AC649" t="s">
        <v>411</v>
      </c>
      <c r="AD649">
        <v>46109</v>
      </c>
      <c r="AE649">
        <v>46167</v>
      </c>
      <c r="AF649">
        <v>46113</v>
      </c>
      <c r="AG649" t="s">
        <v>781</v>
      </c>
      <c r="AH649">
        <v>6156315</v>
      </c>
      <c r="AI649">
        <v>46105</v>
      </c>
      <c r="AJ649">
        <v>46106</v>
      </c>
      <c r="AK649">
        <v>5040</v>
      </c>
      <c r="AL649" t="s">
        <v>396</v>
      </c>
      <c r="AM649" t="s">
        <v>2387</v>
      </c>
      <c r="AN649">
        <v>46106</v>
      </c>
      <c r="AO649">
        <v>46106.392569444448</v>
      </c>
      <c r="AP649" t="s">
        <v>51</v>
      </c>
      <c r="AQ649">
        <v>2.85012</v>
      </c>
      <c r="AR649">
        <v>14364.6</v>
      </c>
      <c r="AS649" t="s">
        <v>51</v>
      </c>
      <c r="AT649">
        <v>14364.6</v>
      </c>
      <c r="AU649" t="s">
        <v>415</v>
      </c>
      <c r="AV649" t="s">
        <v>1420</v>
      </c>
      <c r="AW649" t="s">
        <v>2363</v>
      </c>
      <c r="AX649">
        <v>46113</v>
      </c>
      <c r="AY649">
        <v>46162</v>
      </c>
      <c r="AZ649" t="s">
        <v>2379</v>
      </c>
      <c r="BA649" t="s">
        <v>560</v>
      </c>
      <c r="BB649" t="s">
        <v>2380</v>
      </c>
      <c r="BC649">
        <v>14</v>
      </c>
      <c r="BD649" t="s">
        <v>521</v>
      </c>
      <c r="BE649">
        <v>3.2919999999999998</v>
      </c>
      <c r="BF649">
        <v>1.792</v>
      </c>
      <c r="BG649" t="s">
        <v>522</v>
      </c>
      <c r="BH649">
        <v>595</v>
      </c>
      <c r="BI649">
        <v>395</v>
      </c>
      <c r="BJ649">
        <v>145</v>
      </c>
      <c r="BK649">
        <v>24</v>
      </c>
      <c r="BL649" t="s">
        <v>521</v>
      </c>
      <c r="BM649">
        <v>104.008</v>
      </c>
      <c r="BN649">
        <v>43.008000000000003</v>
      </c>
      <c r="BO649">
        <v>1560.12</v>
      </c>
      <c r="BP649" t="s">
        <v>522</v>
      </c>
      <c r="BQ649">
        <v>1200</v>
      </c>
      <c r="BR649">
        <v>800</v>
      </c>
      <c r="BS649">
        <v>1030</v>
      </c>
      <c r="BT649">
        <v>15</v>
      </c>
      <c r="BU649">
        <v>0</v>
      </c>
      <c r="BV649">
        <v>15</v>
      </c>
      <c r="BW649">
        <v>360</v>
      </c>
      <c r="BX649">
        <v>0</v>
      </c>
      <c r="BY649">
        <v>360</v>
      </c>
      <c r="BZ649">
        <v>5040</v>
      </c>
      <c r="CA649">
        <v>0</v>
      </c>
      <c r="CB649">
        <v>5040</v>
      </c>
      <c r="CC649">
        <v>645.12</v>
      </c>
      <c r="CD649" t="s">
        <v>783</v>
      </c>
      <c r="CE649" t="s">
        <v>1370</v>
      </c>
      <c r="CG649" t="s">
        <v>421</v>
      </c>
      <c r="CN649" t="str">
        <v>M45</v>
      </c>
      <c r="CO649" t="str">
        <v>1346-12B0010EN</v>
      </c>
      <c r="CP649" t="str">
        <v>MSNU9003952</v>
      </c>
      <c r="CQ649" s="23">
        <v>855.18</v>
      </c>
      <c r="CR649" s="25">
        <f t="shared" si="28"/>
        <v>7.4946401355163977E-2</v>
      </c>
      <c r="CS649" s="21">
        <f t="shared" si="29"/>
        <v>187.36600338790996</v>
      </c>
    </row>
    <row r="650" spans="2:97" x14ac:dyDescent="0.35">
      <c r="B650" t="s">
        <v>299</v>
      </c>
      <c r="C650" t="s">
        <v>1987</v>
      </c>
      <c r="D650" t="s">
        <v>965</v>
      </c>
      <c r="E650" t="s">
        <v>395</v>
      </c>
      <c r="F650" t="s">
        <v>396</v>
      </c>
      <c r="G650" t="s">
        <v>397</v>
      </c>
      <c r="H650" t="s">
        <v>398</v>
      </c>
      <c r="I650" t="s">
        <v>399</v>
      </c>
      <c r="J650" t="s">
        <v>749</v>
      </c>
      <c r="K650" t="s">
        <v>526</v>
      </c>
      <c r="L650" t="s">
        <v>787</v>
      </c>
      <c r="M650" t="s">
        <v>403</v>
      </c>
      <c r="N650">
        <v>1</v>
      </c>
      <c r="O650">
        <v>4</v>
      </c>
      <c r="P650" t="s">
        <v>966</v>
      </c>
      <c r="Q650" t="s">
        <v>424</v>
      </c>
      <c r="R650" t="s">
        <v>959</v>
      </c>
      <c r="S650" t="s">
        <v>967</v>
      </c>
      <c r="T650" t="s">
        <v>408</v>
      </c>
      <c r="U650">
        <v>50950079530</v>
      </c>
      <c r="W650">
        <v>57024</v>
      </c>
      <c r="X650" t="s">
        <v>409</v>
      </c>
      <c r="Y650" t="s">
        <v>410</v>
      </c>
      <c r="Z650" t="s">
        <v>410</v>
      </c>
      <c r="AA650" t="s">
        <v>411</v>
      </c>
      <c r="AB650" t="s">
        <v>554</v>
      </c>
      <c r="AC650" t="s">
        <v>411</v>
      </c>
      <c r="AD650">
        <v>46095</v>
      </c>
      <c r="AE650">
        <v>46111</v>
      </c>
      <c r="AF650">
        <v>46113</v>
      </c>
      <c r="AG650" t="s">
        <v>754</v>
      </c>
      <c r="AH650">
        <v>6156316</v>
      </c>
      <c r="AI650">
        <v>46105</v>
      </c>
      <c r="AJ650">
        <v>46106</v>
      </c>
      <c r="AK650">
        <v>57024</v>
      </c>
      <c r="AL650" t="s">
        <v>396</v>
      </c>
      <c r="AM650" t="s">
        <v>2388</v>
      </c>
      <c r="AN650">
        <v>46106</v>
      </c>
      <c r="AO650">
        <v>46106.392569444448</v>
      </c>
      <c r="AP650" t="s">
        <v>51</v>
      </c>
      <c r="AQ650">
        <v>5.5079999999999997E-2</v>
      </c>
      <c r="AR650">
        <v>3140.88</v>
      </c>
      <c r="AS650" t="s">
        <v>51</v>
      </c>
      <c r="AT650">
        <v>3140.88</v>
      </c>
      <c r="AU650" t="s">
        <v>415</v>
      </c>
      <c r="AV650" t="s">
        <v>1420</v>
      </c>
      <c r="AW650" t="s">
        <v>2363</v>
      </c>
      <c r="AX650">
        <v>46113</v>
      </c>
      <c r="AY650">
        <v>46162</v>
      </c>
      <c r="AZ650" t="s">
        <v>2379</v>
      </c>
      <c r="BA650" t="s">
        <v>560</v>
      </c>
      <c r="BB650" t="s">
        <v>2380</v>
      </c>
      <c r="BC650">
        <v>594</v>
      </c>
      <c r="BD650" t="s">
        <v>521</v>
      </c>
      <c r="BE650">
        <v>8.2226999999999997</v>
      </c>
      <c r="BF650">
        <v>7.9726999999999997</v>
      </c>
      <c r="BG650" t="s">
        <v>522</v>
      </c>
      <c r="BH650">
        <v>286</v>
      </c>
      <c r="BI650">
        <v>190</v>
      </c>
      <c r="BJ650">
        <v>72</v>
      </c>
      <c r="BK650">
        <v>48</v>
      </c>
      <c r="BL650" t="s">
        <v>521</v>
      </c>
      <c r="BM650">
        <v>419.68959999999998</v>
      </c>
      <c r="BN650">
        <v>382.68959999999998</v>
      </c>
      <c r="BO650">
        <v>839.37612799999999</v>
      </c>
      <c r="BP650" t="s">
        <v>522</v>
      </c>
      <c r="BQ650">
        <v>1200</v>
      </c>
      <c r="BR650">
        <v>800</v>
      </c>
      <c r="BS650">
        <v>378</v>
      </c>
      <c r="BT650">
        <v>2</v>
      </c>
      <c r="BU650">
        <v>0</v>
      </c>
      <c r="BV650">
        <v>2</v>
      </c>
      <c r="BW650">
        <v>96</v>
      </c>
      <c r="BX650">
        <v>0</v>
      </c>
      <c r="BY650">
        <v>96</v>
      </c>
      <c r="BZ650">
        <v>57024</v>
      </c>
      <c r="CA650">
        <v>0</v>
      </c>
      <c r="CB650">
        <v>57024</v>
      </c>
      <c r="CC650">
        <v>765.37612799999999</v>
      </c>
      <c r="CD650" t="s">
        <v>969</v>
      </c>
      <c r="CE650" t="s">
        <v>970</v>
      </c>
      <c r="CG650" t="s">
        <v>421</v>
      </c>
      <c r="CN650" t="str">
        <v>M45</v>
      </c>
      <c r="CO650" t="str">
        <v>1301-12C0022EN</v>
      </c>
      <c r="CP650" t="str">
        <v>MSNU9003952</v>
      </c>
      <c r="CQ650" s="23">
        <v>923.42399999999998</v>
      </c>
      <c r="CR650" s="25">
        <f t="shared" si="28"/>
        <v>8.0927179921175596E-2</v>
      </c>
      <c r="CS650" s="21">
        <f t="shared" si="29"/>
        <v>202.31794980293898</v>
      </c>
    </row>
    <row r="651" spans="2:97" x14ac:dyDescent="0.35">
      <c r="B651" t="s">
        <v>299</v>
      </c>
      <c r="C651" t="s">
        <v>1380</v>
      </c>
      <c r="D651" t="s">
        <v>965</v>
      </c>
      <c r="E651" t="s">
        <v>395</v>
      </c>
      <c r="F651" t="s">
        <v>396</v>
      </c>
      <c r="G651" t="s">
        <v>397</v>
      </c>
      <c r="H651" t="s">
        <v>398</v>
      </c>
      <c r="I651" t="s">
        <v>399</v>
      </c>
      <c r="J651" t="s">
        <v>749</v>
      </c>
      <c r="K651" t="s">
        <v>809</v>
      </c>
      <c r="L651" t="s">
        <v>787</v>
      </c>
      <c r="M651" t="s">
        <v>403</v>
      </c>
      <c r="N651">
        <v>1</v>
      </c>
      <c r="O651">
        <v>15</v>
      </c>
      <c r="P651" t="s">
        <v>810</v>
      </c>
      <c r="Q651" t="s">
        <v>405</v>
      </c>
      <c r="R651" t="s">
        <v>811</v>
      </c>
      <c r="S651" t="s">
        <v>812</v>
      </c>
      <c r="T651" t="s">
        <v>408</v>
      </c>
      <c r="U651">
        <v>50950080270</v>
      </c>
      <c r="W651">
        <v>1440</v>
      </c>
      <c r="X651" t="s">
        <v>409</v>
      </c>
      <c r="Y651" t="s">
        <v>410</v>
      </c>
      <c r="Z651" t="s">
        <v>410</v>
      </c>
      <c r="AA651" t="s">
        <v>411</v>
      </c>
      <c r="AB651" t="s">
        <v>554</v>
      </c>
      <c r="AC651" t="s">
        <v>411</v>
      </c>
      <c r="AD651">
        <v>46102</v>
      </c>
      <c r="AE651">
        <v>46125</v>
      </c>
      <c r="AF651">
        <v>46113</v>
      </c>
      <c r="AG651" t="s">
        <v>754</v>
      </c>
      <c r="AH651">
        <v>6156317</v>
      </c>
      <c r="AI651">
        <v>46105</v>
      </c>
      <c r="AJ651">
        <v>46106</v>
      </c>
      <c r="AK651">
        <v>1440</v>
      </c>
      <c r="AL651" t="s">
        <v>396</v>
      </c>
      <c r="AM651" t="s">
        <v>2389</v>
      </c>
      <c r="AN651">
        <v>46106</v>
      </c>
      <c r="AO651">
        <v>46106.392569444448</v>
      </c>
      <c r="AP651" t="s">
        <v>51</v>
      </c>
      <c r="AQ651">
        <v>1.96204</v>
      </c>
      <c r="AR651">
        <v>2825.34</v>
      </c>
      <c r="AS651" t="s">
        <v>51</v>
      </c>
      <c r="AT651">
        <v>2825.34</v>
      </c>
      <c r="AU651" t="s">
        <v>415</v>
      </c>
      <c r="AV651" t="s">
        <v>1420</v>
      </c>
      <c r="AW651" t="s">
        <v>2363</v>
      </c>
      <c r="AX651">
        <v>46113</v>
      </c>
      <c r="AY651">
        <v>46162</v>
      </c>
      <c r="AZ651" t="s">
        <v>2379</v>
      </c>
      <c r="BA651" t="s">
        <v>560</v>
      </c>
      <c r="BB651" t="s">
        <v>2380</v>
      </c>
      <c r="BC651">
        <v>16</v>
      </c>
      <c r="BD651" t="s">
        <v>521</v>
      </c>
      <c r="BE651">
        <v>4.9545000000000003</v>
      </c>
      <c r="BF651">
        <v>3.7555000000000001</v>
      </c>
      <c r="BG651" t="s">
        <v>522</v>
      </c>
      <c r="BH651">
        <v>495</v>
      </c>
      <c r="BI651">
        <v>395</v>
      </c>
      <c r="BJ651">
        <v>190</v>
      </c>
      <c r="BK651">
        <v>30</v>
      </c>
      <c r="BL651" t="s">
        <v>521</v>
      </c>
      <c r="BM651">
        <v>175.63499999999999</v>
      </c>
      <c r="BN651">
        <v>112.66500000000001</v>
      </c>
      <c r="BO651">
        <v>526.90679999999998</v>
      </c>
      <c r="BP651" t="s">
        <v>522</v>
      </c>
      <c r="BQ651">
        <v>1200</v>
      </c>
      <c r="BR651">
        <v>1000</v>
      </c>
      <c r="BS651">
        <v>1120</v>
      </c>
      <c r="BT651">
        <v>3</v>
      </c>
      <c r="BU651">
        <v>0</v>
      </c>
      <c r="BV651">
        <v>3</v>
      </c>
      <c r="BW651">
        <v>90</v>
      </c>
      <c r="BX651">
        <v>0</v>
      </c>
      <c r="BY651">
        <v>90</v>
      </c>
      <c r="BZ651">
        <v>1440</v>
      </c>
      <c r="CA651">
        <v>0</v>
      </c>
      <c r="CB651">
        <v>1440</v>
      </c>
      <c r="CC651">
        <v>337.99680000000001</v>
      </c>
      <c r="CD651" t="s">
        <v>806</v>
      </c>
      <c r="CE651" t="s">
        <v>816</v>
      </c>
      <c r="CG651" t="s">
        <v>421</v>
      </c>
      <c r="CN651" t="str">
        <v>M19</v>
      </c>
      <c r="CO651" t="str">
        <v>1275-5YY0685EN</v>
      </c>
      <c r="CP651" t="str">
        <v>OOCU6524515</v>
      </c>
      <c r="CQ651" s="23">
        <v>1456.1120000000001</v>
      </c>
      <c r="CR651" s="25">
        <f t="shared" si="28"/>
        <v>0.15446276866090164</v>
      </c>
      <c r="CS651" s="21">
        <f t="shared" si="29"/>
        <v>386.15692165225408</v>
      </c>
    </row>
    <row r="652" spans="2:97" x14ac:dyDescent="0.35">
      <c r="B652" t="s">
        <v>299</v>
      </c>
      <c r="C652" t="s">
        <v>2348</v>
      </c>
      <c r="D652" t="s">
        <v>395</v>
      </c>
      <c r="E652" t="s">
        <v>395</v>
      </c>
      <c r="F652" t="s">
        <v>396</v>
      </c>
      <c r="G652" t="s">
        <v>397</v>
      </c>
      <c r="H652" t="s">
        <v>398</v>
      </c>
      <c r="I652" t="s">
        <v>399</v>
      </c>
      <c r="J652" t="s">
        <v>749</v>
      </c>
      <c r="K652" t="s">
        <v>809</v>
      </c>
      <c r="L652" t="s">
        <v>787</v>
      </c>
      <c r="M652" t="s">
        <v>403</v>
      </c>
      <c r="N652">
        <v>1</v>
      </c>
      <c r="O652">
        <v>3</v>
      </c>
      <c r="P652" t="s">
        <v>828</v>
      </c>
      <c r="Q652" t="s">
        <v>587</v>
      </c>
      <c r="R652" t="s">
        <v>811</v>
      </c>
      <c r="S652" t="s">
        <v>829</v>
      </c>
      <c r="T652" t="s">
        <v>408</v>
      </c>
      <c r="U652">
        <v>50950081232</v>
      </c>
      <c r="W652">
        <v>960</v>
      </c>
      <c r="X652" t="s">
        <v>409</v>
      </c>
      <c r="Y652" t="s">
        <v>410</v>
      </c>
      <c r="Z652" t="s">
        <v>410</v>
      </c>
      <c r="AA652" t="s">
        <v>411</v>
      </c>
      <c r="AB652" t="s">
        <v>554</v>
      </c>
      <c r="AC652" t="s">
        <v>411</v>
      </c>
      <c r="AD652">
        <v>46102</v>
      </c>
      <c r="AE652">
        <v>46160</v>
      </c>
      <c r="AF652">
        <v>46113</v>
      </c>
      <c r="AG652" t="s">
        <v>754</v>
      </c>
      <c r="AH652">
        <v>6156318</v>
      </c>
      <c r="AI652">
        <v>46105</v>
      </c>
      <c r="AJ652">
        <v>46106</v>
      </c>
      <c r="AK652">
        <v>960</v>
      </c>
      <c r="AL652" t="s">
        <v>396</v>
      </c>
      <c r="AM652" t="s">
        <v>2390</v>
      </c>
      <c r="AN652">
        <v>46106</v>
      </c>
      <c r="AO652">
        <v>46106.392569444448</v>
      </c>
      <c r="AP652" t="s">
        <v>51</v>
      </c>
      <c r="AQ652">
        <v>1.8924799999999999</v>
      </c>
      <c r="AR652">
        <v>1816.78</v>
      </c>
      <c r="AS652" t="s">
        <v>51</v>
      </c>
      <c r="AT652">
        <v>1816.78</v>
      </c>
      <c r="AU652" t="s">
        <v>415</v>
      </c>
      <c r="AV652" t="s">
        <v>1420</v>
      </c>
      <c r="AW652" t="s">
        <v>2363</v>
      </c>
      <c r="AX652">
        <v>46113</v>
      </c>
      <c r="AY652">
        <v>46162</v>
      </c>
      <c r="AZ652" t="s">
        <v>2379</v>
      </c>
      <c r="BA652" t="s">
        <v>560</v>
      </c>
      <c r="BB652" t="s">
        <v>2380</v>
      </c>
      <c r="BC652">
        <v>16</v>
      </c>
      <c r="BD652" t="s">
        <v>521</v>
      </c>
      <c r="BE652">
        <v>4.9409000000000001</v>
      </c>
      <c r="BF652">
        <v>3.7418999999999998</v>
      </c>
      <c r="BG652" t="s">
        <v>522</v>
      </c>
      <c r="BH652">
        <v>495</v>
      </c>
      <c r="BI652">
        <v>395</v>
      </c>
      <c r="BJ652">
        <v>190</v>
      </c>
      <c r="BK652">
        <v>30</v>
      </c>
      <c r="BL652" t="s">
        <v>521</v>
      </c>
      <c r="BM652">
        <v>175.227</v>
      </c>
      <c r="BN652">
        <v>112.25700000000001</v>
      </c>
      <c r="BO652">
        <v>350.45519999999999</v>
      </c>
      <c r="BP652" t="s">
        <v>522</v>
      </c>
      <c r="BQ652">
        <v>1200</v>
      </c>
      <c r="BR652">
        <v>1000</v>
      </c>
      <c r="BS652">
        <v>1120</v>
      </c>
      <c r="BT652">
        <v>2</v>
      </c>
      <c r="BU652">
        <v>0</v>
      </c>
      <c r="BV652">
        <v>2</v>
      </c>
      <c r="BW652">
        <v>60</v>
      </c>
      <c r="BX652">
        <v>0</v>
      </c>
      <c r="BY652">
        <v>60</v>
      </c>
      <c r="BZ652">
        <v>960</v>
      </c>
      <c r="CA652">
        <v>0</v>
      </c>
      <c r="CB652">
        <v>960</v>
      </c>
      <c r="CC652">
        <v>224.51519999999999</v>
      </c>
      <c r="CD652" t="s">
        <v>806</v>
      </c>
      <c r="CE652" t="s">
        <v>816</v>
      </c>
      <c r="CG652" t="s">
        <v>421</v>
      </c>
      <c r="CN652" t="str">
        <v>M19</v>
      </c>
      <c r="CO652" t="str">
        <v>1275-5YY0685EN</v>
      </c>
      <c r="CP652" t="str">
        <v>OOCU6524515</v>
      </c>
      <c r="CQ652" s="23">
        <v>1040.08</v>
      </c>
      <c r="CR652" s="25">
        <f t="shared" si="28"/>
        <v>0.11033054904350115</v>
      </c>
      <c r="CS652" s="21">
        <f t="shared" si="29"/>
        <v>275.82637260875288</v>
      </c>
    </row>
    <row r="653" spans="2:97" x14ac:dyDescent="0.35">
      <c r="B653" t="s">
        <v>299</v>
      </c>
      <c r="C653" t="s">
        <v>2116</v>
      </c>
      <c r="D653" t="s">
        <v>395</v>
      </c>
      <c r="E653" t="s">
        <v>823</v>
      </c>
      <c r="F653" t="s">
        <v>396</v>
      </c>
      <c r="G653" t="s">
        <v>397</v>
      </c>
      <c r="H653" t="s">
        <v>398</v>
      </c>
      <c r="I653" t="s">
        <v>399</v>
      </c>
      <c r="J653" t="s">
        <v>749</v>
      </c>
      <c r="K653" t="s">
        <v>809</v>
      </c>
      <c r="L653" t="s">
        <v>787</v>
      </c>
      <c r="M653" t="s">
        <v>403</v>
      </c>
      <c r="N653">
        <v>1</v>
      </c>
      <c r="O653">
        <v>3</v>
      </c>
      <c r="P653" t="s">
        <v>824</v>
      </c>
      <c r="Q653" t="s">
        <v>424</v>
      </c>
      <c r="R653" t="s">
        <v>811</v>
      </c>
      <c r="S653" t="s">
        <v>825</v>
      </c>
      <c r="T653" t="s">
        <v>408</v>
      </c>
      <c r="U653">
        <v>50950081267</v>
      </c>
      <c r="W653">
        <v>1440</v>
      </c>
      <c r="X653" t="s">
        <v>409</v>
      </c>
      <c r="Y653" t="s">
        <v>410</v>
      </c>
      <c r="Z653" t="s">
        <v>410</v>
      </c>
      <c r="AA653" t="s">
        <v>411</v>
      </c>
      <c r="AB653" t="s">
        <v>554</v>
      </c>
      <c r="AC653" t="s">
        <v>411</v>
      </c>
      <c r="AD653">
        <v>46095</v>
      </c>
      <c r="AE653">
        <v>46153</v>
      </c>
      <c r="AF653">
        <v>46113</v>
      </c>
      <c r="AG653" t="s">
        <v>754</v>
      </c>
      <c r="AH653">
        <v>6156319</v>
      </c>
      <c r="AI653">
        <v>46105</v>
      </c>
      <c r="AJ653">
        <v>46106</v>
      </c>
      <c r="AK653">
        <v>1440</v>
      </c>
      <c r="AL653" t="s">
        <v>396</v>
      </c>
      <c r="AM653" t="s">
        <v>2391</v>
      </c>
      <c r="AN653">
        <v>46106</v>
      </c>
      <c r="AO653">
        <v>46106.392569444448</v>
      </c>
      <c r="AP653" t="s">
        <v>51</v>
      </c>
      <c r="AQ653">
        <v>1.15734</v>
      </c>
      <c r="AR653">
        <v>1666.57</v>
      </c>
      <c r="AS653" t="s">
        <v>51</v>
      </c>
      <c r="AT653">
        <v>1666.57</v>
      </c>
      <c r="AU653" t="s">
        <v>415</v>
      </c>
      <c r="AV653" t="s">
        <v>1420</v>
      </c>
      <c r="AW653" t="s">
        <v>2363</v>
      </c>
      <c r="AX653">
        <v>46113</v>
      </c>
      <c r="AY653">
        <v>46162</v>
      </c>
      <c r="AZ653" t="s">
        <v>2379</v>
      </c>
      <c r="BA653" t="s">
        <v>560</v>
      </c>
      <c r="BB653" t="s">
        <v>2380</v>
      </c>
      <c r="BC653">
        <v>48</v>
      </c>
      <c r="BD653" t="s">
        <v>521</v>
      </c>
      <c r="BE653">
        <v>8.2250999999999994</v>
      </c>
      <c r="BF653">
        <v>6.7651000000000003</v>
      </c>
      <c r="BG653" t="s">
        <v>522</v>
      </c>
      <c r="BH653">
        <v>495</v>
      </c>
      <c r="BI653">
        <v>395</v>
      </c>
      <c r="BJ653">
        <v>190</v>
      </c>
      <c r="BK653">
        <v>30</v>
      </c>
      <c r="BL653" t="s">
        <v>521</v>
      </c>
      <c r="BM653">
        <v>273.75360000000001</v>
      </c>
      <c r="BN653">
        <v>202.95359999999999</v>
      </c>
      <c r="BO653">
        <v>273.75360000000001</v>
      </c>
      <c r="BP653" t="s">
        <v>522</v>
      </c>
      <c r="BQ653">
        <v>1200</v>
      </c>
      <c r="BR653">
        <v>1000</v>
      </c>
      <c r="BS653">
        <v>1120</v>
      </c>
      <c r="BT653">
        <v>1</v>
      </c>
      <c r="BU653">
        <v>0</v>
      </c>
      <c r="BV653">
        <v>1</v>
      </c>
      <c r="BW653">
        <v>30</v>
      </c>
      <c r="BX653">
        <v>0</v>
      </c>
      <c r="BY653">
        <v>30</v>
      </c>
      <c r="BZ653">
        <v>1440</v>
      </c>
      <c r="CA653">
        <v>0</v>
      </c>
      <c r="CB653">
        <v>1440</v>
      </c>
      <c r="CC653">
        <v>202.95359999999999</v>
      </c>
      <c r="CD653" t="s">
        <v>806</v>
      </c>
      <c r="CE653" t="s">
        <v>821</v>
      </c>
      <c r="CG653" t="s">
        <v>421</v>
      </c>
      <c r="CN653" t="str">
        <v>M45</v>
      </c>
      <c r="CO653" t="str">
        <v>1301-12C0022EN</v>
      </c>
      <c r="CP653" t="str">
        <v>OOCU6524515</v>
      </c>
      <c r="CQ653" s="23">
        <v>1385.136</v>
      </c>
      <c r="CR653" s="25">
        <f t="shared" si="28"/>
        <v>0.1469337121951379</v>
      </c>
      <c r="CS653" s="21">
        <f t="shared" si="29"/>
        <v>367.33428048784475</v>
      </c>
    </row>
    <row r="654" spans="2:97" x14ac:dyDescent="0.35">
      <c r="B654" t="s">
        <v>299</v>
      </c>
      <c r="C654" t="s">
        <v>2392</v>
      </c>
      <c r="D654" t="s">
        <v>395</v>
      </c>
      <c r="E654" t="s">
        <v>395</v>
      </c>
      <c r="F654" t="s">
        <v>396</v>
      </c>
      <c r="G654" t="s">
        <v>397</v>
      </c>
      <c r="H654" t="s">
        <v>398</v>
      </c>
      <c r="I654" t="s">
        <v>399</v>
      </c>
      <c r="J654" t="s">
        <v>749</v>
      </c>
      <c r="K654" t="s">
        <v>845</v>
      </c>
      <c r="L654" t="s">
        <v>787</v>
      </c>
      <c r="M654" t="s">
        <v>403</v>
      </c>
      <c r="N654">
        <v>1</v>
      </c>
      <c r="O654">
        <v>1</v>
      </c>
      <c r="P654" t="s">
        <v>1058</v>
      </c>
      <c r="Q654" t="s">
        <v>430</v>
      </c>
      <c r="R654" t="s">
        <v>847</v>
      </c>
      <c r="S654" t="s">
        <v>1059</v>
      </c>
      <c r="T654" t="s">
        <v>408</v>
      </c>
      <c r="U654">
        <v>50950081282</v>
      </c>
      <c r="W654">
        <v>810</v>
      </c>
      <c r="X654" t="s">
        <v>409</v>
      </c>
      <c r="Y654" t="s">
        <v>410</v>
      </c>
      <c r="Z654" t="s">
        <v>410</v>
      </c>
      <c r="AA654" t="s">
        <v>411</v>
      </c>
      <c r="AB654" t="s">
        <v>554</v>
      </c>
      <c r="AC654" t="s">
        <v>411</v>
      </c>
      <c r="AD654">
        <v>46109</v>
      </c>
      <c r="AE654">
        <v>46167</v>
      </c>
      <c r="AF654">
        <v>46113</v>
      </c>
      <c r="AG654" t="s">
        <v>754</v>
      </c>
      <c r="AH654">
        <v>6156320</v>
      </c>
      <c r="AI654">
        <v>46105</v>
      </c>
      <c r="AJ654">
        <v>46106</v>
      </c>
      <c r="AK654">
        <v>810</v>
      </c>
      <c r="AL654" t="s">
        <v>396</v>
      </c>
      <c r="AM654" t="s">
        <v>2393</v>
      </c>
      <c r="AN654">
        <v>46106</v>
      </c>
      <c r="AO654">
        <v>46106.392569444448</v>
      </c>
      <c r="AP654" t="s">
        <v>51</v>
      </c>
      <c r="AQ654">
        <v>1.4178500000000001</v>
      </c>
      <c r="AR654">
        <v>1148.46</v>
      </c>
      <c r="AS654" t="s">
        <v>51</v>
      </c>
      <c r="AT654">
        <v>1148.46</v>
      </c>
      <c r="AU654" t="s">
        <v>415</v>
      </c>
      <c r="AV654" t="s">
        <v>1420</v>
      </c>
      <c r="AW654" t="s">
        <v>2363</v>
      </c>
      <c r="AX654">
        <v>46113</v>
      </c>
      <c r="AY654">
        <v>46162</v>
      </c>
      <c r="AZ654" t="s">
        <v>2379</v>
      </c>
      <c r="BA654" t="s">
        <v>560</v>
      </c>
      <c r="BB654" t="s">
        <v>2380</v>
      </c>
      <c r="BC654">
        <v>27</v>
      </c>
      <c r="BD654" t="s">
        <v>521</v>
      </c>
      <c r="BE654">
        <v>13.9528</v>
      </c>
      <c r="BF654">
        <v>12.7248</v>
      </c>
      <c r="BG654" t="s">
        <v>522</v>
      </c>
      <c r="BH654">
        <v>495</v>
      </c>
      <c r="BI654">
        <v>395</v>
      </c>
      <c r="BJ654">
        <v>170</v>
      </c>
      <c r="BK654">
        <v>30</v>
      </c>
      <c r="BL654" t="s">
        <v>521</v>
      </c>
      <c r="BM654">
        <v>445.5849</v>
      </c>
      <c r="BN654">
        <v>381.74489999999997</v>
      </c>
      <c r="BO654">
        <v>445.5849</v>
      </c>
      <c r="BP654" t="s">
        <v>522</v>
      </c>
      <c r="BQ654">
        <v>1200</v>
      </c>
      <c r="BR654">
        <v>1000</v>
      </c>
      <c r="BS654">
        <v>1000</v>
      </c>
      <c r="BT654">
        <v>1</v>
      </c>
      <c r="BU654">
        <v>0</v>
      </c>
      <c r="BV654">
        <v>1</v>
      </c>
      <c r="BW654">
        <v>30</v>
      </c>
      <c r="BX654">
        <v>0</v>
      </c>
      <c r="BY654">
        <v>30</v>
      </c>
      <c r="BZ654">
        <v>810</v>
      </c>
      <c r="CA654">
        <v>0</v>
      </c>
      <c r="CB654">
        <v>810</v>
      </c>
      <c r="CC654">
        <v>381.74489999999997</v>
      </c>
      <c r="CD654" t="s">
        <v>850</v>
      </c>
      <c r="CE654" t="s">
        <v>851</v>
      </c>
      <c r="CG654" t="s">
        <v>421</v>
      </c>
      <c r="CN654" t="str">
        <v>M45</v>
      </c>
      <c r="CO654" t="str">
        <v>1346-12C0011EN</v>
      </c>
      <c r="CP654" t="str">
        <v>OOCU6524515</v>
      </c>
      <c r="CQ654" s="23">
        <v>157.5094</v>
      </c>
      <c r="CR654" s="25">
        <f t="shared" si="28"/>
        <v>1.6708424911076495E-2</v>
      </c>
      <c r="CS654" s="21">
        <f t="shared" si="29"/>
        <v>41.771062277691236</v>
      </c>
    </row>
    <row r="655" spans="2:97" x14ac:dyDescent="0.35">
      <c r="B655" t="s">
        <v>299</v>
      </c>
      <c r="C655" t="s">
        <v>2394</v>
      </c>
      <c r="D655" t="s">
        <v>395</v>
      </c>
      <c r="E655" t="s">
        <v>395</v>
      </c>
      <c r="F655" t="s">
        <v>396</v>
      </c>
      <c r="G655" t="s">
        <v>397</v>
      </c>
      <c r="H655" t="s">
        <v>398</v>
      </c>
      <c r="I655" t="s">
        <v>399</v>
      </c>
      <c r="J655" t="s">
        <v>749</v>
      </c>
      <c r="K655" t="s">
        <v>809</v>
      </c>
      <c r="L655" t="s">
        <v>787</v>
      </c>
      <c r="M655" t="s">
        <v>403</v>
      </c>
      <c r="N655">
        <v>1</v>
      </c>
      <c r="O655">
        <v>1</v>
      </c>
      <c r="P655" t="s">
        <v>818</v>
      </c>
      <c r="Q655" t="s">
        <v>430</v>
      </c>
      <c r="R655" t="s">
        <v>811</v>
      </c>
      <c r="S655" t="s">
        <v>819</v>
      </c>
      <c r="T655" t="s">
        <v>408</v>
      </c>
      <c r="U655">
        <v>50950081244</v>
      </c>
      <c r="W655">
        <v>7200</v>
      </c>
      <c r="X655" t="s">
        <v>409</v>
      </c>
      <c r="Y655" t="s">
        <v>410</v>
      </c>
      <c r="Z655" t="s">
        <v>410</v>
      </c>
      <c r="AA655" t="s">
        <v>411</v>
      </c>
      <c r="AB655" t="s">
        <v>554</v>
      </c>
      <c r="AC655" t="s">
        <v>411</v>
      </c>
      <c r="AD655">
        <v>46109</v>
      </c>
      <c r="AE655">
        <v>46167</v>
      </c>
      <c r="AF655">
        <v>46113</v>
      </c>
      <c r="AG655" t="s">
        <v>754</v>
      </c>
      <c r="AH655">
        <v>6156321</v>
      </c>
      <c r="AI655">
        <v>46105</v>
      </c>
      <c r="AJ655">
        <v>46106</v>
      </c>
      <c r="AK655">
        <v>7200</v>
      </c>
      <c r="AL655" t="s">
        <v>396</v>
      </c>
      <c r="AM655" t="s">
        <v>2395</v>
      </c>
      <c r="AN655">
        <v>46106</v>
      </c>
      <c r="AO655">
        <v>46106.392569444448</v>
      </c>
      <c r="AP655" t="s">
        <v>51</v>
      </c>
      <c r="AQ655">
        <v>1.20448</v>
      </c>
      <c r="AR655">
        <v>8672.25</v>
      </c>
      <c r="AS655" t="s">
        <v>51</v>
      </c>
      <c r="AT655">
        <v>8672.25</v>
      </c>
      <c r="AU655" t="s">
        <v>415</v>
      </c>
      <c r="AV655" t="s">
        <v>1420</v>
      </c>
      <c r="AW655" t="s">
        <v>2363</v>
      </c>
      <c r="AX655">
        <v>46113</v>
      </c>
      <c r="AY655">
        <v>46162</v>
      </c>
      <c r="AZ655" t="s">
        <v>2379</v>
      </c>
      <c r="BA655" t="s">
        <v>560</v>
      </c>
      <c r="BB655" t="s">
        <v>2380</v>
      </c>
      <c r="BC655">
        <v>48</v>
      </c>
      <c r="BD655" t="s">
        <v>521</v>
      </c>
      <c r="BE655">
        <v>7.6898999999999997</v>
      </c>
      <c r="BF655">
        <v>6.2298999999999998</v>
      </c>
      <c r="BG655" t="s">
        <v>522</v>
      </c>
      <c r="BH655">
        <v>495</v>
      </c>
      <c r="BI655">
        <v>395</v>
      </c>
      <c r="BJ655">
        <v>190</v>
      </c>
      <c r="BK655">
        <v>30</v>
      </c>
      <c r="BL655" t="s">
        <v>521</v>
      </c>
      <c r="BM655">
        <v>257.697</v>
      </c>
      <c r="BN655">
        <v>186.89699999999999</v>
      </c>
      <c r="BO655">
        <v>1288.4880000000001</v>
      </c>
      <c r="BP655" t="s">
        <v>522</v>
      </c>
      <c r="BQ655">
        <v>1200</v>
      </c>
      <c r="BR655">
        <v>1000</v>
      </c>
      <c r="BS655">
        <v>1120</v>
      </c>
      <c r="BT655">
        <v>5</v>
      </c>
      <c r="BU655">
        <v>0</v>
      </c>
      <c r="BV655">
        <v>5</v>
      </c>
      <c r="BW655">
        <v>150</v>
      </c>
      <c r="BX655">
        <v>0</v>
      </c>
      <c r="BY655">
        <v>150</v>
      </c>
      <c r="BZ655">
        <v>7200</v>
      </c>
      <c r="CA655">
        <v>0</v>
      </c>
      <c r="CB655">
        <v>7200</v>
      </c>
      <c r="CC655">
        <v>934.48800000000006</v>
      </c>
      <c r="CD655" t="s">
        <v>806</v>
      </c>
      <c r="CE655" t="s">
        <v>821</v>
      </c>
      <c r="CG655" t="s">
        <v>421</v>
      </c>
      <c r="CN655" t="str">
        <v>M19</v>
      </c>
      <c r="CO655" t="str">
        <v>1330-5YY0182EN</v>
      </c>
      <c r="CP655" t="str">
        <v>OOCU6524515</v>
      </c>
      <c r="CQ655" s="23">
        <v>351.27120000000002</v>
      </c>
      <c r="CR655" s="25">
        <f t="shared" si="28"/>
        <v>3.7262464771142131E-2</v>
      </c>
      <c r="CS655" s="21">
        <f t="shared" si="29"/>
        <v>93.156161927855322</v>
      </c>
    </row>
    <row r="656" spans="2:97" x14ac:dyDescent="0.35">
      <c r="B656" t="s">
        <v>299</v>
      </c>
      <c r="C656" t="s">
        <v>2353</v>
      </c>
      <c r="D656" t="s">
        <v>395</v>
      </c>
      <c r="E656" t="s">
        <v>395</v>
      </c>
      <c r="F656" t="s">
        <v>396</v>
      </c>
      <c r="G656" t="s">
        <v>397</v>
      </c>
      <c r="H656" t="s">
        <v>398</v>
      </c>
      <c r="I656" t="s">
        <v>399</v>
      </c>
      <c r="J656" t="s">
        <v>749</v>
      </c>
      <c r="K656" t="s">
        <v>845</v>
      </c>
      <c r="L656" t="s">
        <v>787</v>
      </c>
      <c r="M656" t="s">
        <v>403</v>
      </c>
      <c r="N656">
        <v>1</v>
      </c>
      <c r="O656">
        <v>3</v>
      </c>
      <c r="P656" t="s">
        <v>853</v>
      </c>
      <c r="Q656" t="s">
        <v>789</v>
      </c>
      <c r="R656" t="s">
        <v>847</v>
      </c>
      <c r="S656" t="s">
        <v>854</v>
      </c>
      <c r="T656" t="s">
        <v>408</v>
      </c>
      <c r="U656">
        <v>50950081250</v>
      </c>
      <c r="W656">
        <v>10692</v>
      </c>
      <c r="X656" t="s">
        <v>409</v>
      </c>
      <c r="Y656" t="s">
        <v>410</v>
      </c>
      <c r="Z656" t="s">
        <v>410</v>
      </c>
      <c r="AA656" t="s">
        <v>411</v>
      </c>
      <c r="AB656" t="s">
        <v>554</v>
      </c>
      <c r="AC656" t="s">
        <v>411</v>
      </c>
      <c r="AD656">
        <v>46102</v>
      </c>
      <c r="AE656">
        <v>46160</v>
      </c>
      <c r="AF656">
        <v>46113</v>
      </c>
      <c r="AG656" t="s">
        <v>754</v>
      </c>
      <c r="AH656">
        <v>6156322</v>
      </c>
      <c r="AI656">
        <v>46105</v>
      </c>
      <c r="AJ656">
        <v>46106</v>
      </c>
      <c r="AK656">
        <v>10692</v>
      </c>
      <c r="AL656" t="s">
        <v>396</v>
      </c>
      <c r="AM656" t="s">
        <v>2396</v>
      </c>
      <c r="AN656">
        <v>46106</v>
      </c>
      <c r="AO656">
        <v>46106.392569444448</v>
      </c>
      <c r="AP656" t="s">
        <v>51</v>
      </c>
      <c r="AQ656">
        <v>1.00054</v>
      </c>
      <c r="AR656">
        <v>10697.76</v>
      </c>
      <c r="AS656" t="s">
        <v>51</v>
      </c>
      <c r="AT656">
        <v>10697.76</v>
      </c>
      <c r="AU656" t="s">
        <v>415</v>
      </c>
      <c r="AV656" t="s">
        <v>1420</v>
      </c>
      <c r="AW656" t="s">
        <v>2363</v>
      </c>
      <c r="AX656">
        <v>46113</v>
      </c>
      <c r="AY656">
        <v>46162</v>
      </c>
      <c r="AZ656" t="s">
        <v>2379</v>
      </c>
      <c r="BA656" t="s">
        <v>560</v>
      </c>
      <c r="BB656" t="s">
        <v>2380</v>
      </c>
      <c r="BC656">
        <v>33</v>
      </c>
      <c r="BD656" t="s">
        <v>521</v>
      </c>
      <c r="BE656">
        <v>12.9557</v>
      </c>
      <c r="BF656">
        <v>12.005699999999999</v>
      </c>
      <c r="BG656" t="s">
        <v>522</v>
      </c>
      <c r="BH656">
        <v>495</v>
      </c>
      <c r="BI656">
        <v>395</v>
      </c>
      <c r="BJ656">
        <v>150</v>
      </c>
      <c r="BK656">
        <v>36</v>
      </c>
      <c r="BL656" t="s">
        <v>521</v>
      </c>
      <c r="BM656">
        <v>493.40519999999998</v>
      </c>
      <c r="BN656">
        <v>432.20519999999999</v>
      </c>
      <c r="BO656">
        <v>4440.6565199999995</v>
      </c>
      <c r="BP656" t="s">
        <v>522</v>
      </c>
      <c r="BQ656">
        <v>1200</v>
      </c>
      <c r="BR656">
        <v>1000</v>
      </c>
      <c r="BS656">
        <v>1053</v>
      </c>
      <c r="BT656">
        <v>9</v>
      </c>
      <c r="BU656">
        <v>0</v>
      </c>
      <c r="BV656">
        <v>9</v>
      </c>
      <c r="BW656">
        <v>324</v>
      </c>
      <c r="BX656">
        <v>0</v>
      </c>
      <c r="BY656">
        <v>324</v>
      </c>
      <c r="BZ656">
        <v>10692</v>
      </c>
      <c r="CA656">
        <v>0</v>
      </c>
      <c r="CB656">
        <v>10692</v>
      </c>
      <c r="CC656">
        <v>3889.8565199999998</v>
      </c>
      <c r="CD656" t="s">
        <v>856</v>
      </c>
      <c r="CE656" t="s">
        <v>857</v>
      </c>
      <c r="CG656" t="s">
        <v>421</v>
      </c>
      <c r="CN656" t="str">
        <v>M19</v>
      </c>
      <c r="CO656" t="str">
        <v>1271-5YY0100EN</v>
      </c>
      <c r="CP656" t="str">
        <v>OOCU6524515</v>
      </c>
      <c r="CQ656" s="23">
        <v>628</v>
      </c>
      <c r="CR656" s="25">
        <f t="shared" si="28"/>
        <v>6.6617553264478435E-2</v>
      </c>
      <c r="CS656" s="21">
        <f t="shared" si="29"/>
        <v>166.54388316119608</v>
      </c>
    </row>
    <row r="657" spans="2:97" x14ac:dyDescent="0.35">
      <c r="B657" t="s">
        <v>295</v>
      </c>
      <c r="C657" t="s">
        <v>2397</v>
      </c>
      <c r="D657" t="s">
        <v>395</v>
      </c>
      <c r="E657" t="s">
        <v>395</v>
      </c>
      <c r="F657" t="s">
        <v>396</v>
      </c>
      <c r="G657" t="s">
        <v>397</v>
      </c>
      <c r="H657" t="s">
        <v>398</v>
      </c>
      <c r="I657" t="s">
        <v>399</v>
      </c>
      <c r="J657" t="s">
        <v>749</v>
      </c>
      <c r="K657" t="s">
        <v>526</v>
      </c>
      <c r="L657" t="s">
        <v>787</v>
      </c>
      <c r="M657" t="s">
        <v>403</v>
      </c>
      <c r="N657">
        <v>1</v>
      </c>
      <c r="O657">
        <v>1</v>
      </c>
      <c r="P657" t="s">
        <v>1041</v>
      </c>
      <c r="Q657" t="s">
        <v>430</v>
      </c>
      <c r="R657" t="s">
        <v>1042</v>
      </c>
      <c r="S657" t="s">
        <v>440</v>
      </c>
      <c r="T657" t="s">
        <v>408</v>
      </c>
      <c r="U657">
        <v>50950081618</v>
      </c>
      <c r="W657">
        <v>24640</v>
      </c>
      <c r="X657" t="s">
        <v>409</v>
      </c>
      <c r="Y657" t="s">
        <v>410</v>
      </c>
      <c r="Z657" t="s">
        <v>410</v>
      </c>
      <c r="AA657" t="s">
        <v>411</v>
      </c>
      <c r="AB657" t="s">
        <v>554</v>
      </c>
      <c r="AC657" t="s">
        <v>411</v>
      </c>
      <c r="AD657">
        <v>46102</v>
      </c>
      <c r="AE657">
        <v>46160</v>
      </c>
      <c r="AF657">
        <v>46113</v>
      </c>
      <c r="AG657" t="s">
        <v>754</v>
      </c>
      <c r="AH657">
        <v>6156323</v>
      </c>
      <c r="AI657">
        <v>46105</v>
      </c>
      <c r="AJ657">
        <v>46106</v>
      </c>
      <c r="AK657">
        <v>24640</v>
      </c>
      <c r="AL657" t="s">
        <v>396</v>
      </c>
      <c r="AM657" t="s">
        <v>2398</v>
      </c>
      <c r="AN657">
        <v>46106</v>
      </c>
      <c r="AO657">
        <v>46106.392569444448</v>
      </c>
      <c r="AP657" t="s">
        <v>51</v>
      </c>
      <c r="AQ657">
        <v>5.0889999999999998E-2</v>
      </c>
      <c r="AR657">
        <v>1253.93</v>
      </c>
      <c r="AS657" t="s">
        <v>51</v>
      </c>
      <c r="AT657">
        <v>1253.93</v>
      </c>
      <c r="AU657" t="s">
        <v>415</v>
      </c>
      <c r="AV657" t="s">
        <v>1420</v>
      </c>
      <c r="AW657" t="s">
        <v>2363</v>
      </c>
      <c r="AX657">
        <v>46113</v>
      </c>
      <c r="AY657">
        <v>46162</v>
      </c>
      <c r="AZ657" t="s">
        <v>2379</v>
      </c>
      <c r="BA657" t="s">
        <v>560</v>
      </c>
      <c r="BB657" t="s">
        <v>2380</v>
      </c>
      <c r="BC657">
        <v>308</v>
      </c>
      <c r="BD657" t="s">
        <v>521</v>
      </c>
      <c r="BE657">
        <v>9.3520000000000003</v>
      </c>
      <c r="BF657">
        <v>9.0489999999999995</v>
      </c>
      <c r="BG657" t="s">
        <v>522</v>
      </c>
      <c r="BH657">
        <v>286</v>
      </c>
      <c r="BI657">
        <v>192</v>
      </c>
      <c r="BJ657">
        <v>87</v>
      </c>
      <c r="BK657">
        <v>80</v>
      </c>
      <c r="BL657" t="s">
        <v>521</v>
      </c>
      <c r="BM657">
        <v>776.16319999999996</v>
      </c>
      <c r="BN657">
        <v>723.92319999999995</v>
      </c>
      <c r="BO657">
        <v>776.16319999999996</v>
      </c>
      <c r="BP657" t="s">
        <v>522</v>
      </c>
      <c r="BQ657">
        <v>1200</v>
      </c>
      <c r="BR657">
        <v>1000</v>
      </c>
      <c r="BS657">
        <v>510</v>
      </c>
      <c r="BT657">
        <v>1</v>
      </c>
      <c r="BU657">
        <v>0</v>
      </c>
      <c r="BV657">
        <v>1</v>
      </c>
      <c r="BW657">
        <v>80</v>
      </c>
      <c r="BX657">
        <v>0</v>
      </c>
      <c r="BY657">
        <v>80</v>
      </c>
      <c r="BZ657">
        <v>24640</v>
      </c>
      <c r="CA657">
        <v>0</v>
      </c>
      <c r="CB657">
        <v>24640</v>
      </c>
      <c r="CC657">
        <v>723.92319999999995</v>
      </c>
      <c r="CD657" t="s">
        <v>1044</v>
      </c>
      <c r="CE657" t="s">
        <v>1045</v>
      </c>
      <c r="CG657" t="s">
        <v>421</v>
      </c>
      <c r="CN657" t="str">
        <v>M19</v>
      </c>
      <c r="CO657" t="str">
        <v>1301-5YY0306EN0093</v>
      </c>
      <c r="CP657" t="str">
        <v>OOCU6524515</v>
      </c>
      <c r="CQ657" s="23">
        <v>3947.2502399999998</v>
      </c>
      <c r="CR657" s="25">
        <f t="shared" si="28"/>
        <v>0.41871998903093194</v>
      </c>
      <c r="CS657" s="21">
        <f t="shared" si="29"/>
        <v>1046.7999725773298</v>
      </c>
    </row>
    <row r="658" spans="2:97" x14ac:dyDescent="0.35">
      <c r="B658" s="34" t="s">
        <v>295</v>
      </c>
      <c r="C658" t="s">
        <v>2208</v>
      </c>
      <c r="D658" t="s">
        <v>395</v>
      </c>
      <c r="E658" t="s">
        <v>395</v>
      </c>
      <c r="F658" t="s">
        <v>396</v>
      </c>
      <c r="G658" t="s">
        <v>397</v>
      </c>
      <c r="H658" t="s">
        <v>398</v>
      </c>
      <c r="I658" t="s">
        <v>399</v>
      </c>
      <c r="J658" t="s">
        <v>749</v>
      </c>
      <c r="K658" t="s">
        <v>629</v>
      </c>
      <c r="L658" t="s">
        <v>787</v>
      </c>
      <c r="M658" t="s">
        <v>403</v>
      </c>
      <c r="N658">
        <v>1</v>
      </c>
      <c r="O658">
        <v>2</v>
      </c>
      <c r="P658" t="s">
        <v>752</v>
      </c>
      <c r="Q658" t="s">
        <v>424</v>
      </c>
      <c r="R658" t="s">
        <v>753</v>
      </c>
      <c r="S658" t="s">
        <v>426</v>
      </c>
      <c r="T658" t="s">
        <v>408</v>
      </c>
      <c r="U658">
        <v>50950082272</v>
      </c>
      <c r="W658">
        <v>3000</v>
      </c>
      <c r="X658" t="s">
        <v>448</v>
      </c>
      <c r="Y658" t="s">
        <v>410</v>
      </c>
      <c r="Z658" t="s">
        <v>410</v>
      </c>
      <c r="AA658" t="s">
        <v>411</v>
      </c>
      <c r="AB658" t="s">
        <v>412</v>
      </c>
      <c r="AC658" t="s">
        <v>411</v>
      </c>
      <c r="AD658">
        <v>46104</v>
      </c>
      <c r="AE658">
        <v>46167</v>
      </c>
      <c r="AF658">
        <v>46111</v>
      </c>
      <c r="AG658" t="s">
        <v>754</v>
      </c>
      <c r="AH658">
        <v>6155870</v>
      </c>
      <c r="AI658">
        <v>46105</v>
      </c>
      <c r="AJ658">
        <v>46106</v>
      </c>
      <c r="AK658">
        <v>3000</v>
      </c>
      <c r="AL658" t="s">
        <v>396</v>
      </c>
      <c r="AM658" t="s">
        <v>2399</v>
      </c>
      <c r="AN658">
        <v>46106</v>
      </c>
      <c r="AO658">
        <v>46106.447835648149</v>
      </c>
      <c r="AP658" t="s">
        <v>51</v>
      </c>
      <c r="AQ658">
        <v>0.12189</v>
      </c>
      <c r="AR658">
        <v>365.67</v>
      </c>
      <c r="AS658" t="s">
        <v>51</v>
      </c>
      <c r="AT658">
        <v>365.67</v>
      </c>
      <c r="AU658" t="s">
        <v>450</v>
      </c>
      <c r="AV658" t="s">
        <v>1597</v>
      </c>
      <c r="AW658" t="s">
        <v>2400</v>
      </c>
      <c r="AX658">
        <v>46108</v>
      </c>
      <c r="AY658">
        <v>46118</v>
      </c>
      <c r="BA658" t="s">
        <v>448</v>
      </c>
      <c r="BB658" t="s">
        <v>2401</v>
      </c>
      <c r="BC658">
        <v>1200</v>
      </c>
      <c r="BD658" t="s">
        <v>521</v>
      </c>
      <c r="BE658">
        <v>2.8952</v>
      </c>
      <c r="BF658">
        <v>2.0952000000000002</v>
      </c>
      <c r="BG658" t="s">
        <v>522</v>
      </c>
      <c r="BH658">
        <v>395</v>
      </c>
      <c r="BI658">
        <v>295</v>
      </c>
      <c r="BJ658">
        <v>210</v>
      </c>
      <c r="BK658">
        <v>32</v>
      </c>
      <c r="BL658" t="s">
        <v>521</v>
      </c>
      <c r="BM658">
        <v>37.637999999999998</v>
      </c>
      <c r="BN658">
        <v>5.2380000000000004</v>
      </c>
      <c r="BO658">
        <v>37.637999999999998</v>
      </c>
      <c r="BP658" t="s">
        <v>522</v>
      </c>
      <c r="BQ658">
        <v>1200</v>
      </c>
      <c r="BR658">
        <v>800</v>
      </c>
      <c r="BS658">
        <v>1000</v>
      </c>
      <c r="BT658">
        <v>0</v>
      </c>
      <c r="BU658">
        <v>1</v>
      </c>
      <c r="BV658">
        <v>1</v>
      </c>
      <c r="BW658">
        <v>2</v>
      </c>
      <c r="BX658">
        <v>1</v>
      </c>
      <c r="BY658">
        <v>3</v>
      </c>
      <c r="BZ658">
        <v>0</v>
      </c>
      <c r="CA658">
        <v>3000</v>
      </c>
      <c r="CB658">
        <v>3000</v>
      </c>
      <c r="CC658">
        <v>5.2380000000000004</v>
      </c>
      <c r="CD658" t="s">
        <v>759</v>
      </c>
      <c r="CE658" t="s">
        <v>760</v>
      </c>
      <c r="CG658" t="s">
        <v>421</v>
      </c>
      <c r="CN658" t="str">
        <v>M01</v>
      </c>
      <c r="CO658" t="str">
        <v>1426-1030045EN</v>
      </c>
      <c r="CP658" t="str">
        <v>OOCU6524515</v>
      </c>
      <c r="CQ658" s="23">
        <v>101.042</v>
      </c>
      <c r="CR658" s="25">
        <f t="shared" si="28"/>
        <v>1.0718424867753869E-2</v>
      </c>
      <c r="CS658" s="21">
        <f t="shared" si="29"/>
        <v>26.796062169384673</v>
      </c>
    </row>
    <row r="659" spans="2:97" x14ac:dyDescent="0.35">
      <c r="B659" t="s">
        <v>298</v>
      </c>
      <c r="C659" t="s">
        <v>2402</v>
      </c>
      <c r="D659" t="s">
        <v>395</v>
      </c>
      <c r="E659" t="s">
        <v>395</v>
      </c>
      <c r="F659" t="s">
        <v>396</v>
      </c>
      <c r="G659" t="s">
        <v>397</v>
      </c>
      <c r="H659" t="s">
        <v>398</v>
      </c>
      <c r="I659" t="s">
        <v>399</v>
      </c>
      <c r="J659" t="s">
        <v>749</v>
      </c>
      <c r="K659" t="s">
        <v>845</v>
      </c>
      <c r="L659" t="s">
        <v>787</v>
      </c>
      <c r="M659" t="s">
        <v>403</v>
      </c>
      <c r="N659">
        <v>1</v>
      </c>
      <c r="O659">
        <v>1</v>
      </c>
      <c r="P659" t="s">
        <v>1659</v>
      </c>
      <c r="Q659" t="s">
        <v>645</v>
      </c>
      <c r="R659" t="s">
        <v>1660</v>
      </c>
      <c r="S659" t="s">
        <v>1661</v>
      </c>
      <c r="T659" t="s">
        <v>408</v>
      </c>
      <c r="U659">
        <v>50950082307</v>
      </c>
      <c r="W659">
        <v>6720</v>
      </c>
      <c r="X659" t="s">
        <v>409</v>
      </c>
      <c r="Y659" t="s">
        <v>410</v>
      </c>
      <c r="Z659" t="s">
        <v>410</v>
      </c>
      <c r="AA659" t="s">
        <v>411</v>
      </c>
      <c r="AB659" t="s">
        <v>554</v>
      </c>
      <c r="AC659" t="s">
        <v>411</v>
      </c>
      <c r="AD659">
        <v>46109</v>
      </c>
      <c r="AE659">
        <v>46167</v>
      </c>
      <c r="AF659">
        <v>46113</v>
      </c>
      <c r="AG659" t="s">
        <v>754</v>
      </c>
      <c r="AH659">
        <v>6156324</v>
      </c>
      <c r="AI659">
        <v>46105</v>
      </c>
      <c r="AJ659">
        <v>46106</v>
      </c>
      <c r="AK659">
        <v>6720</v>
      </c>
      <c r="AL659" t="s">
        <v>396</v>
      </c>
      <c r="AM659" t="s">
        <v>2403</v>
      </c>
      <c r="AN659">
        <v>46106</v>
      </c>
      <c r="AO659">
        <v>46106.392569444448</v>
      </c>
      <c r="AP659" t="s">
        <v>51</v>
      </c>
      <c r="AQ659">
        <v>0.14412</v>
      </c>
      <c r="AR659">
        <v>968.49</v>
      </c>
      <c r="AS659" t="s">
        <v>51</v>
      </c>
      <c r="AT659">
        <v>968.49</v>
      </c>
      <c r="AU659" t="s">
        <v>415</v>
      </c>
      <c r="AV659" t="s">
        <v>1420</v>
      </c>
      <c r="AW659" t="s">
        <v>2363</v>
      </c>
      <c r="AX659">
        <v>46113</v>
      </c>
      <c r="AY659">
        <v>46162</v>
      </c>
      <c r="AZ659" t="s">
        <v>2379</v>
      </c>
      <c r="BA659" t="s">
        <v>560</v>
      </c>
      <c r="BB659" t="s">
        <v>2380</v>
      </c>
      <c r="BC659">
        <v>120</v>
      </c>
      <c r="BD659" t="s">
        <v>521</v>
      </c>
      <c r="BE659">
        <v>10.915699999999999</v>
      </c>
      <c r="BF659">
        <v>9.0157000000000007</v>
      </c>
      <c r="BG659" t="s">
        <v>522</v>
      </c>
      <c r="BH659">
        <v>395</v>
      </c>
      <c r="BI659">
        <v>295</v>
      </c>
      <c r="BJ659">
        <v>220</v>
      </c>
      <c r="BK659">
        <v>32</v>
      </c>
      <c r="BL659" t="s">
        <v>521</v>
      </c>
      <c r="BM659">
        <v>374.30239999999998</v>
      </c>
      <c r="BN659">
        <v>288.50240000000002</v>
      </c>
      <c r="BO659">
        <v>661.28031999999996</v>
      </c>
      <c r="BP659" t="s">
        <v>522</v>
      </c>
      <c r="BQ659">
        <v>1200</v>
      </c>
      <c r="BR659">
        <v>800</v>
      </c>
      <c r="BS659">
        <v>1040</v>
      </c>
      <c r="BT659">
        <v>1</v>
      </c>
      <c r="BU659">
        <v>1</v>
      </c>
      <c r="BV659">
        <v>2</v>
      </c>
      <c r="BW659">
        <v>56</v>
      </c>
      <c r="BX659">
        <v>0</v>
      </c>
      <c r="BY659">
        <v>56</v>
      </c>
      <c r="BZ659">
        <v>3840</v>
      </c>
      <c r="CA659">
        <v>2880</v>
      </c>
      <c r="CB659">
        <v>6720</v>
      </c>
      <c r="CC659">
        <v>504.88031999999998</v>
      </c>
      <c r="CD659" t="s">
        <v>1000</v>
      </c>
      <c r="CE659" t="s">
        <v>1663</v>
      </c>
      <c r="CG659" t="s">
        <v>421</v>
      </c>
      <c r="CN659" t="str">
        <v>M01</v>
      </c>
      <c r="CO659" t="str">
        <v>1301-1030221EN</v>
      </c>
      <c r="CP659" t="str">
        <v>OOCU6524515</v>
      </c>
      <c r="CQ659" s="23">
        <v>291.88</v>
      </c>
      <c r="CR659" s="25">
        <f t="shared" si="28"/>
        <v>3.0962311221076375E-2</v>
      </c>
      <c r="CS659" s="21">
        <f t="shared" si="29"/>
        <v>77.405778052690934</v>
      </c>
    </row>
    <row r="660" spans="2:97" x14ac:dyDescent="0.35">
      <c r="B660" s="34" t="s">
        <v>298</v>
      </c>
      <c r="C660" t="s">
        <v>2404</v>
      </c>
      <c r="D660" t="s">
        <v>395</v>
      </c>
      <c r="E660" t="s">
        <v>395</v>
      </c>
      <c r="F660" t="s">
        <v>396</v>
      </c>
      <c r="G660" t="s">
        <v>397</v>
      </c>
      <c r="H660" t="s">
        <v>398</v>
      </c>
      <c r="I660" t="s">
        <v>399</v>
      </c>
      <c r="J660" t="s">
        <v>749</v>
      </c>
      <c r="K660" t="s">
        <v>629</v>
      </c>
      <c r="L660" t="s">
        <v>750</v>
      </c>
      <c r="M660" t="s">
        <v>751</v>
      </c>
      <c r="N660">
        <v>1</v>
      </c>
      <c r="O660">
        <v>1</v>
      </c>
      <c r="P660" t="s">
        <v>2405</v>
      </c>
      <c r="Q660" t="s">
        <v>424</v>
      </c>
      <c r="R660" t="s">
        <v>2406</v>
      </c>
      <c r="S660" t="s">
        <v>2215</v>
      </c>
      <c r="T660" t="s">
        <v>408</v>
      </c>
      <c r="U660">
        <v>50950082289</v>
      </c>
      <c r="W660">
        <v>1800</v>
      </c>
      <c r="X660" t="s">
        <v>448</v>
      </c>
      <c r="Y660" t="s">
        <v>410</v>
      </c>
      <c r="Z660" t="s">
        <v>410</v>
      </c>
      <c r="AA660" t="s">
        <v>411</v>
      </c>
      <c r="AB660" t="s">
        <v>412</v>
      </c>
      <c r="AC660" t="s">
        <v>411</v>
      </c>
      <c r="AD660">
        <v>46105</v>
      </c>
      <c r="AE660">
        <v>46111</v>
      </c>
      <c r="AF660">
        <v>46111</v>
      </c>
      <c r="AG660" t="s">
        <v>754</v>
      </c>
      <c r="AH660">
        <v>6155871</v>
      </c>
      <c r="AI660">
        <v>46105</v>
      </c>
      <c r="AJ660">
        <v>46106</v>
      </c>
      <c r="AK660">
        <v>1800</v>
      </c>
      <c r="AL660" t="s">
        <v>396</v>
      </c>
      <c r="AM660" t="s">
        <v>2407</v>
      </c>
      <c r="AN660">
        <v>46106</v>
      </c>
      <c r="AO660">
        <v>46106.447835648149</v>
      </c>
      <c r="AP660" t="s">
        <v>51</v>
      </c>
      <c r="AQ660">
        <v>0.79162999999999994</v>
      </c>
      <c r="AR660">
        <v>1424.93</v>
      </c>
      <c r="AS660" t="s">
        <v>51</v>
      </c>
      <c r="AT660">
        <v>1424.93</v>
      </c>
      <c r="AU660" t="s">
        <v>450</v>
      </c>
      <c r="AV660" t="s">
        <v>1597</v>
      </c>
      <c r="AW660" t="s">
        <v>2400</v>
      </c>
      <c r="AX660">
        <v>46108</v>
      </c>
      <c r="AY660">
        <v>46118</v>
      </c>
      <c r="BA660" t="s">
        <v>448</v>
      </c>
      <c r="BB660" t="s">
        <v>2401</v>
      </c>
      <c r="BC660">
        <v>300</v>
      </c>
      <c r="BD660" t="s">
        <v>521</v>
      </c>
      <c r="BE660">
        <v>5.5110000000000001</v>
      </c>
      <c r="BF660">
        <v>3.681</v>
      </c>
      <c r="BG660" t="s">
        <v>522</v>
      </c>
      <c r="BH660">
        <v>395</v>
      </c>
      <c r="BI660">
        <v>295</v>
      </c>
      <c r="BJ660">
        <v>210</v>
      </c>
      <c r="BK660">
        <v>32</v>
      </c>
      <c r="BL660" t="s">
        <v>521</v>
      </c>
      <c r="BM660">
        <v>63.066000000000003</v>
      </c>
      <c r="BN660">
        <v>22.085999999999999</v>
      </c>
      <c r="BO660">
        <v>63.066000000000003</v>
      </c>
      <c r="BP660" t="s">
        <v>522</v>
      </c>
      <c r="BQ660">
        <v>1200</v>
      </c>
      <c r="BR660">
        <v>800</v>
      </c>
      <c r="BS660">
        <v>1000</v>
      </c>
      <c r="BT660">
        <v>0</v>
      </c>
      <c r="BU660">
        <v>1</v>
      </c>
      <c r="BV660">
        <v>1</v>
      </c>
      <c r="BW660">
        <v>6</v>
      </c>
      <c r="BX660">
        <v>0</v>
      </c>
      <c r="BY660">
        <v>6</v>
      </c>
      <c r="BZ660">
        <v>0</v>
      </c>
      <c r="CA660">
        <v>1800</v>
      </c>
      <c r="CB660">
        <v>1800</v>
      </c>
      <c r="CC660">
        <v>22.085999999999999</v>
      </c>
      <c r="CD660" t="s">
        <v>759</v>
      </c>
      <c r="CE660" t="s">
        <v>2168</v>
      </c>
      <c r="CG660" t="s">
        <v>421</v>
      </c>
      <c r="CN660" t="str">
        <v>M19</v>
      </c>
      <c r="CO660" t="str">
        <v>1103-5YY0130EN</v>
      </c>
      <c r="CP660" t="str">
        <v>OOCU6524515</v>
      </c>
      <c r="CQ660" s="23">
        <v>68.664000000000001</v>
      </c>
      <c r="CR660" s="25">
        <f t="shared" si="28"/>
        <v>7.2838020340002347E-3</v>
      </c>
      <c r="CS660" s="21">
        <f t="shared" si="29"/>
        <v>18.209505085000586</v>
      </c>
    </row>
    <row r="661" spans="2:97" x14ac:dyDescent="0.35">
      <c r="B661" t="s">
        <v>297</v>
      </c>
      <c r="C661" t="s">
        <v>2408</v>
      </c>
      <c r="D661" t="s">
        <v>549</v>
      </c>
      <c r="E661" t="s">
        <v>395</v>
      </c>
      <c r="F661" t="s">
        <v>396</v>
      </c>
      <c r="G661" t="s">
        <v>397</v>
      </c>
      <c r="H661" t="s">
        <v>398</v>
      </c>
      <c r="I661" t="s">
        <v>399</v>
      </c>
      <c r="J661" t="s">
        <v>749</v>
      </c>
      <c r="K661" t="s">
        <v>1081</v>
      </c>
      <c r="L661" t="s">
        <v>766</v>
      </c>
      <c r="M661" t="s">
        <v>403</v>
      </c>
      <c r="N661">
        <v>1</v>
      </c>
      <c r="O661">
        <v>1</v>
      </c>
      <c r="P661" t="s">
        <v>1469</v>
      </c>
      <c r="Q661" t="s">
        <v>424</v>
      </c>
      <c r="R661" t="s">
        <v>1083</v>
      </c>
      <c r="S661" t="s">
        <v>1470</v>
      </c>
      <c r="T661" t="s">
        <v>408</v>
      </c>
      <c r="U661">
        <v>50950081382</v>
      </c>
      <c r="W661">
        <v>5200</v>
      </c>
      <c r="X661" t="s">
        <v>409</v>
      </c>
      <c r="Y661" t="s">
        <v>410</v>
      </c>
      <c r="Z661" t="s">
        <v>410</v>
      </c>
      <c r="AA661" t="s">
        <v>411</v>
      </c>
      <c r="AB661" t="s">
        <v>554</v>
      </c>
      <c r="AC661" t="s">
        <v>411</v>
      </c>
      <c r="AD661">
        <v>46109</v>
      </c>
      <c r="AE661">
        <v>46167</v>
      </c>
      <c r="AF661">
        <v>46113</v>
      </c>
      <c r="AG661" t="s">
        <v>770</v>
      </c>
      <c r="AH661">
        <v>6158123</v>
      </c>
      <c r="AI661">
        <v>46106</v>
      </c>
      <c r="AJ661">
        <v>46107</v>
      </c>
      <c r="AK661">
        <v>5200</v>
      </c>
      <c r="AL661" t="s">
        <v>396</v>
      </c>
      <c r="AM661" t="s">
        <v>2409</v>
      </c>
      <c r="AN661">
        <v>46107</v>
      </c>
      <c r="AO661">
        <v>46107.387974537036</v>
      </c>
      <c r="AP661" t="s">
        <v>51</v>
      </c>
      <c r="AQ661">
        <v>1.0019</v>
      </c>
      <c r="AR661">
        <v>5209.88</v>
      </c>
      <c r="AS661" t="s">
        <v>51</v>
      </c>
      <c r="AT661">
        <v>5209.88</v>
      </c>
      <c r="AU661" t="s">
        <v>415</v>
      </c>
      <c r="AV661" t="s">
        <v>1420</v>
      </c>
      <c r="AW661" t="s">
        <v>2363</v>
      </c>
      <c r="AX661">
        <v>46113</v>
      </c>
      <c r="AY661">
        <v>46162</v>
      </c>
      <c r="AZ661" t="s">
        <v>2410</v>
      </c>
      <c r="BA661" t="s">
        <v>560</v>
      </c>
      <c r="BB661" t="s">
        <v>2411</v>
      </c>
      <c r="BC661">
        <v>130</v>
      </c>
      <c r="BD661" t="s">
        <v>521</v>
      </c>
      <c r="BE661">
        <v>12.355</v>
      </c>
      <c r="BF661">
        <v>10.92</v>
      </c>
      <c r="BG661" t="s">
        <v>522</v>
      </c>
      <c r="BH661">
        <v>395</v>
      </c>
      <c r="BI661">
        <v>295</v>
      </c>
      <c r="BJ661">
        <v>180</v>
      </c>
      <c r="BK661">
        <v>40</v>
      </c>
      <c r="BL661" t="s">
        <v>521</v>
      </c>
      <c r="BM661">
        <v>518.20000000000005</v>
      </c>
      <c r="BN661">
        <v>436.8</v>
      </c>
      <c r="BO661">
        <v>518.20000000000005</v>
      </c>
      <c r="BP661" t="s">
        <v>522</v>
      </c>
      <c r="BQ661">
        <v>1200</v>
      </c>
      <c r="BR661">
        <v>800</v>
      </c>
      <c r="BS661">
        <v>1060</v>
      </c>
      <c r="BT661">
        <v>1</v>
      </c>
      <c r="BU661">
        <v>0</v>
      </c>
      <c r="BV661">
        <v>1</v>
      </c>
      <c r="BW661">
        <v>40</v>
      </c>
      <c r="BX661">
        <v>0</v>
      </c>
      <c r="BY661">
        <v>40</v>
      </c>
      <c r="BZ661">
        <v>5200</v>
      </c>
      <c r="CA661">
        <v>0</v>
      </c>
      <c r="CB661">
        <v>5200</v>
      </c>
      <c r="CC661">
        <v>436.8</v>
      </c>
      <c r="CD661" t="s">
        <v>694</v>
      </c>
      <c r="CE661" t="s">
        <v>1088</v>
      </c>
      <c r="CG661" t="s">
        <v>421</v>
      </c>
      <c r="CN661" t="str">
        <v>M01</v>
      </c>
      <c r="CO661" t="str">
        <v>1200-1030990EN0002</v>
      </c>
      <c r="CP661" t="str">
        <v>OOCU6799960</v>
      </c>
      <c r="CQ661" s="23">
        <v>288.08640000000003</v>
      </c>
      <c r="CR661" s="25">
        <f t="shared" si="28"/>
        <v>2.7527545576444448E-2</v>
      </c>
      <c r="CS661" s="21">
        <f t="shared" si="29"/>
        <v>68.818863941111118</v>
      </c>
    </row>
    <row r="662" spans="2:97" x14ac:dyDescent="0.35">
      <c r="B662" t="s">
        <v>299</v>
      </c>
      <c r="C662" t="s">
        <v>2412</v>
      </c>
      <c r="D662" t="s">
        <v>395</v>
      </c>
      <c r="E662" t="s">
        <v>395</v>
      </c>
      <c r="F662" t="s">
        <v>396</v>
      </c>
      <c r="G662" t="s">
        <v>397</v>
      </c>
      <c r="H662" t="s">
        <v>398</v>
      </c>
      <c r="I662" t="s">
        <v>399</v>
      </c>
      <c r="J662" t="s">
        <v>749</v>
      </c>
      <c r="K662" t="s">
        <v>777</v>
      </c>
      <c r="L662" t="s">
        <v>778</v>
      </c>
      <c r="M662" t="s">
        <v>403</v>
      </c>
      <c r="N662">
        <v>1</v>
      </c>
      <c r="O662">
        <v>1</v>
      </c>
      <c r="P662" t="s">
        <v>779</v>
      </c>
      <c r="Q662" t="s">
        <v>587</v>
      </c>
      <c r="R662" t="s">
        <v>536</v>
      </c>
      <c r="S662" t="s">
        <v>780</v>
      </c>
      <c r="T662" t="s">
        <v>408</v>
      </c>
      <c r="U662">
        <v>50950076745</v>
      </c>
      <c r="W662">
        <v>4032</v>
      </c>
      <c r="X662" t="s">
        <v>409</v>
      </c>
      <c r="Y662" t="s">
        <v>410</v>
      </c>
      <c r="Z662" t="s">
        <v>410</v>
      </c>
      <c r="AA662" t="s">
        <v>411</v>
      </c>
      <c r="AB662" t="s">
        <v>554</v>
      </c>
      <c r="AC662" t="s">
        <v>411</v>
      </c>
      <c r="AD662">
        <v>46104</v>
      </c>
      <c r="AE662">
        <v>46160</v>
      </c>
      <c r="AF662">
        <v>46113</v>
      </c>
      <c r="AG662" t="s">
        <v>781</v>
      </c>
      <c r="AH662">
        <v>6158124</v>
      </c>
      <c r="AI662">
        <v>46106</v>
      </c>
      <c r="AJ662">
        <v>46107</v>
      </c>
      <c r="AK662">
        <v>4032</v>
      </c>
      <c r="AL662" t="s">
        <v>396</v>
      </c>
      <c r="AM662" t="s">
        <v>2413</v>
      </c>
      <c r="AN662">
        <v>46107</v>
      </c>
      <c r="AO662">
        <v>46107.387974537036</v>
      </c>
      <c r="AP662" t="s">
        <v>51</v>
      </c>
      <c r="AQ662">
        <v>2.1913299999999998</v>
      </c>
      <c r="AR662">
        <v>8835.44</v>
      </c>
      <c r="AS662" t="s">
        <v>51</v>
      </c>
      <c r="AT662">
        <v>8835.44</v>
      </c>
      <c r="AU662" t="s">
        <v>415</v>
      </c>
      <c r="AV662" t="s">
        <v>1420</v>
      </c>
      <c r="AW662" t="s">
        <v>2363</v>
      </c>
      <c r="AX662">
        <v>46113</v>
      </c>
      <c r="AY662">
        <v>46162</v>
      </c>
      <c r="AZ662" t="s">
        <v>2410</v>
      </c>
      <c r="BA662" t="s">
        <v>560</v>
      </c>
      <c r="BB662" t="s">
        <v>2411</v>
      </c>
      <c r="BC662">
        <v>28</v>
      </c>
      <c r="BD662" t="s">
        <v>521</v>
      </c>
      <c r="BE662">
        <v>4.1197999999999997</v>
      </c>
      <c r="BF662">
        <v>2.2568000000000001</v>
      </c>
      <c r="BG662" t="s">
        <v>522</v>
      </c>
      <c r="BH662">
        <v>795</v>
      </c>
      <c r="BI662">
        <v>395</v>
      </c>
      <c r="BJ662">
        <v>145</v>
      </c>
      <c r="BK662">
        <v>18</v>
      </c>
      <c r="BL662" t="s">
        <v>521</v>
      </c>
      <c r="BM662">
        <v>99.156400000000005</v>
      </c>
      <c r="BN662">
        <v>40.622399999999999</v>
      </c>
      <c r="BO662">
        <v>793.25120000000004</v>
      </c>
      <c r="BP662" t="s">
        <v>522</v>
      </c>
      <c r="BQ662">
        <v>1200</v>
      </c>
      <c r="BR662">
        <v>800</v>
      </c>
      <c r="BS662">
        <v>1030</v>
      </c>
      <c r="BT662">
        <v>8</v>
      </c>
      <c r="BU662">
        <v>0</v>
      </c>
      <c r="BV662">
        <v>8</v>
      </c>
      <c r="BW662">
        <v>144</v>
      </c>
      <c r="BX662">
        <v>0</v>
      </c>
      <c r="BY662">
        <v>144</v>
      </c>
      <c r="BZ662">
        <v>4032</v>
      </c>
      <c r="CA662">
        <v>0</v>
      </c>
      <c r="CB662">
        <v>4032</v>
      </c>
      <c r="CC662">
        <v>324.97919999999999</v>
      </c>
      <c r="CD662" t="s">
        <v>783</v>
      </c>
      <c r="CE662" t="s">
        <v>784</v>
      </c>
      <c r="CG662" t="s">
        <v>421</v>
      </c>
      <c r="CN662" t="str">
        <v>M19</v>
      </c>
      <c r="CO662" t="str">
        <v>1275-5YY0783EN</v>
      </c>
      <c r="CP662" t="str">
        <v>OOCU6799960</v>
      </c>
      <c r="CQ662" s="23">
        <v>396.62560000000002</v>
      </c>
      <c r="CR662" s="25">
        <f t="shared" si="28"/>
        <v>3.7898801473393487E-2</v>
      </c>
      <c r="CS662" s="21">
        <f t="shared" si="29"/>
        <v>94.747003683483712</v>
      </c>
    </row>
    <row r="663" spans="2:97" x14ac:dyDescent="0.35">
      <c r="B663" t="s">
        <v>299</v>
      </c>
      <c r="C663" t="s">
        <v>2414</v>
      </c>
      <c r="D663" t="s">
        <v>395</v>
      </c>
      <c r="E663" t="s">
        <v>395</v>
      </c>
      <c r="F663" t="s">
        <v>396</v>
      </c>
      <c r="G663" t="s">
        <v>397</v>
      </c>
      <c r="H663" t="s">
        <v>398</v>
      </c>
      <c r="I663" t="s">
        <v>399</v>
      </c>
      <c r="J663" t="s">
        <v>749</v>
      </c>
      <c r="K663" t="s">
        <v>777</v>
      </c>
      <c r="L663" t="s">
        <v>778</v>
      </c>
      <c r="M663" t="s">
        <v>403</v>
      </c>
      <c r="N663">
        <v>1</v>
      </c>
      <c r="O663">
        <v>1</v>
      </c>
      <c r="P663" t="s">
        <v>1372</v>
      </c>
      <c r="Q663" t="s">
        <v>637</v>
      </c>
      <c r="R663" t="s">
        <v>536</v>
      </c>
      <c r="S663" t="s">
        <v>1373</v>
      </c>
      <c r="T663" t="s">
        <v>408</v>
      </c>
      <c r="U663">
        <v>50950078246</v>
      </c>
      <c r="W663">
        <v>504</v>
      </c>
      <c r="X663" t="s">
        <v>409</v>
      </c>
      <c r="Y663" t="s">
        <v>410</v>
      </c>
      <c r="Z663" t="s">
        <v>410</v>
      </c>
      <c r="AA663" t="s">
        <v>411</v>
      </c>
      <c r="AB663" t="s">
        <v>554</v>
      </c>
      <c r="AC663" t="s">
        <v>411</v>
      </c>
      <c r="AD663">
        <v>46102</v>
      </c>
      <c r="AE663">
        <v>46160</v>
      </c>
      <c r="AF663">
        <v>46113</v>
      </c>
      <c r="AG663" t="s">
        <v>781</v>
      </c>
      <c r="AH663">
        <v>6158125</v>
      </c>
      <c r="AI663">
        <v>46106</v>
      </c>
      <c r="AJ663">
        <v>46107</v>
      </c>
      <c r="AK663">
        <v>504</v>
      </c>
      <c r="AL663" t="s">
        <v>396</v>
      </c>
      <c r="AM663" t="s">
        <v>2415</v>
      </c>
      <c r="AN663">
        <v>46107</v>
      </c>
      <c r="AO663">
        <v>46107.387974537036</v>
      </c>
      <c r="AP663" t="s">
        <v>51</v>
      </c>
      <c r="AQ663">
        <v>2.7070500000000002</v>
      </c>
      <c r="AR663">
        <v>1364.35</v>
      </c>
      <c r="AS663" t="s">
        <v>51</v>
      </c>
      <c r="AT663">
        <v>1364.35</v>
      </c>
      <c r="AU663" t="s">
        <v>415</v>
      </c>
      <c r="AV663" t="s">
        <v>1420</v>
      </c>
      <c r="AW663" t="s">
        <v>2363</v>
      </c>
      <c r="AX663">
        <v>46113</v>
      </c>
      <c r="AY663">
        <v>46162</v>
      </c>
      <c r="AZ663" t="s">
        <v>2410</v>
      </c>
      <c r="BA663" t="s">
        <v>560</v>
      </c>
      <c r="BB663" t="s">
        <v>2411</v>
      </c>
      <c r="BC663">
        <v>28</v>
      </c>
      <c r="BD663" t="s">
        <v>521</v>
      </c>
      <c r="BE663">
        <v>5.1753999999999998</v>
      </c>
      <c r="BF663">
        <v>3.3123999999999998</v>
      </c>
      <c r="BG663" t="s">
        <v>522</v>
      </c>
      <c r="BH663">
        <v>795</v>
      </c>
      <c r="BI663">
        <v>395</v>
      </c>
      <c r="BJ663">
        <v>145</v>
      </c>
      <c r="BK663">
        <v>18</v>
      </c>
      <c r="BL663" t="s">
        <v>521</v>
      </c>
      <c r="BM663">
        <v>118.1572</v>
      </c>
      <c r="BN663">
        <v>59.623199999999997</v>
      </c>
      <c r="BO663">
        <v>118.1572</v>
      </c>
      <c r="BP663" t="s">
        <v>522</v>
      </c>
      <c r="BQ663">
        <v>1200</v>
      </c>
      <c r="BR663">
        <v>800</v>
      </c>
      <c r="BS663">
        <v>1030</v>
      </c>
      <c r="BT663">
        <v>1</v>
      </c>
      <c r="BU663">
        <v>0</v>
      </c>
      <c r="BV663">
        <v>1</v>
      </c>
      <c r="BW663">
        <v>18</v>
      </c>
      <c r="BX663">
        <v>0</v>
      </c>
      <c r="BY663">
        <v>18</v>
      </c>
      <c r="BZ663">
        <v>504</v>
      </c>
      <c r="CA663">
        <v>0</v>
      </c>
      <c r="CB663">
        <v>504</v>
      </c>
      <c r="CC663">
        <v>59.623199999999997</v>
      </c>
      <c r="CD663" t="s">
        <v>783</v>
      </c>
      <c r="CE663" t="s">
        <v>784</v>
      </c>
      <c r="CG663" t="s">
        <v>421</v>
      </c>
      <c r="CN663" t="str">
        <v>M19</v>
      </c>
      <c r="CO663" t="str">
        <v>1275-5YY0685EN</v>
      </c>
      <c r="CP663" t="str">
        <v>OOCU6799960</v>
      </c>
      <c r="CQ663" s="23">
        <v>1248.096</v>
      </c>
      <c r="CR663" s="25">
        <f t="shared" si="28"/>
        <v>0.1192594288511294</v>
      </c>
      <c r="CS663" s="21">
        <f t="shared" si="29"/>
        <v>298.14857212782351</v>
      </c>
    </row>
    <row r="664" spans="2:97" x14ac:dyDescent="0.35">
      <c r="B664" t="s">
        <v>299</v>
      </c>
      <c r="C664" t="s">
        <v>2416</v>
      </c>
      <c r="D664" t="s">
        <v>395</v>
      </c>
      <c r="E664" t="s">
        <v>823</v>
      </c>
      <c r="F664" t="s">
        <v>396</v>
      </c>
      <c r="G664" t="s">
        <v>397</v>
      </c>
      <c r="H664" t="s">
        <v>398</v>
      </c>
      <c r="I664" t="s">
        <v>399</v>
      </c>
      <c r="J664" t="s">
        <v>749</v>
      </c>
      <c r="K664" t="s">
        <v>777</v>
      </c>
      <c r="L664" t="s">
        <v>778</v>
      </c>
      <c r="M664" t="s">
        <v>403</v>
      </c>
      <c r="N664">
        <v>1</v>
      </c>
      <c r="O664">
        <v>1</v>
      </c>
      <c r="P664" t="s">
        <v>2417</v>
      </c>
      <c r="Q664" t="s">
        <v>637</v>
      </c>
      <c r="R664" t="s">
        <v>536</v>
      </c>
      <c r="S664" t="s">
        <v>2418</v>
      </c>
      <c r="T664" t="s">
        <v>408</v>
      </c>
      <c r="U664">
        <v>50950079409</v>
      </c>
      <c r="W664">
        <v>1008</v>
      </c>
      <c r="X664" t="s">
        <v>409</v>
      </c>
      <c r="Y664" t="s">
        <v>410</v>
      </c>
      <c r="Z664" t="s">
        <v>410</v>
      </c>
      <c r="AA664" t="s">
        <v>411</v>
      </c>
      <c r="AB664" t="s">
        <v>412</v>
      </c>
      <c r="AC664" t="s">
        <v>411</v>
      </c>
      <c r="AD664">
        <v>46104</v>
      </c>
      <c r="AE664">
        <v>46160</v>
      </c>
      <c r="AF664">
        <v>46111</v>
      </c>
      <c r="AG664" t="s">
        <v>781</v>
      </c>
      <c r="AH664">
        <v>6159923</v>
      </c>
      <c r="AI664">
        <v>46107</v>
      </c>
      <c r="AJ664">
        <v>46107</v>
      </c>
      <c r="AK664">
        <v>1008</v>
      </c>
      <c r="AL664" t="s">
        <v>396</v>
      </c>
      <c r="AM664" t="s">
        <v>2419</v>
      </c>
      <c r="AN664">
        <v>46107</v>
      </c>
      <c r="AO664">
        <v>46107.629004629627</v>
      </c>
      <c r="AP664" t="s">
        <v>51</v>
      </c>
      <c r="AQ664">
        <v>2.5460099999999999</v>
      </c>
      <c r="AR664">
        <v>2566.38</v>
      </c>
      <c r="AS664" t="s">
        <v>51</v>
      </c>
      <c r="AT664">
        <v>2566.38</v>
      </c>
      <c r="AU664" t="s">
        <v>415</v>
      </c>
      <c r="AV664" t="s">
        <v>772</v>
      </c>
      <c r="AW664" t="s">
        <v>2217</v>
      </c>
      <c r="AX664">
        <v>46114</v>
      </c>
      <c r="AY664">
        <v>46163</v>
      </c>
      <c r="AZ664" t="s">
        <v>2218</v>
      </c>
      <c r="BA664" t="s">
        <v>2219</v>
      </c>
      <c r="BB664" t="s">
        <v>2220</v>
      </c>
      <c r="BC664">
        <v>28</v>
      </c>
      <c r="BD664" t="s">
        <v>521</v>
      </c>
      <c r="BE664">
        <v>4.8365999999999998</v>
      </c>
      <c r="BF664">
        <v>2.9735999999999998</v>
      </c>
      <c r="BG664" t="s">
        <v>522</v>
      </c>
      <c r="BH664">
        <v>795</v>
      </c>
      <c r="BI664">
        <v>395</v>
      </c>
      <c r="BJ664">
        <v>145</v>
      </c>
      <c r="BK664">
        <v>18</v>
      </c>
      <c r="BL664" t="s">
        <v>521</v>
      </c>
      <c r="BM664">
        <v>112.05880000000001</v>
      </c>
      <c r="BN664">
        <v>53.524799999999999</v>
      </c>
      <c r="BO664">
        <v>224.11760000000001</v>
      </c>
      <c r="BP664" t="s">
        <v>522</v>
      </c>
      <c r="BQ664">
        <v>1200</v>
      </c>
      <c r="BR664">
        <v>800</v>
      </c>
      <c r="BS664">
        <v>1030</v>
      </c>
      <c r="BT664">
        <v>2</v>
      </c>
      <c r="BU664">
        <v>0</v>
      </c>
      <c r="BV664">
        <v>2</v>
      </c>
      <c r="BW664">
        <v>36</v>
      </c>
      <c r="BX664">
        <v>0</v>
      </c>
      <c r="BY664">
        <v>36</v>
      </c>
      <c r="BZ664">
        <v>1008</v>
      </c>
      <c r="CA664">
        <v>0</v>
      </c>
      <c r="CB664">
        <v>1008</v>
      </c>
      <c r="CC664">
        <v>107.0496</v>
      </c>
      <c r="CD664" t="s">
        <v>783</v>
      </c>
      <c r="CE664" t="s">
        <v>784</v>
      </c>
      <c r="CG664" t="s">
        <v>421</v>
      </c>
      <c r="CN664" t="str">
        <v>M01</v>
      </c>
      <c r="CO664" t="str">
        <v>1277-1030069EN</v>
      </c>
      <c r="CP664" t="str">
        <v>OOCU6799960</v>
      </c>
      <c r="CQ664" s="23">
        <v>152.58000000000001</v>
      </c>
      <c r="CR664" s="25">
        <f t="shared" si="28"/>
        <v>1.4579490403066211E-2</v>
      </c>
      <c r="CS664" s="21">
        <f t="shared" si="29"/>
        <v>36.448726007665528</v>
      </c>
    </row>
    <row r="665" spans="2:97" x14ac:dyDescent="0.35">
      <c r="B665" t="s">
        <v>299</v>
      </c>
      <c r="C665" t="s">
        <v>2420</v>
      </c>
      <c r="D665" t="s">
        <v>395</v>
      </c>
      <c r="E665" t="s">
        <v>395</v>
      </c>
      <c r="F665" t="s">
        <v>396</v>
      </c>
      <c r="G665" t="s">
        <v>397</v>
      </c>
      <c r="H665" t="s">
        <v>398</v>
      </c>
      <c r="I665" t="s">
        <v>399</v>
      </c>
      <c r="J665" t="s">
        <v>749</v>
      </c>
      <c r="K665" t="s">
        <v>777</v>
      </c>
      <c r="L665" t="s">
        <v>778</v>
      </c>
      <c r="M665" t="s">
        <v>403</v>
      </c>
      <c r="N665">
        <v>1</v>
      </c>
      <c r="O665">
        <v>1</v>
      </c>
      <c r="P665" t="s">
        <v>1979</v>
      </c>
      <c r="Q665" t="s">
        <v>645</v>
      </c>
      <c r="R665" t="s">
        <v>536</v>
      </c>
      <c r="S665" t="s">
        <v>1980</v>
      </c>
      <c r="T665" t="s">
        <v>408</v>
      </c>
      <c r="U665">
        <v>50950081001</v>
      </c>
      <c r="W665">
        <v>2016</v>
      </c>
      <c r="X665" t="s">
        <v>409</v>
      </c>
      <c r="Y665" t="s">
        <v>410</v>
      </c>
      <c r="Z665" t="s">
        <v>410</v>
      </c>
      <c r="AA665" t="s">
        <v>411</v>
      </c>
      <c r="AB665" t="s">
        <v>554</v>
      </c>
      <c r="AC665" t="s">
        <v>411</v>
      </c>
      <c r="AD665">
        <v>46102</v>
      </c>
      <c r="AE665">
        <v>46160</v>
      </c>
      <c r="AF665">
        <v>46113</v>
      </c>
      <c r="AG665" t="s">
        <v>781</v>
      </c>
      <c r="AH665">
        <v>6158126</v>
      </c>
      <c r="AI665">
        <v>46106</v>
      </c>
      <c r="AJ665">
        <v>46107</v>
      </c>
      <c r="AK665">
        <v>2016</v>
      </c>
      <c r="AL665" t="s">
        <v>396</v>
      </c>
      <c r="AM665" t="s">
        <v>2421</v>
      </c>
      <c r="AN665">
        <v>46107</v>
      </c>
      <c r="AO665">
        <v>46107.387974537036</v>
      </c>
      <c r="AP665" t="s">
        <v>51</v>
      </c>
      <c r="AQ665">
        <v>3.3850699999999998</v>
      </c>
      <c r="AR665">
        <v>6824.32</v>
      </c>
      <c r="AS665" t="s">
        <v>51</v>
      </c>
      <c r="AT665">
        <v>6824.32</v>
      </c>
      <c r="AU665" t="s">
        <v>415</v>
      </c>
      <c r="AV665" t="s">
        <v>1420</v>
      </c>
      <c r="AW665" t="s">
        <v>2363</v>
      </c>
      <c r="AX665">
        <v>46113</v>
      </c>
      <c r="AY665">
        <v>46162</v>
      </c>
      <c r="AZ665" t="s">
        <v>2410</v>
      </c>
      <c r="BA665" t="s">
        <v>560</v>
      </c>
      <c r="BB665" t="s">
        <v>2411</v>
      </c>
      <c r="BC665">
        <v>28</v>
      </c>
      <c r="BD665" t="s">
        <v>521</v>
      </c>
      <c r="BE665">
        <v>5.9733999999999998</v>
      </c>
      <c r="BF665">
        <v>4.1104000000000003</v>
      </c>
      <c r="BG665" t="s">
        <v>522</v>
      </c>
      <c r="BH665">
        <v>795</v>
      </c>
      <c r="BI665">
        <v>395</v>
      </c>
      <c r="BJ665">
        <v>145</v>
      </c>
      <c r="BK665">
        <v>18</v>
      </c>
      <c r="BL665" t="s">
        <v>521</v>
      </c>
      <c r="BM665">
        <v>132.52119999999999</v>
      </c>
      <c r="BN665">
        <v>73.987200000000001</v>
      </c>
      <c r="BO665">
        <v>530.08479999999997</v>
      </c>
      <c r="BP665" t="s">
        <v>522</v>
      </c>
      <c r="BQ665">
        <v>1200</v>
      </c>
      <c r="BR665">
        <v>800</v>
      </c>
      <c r="BS665">
        <v>1030</v>
      </c>
      <c r="BT665">
        <v>4</v>
      </c>
      <c r="BU665">
        <v>0</v>
      </c>
      <c r="BV665">
        <v>4</v>
      </c>
      <c r="BW665">
        <v>72</v>
      </c>
      <c r="BX665">
        <v>0</v>
      </c>
      <c r="BY665">
        <v>72</v>
      </c>
      <c r="BZ665">
        <v>2016</v>
      </c>
      <c r="CA665">
        <v>0</v>
      </c>
      <c r="CB665">
        <v>2016</v>
      </c>
      <c r="CC665">
        <v>295.94880000000001</v>
      </c>
      <c r="CD665" t="s">
        <v>783</v>
      </c>
      <c r="CE665" t="s">
        <v>784</v>
      </c>
      <c r="CG665" t="s">
        <v>421</v>
      </c>
      <c r="CN665" t="str">
        <v>M19</v>
      </c>
      <c r="CO665" t="str">
        <v>1330-5YY0256EN</v>
      </c>
      <c r="CP665" t="str">
        <v>OOCU6799960</v>
      </c>
      <c r="CQ665" s="23">
        <v>651.00599999999997</v>
      </c>
      <c r="CR665" s="25">
        <f t="shared" si="28"/>
        <v>6.2205634613570066E-2</v>
      </c>
      <c r="CS665" s="21">
        <f t="shared" si="29"/>
        <v>155.51408653392517</v>
      </c>
    </row>
    <row r="666" spans="2:97" x14ac:dyDescent="0.35">
      <c r="B666" t="s">
        <v>296</v>
      </c>
      <c r="C666" t="s">
        <v>2368</v>
      </c>
      <c r="D666" t="s">
        <v>395</v>
      </c>
      <c r="E666" t="s">
        <v>395</v>
      </c>
      <c r="F666" t="s">
        <v>396</v>
      </c>
      <c r="G666" t="s">
        <v>397</v>
      </c>
      <c r="H666" t="s">
        <v>398</v>
      </c>
      <c r="I666" t="s">
        <v>399</v>
      </c>
      <c r="J666" t="s">
        <v>749</v>
      </c>
      <c r="K666" t="s">
        <v>629</v>
      </c>
      <c r="L666" t="s">
        <v>787</v>
      </c>
      <c r="M666" t="s">
        <v>403</v>
      </c>
      <c r="N666">
        <v>1</v>
      </c>
      <c r="O666">
        <v>2</v>
      </c>
      <c r="P666" t="s">
        <v>881</v>
      </c>
      <c r="Q666" t="s">
        <v>645</v>
      </c>
      <c r="R666" t="s">
        <v>882</v>
      </c>
      <c r="S666" t="s">
        <v>883</v>
      </c>
      <c r="T666" t="s">
        <v>408</v>
      </c>
      <c r="U666">
        <v>50950079647</v>
      </c>
      <c r="W666">
        <v>19800</v>
      </c>
      <c r="X666" t="s">
        <v>409</v>
      </c>
      <c r="Y666" t="s">
        <v>410</v>
      </c>
      <c r="Z666" t="s">
        <v>410</v>
      </c>
      <c r="AA666" t="s">
        <v>411</v>
      </c>
      <c r="AB666" t="s">
        <v>554</v>
      </c>
      <c r="AC666" t="s">
        <v>411</v>
      </c>
      <c r="AD666">
        <v>46104</v>
      </c>
      <c r="AE666">
        <v>46195</v>
      </c>
      <c r="AF666">
        <v>46113</v>
      </c>
      <c r="AG666" t="s">
        <v>754</v>
      </c>
      <c r="AH666">
        <v>6158127</v>
      </c>
      <c r="AI666">
        <v>46106</v>
      </c>
      <c r="AJ666">
        <v>46107</v>
      </c>
      <c r="AK666">
        <v>19800</v>
      </c>
      <c r="AL666" t="s">
        <v>396</v>
      </c>
      <c r="AM666" t="s">
        <v>2422</v>
      </c>
      <c r="AN666">
        <v>46107</v>
      </c>
      <c r="AO666">
        <v>46107.387974537036</v>
      </c>
      <c r="AP666" t="s">
        <v>51</v>
      </c>
      <c r="AQ666">
        <v>0.19572000000000001</v>
      </c>
      <c r="AR666">
        <v>3875.25</v>
      </c>
      <c r="AS666" t="s">
        <v>51</v>
      </c>
      <c r="AT666">
        <v>3875.25</v>
      </c>
      <c r="AU666" t="s">
        <v>415</v>
      </c>
      <c r="AV666" t="s">
        <v>1420</v>
      </c>
      <c r="AW666" t="s">
        <v>2363</v>
      </c>
      <c r="AX666">
        <v>46113</v>
      </c>
      <c r="AY666">
        <v>46162</v>
      </c>
      <c r="AZ666" t="s">
        <v>2410</v>
      </c>
      <c r="BA666" t="s">
        <v>560</v>
      </c>
      <c r="BB666" t="s">
        <v>2411</v>
      </c>
      <c r="BC666">
        <v>264</v>
      </c>
      <c r="BD666" t="s">
        <v>521</v>
      </c>
      <c r="BE666">
        <v>5.2203999999999997</v>
      </c>
      <c r="BF666">
        <v>3.8304</v>
      </c>
      <c r="BG666" t="s">
        <v>522</v>
      </c>
      <c r="BH666">
        <v>595</v>
      </c>
      <c r="BI666">
        <v>395</v>
      </c>
      <c r="BJ666">
        <v>175</v>
      </c>
      <c r="BK666">
        <v>25</v>
      </c>
      <c r="BL666" t="s">
        <v>521</v>
      </c>
      <c r="BM666">
        <v>157.51</v>
      </c>
      <c r="BN666">
        <v>95.76</v>
      </c>
      <c r="BO666">
        <v>472.52820000000003</v>
      </c>
      <c r="BP666" t="s">
        <v>522</v>
      </c>
      <c r="BQ666">
        <v>1200</v>
      </c>
      <c r="BR666">
        <v>1000</v>
      </c>
      <c r="BS666">
        <v>1035</v>
      </c>
      <c r="BT666">
        <v>3</v>
      </c>
      <c r="BU666">
        <v>0</v>
      </c>
      <c r="BV666">
        <v>3</v>
      </c>
      <c r="BW666">
        <v>75</v>
      </c>
      <c r="BX666">
        <v>0</v>
      </c>
      <c r="BY666">
        <v>75</v>
      </c>
      <c r="BZ666">
        <v>19800</v>
      </c>
      <c r="CA666">
        <v>0</v>
      </c>
      <c r="CB666">
        <v>19800</v>
      </c>
      <c r="CC666">
        <v>287.27820000000003</v>
      </c>
      <c r="CD666" t="s">
        <v>885</v>
      </c>
      <c r="CE666" t="s">
        <v>886</v>
      </c>
      <c r="CG666" t="s">
        <v>421</v>
      </c>
      <c r="CN666" t="str">
        <v>M19</v>
      </c>
      <c r="CO666" t="str">
        <v>1330-5YY0167EN</v>
      </c>
      <c r="CP666" t="str">
        <v>OOCU6799960</v>
      </c>
      <c r="CQ666" s="23">
        <v>1051.3656000000001</v>
      </c>
      <c r="CR666" s="25">
        <f t="shared" si="28"/>
        <v>0.10046123132333169</v>
      </c>
      <c r="CS666" s="21">
        <f t="shared" si="29"/>
        <v>251.15307830832924</v>
      </c>
    </row>
    <row r="667" spans="2:97" x14ac:dyDescent="0.35">
      <c r="B667" t="s">
        <v>296</v>
      </c>
      <c r="C667" t="s">
        <v>2423</v>
      </c>
      <c r="D667" t="s">
        <v>395</v>
      </c>
      <c r="E667" t="s">
        <v>395</v>
      </c>
      <c r="F667" t="s">
        <v>396</v>
      </c>
      <c r="G667" t="s">
        <v>397</v>
      </c>
      <c r="H667" t="s">
        <v>398</v>
      </c>
      <c r="I667" t="s">
        <v>399</v>
      </c>
      <c r="J667" t="s">
        <v>749</v>
      </c>
      <c r="K667" t="s">
        <v>629</v>
      </c>
      <c r="L667" t="s">
        <v>787</v>
      </c>
      <c r="M667" t="s">
        <v>403</v>
      </c>
      <c r="N667">
        <v>1</v>
      </c>
      <c r="O667">
        <v>1</v>
      </c>
      <c r="P667" t="s">
        <v>802</v>
      </c>
      <c r="Q667" t="s">
        <v>405</v>
      </c>
      <c r="R667" t="s">
        <v>803</v>
      </c>
      <c r="S667" t="s">
        <v>804</v>
      </c>
      <c r="T667" t="s">
        <v>408</v>
      </c>
      <c r="U667">
        <v>50950079999</v>
      </c>
      <c r="W667">
        <v>34560</v>
      </c>
      <c r="X667" t="s">
        <v>409</v>
      </c>
      <c r="Y667" t="s">
        <v>410</v>
      </c>
      <c r="Z667" t="s">
        <v>410</v>
      </c>
      <c r="AA667" t="s">
        <v>411</v>
      </c>
      <c r="AB667" t="s">
        <v>554</v>
      </c>
      <c r="AC667" t="s">
        <v>411</v>
      </c>
      <c r="AD667">
        <v>46111</v>
      </c>
      <c r="AE667">
        <v>46160</v>
      </c>
      <c r="AF667">
        <v>46113</v>
      </c>
      <c r="AG667" t="s">
        <v>754</v>
      </c>
      <c r="AH667">
        <v>6158128</v>
      </c>
      <c r="AI667">
        <v>46106</v>
      </c>
      <c r="AJ667">
        <v>46107</v>
      </c>
      <c r="AK667">
        <v>34560</v>
      </c>
      <c r="AL667" t="s">
        <v>396</v>
      </c>
      <c r="AM667" t="s">
        <v>2424</v>
      </c>
      <c r="AN667">
        <v>46107</v>
      </c>
      <c r="AO667">
        <v>46107.387974537036</v>
      </c>
      <c r="AP667" t="s">
        <v>51</v>
      </c>
      <c r="AQ667">
        <v>0.30101</v>
      </c>
      <c r="AR667">
        <v>10402.9</v>
      </c>
      <c r="AS667" t="s">
        <v>51</v>
      </c>
      <c r="AT667">
        <v>10402.9</v>
      </c>
      <c r="AU667" t="s">
        <v>415</v>
      </c>
      <c r="AV667" t="s">
        <v>1420</v>
      </c>
      <c r="AW667" t="s">
        <v>2363</v>
      </c>
      <c r="AX667">
        <v>46113</v>
      </c>
      <c r="AY667">
        <v>46162</v>
      </c>
      <c r="AZ667" t="s">
        <v>2410</v>
      </c>
      <c r="BA667" t="s">
        <v>560</v>
      </c>
      <c r="BB667" t="s">
        <v>2411</v>
      </c>
      <c r="BC667">
        <v>288</v>
      </c>
      <c r="BD667" t="s">
        <v>521</v>
      </c>
      <c r="BE667">
        <v>13.2311</v>
      </c>
      <c r="BF667">
        <v>11.8161</v>
      </c>
      <c r="BG667" t="s">
        <v>522</v>
      </c>
      <c r="BH667">
        <v>395</v>
      </c>
      <c r="BI667">
        <v>295</v>
      </c>
      <c r="BJ667">
        <v>160</v>
      </c>
      <c r="BK667">
        <v>60</v>
      </c>
      <c r="BL667" t="s">
        <v>521</v>
      </c>
      <c r="BM667">
        <v>820.86599999999999</v>
      </c>
      <c r="BN667">
        <v>708.96600000000001</v>
      </c>
      <c r="BO667">
        <v>1641.72768</v>
      </c>
      <c r="BP667" t="s">
        <v>522</v>
      </c>
      <c r="BQ667">
        <v>1200</v>
      </c>
      <c r="BR667">
        <v>1000</v>
      </c>
      <c r="BS667">
        <v>1120</v>
      </c>
      <c r="BT667">
        <v>2</v>
      </c>
      <c r="BU667">
        <v>0</v>
      </c>
      <c r="BV667">
        <v>2</v>
      </c>
      <c r="BW667">
        <v>120</v>
      </c>
      <c r="BX667">
        <v>0</v>
      </c>
      <c r="BY667">
        <v>120</v>
      </c>
      <c r="BZ667">
        <v>34560</v>
      </c>
      <c r="CA667">
        <v>0</v>
      </c>
      <c r="CB667">
        <v>34560</v>
      </c>
      <c r="CC667">
        <v>1417.92768</v>
      </c>
      <c r="CD667" t="s">
        <v>806</v>
      </c>
      <c r="CE667" t="s">
        <v>807</v>
      </c>
      <c r="CG667" t="s">
        <v>421</v>
      </c>
      <c r="CN667" t="str">
        <v>M19</v>
      </c>
      <c r="CO667" t="str">
        <v>1301-5YY0322EN0093</v>
      </c>
      <c r="CP667" t="str">
        <v>OOCU6799960</v>
      </c>
      <c r="CQ667" s="23">
        <v>2673.5093999999999</v>
      </c>
      <c r="CR667" s="25">
        <f t="shared" si="28"/>
        <v>0.25546208310268254</v>
      </c>
      <c r="CS667" s="21">
        <f t="shared" si="29"/>
        <v>638.65520775670632</v>
      </c>
    </row>
    <row r="668" spans="2:97" x14ac:dyDescent="0.35">
      <c r="B668" t="s">
        <v>299</v>
      </c>
      <c r="C668" t="s">
        <v>1380</v>
      </c>
      <c r="D668" t="s">
        <v>965</v>
      </c>
      <c r="E668" t="s">
        <v>395</v>
      </c>
      <c r="F668" t="s">
        <v>396</v>
      </c>
      <c r="G668" t="s">
        <v>397</v>
      </c>
      <c r="H668" t="s">
        <v>398</v>
      </c>
      <c r="I668" t="s">
        <v>399</v>
      </c>
      <c r="J668" t="s">
        <v>749</v>
      </c>
      <c r="K668" t="s">
        <v>809</v>
      </c>
      <c r="L668" t="s">
        <v>787</v>
      </c>
      <c r="M668" t="s">
        <v>403</v>
      </c>
      <c r="N668">
        <v>1</v>
      </c>
      <c r="O668">
        <v>16</v>
      </c>
      <c r="P668" t="s">
        <v>810</v>
      </c>
      <c r="Q668" t="s">
        <v>405</v>
      </c>
      <c r="R668" t="s">
        <v>811</v>
      </c>
      <c r="S668" t="s">
        <v>812</v>
      </c>
      <c r="T668" t="s">
        <v>408</v>
      </c>
      <c r="U668">
        <v>50950080270</v>
      </c>
      <c r="W668">
        <v>3360</v>
      </c>
      <c r="X668" t="s">
        <v>409</v>
      </c>
      <c r="Y668" t="s">
        <v>410</v>
      </c>
      <c r="Z668" t="s">
        <v>410</v>
      </c>
      <c r="AA668" t="s">
        <v>411</v>
      </c>
      <c r="AB668" t="s">
        <v>554</v>
      </c>
      <c r="AC668" t="s">
        <v>411</v>
      </c>
      <c r="AD668">
        <v>46102</v>
      </c>
      <c r="AE668">
        <v>46125</v>
      </c>
      <c r="AF668">
        <v>46113</v>
      </c>
      <c r="AG668" t="s">
        <v>754</v>
      </c>
      <c r="AH668">
        <v>6158129</v>
      </c>
      <c r="AI668">
        <v>46106</v>
      </c>
      <c r="AJ668">
        <v>46107</v>
      </c>
      <c r="AK668">
        <v>3360</v>
      </c>
      <c r="AL668" t="s">
        <v>396</v>
      </c>
      <c r="AM668" t="s">
        <v>2425</v>
      </c>
      <c r="AN668">
        <v>46107</v>
      </c>
      <c r="AO668">
        <v>46107.387974537036</v>
      </c>
      <c r="AP668" t="s">
        <v>51</v>
      </c>
      <c r="AQ668">
        <v>1.96204</v>
      </c>
      <c r="AR668">
        <v>6592.46</v>
      </c>
      <c r="AS668" t="s">
        <v>51</v>
      </c>
      <c r="AT668">
        <v>6592.46</v>
      </c>
      <c r="AU668" t="s">
        <v>415</v>
      </c>
      <c r="AV668" t="s">
        <v>1420</v>
      </c>
      <c r="AW668" t="s">
        <v>2363</v>
      </c>
      <c r="AX668">
        <v>46113</v>
      </c>
      <c r="AY668">
        <v>46162</v>
      </c>
      <c r="AZ668" t="s">
        <v>2410</v>
      </c>
      <c r="BA668" t="s">
        <v>560</v>
      </c>
      <c r="BB668" t="s">
        <v>2411</v>
      </c>
      <c r="BC668">
        <v>16</v>
      </c>
      <c r="BD668" t="s">
        <v>521</v>
      </c>
      <c r="BE668">
        <v>4.9545000000000003</v>
      </c>
      <c r="BF668">
        <v>3.7555000000000001</v>
      </c>
      <c r="BG668" t="s">
        <v>522</v>
      </c>
      <c r="BH668">
        <v>495</v>
      </c>
      <c r="BI668">
        <v>395</v>
      </c>
      <c r="BJ668">
        <v>190</v>
      </c>
      <c r="BK668">
        <v>30</v>
      </c>
      <c r="BL668" t="s">
        <v>521</v>
      </c>
      <c r="BM668">
        <v>175.63499999999999</v>
      </c>
      <c r="BN668">
        <v>112.66500000000001</v>
      </c>
      <c r="BO668">
        <v>1229.4492</v>
      </c>
      <c r="BP668" t="s">
        <v>522</v>
      </c>
      <c r="BQ668">
        <v>1200</v>
      </c>
      <c r="BR668">
        <v>1000</v>
      </c>
      <c r="BS668">
        <v>1120</v>
      </c>
      <c r="BT668">
        <v>7</v>
      </c>
      <c r="BU668">
        <v>0</v>
      </c>
      <c r="BV668">
        <v>7</v>
      </c>
      <c r="BW668">
        <v>210</v>
      </c>
      <c r="BX668">
        <v>0</v>
      </c>
      <c r="BY668">
        <v>210</v>
      </c>
      <c r="BZ668">
        <v>3360</v>
      </c>
      <c r="CA668">
        <v>0</v>
      </c>
      <c r="CB668">
        <v>3360</v>
      </c>
      <c r="CC668">
        <v>788.65920000000006</v>
      </c>
      <c r="CD668" t="s">
        <v>806</v>
      </c>
      <c r="CE668" t="s">
        <v>816</v>
      </c>
      <c r="CG668" t="s">
        <v>421</v>
      </c>
      <c r="CN668" t="str">
        <v>M19</v>
      </c>
      <c r="CO668" t="str">
        <v>1301-5YY0306EN0093</v>
      </c>
      <c r="CP668" t="str">
        <v>OOCU6799960</v>
      </c>
      <c r="CQ668" s="23">
        <v>1480.21884</v>
      </c>
      <c r="CR668" s="25">
        <f t="shared" si="28"/>
        <v>0.14143948336753046</v>
      </c>
      <c r="CS668" s="21">
        <f t="shared" si="29"/>
        <v>353.59870841882616</v>
      </c>
    </row>
    <row r="669" spans="2:97" x14ac:dyDescent="0.35">
      <c r="B669" t="s">
        <v>299</v>
      </c>
      <c r="C669" t="s">
        <v>1937</v>
      </c>
      <c r="D669" t="s">
        <v>395</v>
      </c>
      <c r="E669" t="s">
        <v>395</v>
      </c>
      <c r="F669" t="s">
        <v>396</v>
      </c>
      <c r="G669" t="s">
        <v>397</v>
      </c>
      <c r="H669" t="s">
        <v>398</v>
      </c>
      <c r="I669" t="s">
        <v>399</v>
      </c>
      <c r="J669" t="s">
        <v>749</v>
      </c>
      <c r="K669" t="s">
        <v>809</v>
      </c>
      <c r="L669" t="s">
        <v>787</v>
      </c>
      <c r="M669" t="s">
        <v>403</v>
      </c>
      <c r="N669">
        <v>1</v>
      </c>
      <c r="O669">
        <v>9</v>
      </c>
      <c r="P669" t="s">
        <v>818</v>
      </c>
      <c r="Q669" t="s">
        <v>430</v>
      </c>
      <c r="R669" t="s">
        <v>811</v>
      </c>
      <c r="S669" t="s">
        <v>819</v>
      </c>
      <c r="T669" t="s">
        <v>408</v>
      </c>
      <c r="U669">
        <v>50950080296</v>
      </c>
      <c r="W669">
        <v>1440</v>
      </c>
      <c r="X669" t="s">
        <v>409</v>
      </c>
      <c r="Y669" t="s">
        <v>410</v>
      </c>
      <c r="Z669" t="s">
        <v>410</v>
      </c>
      <c r="AA669" t="s">
        <v>411</v>
      </c>
      <c r="AB669" t="s">
        <v>554</v>
      </c>
      <c r="AC669" t="s">
        <v>411</v>
      </c>
      <c r="AD669">
        <v>46102</v>
      </c>
      <c r="AE669">
        <v>46132</v>
      </c>
      <c r="AF669">
        <v>46113</v>
      </c>
      <c r="AG669" t="s">
        <v>754</v>
      </c>
      <c r="AH669">
        <v>6158130</v>
      </c>
      <c r="AI669">
        <v>46106</v>
      </c>
      <c r="AJ669">
        <v>46107</v>
      </c>
      <c r="AK669">
        <v>1440</v>
      </c>
      <c r="AL669" t="s">
        <v>396</v>
      </c>
      <c r="AM669" t="s">
        <v>2426</v>
      </c>
      <c r="AN669">
        <v>46107</v>
      </c>
      <c r="AO669">
        <v>46107.387974537036</v>
      </c>
      <c r="AP669" t="s">
        <v>51</v>
      </c>
      <c r="AQ669">
        <v>1.20448</v>
      </c>
      <c r="AR669">
        <v>1734.45</v>
      </c>
      <c r="AS669" t="s">
        <v>51</v>
      </c>
      <c r="AT669">
        <v>1734.45</v>
      </c>
      <c r="AU669" t="s">
        <v>415</v>
      </c>
      <c r="AV669" t="s">
        <v>1420</v>
      </c>
      <c r="AW669" t="s">
        <v>2363</v>
      </c>
      <c r="AX669">
        <v>46113</v>
      </c>
      <c r="AY669">
        <v>46162</v>
      </c>
      <c r="AZ669" t="s">
        <v>2410</v>
      </c>
      <c r="BA669" t="s">
        <v>560</v>
      </c>
      <c r="BB669" t="s">
        <v>2411</v>
      </c>
      <c r="BC669">
        <v>48</v>
      </c>
      <c r="BD669" t="s">
        <v>521</v>
      </c>
      <c r="BE669">
        <v>7.6898999999999997</v>
      </c>
      <c r="BF669">
        <v>6.2298999999999998</v>
      </c>
      <c r="BG669" t="s">
        <v>522</v>
      </c>
      <c r="BH669">
        <v>495</v>
      </c>
      <c r="BI669">
        <v>395</v>
      </c>
      <c r="BJ669">
        <v>190</v>
      </c>
      <c r="BK669">
        <v>30</v>
      </c>
      <c r="BL669" t="s">
        <v>521</v>
      </c>
      <c r="BM669">
        <v>257.69760000000002</v>
      </c>
      <c r="BN669">
        <v>186.89760000000001</v>
      </c>
      <c r="BO669">
        <v>257.69760000000002</v>
      </c>
      <c r="BP669" t="s">
        <v>522</v>
      </c>
      <c r="BQ669">
        <v>1200</v>
      </c>
      <c r="BR669">
        <v>1000</v>
      </c>
      <c r="BS669">
        <v>1120</v>
      </c>
      <c r="BT669">
        <v>1</v>
      </c>
      <c r="BU669">
        <v>0</v>
      </c>
      <c r="BV669">
        <v>1</v>
      </c>
      <c r="BW669">
        <v>30</v>
      </c>
      <c r="BX669">
        <v>0</v>
      </c>
      <c r="BY669">
        <v>30</v>
      </c>
      <c r="BZ669">
        <v>1440</v>
      </c>
      <c r="CA669">
        <v>0</v>
      </c>
      <c r="CB669">
        <v>1440</v>
      </c>
      <c r="CC669">
        <v>186.89760000000001</v>
      </c>
      <c r="CD669" t="s">
        <v>806</v>
      </c>
      <c r="CE669" t="s">
        <v>821</v>
      </c>
      <c r="CG669" t="s">
        <v>421</v>
      </c>
      <c r="CN669" t="str">
        <v>M19</v>
      </c>
      <c r="CO669" t="str">
        <v>1301-5YY0306EN0093</v>
      </c>
      <c r="CP669" t="str">
        <v>OOCU6799960</v>
      </c>
      <c r="CQ669" s="23">
        <v>986.81255999999996</v>
      </c>
      <c r="CR669" s="25">
        <f t="shared" si="28"/>
        <v>9.429298891168697E-2</v>
      </c>
      <c r="CS669" s="21">
        <f t="shared" si="29"/>
        <v>235.73247227921743</v>
      </c>
    </row>
    <row r="670" spans="2:97" x14ac:dyDescent="0.35">
      <c r="B670" t="s">
        <v>297</v>
      </c>
      <c r="C670" t="s">
        <v>2427</v>
      </c>
      <c r="D670" t="s">
        <v>395</v>
      </c>
      <c r="E670" t="s">
        <v>395</v>
      </c>
      <c r="F670" t="s">
        <v>396</v>
      </c>
      <c r="G670" t="s">
        <v>397</v>
      </c>
      <c r="H670" t="s">
        <v>398</v>
      </c>
      <c r="I670" t="s">
        <v>399</v>
      </c>
      <c r="J670" t="s">
        <v>749</v>
      </c>
      <c r="K670" t="s">
        <v>629</v>
      </c>
      <c r="L670" t="s">
        <v>787</v>
      </c>
      <c r="M670" t="s">
        <v>403</v>
      </c>
      <c r="N670">
        <v>1</v>
      </c>
      <c r="O670">
        <v>1</v>
      </c>
      <c r="P670" t="s">
        <v>1002</v>
      </c>
      <c r="Q670" t="s">
        <v>424</v>
      </c>
      <c r="R670" t="s">
        <v>1003</v>
      </c>
      <c r="S670" t="s">
        <v>1004</v>
      </c>
      <c r="T670" t="s">
        <v>408</v>
      </c>
      <c r="U670">
        <v>50950080516</v>
      </c>
      <c r="W670">
        <v>8000</v>
      </c>
      <c r="X670" t="s">
        <v>409</v>
      </c>
      <c r="Y670" t="s">
        <v>410</v>
      </c>
      <c r="Z670" t="s">
        <v>410</v>
      </c>
      <c r="AA670" t="s">
        <v>411</v>
      </c>
      <c r="AB670" t="s">
        <v>412</v>
      </c>
      <c r="AC670" t="s">
        <v>411</v>
      </c>
      <c r="AD670">
        <v>46102</v>
      </c>
      <c r="AE670">
        <v>46160</v>
      </c>
      <c r="AF670">
        <v>46111</v>
      </c>
      <c r="AG670" t="s">
        <v>754</v>
      </c>
      <c r="AH670">
        <v>6159924</v>
      </c>
      <c r="AI670">
        <v>46107</v>
      </c>
      <c r="AJ670">
        <v>46107</v>
      </c>
      <c r="AK670">
        <v>8000</v>
      </c>
      <c r="AL670" t="s">
        <v>396</v>
      </c>
      <c r="AM670" t="s">
        <v>2428</v>
      </c>
      <c r="AN670">
        <v>46107</v>
      </c>
      <c r="AO670">
        <v>46107.629004629627</v>
      </c>
      <c r="AP670" t="s">
        <v>51</v>
      </c>
      <c r="AQ670">
        <v>1.627E-2</v>
      </c>
      <c r="AR670">
        <v>130.16</v>
      </c>
      <c r="AS670" t="s">
        <v>51</v>
      </c>
      <c r="AT670">
        <v>130.16</v>
      </c>
      <c r="AU670" t="s">
        <v>415</v>
      </c>
      <c r="AV670" t="s">
        <v>772</v>
      </c>
      <c r="AW670" t="s">
        <v>2217</v>
      </c>
      <c r="AX670">
        <v>46114</v>
      </c>
      <c r="AY670">
        <v>46163</v>
      </c>
      <c r="AZ670" t="s">
        <v>2218</v>
      </c>
      <c r="BA670" t="s">
        <v>2219</v>
      </c>
      <c r="BB670" t="s">
        <v>2220</v>
      </c>
      <c r="BC670">
        <v>4000</v>
      </c>
      <c r="BD670" t="s">
        <v>521</v>
      </c>
      <c r="BE670">
        <v>3.927</v>
      </c>
      <c r="BF670">
        <v>3.2480000000000002</v>
      </c>
      <c r="BG670" t="s">
        <v>522</v>
      </c>
      <c r="BH670">
        <v>395</v>
      </c>
      <c r="BI670">
        <v>295</v>
      </c>
      <c r="BJ670">
        <v>174</v>
      </c>
      <c r="BK670">
        <v>40</v>
      </c>
      <c r="BL670" t="s">
        <v>521</v>
      </c>
      <c r="BM670">
        <v>32.853999999999999</v>
      </c>
      <c r="BN670">
        <v>6.4960000000000004</v>
      </c>
      <c r="BO670">
        <v>32.853999999999999</v>
      </c>
      <c r="BP670" t="s">
        <v>522</v>
      </c>
      <c r="BQ670">
        <v>1200</v>
      </c>
      <c r="BR670">
        <v>800</v>
      </c>
      <c r="BS670">
        <v>1030</v>
      </c>
      <c r="BT670">
        <v>0</v>
      </c>
      <c r="BU670">
        <v>1</v>
      </c>
      <c r="BV670">
        <v>1</v>
      </c>
      <c r="BW670">
        <v>2</v>
      </c>
      <c r="BX670">
        <v>0</v>
      </c>
      <c r="BY670">
        <v>2</v>
      </c>
      <c r="BZ670">
        <v>0</v>
      </c>
      <c r="CA670">
        <v>8000</v>
      </c>
      <c r="CB670">
        <v>8000</v>
      </c>
      <c r="CC670">
        <v>6.4960000000000004</v>
      </c>
      <c r="CD670" t="s">
        <v>783</v>
      </c>
      <c r="CE670" t="s">
        <v>1006</v>
      </c>
      <c r="CG670" t="s">
        <v>421</v>
      </c>
      <c r="CN670" t="str">
        <v>M19</v>
      </c>
      <c r="CO670" t="str">
        <v>1330-5YY0251EN</v>
      </c>
      <c r="CP670" t="str">
        <v>OOCU6799960</v>
      </c>
      <c r="CQ670" s="23">
        <v>1306.0209600000001</v>
      </c>
      <c r="CR670" s="25">
        <f t="shared" si="28"/>
        <v>0.12479433774101009</v>
      </c>
      <c r="CS670" s="21">
        <f t="shared" si="29"/>
        <v>311.98584435252525</v>
      </c>
    </row>
    <row r="671" spans="2:97" x14ac:dyDescent="0.35">
      <c r="B671" t="s">
        <v>297</v>
      </c>
      <c r="C671" t="s">
        <v>1382</v>
      </c>
      <c r="D671" t="s">
        <v>395</v>
      </c>
      <c r="E671" t="s">
        <v>395</v>
      </c>
      <c r="F671" t="s">
        <v>396</v>
      </c>
      <c r="G671" t="s">
        <v>397</v>
      </c>
      <c r="H671" t="s">
        <v>398</v>
      </c>
      <c r="I671" t="s">
        <v>399</v>
      </c>
      <c r="J671" t="s">
        <v>749</v>
      </c>
      <c r="K671" t="s">
        <v>1142</v>
      </c>
      <c r="L671" t="s">
        <v>787</v>
      </c>
      <c r="M671" t="s">
        <v>403</v>
      </c>
      <c r="N671">
        <v>9</v>
      </c>
      <c r="O671">
        <v>1</v>
      </c>
      <c r="P671" t="s">
        <v>1383</v>
      </c>
      <c r="Q671" t="s">
        <v>430</v>
      </c>
      <c r="R671" t="s">
        <v>1384</v>
      </c>
      <c r="S671" t="s">
        <v>1385</v>
      </c>
      <c r="T671" t="s">
        <v>408</v>
      </c>
      <c r="U671">
        <v>50950080797</v>
      </c>
      <c r="W671">
        <v>4560000</v>
      </c>
      <c r="X671" t="s">
        <v>409</v>
      </c>
      <c r="Y671" t="s">
        <v>410</v>
      </c>
      <c r="Z671" t="s">
        <v>410</v>
      </c>
      <c r="AA671" t="s">
        <v>411</v>
      </c>
      <c r="AB671" t="s">
        <v>412</v>
      </c>
      <c r="AC671" t="s">
        <v>411</v>
      </c>
      <c r="AD671">
        <v>46109</v>
      </c>
      <c r="AE671">
        <v>46118</v>
      </c>
      <c r="AF671">
        <v>46111</v>
      </c>
      <c r="AG671" t="s">
        <v>754</v>
      </c>
      <c r="AH671">
        <v>6159925</v>
      </c>
      <c r="AI671">
        <v>46107</v>
      </c>
      <c r="AJ671">
        <v>46107</v>
      </c>
      <c r="AK671">
        <v>4560000</v>
      </c>
      <c r="AL671" t="s">
        <v>396</v>
      </c>
      <c r="AM671" t="s">
        <v>2429</v>
      </c>
      <c r="AN671">
        <v>46107</v>
      </c>
      <c r="AO671">
        <v>46107.629004629627</v>
      </c>
      <c r="AP671" t="s">
        <v>51</v>
      </c>
      <c r="AQ671">
        <v>1.17E-3</v>
      </c>
      <c r="AR671">
        <v>5335.2</v>
      </c>
      <c r="AS671" t="s">
        <v>51</v>
      </c>
      <c r="AT671">
        <v>5335.2</v>
      </c>
      <c r="AU671" t="s">
        <v>415</v>
      </c>
      <c r="AV671" t="s">
        <v>772</v>
      </c>
      <c r="AW671" t="s">
        <v>2217</v>
      </c>
      <c r="AX671">
        <v>46114</v>
      </c>
      <c r="AY671">
        <v>46163</v>
      </c>
      <c r="AZ671" t="s">
        <v>2218</v>
      </c>
      <c r="BA671" t="s">
        <v>2219</v>
      </c>
      <c r="BB671" t="s">
        <v>2220</v>
      </c>
      <c r="BC671">
        <v>760000</v>
      </c>
      <c r="BD671" t="s">
        <v>521</v>
      </c>
      <c r="BE671">
        <v>382.68</v>
      </c>
      <c r="BF671">
        <v>317.68</v>
      </c>
      <c r="BG671" t="s">
        <v>522</v>
      </c>
      <c r="BH671">
        <v>1050</v>
      </c>
      <c r="BI671">
        <v>480</v>
      </c>
      <c r="BJ671">
        <v>460</v>
      </c>
      <c r="BK671">
        <v>1</v>
      </c>
      <c r="BL671" t="s">
        <v>521</v>
      </c>
      <c r="BM671">
        <v>399.08</v>
      </c>
      <c r="BN671">
        <v>317.68</v>
      </c>
      <c r="BO671">
        <v>2394.48</v>
      </c>
      <c r="BP671" t="s">
        <v>522</v>
      </c>
      <c r="BQ671">
        <v>1050</v>
      </c>
      <c r="BR671">
        <v>480</v>
      </c>
      <c r="BS671">
        <v>480</v>
      </c>
      <c r="BT671">
        <v>6</v>
      </c>
      <c r="BU671">
        <v>0</v>
      </c>
      <c r="BV671">
        <v>6</v>
      </c>
      <c r="BW671">
        <v>6</v>
      </c>
      <c r="BX671">
        <v>0</v>
      </c>
      <c r="BY671">
        <v>6</v>
      </c>
      <c r="BZ671">
        <v>4560000</v>
      </c>
      <c r="CA671">
        <v>0</v>
      </c>
      <c r="CB671">
        <v>4560000</v>
      </c>
      <c r="CC671">
        <v>1906.08</v>
      </c>
      <c r="CD671" t="s">
        <v>1387</v>
      </c>
      <c r="CE671" t="s">
        <v>1388</v>
      </c>
      <c r="CG671" t="s">
        <v>421</v>
      </c>
      <c r="CN671" t="str">
        <v>M01</v>
      </c>
      <c r="CO671" t="str">
        <v>1277-1030115EN</v>
      </c>
      <c r="CP671" t="str">
        <v>OOCU6799960</v>
      </c>
      <c r="CQ671" s="23">
        <v>78.004999999999995</v>
      </c>
      <c r="CR671" s="25">
        <f t="shared" si="28"/>
        <v>7.4536187501060402E-3</v>
      </c>
      <c r="CS671" s="21">
        <f t="shared" si="29"/>
        <v>18.634046875265099</v>
      </c>
    </row>
    <row r="672" spans="2:97" x14ac:dyDescent="0.35">
      <c r="B672" t="s">
        <v>299</v>
      </c>
      <c r="C672" t="s">
        <v>2430</v>
      </c>
      <c r="D672" t="s">
        <v>395</v>
      </c>
      <c r="E672" t="s">
        <v>395</v>
      </c>
      <c r="F672" t="s">
        <v>396</v>
      </c>
      <c r="G672" t="s">
        <v>397</v>
      </c>
      <c r="H672" t="s">
        <v>398</v>
      </c>
      <c r="I672" t="s">
        <v>399</v>
      </c>
      <c r="J672" t="s">
        <v>749</v>
      </c>
      <c r="K672" t="s">
        <v>629</v>
      </c>
      <c r="L672" t="s">
        <v>787</v>
      </c>
      <c r="M672" t="s">
        <v>403</v>
      </c>
      <c r="N672">
        <v>1</v>
      </c>
      <c r="O672">
        <v>1</v>
      </c>
      <c r="P672" t="s">
        <v>1127</v>
      </c>
      <c r="Q672" t="s">
        <v>405</v>
      </c>
      <c r="R672" t="s">
        <v>1128</v>
      </c>
      <c r="S672" t="s">
        <v>1129</v>
      </c>
      <c r="T672" t="s">
        <v>408</v>
      </c>
      <c r="U672">
        <v>50950081180</v>
      </c>
      <c r="W672">
        <v>9600</v>
      </c>
      <c r="X672" t="s">
        <v>409</v>
      </c>
      <c r="Y672" t="s">
        <v>410</v>
      </c>
      <c r="Z672" t="s">
        <v>410</v>
      </c>
      <c r="AA672" t="s">
        <v>411</v>
      </c>
      <c r="AB672" t="s">
        <v>554</v>
      </c>
      <c r="AC672" t="s">
        <v>411</v>
      </c>
      <c r="AD672">
        <v>46109</v>
      </c>
      <c r="AE672">
        <v>46167</v>
      </c>
      <c r="AF672">
        <v>46113</v>
      </c>
      <c r="AG672" t="s">
        <v>754</v>
      </c>
      <c r="AH672">
        <v>6158131</v>
      </c>
      <c r="AI672">
        <v>46106</v>
      </c>
      <c r="AJ672">
        <v>46107</v>
      </c>
      <c r="AK672">
        <v>9600</v>
      </c>
      <c r="AL672" t="s">
        <v>396</v>
      </c>
      <c r="AM672" t="s">
        <v>2431</v>
      </c>
      <c r="AN672">
        <v>46107</v>
      </c>
      <c r="AO672">
        <v>46107.387974537036</v>
      </c>
      <c r="AP672" t="s">
        <v>51</v>
      </c>
      <c r="AQ672">
        <v>2.1219100000000002</v>
      </c>
      <c r="AR672">
        <v>20370.32</v>
      </c>
      <c r="AS672" t="s">
        <v>51</v>
      </c>
      <c r="AT672">
        <v>20370.32</v>
      </c>
      <c r="AU672" t="s">
        <v>415</v>
      </c>
      <c r="AV672" t="s">
        <v>1420</v>
      </c>
      <c r="AW672" t="s">
        <v>2363</v>
      </c>
      <c r="AX672">
        <v>46113</v>
      </c>
      <c r="AY672">
        <v>46162</v>
      </c>
      <c r="AZ672" t="s">
        <v>2410</v>
      </c>
      <c r="BA672" t="s">
        <v>560</v>
      </c>
      <c r="BB672" t="s">
        <v>2411</v>
      </c>
      <c r="BC672">
        <v>80</v>
      </c>
      <c r="BD672" t="s">
        <v>521</v>
      </c>
      <c r="BE672">
        <v>9.6</v>
      </c>
      <c r="BF672">
        <v>5.67</v>
      </c>
      <c r="BG672" t="s">
        <v>522</v>
      </c>
      <c r="BH672">
        <v>520</v>
      </c>
      <c r="BI672">
        <v>330</v>
      </c>
      <c r="BJ672">
        <v>190</v>
      </c>
      <c r="BK672">
        <v>30</v>
      </c>
      <c r="BL672" t="s">
        <v>521</v>
      </c>
      <c r="BM672">
        <v>314</v>
      </c>
      <c r="BN672">
        <v>170.1</v>
      </c>
      <c r="BO672">
        <v>1256</v>
      </c>
      <c r="BP672" t="s">
        <v>522</v>
      </c>
      <c r="BQ672">
        <v>1066</v>
      </c>
      <c r="BR672">
        <v>1066</v>
      </c>
      <c r="BS672">
        <v>1100</v>
      </c>
      <c r="BT672">
        <v>4</v>
      </c>
      <c r="BU672">
        <v>0</v>
      </c>
      <c r="BV672">
        <v>4</v>
      </c>
      <c r="BW672">
        <v>120</v>
      </c>
      <c r="BX672">
        <v>0</v>
      </c>
      <c r="BY672">
        <v>120</v>
      </c>
      <c r="BZ672">
        <v>9600</v>
      </c>
      <c r="CA672">
        <v>0</v>
      </c>
      <c r="CB672">
        <v>9600</v>
      </c>
      <c r="CC672">
        <v>680.4</v>
      </c>
      <c r="CD672" t="s">
        <v>1131</v>
      </c>
      <c r="CE672" t="s">
        <v>1132</v>
      </c>
      <c r="CG672" t="s">
        <v>421</v>
      </c>
      <c r="CN672" t="str">
        <v>M01</v>
      </c>
      <c r="CO672" t="str">
        <v>1277-1030086EN</v>
      </c>
      <c r="CP672" t="str">
        <v>OOCU6799960</v>
      </c>
      <c r="CQ672" s="23">
        <v>153.06</v>
      </c>
      <c r="CR672" s="25">
        <f t="shared" si="28"/>
        <v>1.4625355886048724E-2</v>
      </c>
      <c r="CS672" s="21">
        <f t="shared" si="29"/>
        <v>36.563389715121808</v>
      </c>
    </row>
    <row r="673" spans="2:97" x14ac:dyDescent="0.35">
      <c r="B673" t="s">
        <v>299</v>
      </c>
      <c r="C673" t="s">
        <v>2346</v>
      </c>
      <c r="D673" t="s">
        <v>395</v>
      </c>
      <c r="E673" t="s">
        <v>395</v>
      </c>
      <c r="F673" t="s">
        <v>396</v>
      </c>
      <c r="G673" t="s">
        <v>397</v>
      </c>
      <c r="H673" t="s">
        <v>398</v>
      </c>
      <c r="I673" t="s">
        <v>399</v>
      </c>
      <c r="J673" t="s">
        <v>749</v>
      </c>
      <c r="K673" t="s">
        <v>809</v>
      </c>
      <c r="L673" t="s">
        <v>787</v>
      </c>
      <c r="M673" t="s">
        <v>403</v>
      </c>
      <c r="N673">
        <v>1</v>
      </c>
      <c r="O673">
        <v>2</v>
      </c>
      <c r="P673" t="s">
        <v>1069</v>
      </c>
      <c r="Q673" t="s">
        <v>424</v>
      </c>
      <c r="R673" t="s">
        <v>811</v>
      </c>
      <c r="S673" t="s">
        <v>1070</v>
      </c>
      <c r="T673" t="s">
        <v>408</v>
      </c>
      <c r="U673">
        <v>50950081202</v>
      </c>
      <c r="W673">
        <v>960</v>
      </c>
      <c r="X673" t="s">
        <v>409</v>
      </c>
      <c r="Y673" t="s">
        <v>410</v>
      </c>
      <c r="Z673" t="s">
        <v>410</v>
      </c>
      <c r="AA673" t="s">
        <v>411</v>
      </c>
      <c r="AB673" t="s">
        <v>554</v>
      </c>
      <c r="AC673" t="s">
        <v>411</v>
      </c>
      <c r="AD673">
        <v>46102</v>
      </c>
      <c r="AE673">
        <v>46153</v>
      </c>
      <c r="AF673">
        <v>46113</v>
      </c>
      <c r="AG673" t="s">
        <v>754</v>
      </c>
      <c r="AH673">
        <v>6158132</v>
      </c>
      <c r="AI673">
        <v>46106</v>
      </c>
      <c r="AJ673">
        <v>46107</v>
      </c>
      <c r="AK673">
        <v>960</v>
      </c>
      <c r="AL673" t="s">
        <v>396</v>
      </c>
      <c r="AM673" t="s">
        <v>2432</v>
      </c>
      <c r="AN673">
        <v>46107</v>
      </c>
      <c r="AO673">
        <v>46107.387974537036</v>
      </c>
      <c r="AP673" t="s">
        <v>51</v>
      </c>
      <c r="AQ673">
        <v>2.3610099999999998</v>
      </c>
      <c r="AR673">
        <v>2266.56</v>
      </c>
      <c r="AS673" t="s">
        <v>51</v>
      </c>
      <c r="AT673">
        <v>2266.56</v>
      </c>
      <c r="AU673" t="s">
        <v>415</v>
      </c>
      <c r="AV673" t="s">
        <v>1420</v>
      </c>
      <c r="AW673" t="s">
        <v>2363</v>
      </c>
      <c r="AX673">
        <v>46113</v>
      </c>
      <c r="AY673">
        <v>46162</v>
      </c>
      <c r="AZ673" t="s">
        <v>2410</v>
      </c>
      <c r="BA673" t="s">
        <v>560</v>
      </c>
      <c r="BB673" t="s">
        <v>2411</v>
      </c>
      <c r="BC673">
        <v>16</v>
      </c>
      <c r="BD673" t="s">
        <v>521</v>
      </c>
      <c r="BE673">
        <v>6.3334000000000001</v>
      </c>
      <c r="BF673">
        <v>5.1344000000000003</v>
      </c>
      <c r="BG673" t="s">
        <v>522</v>
      </c>
      <c r="BH673">
        <v>495</v>
      </c>
      <c r="BI673">
        <v>395</v>
      </c>
      <c r="BJ673">
        <v>190</v>
      </c>
      <c r="BK673">
        <v>30</v>
      </c>
      <c r="BL673" t="s">
        <v>521</v>
      </c>
      <c r="BM673">
        <v>217.00200000000001</v>
      </c>
      <c r="BN673">
        <v>154.03200000000001</v>
      </c>
      <c r="BO673">
        <v>434.00400000000002</v>
      </c>
      <c r="BP673" t="s">
        <v>522</v>
      </c>
      <c r="BQ673">
        <v>1200</v>
      </c>
      <c r="BR673">
        <v>1000</v>
      </c>
      <c r="BS673">
        <v>1120</v>
      </c>
      <c r="BT673">
        <v>2</v>
      </c>
      <c r="BU673">
        <v>0</v>
      </c>
      <c r="BV673">
        <v>2</v>
      </c>
      <c r="BW673">
        <v>60</v>
      </c>
      <c r="BX673">
        <v>0</v>
      </c>
      <c r="BY673">
        <v>60</v>
      </c>
      <c r="BZ673">
        <v>960</v>
      </c>
      <c r="CA673">
        <v>0</v>
      </c>
      <c r="CB673">
        <v>960</v>
      </c>
      <c r="CC673">
        <v>308.06400000000002</v>
      </c>
      <c r="CD673" t="s">
        <v>806</v>
      </c>
      <c r="CE673" t="s">
        <v>816</v>
      </c>
      <c r="CG673" t="s">
        <v>421</v>
      </c>
      <c r="CN673" t="str">
        <v>M23</v>
      </c>
      <c r="CO673" t="str">
        <v>1301-1120169EN</v>
      </c>
      <c r="CP673" t="str">
        <v>OOCU6912465</v>
      </c>
      <c r="CQ673" s="23">
        <v>646.21439999999996</v>
      </c>
      <c r="CR673" s="25">
        <f t="shared" si="28"/>
        <v>3.030085367925375E-2</v>
      </c>
      <c r="CS673" s="21">
        <f t="shared" si="29"/>
        <v>75.752134198134371</v>
      </c>
    </row>
    <row r="674" spans="2:97" x14ac:dyDescent="0.35">
      <c r="B674" t="s">
        <v>299</v>
      </c>
      <c r="C674" t="s">
        <v>2394</v>
      </c>
      <c r="D674" t="s">
        <v>395</v>
      </c>
      <c r="E674" t="s">
        <v>395</v>
      </c>
      <c r="F674" t="s">
        <v>396</v>
      </c>
      <c r="G674" t="s">
        <v>397</v>
      </c>
      <c r="H674" t="s">
        <v>398</v>
      </c>
      <c r="I674" t="s">
        <v>399</v>
      </c>
      <c r="J674" t="s">
        <v>749</v>
      </c>
      <c r="K674" t="s">
        <v>809</v>
      </c>
      <c r="L674" t="s">
        <v>787</v>
      </c>
      <c r="M674" t="s">
        <v>403</v>
      </c>
      <c r="N674">
        <v>1</v>
      </c>
      <c r="O674">
        <v>3</v>
      </c>
      <c r="P674" t="s">
        <v>818</v>
      </c>
      <c r="Q674" t="s">
        <v>430</v>
      </c>
      <c r="R674" t="s">
        <v>811</v>
      </c>
      <c r="S674" t="s">
        <v>819</v>
      </c>
      <c r="T674" t="s">
        <v>408</v>
      </c>
      <c r="U674">
        <v>50950081244</v>
      </c>
      <c r="W674">
        <v>4320</v>
      </c>
      <c r="X674" t="s">
        <v>409</v>
      </c>
      <c r="Y674" t="s">
        <v>410</v>
      </c>
      <c r="Z674" t="s">
        <v>410</v>
      </c>
      <c r="AA674" t="s">
        <v>411</v>
      </c>
      <c r="AB674" t="s">
        <v>554</v>
      </c>
      <c r="AC674" t="s">
        <v>411</v>
      </c>
      <c r="AD674">
        <v>46109</v>
      </c>
      <c r="AE674">
        <v>46167</v>
      </c>
      <c r="AF674">
        <v>46113</v>
      </c>
      <c r="AG674" t="s">
        <v>754</v>
      </c>
      <c r="AH674">
        <v>6158133</v>
      </c>
      <c r="AI674">
        <v>46106</v>
      </c>
      <c r="AJ674">
        <v>46107</v>
      </c>
      <c r="AK674">
        <v>4320</v>
      </c>
      <c r="AL674" t="s">
        <v>396</v>
      </c>
      <c r="AM674" t="s">
        <v>2433</v>
      </c>
      <c r="AN674">
        <v>46107</v>
      </c>
      <c r="AO674">
        <v>46107.387974537036</v>
      </c>
      <c r="AP674" t="s">
        <v>51</v>
      </c>
      <c r="AQ674">
        <v>1.20448</v>
      </c>
      <c r="AR674">
        <v>5203.3500000000004</v>
      </c>
      <c r="AS674" t="s">
        <v>51</v>
      </c>
      <c r="AT674">
        <v>5203.3500000000004</v>
      </c>
      <c r="AU674" t="s">
        <v>415</v>
      </c>
      <c r="AV674" t="s">
        <v>1420</v>
      </c>
      <c r="AW674" t="s">
        <v>2363</v>
      </c>
      <c r="AX674">
        <v>46113</v>
      </c>
      <c r="AY674">
        <v>46162</v>
      </c>
      <c r="AZ674" t="s">
        <v>2410</v>
      </c>
      <c r="BA674" t="s">
        <v>560</v>
      </c>
      <c r="BB674" t="s">
        <v>2411</v>
      </c>
      <c r="BC674">
        <v>48</v>
      </c>
      <c r="BD674" t="s">
        <v>521</v>
      </c>
      <c r="BE674">
        <v>7.6898999999999997</v>
      </c>
      <c r="BF674">
        <v>6.2298999999999998</v>
      </c>
      <c r="BG674" t="s">
        <v>522</v>
      </c>
      <c r="BH674">
        <v>495</v>
      </c>
      <c r="BI674">
        <v>395</v>
      </c>
      <c r="BJ674">
        <v>190</v>
      </c>
      <c r="BK674">
        <v>30</v>
      </c>
      <c r="BL674" t="s">
        <v>521</v>
      </c>
      <c r="BM674">
        <v>257.697</v>
      </c>
      <c r="BN674">
        <v>186.89699999999999</v>
      </c>
      <c r="BO674">
        <v>773.09280000000001</v>
      </c>
      <c r="BP674" t="s">
        <v>522</v>
      </c>
      <c r="BQ674">
        <v>1200</v>
      </c>
      <c r="BR674">
        <v>1000</v>
      </c>
      <c r="BS674">
        <v>1120</v>
      </c>
      <c r="BT674">
        <v>3</v>
      </c>
      <c r="BU674">
        <v>0</v>
      </c>
      <c r="BV674">
        <v>3</v>
      </c>
      <c r="BW674">
        <v>90</v>
      </c>
      <c r="BX674">
        <v>0</v>
      </c>
      <c r="BY674">
        <v>90</v>
      </c>
      <c r="BZ674">
        <v>4320</v>
      </c>
      <c r="CA674">
        <v>0</v>
      </c>
      <c r="CB674">
        <v>4320</v>
      </c>
      <c r="CC674">
        <v>560.69280000000003</v>
      </c>
      <c r="CD674" t="s">
        <v>806</v>
      </c>
      <c r="CE674" t="s">
        <v>821</v>
      </c>
      <c r="CG674" t="s">
        <v>421</v>
      </c>
      <c r="CN674" t="str">
        <v>M45</v>
      </c>
      <c r="CO674" t="str">
        <v>1346-12C0011EN</v>
      </c>
      <c r="CP674" t="str">
        <v>OOCU6912465</v>
      </c>
      <c r="CQ674" s="23">
        <v>630.0376</v>
      </c>
      <c r="CR674" s="25">
        <f t="shared" si="28"/>
        <v>2.9542327020301937E-2</v>
      </c>
      <c r="CS674" s="21">
        <f t="shared" si="29"/>
        <v>73.85581755075485</v>
      </c>
    </row>
    <row r="675" spans="2:97" x14ac:dyDescent="0.35">
      <c r="B675" t="s">
        <v>297</v>
      </c>
      <c r="C675" t="s">
        <v>1958</v>
      </c>
      <c r="D675" t="s">
        <v>395</v>
      </c>
      <c r="E675" t="s">
        <v>395</v>
      </c>
      <c r="F675" t="s">
        <v>396</v>
      </c>
      <c r="G675" t="s">
        <v>397</v>
      </c>
      <c r="H675" t="s">
        <v>398</v>
      </c>
      <c r="I675" t="s">
        <v>399</v>
      </c>
      <c r="J675" t="s">
        <v>749</v>
      </c>
      <c r="K675" t="s">
        <v>845</v>
      </c>
      <c r="L675" t="s">
        <v>787</v>
      </c>
      <c r="M675" t="s">
        <v>403</v>
      </c>
      <c r="N675">
        <v>3</v>
      </c>
      <c r="O675">
        <v>1</v>
      </c>
      <c r="P675" t="s">
        <v>1959</v>
      </c>
      <c r="Q675" t="s">
        <v>424</v>
      </c>
      <c r="R675" t="s">
        <v>1031</v>
      </c>
      <c r="S675" t="s">
        <v>1960</v>
      </c>
      <c r="T675" t="s">
        <v>408</v>
      </c>
      <c r="U675">
        <v>50950081502</v>
      </c>
      <c r="W675">
        <v>80000</v>
      </c>
      <c r="X675" t="s">
        <v>409</v>
      </c>
      <c r="Y675" t="s">
        <v>410</v>
      </c>
      <c r="Z675" t="s">
        <v>410</v>
      </c>
      <c r="AA675" t="s">
        <v>411</v>
      </c>
      <c r="AB675" t="s">
        <v>554</v>
      </c>
      <c r="AC675" t="s">
        <v>411</v>
      </c>
      <c r="AD675">
        <v>46111</v>
      </c>
      <c r="AE675">
        <v>46167</v>
      </c>
      <c r="AF675">
        <v>46113</v>
      </c>
      <c r="AG675" t="s">
        <v>754</v>
      </c>
      <c r="AH675">
        <v>6158134</v>
      </c>
      <c r="AI675">
        <v>46106</v>
      </c>
      <c r="AJ675">
        <v>46107</v>
      </c>
      <c r="AK675">
        <v>80000</v>
      </c>
      <c r="AL675" t="s">
        <v>396</v>
      </c>
      <c r="AM675" t="s">
        <v>2434</v>
      </c>
      <c r="AN675">
        <v>46107</v>
      </c>
      <c r="AO675">
        <v>46107.387974537036</v>
      </c>
      <c r="AP675" t="s">
        <v>51</v>
      </c>
      <c r="AQ675">
        <v>3.8600000000000002E-2</v>
      </c>
      <c r="AR675">
        <v>3088</v>
      </c>
      <c r="AS675" t="s">
        <v>51</v>
      </c>
      <c r="AT675">
        <v>3088</v>
      </c>
      <c r="AU675" t="s">
        <v>415</v>
      </c>
      <c r="AV675" t="s">
        <v>1420</v>
      </c>
      <c r="AW675" t="s">
        <v>2363</v>
      </c>
      <c r="AX675">
        <v>46113</v>
      </c>
      <c r="AY675">
        <v>46162</v>
      </c>
      <c r="AZ675" t="s">
        <v>2410</v>
      </c>
      <c r="BA675" t="s">
        <v>560</v>
      </c>
      <c r="BB675" t="s">
        <v>2411</v>
      </c>
      <c r="BC675">
        <v>500</v>
      </c>
      <c r="BD675" t="s">
        <v>521</v>
      </c>
      <c r="BE675">
        <v>8.5429999999999993</v>
      </c>
      <c r="BF675">
        <v>7.62</v>
      </c>
      <c r="BG675" t="s">
        <v>522</v>
      </c>
      <c r="BH675">
        <v>395</v>
      </c>
      <c r="BI675">
        <v>295</v>
      </c>
      <c r="BJ675">
        <v>220</v>
      </c>
      <c r="BK675">
        <v>40</v>
      </c>
      <c r="BL675" t="s">
        <v>521</v>
      </c>
      <c r="BM675">
        <v>368.72</v>
      </c>
      <c r="BN675">
        <v>304.8</v>
      </c>
      <c r="BO675">
        <v>1474.88</v>
      </c>
      <c r="BP675" t="s">
        <v>522</v>
      </c>
      <c r="BQ675">
        <v>1200</v>
      </c>
      <c r="BR675">
        <v>1000</v>
      </c>
      <c r="BS675">
        <v>1053</v>
      </c>
      <c r="BT675">
        <v>4</v>
      </c>
      <c r="BU675">
        <v>0</v>
      </c>
      <c r="BV675">
        <v>4</v>
      </c>
      <c r="BW675">
        <v>160</v>
      </c>
      <c r="BX675">
        <v>0</v>
      </c>
      <c r="BY675">
        <v>160</v>
      </c>
      <c r="BZ675">
        <v>80000</v>
      </c>
      <c r="CA675">
        <v>0</v>
      </c>
      <c r="CB675">
        <v>80000</v>
      </c>
      <c r="CC675">
        <v>1219.2</v>
      </c>
      <c r="CD675" t="s">
        <v>856</v>
      </c>
      <c r="CE675" t="s">
        <v>1034</v>
      </c>
      <c r="CG675" t="s">
        <v>421</v>
      </c>
      <c r="CN675" t="str">
        <v>M19</v>
      </c>
      <c r="CO675" t="str">
        <v>1330-5YY0182EN</v>
      </c>
      <c r="CP675" t="str">
        <v>OOCU6912465</v>
      </c>
      <c r="CQ675" s="23">
        <v>1756.356</v>
      </c>
      <c r="CR675" s="25">
        <f t="shared" si="28"/>
        <v>8.2355153590943503E-2</v>
      </c>
      <c r="CS675" s="21">
        <f t="shared" si="29"/>
        <v>205.88788397735877</v>
      </c>
    </row>
    <row r="676" spans="2:97" x14ac:dyDescent="0.35">
      <c r="B676" t="s">
        <v>297</v>
      </c>
      <c r="C676" t="s">
        <v>1958</v>
      </c>
      <c r="D676" t="s">
        <v>395</v>
      </c>
      <c r="E676" t="s">
        <v>395</v>
      </c>
      <c r="F676" t="s">
        <v>396</v>
      </c>
      <c r="G676" t="s">
        <v>397</v>
      </c>
      <c r="H676" t="s">
        <v>398</v>
      </c>
      <c r="I676" t="s">
        <v>399</v>
      </c>
      <c r="J676" t="s">
        <v>749</v>
      </c>
      <c r="K676" t="s">
        <v>845</v>
      </c>
      <c r="L676" t="s">
        <v>787</v>
      </c>
      <c r="M676" t="s">
        <v>403</v>
      </c>
      <c r="N676">
        <v>1</v>
      </c>
      <c r="O676">
        <v>2</v>
      </c>
      <c r="P676" t="s">
        <v>1959</v>
      </c>
      <c r="Q676" t="s">
        <v>424</v>
      </c>
      <c r="R676" t="s">
        <v>1031</v>
      </c>
      <c r="S676" t="s">
        <v>1960</v>
      </c>
      <c r="T676" t="s">
        <v>408</v>
      </c>
      <c r="U676">
        <v>50950081502</v>
      </c>
      <c r="W676">
        <v>20000</v>
      </c>
      <c r="X676" t="s">
        <v>409</v>
      </c>
      <c r="Y676" t="s">
        <v>410</v>
      </c>
      <c r="Z676" t="s">
        <v>410</v>
      </c>
      <c r="AA676" t="s">
        <v>411</v>
      </c>
      <c r="AB676" t="s">
        <v>554</v>
      </c>
      <c r="AC676" t="s">
        <v>411</v>
      </c>
      <c r="AD676">
        <v>46104</v>
      </c>
      <c r="AE676">
        <v>46160</v>
      </c>
      <c r="AF676">
        <v>46113</v>
      </c>
      <c r="AG676" t="s">
        <v>754</v>
      </c>
      <c r="AH676">
        <v>6158134</v>
      </c>
      <c r="AI676">
        <v>46106</v>
      </c>
      <c r="AJ676">
        <v>46107</v>
      </c>
      <c r="AK676">
        <v>20000</v>
      </c>
      <c r="AL676" t="s">
        <v>396</v>
      </c>
      <c r="AM676" t="s">
        <v>2434</v>
      </c>
      <c r="AN676">
        <v>46107</v>
      </c>
      <c r="AO676">
        <v>46107.387974537036</v>
      </c>
      <c r="AP676" t="s">
        <v>51</v>
      </c>
      <c r="AQ676">
        <v>3.8600000000000002E-2</v>
      </c>
      <c r="AR676">
        <v>772</v>
      </c>
      <c r="AS676" t="s">
        <v>51</v>
      </c>
      <c r="AT676">
        <v>772</v>
      </c>
      <c r="AU676" t="s">
        <v>415</v>
      </c>
      <c r="AV676" t="s">
        <v>1420</v>
      </c>
      <c r="AW676" t="s">
        <v>2363</v>
      </c>
      <c r="AX676">
        <v>46113</v>
      </c>
      <c r="AY676">
        <v>46162</v>
      </c>
      <c r="AZ676" t="s">
        <v>2410</v>
      </c>
      <c r="BA676" t="s">
        <v>560</v>
      </c>
      <c r="BB676" t="s">
        <v>2411</v>
      </c>
      <c r="BC676">
        <v>500</v>
      </c>
      <c r="BD676" t="s">
        <v>521</v>
      </c>
      <c r="BE676">
        <v>8.5429999999999993</v>
      </c>
      <c r="BF676">
        <v>7.62</v>
      </c>
      <c r="BG676" t="s">
        <v>522</v>
      </c>
      <c r="BH676">
        <v>395</v>
      </c>
      <c r="BI676">
        <v>295</v>
      </c>
      <c r="BJ676">
        <v>220</v>
      </c>
      <c r="BK676">
        <v>40</v>
      </c>
      <c r="BL676" t="s">
        <v>521</v>
      </c>
      <c r="BM676">
        <v>368.72</v>
      </c>
      <c r="BN676">
        <v>304.8</v>
      </c>
      <c r="BO676">
        <v>368.72</v>
      </c>
      <c r="BP676" t="s">
        <v>522</v>
      </c>
      <c r="BQ676">
        <v>1200</v>
      </c>
      <c r="BR676">
        <v>1000</v>
      </c>
      <c r="BS676">
        <v>1053</v>
      </c>
      <c r="BT676">
        <v>1</v>
      </c>
      <c r="BU676">
        <v>0</v>
      </c>
      <c r="BV676">
        <v>1</v>
      </c>
      <c r="BW676">
        <v>40</v>
      </c>
      <c r="BX676">
        <v>0</v>
      </c>
      <c r="BY676">
        <v>40</v>
      </c>
      <c r="BZ676">
        <v>20000</v>
      </c>
      <c r="CA676">
        <v>0</v>
      </c>
      <c r="CB676">
        <v>20000</v>
      </c>
      <c r="CC676">
        <v>304.8</v>
      </c>
      <c r="CD676" t="s">
        <v>856</v>
      </c>
      <c r="CE676" t="s">
        <v>1034</v>
      </c>
      <c r="CG676" t="s">
        <v>421</v>
      </c>
      <c r="CN676" t="str">
        <v>M01</v>
      </c>
      <c r="CO676" t="str">
        <v>1102-0039190EN</v>
      </c>
      <c r="CP676" t="str">
        <v>OOCU6912465</v>
      </c>
      <c r="CQ676" s="23">
        <v>1197.24</v>
      </c>
      <c r="CR676" s="25">
        <f t="shared" si="28"/>
        <v>5.6138325080576604E-2</v>
      </c>
      <c r="CS676" s="21">
        <f t="shared" si="29"/>
        <v>140.3458127014415</v>
      </c>
    </row>
    <row r="677" spans="2:97" x14ac:dyDescent="0.35">
      <c r="B677" t="s">
        <v>297</v>
      </c>
      <c r="C677" t="s">
        <v>2435</v>
      </c>
      <c r="D677" t="s">
        <v>395</v>
      </c>
      <c r="E677" t="s">
        <v>395</v>
      </c>
      <c r="F677" t="s">
        <v>396</v>
      </c>
      <c r="G677" t="s">
        <v>397</v>
      </c>
      <c r="H677" t="s">
        <v>398</v>
      </c>
      <c r="I677" t="s">
        <v>399</v>
      </c>
      <c r="J677" t="s">
        <v>749</v>
      </c>
      <c r="K677" t="s">
        <v>845</v>
      </c>
      <c r="L677" t="s">
        <v>787</v>
      </c>
      <c r="M677" t="s">
        <v>403</v>
      </c>
      <c r="N677">
        <v>1</v>
      </c>
      <c r="O677">
        <v>1</v>
      </c>
      <c r="P677" t="s">
        <v>1416</v>
      </c>
      <c r="Q677" t="s">
        <v>424</v>
      </c>
      <c r="R677" t="s">
        <v>1031</v>
      </c>
      <c r="S677" t="s">
        <v>1417</v>
      </c>
      <c r="T677" t="s">
        <v>408</v>
      </c>
      <c r="U677">
        <v>50950081708</v>
      </c>
      <c r="W677">
        <v>80000</v>
      </c>
      <c r="X677" t="s">
        <v>409</v>
      </c>
      <c r="Y677" t="s">
        <v>410</v>
      </c>
      <c r="Z677" t="s">
        <v>410</v>
      </c>
      <c r="AA677" t="s">
        <v>411</v>
      </c>
      <c r="AB677" t="s">
        <v>554</v>
      </c>
      <c r="AC677" t="s">
        <v>411</v>
      </c>
      <c r="AD677">
        <v>46109</v>
      </c>
      <c r="AE677">
        <v>46167</v>
      </c>
      <c r="AF677">
        <v>46113</v>
      </c>
      <c r="AG677" t="s">
        <v>754</v>
      </c>
      <c r="AH677">
        <v>6158135</v>
      </c>
      <c r="AI677">
        <v>46106</v>
      </c>
      <c r="AJ677">
        <v>46107</v>
      </c>
      <c r="AK677">
        <v>80000</v>
      </c>
      <c r="AL677" t="s">
        <v>396</v>
      </c>
      <c r="AM677" t="s">
        <v>2436</v>
      </c>
      <c r="AN677">
        <v>46107</v>
      </c>
      <c r="AO677">
        <v>46107.387974537036</v>
      </c>
      <c r="AP677" t="s">
        <v>51</v>
      </c>
      <c r="AQ677">
        <v>3.7580000000000002E-2</v>
      </c>
      <c r="AR677">
        <v>3006.4</v>
      </c>
      <c r="AS677" t="s">
        <v>51</v>
      </c>
      <c r="AT677">
        <v>3006.4</v>
      </c>
      <c r="AU677" t="s">
        <v>415</v>
      </c>
      <c r="AV677" t="s">
        <v>1420</v>
      </c>
      <c r="AW677" t="s">
        <v>2363</v>
      </c>
      <c r="AX677">
        <v>46113</v>
      </c>
      <c r="AY677">
        <v>46162</v>
      </c>
      <c r="AZ677" t="s">
        <v>2410</v>
      </c>
      <c r="BA677" t="s">
        <v>560</v>
      </c>
      <c r="BB677" t="s">
        <v>2411</v>
      </c>
      <c r="BC677">
        <v>500</v>
      </c>
      <c r="BD677" t="s">
        <v>521</v>
      </c>
      <c r="BE677">
        <v>8.5429999999999993</v>
      </c>
      <c r="BF677">
        <v>7.62</v>
      </c>
      <c r="BG677" t="s">
        <v>522</v>
      </c>
      <c r="BH677">
        <v>395</v>
      </c>
      <c r="BI677">
        <v>295</v>
      </c>
      <c r="BJ677">
        <v>220</v>
      </c>
      <c r="BK677">
        <v>40</v>
      </c>
      <c r="BL677" t="s">
        <v>521</v>
      </c>
      <c r="BM677">
        <v>368.72</v>
      </c>
      <c r="BN677">
        <v>304.8</v>
      </c>
      <c r="BO677">
        <v>1474.88</v>
      </c>
      <c r="BP677" t="s">
        <v>522</v>
      </c>
      <c r="BQ677">
        <v>1200</v>
      </c>
      <c r="BR677">
        <v>1000</v>
      </c>
      <c r="BS677">
        <v>1053</v>
      </c>
      <c r="BT677">
        <v>4</v>
      </c>
      <c r="BU677">
        <v>0</v>
      </c>
      <c r="BV677">
        <v>4</v>
      </c>
      <c r="BW677">
        <v>160</v>
      </c>
      <c r="BX677">
        <v>0</v>
      </c>
      <c r="BY677">
        <v>160</v>
      </c>
      <c r="BZ677">
        <v>80000</v>
      </c>
      <c r="CA677">
        <v>0</v>
      </c>
      <c r="CB677">
        <v>80000</v>
      </c>
      <c r="CC677">
        <v>1219.2</v>
      </c>
      <c r="CD677" t="s">
        <v>856</v>
      </c>
      <c r="CE677" t="s">
        <v>1034</v>
      </c>
      <c r="CG677" t="s">
        <v>421</v>
      </c>
      <c r="CN677" t="str">
        <v>M19</v>
      </c>
      <c r="CO677" t="str">
        <v>1330-5YY0256EN</v>
      </c>
      <c r="CP677" t="str">
        <v>OOCU6912465</v>
      </c>
      <c r="CQ677" s="23">
        <v>434.00400000000002</v>
      </c>
      <c r="CR677" s="25">
        <f t="shared" si="28"/>
        <v>2.0350353845737336E-2</v>
      </c>
      <c r="CS677" s="21">
        <f t="shared" si="29"/>
        <v>50.875884614343342</v>
      </c>
    </row>
    <row r="678" spans="2:97" x14ac:dyDescent="0.35">
      <c r="B678" t="s">
        <v>296</v>
      </c>
      <c r="C678" t="s">
        <v>1968</v>
      </c>
      <c r="D678" t="s">
        <v>395</v>
      </c>
      <c r="E678" t="s">
        <v>395</v>
      </c>
      <c r="F678" t="s">
        <v>396</v>
      </c>
      <c r="G678" t="s">
        <v>397</v>
      </c>
      <c r="H678" t="s">
        <v>398</v>
      </c>
      <c r="I678" t="s">
        <v>399</v>
      </c>
      <c r="J678" t="s">
        <v>749</v>
      </c>
      <c r="K678" t="s">
        <v>629</v>
      </c>
      <c r="L678" t="s">
        <v>750</v>
      </c>
      <c r="M678" t="s">
        <v>403</v>
      </c>
      <c r="N678">
        <v>1</v>
      </c>
      <c r="O678">
        <v>2</v>
      </c>
      <c r="P678" t="s">
        <v>1969</v>
      </c>
      <c r="Q678" t="s">
        <v>405</v>
      </c>
      <c r="R678" t="s">
        <v>912</v>
      </c>
      <c r="S678" t="s">
        <v>913</v>
      </c>
      <c r="T678" t="s">
        <v>408</v>
      </c>
      <c r="U678">
        <v>50950082441</v>
      </c>
      <c r="W678">
        <v>30000</v>
      </c>
      <c r="X678" t="s">
        <v>409</v>
      </c>
      <c r="Y678" t="s">
        <v>410</v>
      </c>
      <c r="Z678" t="s">
        <v>410</v>
      </c>
      <c r="AA678" t="s">
        <v>411</v>
      </c>
      <c r="AB678" t="s">
        <v>554</v>
      </c>
      <c r="AC678" t="s">
        <v>411</v>
      </c>
      <c r="AD678">
        <v>46108</v>
      </c>
      <c r="AE678">
        <v>46153</v>
      </c>
      <c r="AF678">
        <v>46113</v>
      </c>
      <c r="AG678" t="s">
        <v>754</v>
      </c>
      <c r="AH678">
        <v>6158136</v>
      </c>
      <c r="AI678">
        <v>46106</v>
      </c>
      <c r="AJ678">
        <v>46107</v>
      </c>
      <c r="AK678">
        <v>30000</v>
      </c>
      <c r="AL678" t="s">
        <v>396</v>
      </c>
      <c r="AM678" t="s">
        <v>2437</v>
      </c>
      <c r="AN678">
        <v>46107</v>
      </c>
      <c r="AO678">
        <v>46107.387974537036</v>
      </c>
      <c r="AP678" t="s">
        <v>51</v>
      </c>
      <c r="AQ678">
        <v>6.5629999999999994E-2</v>
      </c>
      <c r="AR678">
        <v>1968.9</v>
      </c>
      <c r="AS678" t="s">
        <v>51</v>
      </c>
      <c r="AT678">
        <v>1968.9</v>
      </c>
      <c r="AU678" t="s">
        <v>415</v>
      </c>
      <c r="AV678" t="s">
        <v>1420</v>
      </c>
      <c r="AW678" t="s">
        <v>2363</v>
      </c>
      <c r="AX678">
        <v>46113</v>
      </c>
      <c r="AY678">
        <v>46162</v>
      </c>
      <c r="AZ678" t="s">
        <v>2410</v>
      </c>
      <c r="BA678" t="s">
        <v>560</v>
      </c>
      <c r="BB678" t="s">
        <v>2411</v>
      </c>
      <c r="BC678">
        <v>1200</v>
      </c>
      <c r="BD678" t="s">
        <v>521</v>
      </c>
      <c r="BE678">
        <v>7.0679999999999996</v>
      </c>
      <c r="BF678">
        <v>6.1980000000000004</v>
      </c>
      <c r="BG678" t="s">
        <v>522</v>
      </c>
      <c r="BH678">
        <v>595</v>
      </c>
      <c r="BI678">
        <v>395</v>
      </c>
      <c r="BJ678">
        <v>190</v>
      </c>
      <c r="BK678">
        <v>25</v>
      </c>
      <c r="BL678" t="s">
        <v>521</v>
      </c>
      <c r="BM678">
        <v>203.7</v>
      </c>
      <c r="BN678">
        <v>154.94999999999999</v>
      </c>
      <c r="BO678">
        <v>203.7</v>
      </c>
      <c r="BP678" t="s">
        <v>522</v>
      </c>
      <c r="BQ678">
        <v>1200</v>
      </c>
      <c r="BR678">
        <v>1000</v>
      </c>
      <c r="BS678">
        <v>1088</v>
      </c>
      <c r="BT678">
        <v>1</v>
      </c>
      <c r="BU678">
        <v>0</v>
      </c>
      <c r="BV678">
        <v>1</v>
      </c>
      <c r="BW678">
        <v>25</v>
      </c>
      <c r="BX678">
        <v>0</v>
      </c>
      <c r="BY678">
        <v>25</v>
      </c>
      <c r="BZ678">
        <v>30000</v>
      </c>
      <c r="CA678">
        <v>0</v>
      </c>
      <c r="CB678">
        <v>30000</v>
      </c>
      <c r="CC678">
        <v>154.94999999999999</v>
      </c>
      <c r="CD678" t="s">
        <v>842</v>
      </c>
      <c r="CE678" t="s">
        <v>898</v>
      </c>
      <c r="CG678" t="s">
        <v>421</v>
      </c>
      <c r="CN678" t="str">
        <v>M19</v>
      </c>
      <c r="CO678" t="str">
        <v>1330-5YY0168EN</v>
      </c>
      <c r="CP678" t="str">
        <v>OOCU6912465</v>
      </c>
      <c r="CQ678" s="23">
        <v>1027.9680000000001</v>
      </c>
      <c r="CR678" s="25">
        <f t="shared" si="28"/>
        <v>4.8201197551393349E-2</v>
      </c>
      <c r="CS678" s="21">
        <f t="shared" si="29"/>
        <v>120.50299387848337</v>
      </c>
    </row>
    <row r="679" spans="2:97" x14ac:dyDescent="0.35">
      <c r="B679" s="34" t="s">
        <v>3496</v>
      </c>
      <c r="C679" t="s">
        <v>2438</v>
      </c>
      <c r="D679" t="s">
        <v>395</v>
      </c>
      <c r="E679" t="s">
        <v>395</v>
      </c>
      <c r="F679" t="s">
        <v>396</v>
      </c>
      <c r="G679" t="s">
        <v>397</v>
      </c>
      <c r="H679" t="s">
        <v>2085</v>
      </c>
      <c r="I679" t="s">
        <v>399</v>
      </c>
      <c r="J679" t="s">
        <v>749</v>
      </c>
      <c r="K679" t="s">
        <v>2086</v>
      </c>
      <c r="L679" t="s">
        <v>2087</v>
      </c>
      <c r="M679" t="s">
        <v>751</v>
      </c>
      <c r="N679">
        <v>1</v>
      </c>
      <c r="O679">
        <v>1</v>
      </c>
      <c r="P679" t="s">
        <v>2439</v>
      </c>
      <c r="R679" t="s">
        <v>2440</v>
      </c>
      <c r="S679" t="s">
        <v>2441</v>
      </c>
      <c r="T679" t="s">
        <v>408</v>
      </c>
      <c r="U679" t="s">
        <v>2442</v>
      </c>
      <c r="W679">
        <v>30</v>
      </c>
      <c r="Y679" t="s">
        <v>410</v>
      </c>
      <c r="Z679" t="s">
        <v>410</v>
      </c>
      <c r="AC679" t="s">
        <v>411</v>
      </c>
      <c r="AD679">
        <v>46058</v>
      </c>
      <c r="AE679">
        <v>46088</v>
      </c>
      <c r="AF679">
        <v>46088</v>
      </c>
      <c r="AH679" t="s">
        <v>2443</v>
      </c>
      <c r="AI679">
        <v>46107</v>
      </c>
      <c r="AJ679">
        <v>46107</v>
      </c>
      <c r="AK679">
        <v>30</v>
      </c>
      <c r="AL679" t="s">
        <v>396</v>
      </c>
      <c r="AM679" t="s">
        <v>2444</v>
      </c>
      <c r="AN679">
        <v>46107</v>
      </c>
      <c r="AO679">
        <v>46107.709907407407</v>
      </c>
      <c r="AP679" t="s">
        <v>51</v>
      </c>
      <c r="AQ679">
        <v>12</v>
      </c>
      <c r="AR679">
        <v>360</v>
      </c>
      <c r="AS679" t="s">
        <v>51</v>
      </c>
      <c r="AT679">
        <v>360</v>
      </c>
      <c r="AU679" t="s">
        <v>2445</v>
      </c>
      <c r="CG679" t="s">
        <v>421</v>
      </c>
      <c r="CN679" t="str">
        <v>M19</v>
      </c>
      <c r="CO679" t="str">
        <v>1330-5YY0167EN</v>
      </c>
      <c r="CP679" t="str">
        <v>OOCU6912465</v>
      </c>
      <c r="CQ679" s="23">
        <v>1226.5932</v>
      </c>
      <c r="CR679" s="25">
        <f t="shared" si="28"/>
        <v>5.7514690290355081E-2</v>
      </c>
      <c r="CS679" s="21">
        <f t="shared" si="29"/>
        <v>143.78672572588769</v>
      </c>
    </row>
    <row r="680" spans="2:97" x14ac:dyDescent="0.35">
      <c r="B680" s="34" t="s">
        <v>297</v>
      </c>
      <c r="C680" t="s">
        <v>921</v>
      </c>
      <c r="D680" t="s">
        <v>549</v>
      </c>
      <c r="E680" t="s">
        <v>395</v>
      </c>
      <c r="F680" t="s">
        <v>396</v>
      </c>
      <c r="G680" t="s">
        <v>397</v>
      </c>
      <c r="H680" t="s">
        <v>398</v>
      </c>
      <c r="I680" t="s">
        <v>399</v>
      </c>
      <c r="J680" t="s">
        <v>749</v>
      </c>
      <c r="K680" t="s">
        <v>922</v>
      </c>
      <c r="L680" t="s">
        <v>766</v>
      </c>
      <c r="M680" t="s">
        <v>403</v>
      </c>
      <c r="N680">
        <v>4</v>
      </c>
      <c r="O680">
        <v>1</v>
      </c>
      <c r="P680" t="s">
        <v>923</v>
      </c>
      <c r="Q680" t="s">
        <v>645</v>
      </c>
      <c r="R680" t="s">
        <v>924</v>
      </c>
      <c r="S680" t="s">
        <v>925</v>
      </c>
      <c r="T680" t="s">
        <v>408</v>
      </c>
      <c r="U680">
        <v>50950080751</v>
      </c>
      <c r="W680">
        <v>11520</v>
      </c>
      <c r="X680" t="s">
        <v>409</v>
      </c>
      <c r="Y680" t="s">
        <v>410</v>
      </c>
      <c r="Z680" t="s">
        <v>410</v>
      </c>
      <c r="AA680" t="s">
        <v>411</v>
      </c>
      <c r="AB680" t="s">
        <v>554</v>
      </c>
      <c r="AC680" t="s">
        <v>411</v>
      </c>
      <c r="AD680">
        <v>46104</v>
      </c>
      <c r="AE680">
        <v>46153</v>
      </c>
      <c r="AF680">
        <v>46113</v>
      </c>
      <c r="AG680" t="s">
        <v>926</v>
      </c>
      <c r="AH680">
        <v>6160064</v>
      </c>
      <c r="AI680">
        <v>46107</v>
      </c>
      <c r="AJ680">
        <v>46108</v>
      </c>
      <c r="AK680">
        <v>11520</v>
      </c>
      <c r="AL680" t="s">
        <v>396</v>
      </c>
      <c r="AM680" t="s">
        <v>2446</v>
      </c>
      <c r="AN680">
        <v>46108</v>
      </c>
      <c r="AO680">
        <v>46108.396585648145</v>
      </c>
      <c r="AP680" t="s">
        <v>51</v>
      </c>
      <c r="AQ680">
        <v>0.59975999999999996</v>
      </c>
      <c r="AR680">
        <v>6909.2</v>
      </c>
      <c r="AS680" t="s">
        <v>51</v>
      </c>
      <c r="AT680">
        <v>6909.2</v>
      </c>
      <c r="AU680" t="s">
        <v>415</v>
      </c>
      <c r="AV680" t="s">
        <v>1420</v>
      </c>
      <c r="AW680" t="s">
        <v>2363</v>
      </c>
      <c r="AX680">
        <v>46113</v>
      </c>
      <c r="AY680">
        <v>46162</v>
      </c>
      <c r="AZ680" t="s">
        <v>2447</v>
      </c>
      <c r="BA680" t="s">
        <v>560</v>
      </c>
      <c r="BB680" t="s">
        <v>2448</v>
      </c>
      <c r="BC680">
        <v>288</v>
      </c>
      <c r="BD680" t="s">
        <v>521</v>
      </c>
      <c r="BE680">
        <v>9.8219999999999992</v>
      </c>
      <c r="BF680">
        <v>8.3520000000000003</v>
      </c>
      <c r="BG680" t="s">
        <v>522</v>
      </c>
      <c r="BH680">
        <v>400</v>
      </c>
      <c r="BI680">
        <v>300</v>
      </c>
      <c r="BJ680">
        <v>160</v>
      </c>
      <c r="BK680">
        <v>40</v>
      </c>
      <c r="BL680" t="s">
        <v>521</v>
      </c>
      <c r="BM680">
        <v>417.88</v>
      </c>
      <c r="BN680">
        <v>334.08</v>
      </c>
      <c r="BO680">
        <v>417.88</v>
      </c>
      <c r="BP680" t="s">
        <v>522</v>
      </c>
      <c r="BQ680">
        <v>1200</v>
      </c>
      <c r="BR680">
        <v>800</v>
      </c>
      <c r="BS680">
        <v>970</v>
      </c>
      <c r="BT680">
        <v>1</v>
      </c>
      <c r="BU680">
        <v>0</v>
      </c>
      <c r="BV680">
        <v>1</v>
      </c>
      <c r="BW680">
        <v>40</v>
      </c>
      <c r="BX680">
        <v>0</v>
      </c>
      <c r="BY680">
        <v>40</v>
      </c>
      <c r="BZ680">
        <v>11520</v>
      </c>
      <c r="CA680">
        <v>0</v>
      </c>
      <c r="CB680">
        <v>11520</v>
      </c>
      <c r="CC680">
        <v>334.08</v>
      </c>
      <c r="CD680" t="s">
        <v>930</v>
      </c>
      <c r="CE680" t="s">
        <v>931</v>
      </c>
      <c r="CG680" t="s">
        <v>421</v>
      </c>
      <c r="CN680" t="str">
        <v>M19</v>
      </c>
      <c r="CO680" t="str">
        <v>1330-5YY0112EN</v>
      </c>
      <c r="CP680" t="str">
        <v>OOCU6912465</v>
      </c>
      <c r="CQ680" s="23">
        <v>296.21136000000001</v>
      </c>
      <c r="CR680" s="25">
        <f t="shared" si="28"/>
        <v>1.3889286709631909E-2</v>
      </c>
      <c r="CS680" s="21">
        <f t="shared" si="29"/>
        <v>34.723216774079773</v>
      </c>
    </row>
    <row r="681" spans="2:97" x14ac:dyDescent="0.35">
      <c r="B681" t="s">
        <v>297</v>
      </c>
      <c r="C681" t="s">
        <v>2381</v>
      </c>
      <c r="D681" t="s">
        <v>549</v>
      </c>
      <c r="E681" t="s">
        <v>395</v>
      </c>
      <c r="F681" t="s">
        <v>396</v>
      </c>
      <c r="G681" t="s">
        <v>397</v>
      </c>
      <c r="H681" t="s">
        <v>398</v>
      </c>
      <c r="I681" t="s">
        <v>399</v>
      </c>
      <c r="J681" t="s">
        <v>749</v>
      </c>
      <c r="K681" t="s">
        <v>401</v>
      </c>
      <c r="L681" t="s">
        <v>766</v>
      </c>
      <c r="M681" t="s">
        <v>403</v>
      </c>
      <c r="N681">
        <v>2</v>
      </c>
      <c r="O681">
        <v>2</v>
      </c>
      <c r="P681" t="s">
        <v>767</v>
      </c>
      <c r="Q681" t="s">
        <v>424</v>
      </c>
      <c r="R681" t="s">
        <v>552</v>
      </c>
      <c r="S681" t="s">
        <v>768</v>
      </c>
      <c r="T681" t="s">
        <v>408</v>
      </c>
      <c r="U681">
        <v>50950081498</v>
      </c>
      <c r="W681">
        <v>23040</v>
      </c>
      <c r="X681" t="s">
        <v>409</v>
      </c>
      <c r="Y681" t="s">
        <v>410</v>
      </c>
      <c r="Z681" t="s">
        <v>410</v>
      </c>
      <c r="AA681" t="s">
        <v>411</v>
      </c>
      <c r="AB681" t="s">
        <v>554</v>
      </c>
      <c r="AC681" t="s">
        <v>411</v>
      </c>
      <c r="AD681">
        <v>46109</v>
      </c>
      <c r="AE681">
        <v>46167</v>
      </c>
      <c r="AF681">
        <v>46113</v>
      </c>
      <c r="AG681" t="s">
        <v>770</v>
      </c>
      <c r="AH681">
        <v>6160065</v>
      </c>
      <c r="AI681">
        <v>46107</v>
      </c>
      <c r="AJ681">
        <v>46108</v>
      </c>
      <c r="AK681">
        <v>23040</v>
      </c>
      <c r="AL681" t="s">
        <v>396</v>
      </c>
      <c r="AM681" t="s">
        <v>2449</v>
      </c>
      <c r="AN681">
        <v>46108</v>
      </c>
      <c r="AO681">
        <v>46108.396585648145</v>
      </c>
      <c r="AP681" t="s">
        <v>51</v>
      </c>
      <c r="AQ681">
        <v>0.18359</v>
      </c>
      <c r="AR681">
        <v>4229.92</v>
      </c>
      <c r="AS681" t="s">
        <v>51</v>
      </c>
      <c r="AT681">
        <v>4229.92</v>
      </c>
      <c r="AU681" t="s">
        <v>415</v>
      </c>
      <c r="AV681" t="s">
        <v>1420</v>
      </c>
      <c r="AW681" t="s">
        <v>2363</v>
      </c>
      <c r="AX681">
        <v>46113</v>
      </c>
      <c r="AY681">
        <v>46162</v>
      </c>
      <c r="AZ681" t="s">
        <v>2447</v>
      </c>
      <c r="BA681" t="s">
        <v>560</v>
      </c>
      <c r="BB681" t="s">
        <v>2448</v>
      </c>
      <c r="BC681">
        <v>240</v>
      </c>
      <c r="BD681" t="s">
        <v>521</v>
      </c>
      <c r="BE681">
        <v>2.5634000000000001</v>
      </c>
      <c r="BF681">
        <v>1.2864</v>
      </c>
      <c r="BG681" t="s">
        <v>522</v>
      </c>
      <c r="BH681">
        <v>340</v>
      </c>
      <c r="BI681">
        <v>250</v>
      </c>
      <c r="BJ681">
        <v>230</v>
      </c>
      <c r="BK681">
        <v>48</v>
      </c>
      <c r="BL681" t="s">
        <v>521</v>
      </c>
      <c r="BM681">
        <v>144.04320000000001</v>
      </c>
      <c r="BN681">
        <v>61.747199999999999</v>
      </c>
      <c r="BO681">
        <v>288.08640000000003</v>
      </c>
      <c r="BP681" t="s">
        <v>522</v>
      </c>
      <c r="BQ681">
        <v>1066</v>
      </c>
      <c r="BR681">
        <v>1066</v>
      </c>
      <c r="BS681">
        <v>1080</v>
      </c>
      <c r="BT681">
        <v>2</v>
      </c>
      <c r="BU681">
        <v>0</v>
      </c>
      <c r="BV681">
        <v>2</v>
      </c>
      <c r="BW681">
        <v>96</v>
      </c>
      <c r="BX681">
        <v>0</v>
      </c>
      <c r="BY681">
        <v>96</v>
      </c>
      <c r="BZ681">
        <v>23040</v>
      </c>
      <c r="CA681">
        <v>0</v>
      </c>
      <c r="CB681">
        <v>23040</v>
      </c>
      <c r="CC681">
        <v>123.4944</v>
      </c>
      <c r="CD681" t="s">
        <v>562</v>
      </c>
      <c r="CE681" t="s">
        <v>563</v>
      </c>
      <c r="CG681" t="s">
        <v>421</v>
      </c>
      <c r="CN681" t="str">
        <v>M19</v>
      </c>
      <c r="CO681" t="str">
        <v>1330-5YY0177EN</v>
      </c>
      <c r="CP681" t="str">
        <v>OOCU6912465</v>
      </c>
      <c r="CQ681" s="23">
        <v>405.83760000000001</v>
      </c>
      <c r="CR681" s="25">
        <f t="shared" si="28"/>
        <v>1.9029637431693742E-2</v>
      </c>
      <c r="CS681" s="21">
        <f t="shared" si="29"/>
        <v>47.574093579234358</v>
      </c>
    </row>
    <row r="682" spans="2:97" x14ac:dyDescent="0.35">
      <c r="B682" t="s">
        <v>299</v>
      </c>
      <c r="C682" t="s">
        <v>2450</v>
      </c>
      <c r="D682" t="s">
        <v>395</v>
      </c>
      <c r="E682" t="s">
        <v>395</v>
      </c>
      <c r="F682" t="s">
        <v>396</v>
      </c>
      <c r="G682" t="s">
        <v>397</v>
      </c>
      <c r="H682" t="s">
        <v>398</v>
      </c>
      <c r="I682" t="s">
        <v>399</v>
      </c>
      <c r="J682" t="s">
        <v>749</v>
      </c>
      <c r="K682" t="s">
        <v>777</v>
      </c>
      <c r="L682" t="s">
        <v>778</v>
      </c>
      <c r="M682" t="s">
        <v>403</v>
      </c>
      <c r="N682">
        <v>1</v>
      </c>
      <c r="O682">
        <v>1</v>
      </c>
      <c r="P682" t="s">
        <v>779</v>
      </c>
      <c r="Q682" t="s">
        <v>587</v>
      </c>
      <c r="R682" t="s">
        <v>536</v>
      </c>
      <c r="S682" t="s">
        <v>780</v>
      </c>
      <c r="T682" t="s">
        <v>408</v>
      </c>
      <c r="U682">
        <v>50950076759</v>
      </c>
      <c r="W682">
        <v>2016</v>
      </c>
      <c r="X682" t="s">
        <v>409</v>
      </c>
      <c r="Y682" t="s">
        <v>410</v>
      </c>
      <c r="Z682" t="s">
        <v>410</v>
      </c>
      <c r="AA682" t="s">
        <v>411</v>
      </c>
      <c r="AB682" t="s">
        <v>554</v>
      </c>
      <c r="AC682" t="s">
        <v>411</v>
      </c>
      <c r="AD682">
        <v>46111</v>
      </c>
      <c r="AE682">
        <v>46167</v>
      </c>
      <c r="AF682">
        <v>46113</v>
      </c>
      <c r="AG682" t="s">
        <v>781</v>
      </c>
      <c r="AH682">
        <v>6160066</v>
      </c>
      <c r="AI682">
        <v>46107</v>
      </c>
      <c r="AJ682">
        <v>46108</v>
      </c>
      <c r="AK682">
        <v>2016</v>
      </c>
      <c r="AL682" t="s">
        <v>396</v>
      </c>
      <c r="AM682" t="s">
        <v>2451</v>
      </c>
      <c r="AN682">
        <v>46108</v>
      </c>
      <c r="AO682">
        <v>46108.396585648145</v>
      </c>
      <c r="AP682" t="s">
        <v>51</v>
      </c>
      <c r="AQ682">
        <v>2.1913299999999998</v>
      </c>
      <c r="AR682">
        <v>4417.72</v>
      </c>
      <c r="AS682" t="s">
        <v>51</v>
      </c>
      <c r="AT682">
        <v>4417.72</v>
      </c>
      <c r="AU682" t="s">
        <v>415</v>
      </c>
      <c r="AV682" t="s">
        <v>1420</v>
      </c>
      <c r="AW682" t="s">
        <v>2363</v>
      </c>
      <c r="AX682">
        <v>46113</v>
      </c>
      <c r="AY682">
        <v>46162</v>
      </c>
      <c r="AZ682" t="s">
        <v>2447</v>
      </c>
      <c r="BA682" t="s">
        <v>560</v>
      </c>
      <c r="BB682" t="s">
        <v>2448</v>
      </c>
      <c r="BC682">
        <v>28</v>
      </c>
      <c r="BD682" t="s">
        <v>521</v>
      </c>
      <c r="BE682">
        <v>4.1197999999999997</v>
      </c>
      <c r="BF682">
        <v>2.2568000000000001</v>
      </c>
      <c r="BG682" t="s">
        <v>522</v>
      </c>
      <c r="BH682">
        <v>795</v>
      </c>
      <c r="BI682">
        <v>395</v>
      </c>
      <c r="BJ682">
        <v>145</v>
      </c>
      <c r="BK682">
        <v>18</v>
      </c>
      <c r="BL682" t="s">
        <v>521</v>
      </c>
      <c r="BM682">
        <v>99.156400000000005</v>
      </c>
      <c r="BN682">
        <v>40.622399999999999</v>
      </c>
      <c r="BO682">
        <v>396.62560000000002</v>
      </c>
      <c r="BP682" t="s">
        <v>522</v>
      </c>
      <c r="BQ682">
        <v>1200</v>
      </c>
      <c r="BR682">
        <v>800</v>
      </c>
      <c r="BS682">
        <v>1030</v>
      </c>
      <c r="BT682">
        <v>4</v>
      </c>
      <c r="BU682">
        <v>0</v>
      </c>
      <c r="BV682">
        <v>4</v>
      </c>
      <c r="BW682">
        <v>72</v>
      </c>
      <c r="BX682">
        <v>0</v>
      </c>
      <c r="BY682">
        <v>72</v>
      </c>
      <c r="BZ682">
        <v>2016</v>
      </c>
      <c r="CA682">
        <v>0</v>
      </c>
      <c r="CB682">
        <v>2016</v>
      </c>
      <c r="CC682">
        <v>162.4896</v>
      </c>
      <c r="CD682" t="s">
        <v>783</v>
      </c>
      <c r="CE682" t="s">
        <v>784</v>
      </c>
      <c r="CG682" t="s">
        <v>421</v>
      </c>
      <c r="CN682" t="str">
        <v>M19</v>
      </c>
      <c r="CO682" t="str">
        <v>1330-5YY0251EN</v>
      </c>
      <c r="CP682" t="str">
        <v>OOCU6912465</v>
      </c>
      <c r="CQ682" s="23">
        <v>217.67016000000001</v>
      </c>
      <c r="CR682" s="25">
        <f t="shared" si="28"/>
        <v>1.020650680099322E-2</v>
      </c>
      <c r="CS682" s="21">
        <f t="shared" si="29"/>
        <v>25.516267002483051</v>
      </c>
    </row>
    <row r="683" spans="2:97" x14ac:dyDescent="0.35">
      <c r="B683" t="s">
        <v>299</v>
      </c>
      <c r="C683" t="s">
        <v>2452</v>
      </c>
      <c r="D683" t="s">
        <v>395</v>
      </c>
      <c r="E683" t="s">
        <v>395</v>
      </c>
      <c r="F683" t="s">
        <v>396</v>
      </c>
      <c r="G683" t="s">
        <v>397</v>
      </c>
      <c r="H683" t="s">
        <v>398</v>
      </c>
      <c r="I683" t="s">
        <v>399</v>
      </c>
      <c r="J683" t="s">
        <v>749</v>
      </c>
      <c r="K683" t="s">
        <v>777</v>
      </c>
      <c r="L683" t="s">
        <v>778</v>
      </c>
      <c r="M683" t="s">
        <v>403</v>
      </c>
      <c r="N683">
        <v>1</v>
      </c>
      <c r="O683">
        <v>1</v>
      </c>
      <c r="P683" t="s">
        <v>1372</v>
      </c>
      <c r="Q683" t="s">
        <v>637</v>
      </c>
      <c r="R683" t="s">
        <v>536</v>
      </c>
      <c r="S683" t="s">
        <v>1373</v>
      </c>
      <c r="T683" t="s">
        <v>408</v>
      </c>
      <c r="U683">
        <v>50950078351</v>
      </c>
      <c r="W683">
        <v>2016</v>
      </c>
      <c r="X683" t="s">
        <v>409</v>
      </c>
      <c r="Y683" t="s">
        <v>410</v>
      </c>
      <c r="Z683" t="s">
        <v>410</v>
      </c>
      <c r="AA683" t="s">
        <v>411</v>
      </c>
      <c r="AB683" t="s">
        <v>554</v>
      </c>
      <c r="AC683" t="s">
        <v>411</v>
      </c>
      <c r="AD683">
        <v>46109</v>
      </c>
      <c r="AE683">
        <v>46167</v>
      </c>
      <c r="AF683">
        <v>46113</v>
      </c>
      <c r="AG683" t="s">
        <v>781</v>
      </c>
      <c r="AH683">
        <v>6160067</v>
      </c>
      <c r="AI683">
        <v>46107</v>
      </c>
      <c r="AJ683">
        <v>46108</v>
      </c>
      <c r="AK683">
        <v>2016</v>
      </c>
      <c r="AL683" t="s">
        <v>396</v>
      </c>
      <c r="AM683" t="s">
        <v>2453</v>
      </c>
      <c r="AN683">
        <v>46108</v>
      </c>
      <c r="AO683">
        <v>46108.396585648145</v>
      </c>
      <c r="AP683" t="s">
        <v>51</v>
      </c>
      <c r="AQ683">
        <v>2.7070500000000002</v>
      </c>
      <c r="AR683">
        <v>5457.4</v>
      </c>
      <c r="AS683" t="s">
        <v>51</v>
      </c>
      <c r="AT683">
        <v>5457.4</v>
      </c>
      <c r="AU683" t="s">
        <v>415</v>
      </c>
      <c r="AV683" t="s">
        <v>1420</v>
      </c>
      <c r="AW683" t="s">
        <v>2363</v>
      </c>
      <c r="AX683">
        <v>46113</v>
      </c>
      <c r="AY683">
        <v>46162</v>
      </c>
      <c r="AZ683" t="s">
        <v>2447</v>
      </c>
      <c r="BA683" t="s">
        <v>560</v>
      </c>
      <c r="BB683" t="s">
        <v>2448</v>
      </c>
      <c r="BC683">
        <v>28</v>
      </c>
      <c r="BD683" t="s">
        <v>521</v>
      </c>
      <c r="BE683">
        <v>5.1753999999999998</v>
      </c>
      <c r="BF683">
        <v>3.3123999999999998</v>
      </c>
      <c r="BG683" t="s">
        <v>522</v>
      </c>
      <c r="BH683">
        <v>795</v>
      </c>
      <c r="BI683">
        <v>395</v>
      </c>
      <c r="BJ683">
        <v>145</v>
      </c>
      <c r="BK683">
        <v>18</v>
      </c>
      <c r="BL683" t="s">
        <v>521</v>
      </c>
      <c r="BM683">
        <v>118.1572</v>
      </c>
      <c r="BN683">
        <v>59.623199999999997</v>
      </c>
      <c r="BO683">
        <v>472.62880000000001</v>
      </c>
      <c r="BP683" t="s">
        <v>522</v>
      </c>
      <c r="BQ683">
        <v>1200</v>
      </c>
      <c r="BR683">
        <v>800</v>
      </c>
      <c r="BS683">
        <v>1030</v>
      </c>
      <c r="BT683">
        <v>4</v>
      </c>
      <c r="BU683">
        <v>0</v>
      </c>
      <c r="BV683">
        <v>4</v>
      </c>
      <c r="BW683">
        <v>72</v>
      </c>
      <c r="BX683">
        <v>0</v>
      </c>
      <c r="BY683">
        <v>72</v>
      </c>
      <c r="BZ683">
        <v>2016</v>
      </c>
      <c r="CA683">
        <v>0</v>
      </c>
      <c r="CB683">
        <v>2016</v>
      </c>
      <c r="CC683">
        <v>238.49279999999999</v>
      </c>
      <c r="CD683" t="s">
        <v>783</v>
      </c>
      <c r="CE683" t="s">
        <v>784</v>
      </c>
      <c r="CG683" t="s">
        <v>421</v>
      </c>
      <c r="CN683" t="str">
        <v>M45</v>
      </c>
      <c r="CO683" t="str">
        <v>1339-12B0007EN</v>
      </c>
      <c r="CP683" t="str">
        <v>OOCU6912465</v>
      </c>
      <c r="CQ683" s="23">
        <v>5169.7684799999997</v>
      </c>
      <c r="CR683" s="25">
        <f t="shared" si="28"/>
        <v>0.24240932772172527</v>
      </c>
      <c r="CS683" s="21">
        <f t="shared" si="29"/>
        <v>606.02331930431319</v>
      </c>
    </row>
    <row r="684" spans="2:97" x14ac:dyDescent="0.35">
      <c r="B684" t="s">
        <v>299</v>
      </c>
      <c r="C684" t="s">
        <v>2383</v>
      </c>
      <c r="D684" t="s">
        <v>395</v>
      </c>
      <c r="E684" t="s">
        <v>395</v>
      </c>
      <c r="F684" t="s">
        <v>396</v>
      </c>
      <c r="G684" t="s">
        <v>397</v>
      </c>
      <c r="H684" t="s">
        <v>398</v>
      </c>
      <c r="I684" t="s">
        <v>399</v>
      </c>
      <c r="J684" t="s">
        <v>749</v>
      </c>
      <c r="K684" t="s">
        <v>777</v>
      </c>
      <c r="L684" t="s">
        <v>778</v>
      </c>
      <c r="M684" t="s">
        <v>403</v>
      </c>
      <c r="N684">
        <v>1</v>
      </c>
      <c r="O684">
        <v>2</v>
      </c>
      <c r="P684" t="s">
        <v>1490</v>
      </c>
      <c r="Q684" t="s">
        <v>637</v>
      </c>
      <c r="R684" t="s">
        <v>536</v>
      </c>
      <c r="S684" t="s">
        <v>1491</v>
      </c>
      <c r="T684" t="s">
        <v>408</v>
      </c>
      <c r="U684">
        <v>50950079308</v>
      </c>
      <c r="W684">
        <v>4032</v>
      </c>
      <c r="X684" t="s">
        <v>409</v>
      </c>
      <c r="Y684" t="s">
        <v>410</v>
      </c>
      <c r="Z684" t="s">
        <v>410</v>
      </c>
      <c r="AA684" t="s">
        <v>411</v>
      </c>
      <c r="AB684" t="s">
        <v>554</v>
      </c>
      <c r="AC684" t="s">
        <v>411</v>
      </c>
      <c r="AD684">
        <v>46109</v>
      </c>
      <c r="AE684">
        <v>46167</v>
      </c>
      <c r="AF684">
        <v>46113</v>
      </c>
      <c r="AG684" t="s">
        <v>781</v>
      </c>
      <c r="AH684">
        <v>6160068</v>
      </c>
      <c r="AI684">
        <v>46107</v>
      </c>
      <c r="AJ684">
        <v>46108</v>
      </c>
      <c r="AK684">
        <v>4032</v>
      </c>
      <c r="AL684" t="s">
        <v>396</v>
      </c>
      <c r="AM684" t="s">
        <v>2454</v>
      </c>
      <c r="AN684">
        <v>46108</v>
      </c>
      <c r="AO684">
        <v>46108.396585648145</v>
      </c>
      <c r="AP684" t="s">
        <v>51</v>
      </c>
      <c r="AQ684">
        <v>3.2103700000000002</v>
      </c>
      <c r="AR684">
        <v>12944.24</v>
      </c>
      <c r="AS684" t="s">
        <v>51</v>
      </c>
      <c r="AT684">
        <v>12944.24</v>
      </c>
      <c r="AU684" t="s">
        <v>415</v>
      </c>
      <c r="AV684" t="s">
        <v>1420</v>
      </c>
      <c r="AW684" t="s">
        <v>2363</v>
      </c>
      <c r="AX684">
        <v>46113</v>
      </c>
      <c r="AY684">
        <v>46162</v>
      </c>
      <c r="AZ684" t="s">
        <v>2447</v>
      </c>
      <c r="BA684" t="s">
        <v>560</v>
      </c>
      <c r="BB684" t="s">
        <v>2448</v>
      </c>
      <c r="BC684">
        <v>28</v>
      </c>
      <c r="BD684" t="s">
        <v>521</v>
      </c>
      <c r="BE684">
        <v>6.0069999999999997</v>
      </c>
      <c r="BF684">
        <v>4.1440000000000001</v>
      </c>
      <c r="BG684" t="s">
        <v>522</v>
      </c>
      <c r="BH684">
        <v>795</v>
      </c>
      <c r="BI684">
        <v>395</v>
      </c>
      <c r="BJ684">
        <v>145</v>
      </c>
      <c r="BK684">
        <v>18</v>
      </c>
      <c r="BL684" t="s">
        <v>521</v>
      </c>
      <c r="BM684">
        <v>133.126</v>
      </c>
      <c r="BN684">
        <v>74.591999999999999</v>
      </c>
      <c r="BO684">
        <v>1065.008</v>
      </c>
      <c r="BP684" t="s">
        <v>522</v>
      </c>
      <c r="BQ684">
        <v>1200</v>
      </c>
      <c r="BR684">
        <v>800</v>
      </c>
      <c r="BS684">
        <v>1030</v>
      </c>
      <c r="BT684">
        <v>8</v>
      </c>
      <c r="BU684">
        <v>0</v>
      </c>
      <c r="BV684">
        <v>8</v>
      </c>
      <c r="BW684">
        <v>144</v>
      </c>
      <c r="BX684">
        <v>0</v>
      </c>
      <c r="BY684">
        <v>144</v>
      </c>
      <c r="BZ684">
        <v>4032</v>
      </c>
      <c r="CA684">
        <v>0</v>
      </c>
      <c r="CB684">
        <v>4032</v>
      </c>
      <c r="CC684">
        <v>596.73599999999999</v>
      </c>
      <c r="CD684" t="s">
        <v>783</v>
      </c>
      <c r="CE684" t="s">
        <v>784</v>
      </c>
      <c r="CG684" t="s">
        <v>421</v>
      </c>
      <c r="CN684" t="str">
        <v>M45</v>
      </c>
      <c r="CO684" t="str">
        <v>1339-12C0007EN</v>
      </c>
      <c r="CP684" t="str">
        <v>OOCU6912465</v>
      </c>
      <c r="CQ684" s="23">
        <v>637.24490000000003</v>
      </c>
      <c r="CR684" s="25">
        <f t="shared" si="28"/>
        <v>2.9880275761033321E-2</v>
      </c>
      <c r="CS684" s="21">
        <f t="shared" si="29"/>
        <v>74.700689402583308</v>
      </c>
    </row>
    <row r="685" spans="2:97" x14ac:dyDescent="0.35">
      <c r="B685" t="s">
        <v>299</v>
      </c>
      <c r="C685" t="s">
        <v>2455</v>
      </c>
      <c r="D685" t="s">
        <v>395</v>
      </c>
      <c r="E685" t="s">
        <v>823</v>
      </c>
      <c r="F685" t="s">
        <v>396</v>
      </c>
      <c r="G685" t="s">
        <v>397</v>
      </c>
      <c r="H685" t="s">
        <v>398</v>
      </c>
      <c r="I685" t="s">
        <v>399</v>
      </c>
      <c r="J685" t="s">
        <v>749</v>
      </c>
      <c r="K685" t="s">
        <v>777</v>
      </c>
      <c r="L685" t="s">
        <v>778</v>
      </c>
      <c r="M685" t="s">
        <v>403</v>
      </c>
      <c r="N685">
        <v>1</v>
      </c>
      <c r="O685">
        <v>1</v>
      </c>
      <c r="P685" t="s">
        <v>2417</v>
      </c>
      <c r="Q685" t="s">
        <v>637</v>
      </c>
      <c r="R685" t="s">
        <v>536</v>
      </c>
      <c r="S685" t="s">
        <v>2418</v>
      </c>
      <c r="T685" t="s">
        <v>408</v>
      </c>
      <c r="U685">
        <v>50950079438</v>
      </c>
      <c r="W685">
        <v>2016</v>
      </c>
      <c r="X685" t="s">
        <v>409</v>
      </c>
      <c r="Y685" t="s">
        <v>410</v>
      </c>
      <c r="Z685" t="s">
        <v>410</v>
      </c>
      <c r="AA685" t="s">
        <v>411</v>
      </c>
      <c r="AB685" t="s">
        <v>554</v>
      </c>
      <c r="AC685" t="s">
        <v>411</v>
      </c>
      <c r="AD685">
        <v>46111</v>
      </c>
      <c r="AE685">
        <v>46167</v>
      </c>
      <c r="AF685">
        <v>46113</v>
      </c>
      <c r="AG685" t="s">
        <v>781</v>
      </c>
      <c r="AH685">
        <v>6160069</v>
      </c>
      <c r="AI685">
        <v>46107</v>
      </c>
      <c r="AJ685">
        <v>46108</v>
      </c>
      <c r="AK685">
        <v>2016</v>
      </c>
      <c r="AL685" t="s">
        <v>396</v>
      </c>
      <c r="AM685" t="s">
        <v>2456</v>
      </c>
      <c r="AN685">
        <v>46108</v>
      </c>
      <c r="AO685">
        <v>46108.396585648145</v>
      </c>
      <c r="AP685" t="s">
        <v>51</v>
      </c>
      <c r="AQ685">
        <v>2.5460099999999999</v>
      </c>
      <c r="AR685">
        <v>5132.76</v>
      </c>
      <c r="AS685" t="s">
        <v>51</v>
      </c>
      <c r="AT685">
        <v>5132.76</v>
      </c>
      <c r="AU685" t="s">
        <v>415</v>
      </c>
      <c r="AV685" t="s">
        <v>1420</v>
      </c>
      <c r="AW685" t="s">
        <v>2363</v>
      </c>
      <c r="AX685">
        <v>46113</v>
      </c>
      <c r="AY685">
        <v>46162</v>
      </c>
      <c r="AZ685" t="s">
        <v>2447</v>
      </c>
      <c r="BA685" t="s">
        <v>560</v>
      </c>
      <c r="BB685" t="s">
        <v>2448</v>
      </c>
      <c r="BC685">
        <v>28</v>
      </c>
      <c r="BD685" t="s">
        <v>521</v>
      </c>
      <c r="BE685">
        <v>4.8365999999999998</v>
      </c>
      <c r="BF685">
        <v>2.9735999999999998</v>
      </c>
      <c r="BG685" t="s">
        <v>522</v>
      </c>
      <c r="BH685">
        <v>795</v>
      </c>
      <c r="BI685">
        <v>395</v>
      </c>
      <c r="BJ685">
        <v>145</v>
      </c>
      <c r="BK685">
        <v>18</v>
      </c>
      <c r="BL685" t="s">
        <v>521</v>
      </c>
      <c r="BM685">
        <v>112.05880000000001</v>
      </c>
      <c r="BN685">
        <v>53.524799999999999</v>
      </c>
      <c r="BO685">
        <v>448.23520000000002</v>
      </c>
      <c r="BP685" t="s">
        <v>522</v>
      </c>
      <c r="BQ685">
        <v>1200</v>
      </c>
      <c r="BR685">
        <v>800</v>
      </c>
      <c r="BS685">
        <v>1030</v>
      </c>
      <c r="BT685">
        <v>4</v>
      </c>
      <c r="BU685">
        <v>0</v>
      </c>
      <c r="BV685">
        <v>4</v>
      </c>
      <c r="BW685">
        <v>72</v>
      </c>
      <c r="BX685">
        <v>0</v>
      </c>
      <c r="BY685">
        <v>72</v>
      </c>
      <c r="BZ685">
        <v>2016</v>
      </c>
      <c r="CA685">
        <v>0</v>
      </c>
      <c r="CB685">
        <v>2016</v>
      </c>
      <c r="CC685">
        <v>214.0992</v>
      </c>
      <c r="CD685" t="s">
        <v>783</v>
      </c>
      <c r="CE685" t="s">
        <v>784</v>
      </c>
      <c r="CG685" t="s">
        <v>421</v>
      </c>
      <c r="CN685" t="str">
        <v>M45</v>
      </c>
      <c r="CO685" t="str">
        <v>1404-12C0002EN</v>
      </c>
      <c r="CP685" t="str">
        <v>OOCU6912465</v>
      </c>
      <c r="CQ685" s="23">
        <v>659.16890000000001</v>
      </c>
      <c r="CR685" s="25">
        <f t="shared" si="28"/>
        <v>3.0908287386995165E-2</v>
      </c>
      <c r="CS685" s="21">
        <f t="shared" si="29"/>
        <v>77.27071846748791</v>
      </c>
    </row>
    <row r="686" spans="2:97" x14ac:dyDescent="0.35">
      <c r="B686" t="s">
        <v>299</v>
      </c>
      <c r="C686" t="s">
        <v>2457</v>
      </c>
      <c r="D686" t="s">
        <v>395</v>
      </c>
      <c r="E686" t="s">
        <v>395</v>
      </c>
      <c r="F686" t="s">
        <v>396</v>
      </c>
      <c r="G686" t="s">
        <v>397</v>
      </c>
      <c r="H686" t="s">
        <v>398</v>
      </c>
      <c r="I686" t="s">
        <v>399</v>
      </c>
      <c r="J686" t="s">
        <v>749</v>
      </c>
      <c r="K686" t="s">
        <v>533</v>
      </c>
      <c r="L686" t="s">
        <v>778</v>
      </c>
      <c r="M686" t="s">
        <v>403</v>
      </c>
      <c r="N686">
        <v>1</v>
      </c>
      <c r="O686">
        <v>1</v>
      </c>
      <c r="P686" t="s">
        <v>1922</v>
      </c>
      <c r="Q686" t="s">
        <v>430</v>
      </c>
      <c r="R686" t="s">
        <v>536</v>
      </c>
      <c r="S686" t="s">
        <v>1923</v>
      </c>
      <c r="T686" t="s">
        <v>408</v>
      </c>
      <c r="U686">
        <v>50950080360</v>
      </c>
      <c r="W686">
        <v>23520</v>
      </c>
      <c r="X686" t="s">
        <v>409</v>
      </c>
      <c r="Y686" t="s">
        <v>410</v>
      </c>
      <c r="Z686" t="s">
        <v>410</v>
      </c>
      <c r="AA686" t="s">
        <v>411</v>
      </c>
      <c r="AB686" t="s">
        <v>554</v>
      </c>
      <c r="AC686" t="s">
        <v>411</v>
      </c>
      <c r="AD686">
        <v>46102</v>
      </c>
      <c r="AE686">
        <v>46160</v>
      </c>
      <c r="AF686">
        <v>46113</v>
      </c>
      <c r="AG686" t="s">
        <v>781</v>
      </c>
      <c r="AH686">
        <v>6160070</v>
      </c>
      <c r="AI686">
        <v>46107</v>
      </c>
      <c r="AJ686">
        <v>46108</v>
      </c>
      <c r="AK686">
        <v>23520</v>
      </c>
      <c r="AL686" t="s">
        <v>396</v>
      </c>
      <c r="AM686" t="s">
        <v>2458</v>
      </c>
      <c r="AN686">
        <v>46108</v>
      </c>
      <c r="AO686">
        <v>46108.396585648145</v>
      </c>
      <c r="AP686" t="s">
        <v>51</v>
      </c>
      <c r="AQ686">
        <v>0.40716000000000002</v>
      </c>
      <c r="AR686">
        <v>9576.4</v>
      </c>
      <c r="AS686" t="s">
        <v>51</v>
      </c>
      <c r="AT686">
        <v>9576.4</v>
      </c>
      <c r="AU686" t="s">
        <v>415</v>
      </c>
      <c r="AV686" t="s">
        <v>1420</v>
      </c>
      <c r="AW686" t="s">
        <v>2363</v>
      </c>
      <c r="AX686">
        <v>46113</v>
      </c>
      <c r="AY686">
        <v>46162</v>
      </c>
      <c r="AZ686" t="s">
        <v>2447</v>
      </c>
      <c r="BA686" t="s">
        <v>560</v>
      </c>
      <c r="BB686" t="s">
        <v>2448</v>
      </c>
      <c r="BC686">
        <v>392</v>
      </c>
      <c r="BD686" t="s">
        <v>521</v>
      </c>
      <c r="BE686">
        <v>10.1358</v>
      </c>
      <c r="BF686">
        <v>8.5378000000000007</v>
      </c>
      <c r="BG686" t="s">
        <v>522</v>
      </c>
      <c r="BH686">
        <v>395</v>
      </c>
      <c r="BI686">
        <v>295</v>
      </c>
      <c r="BJ686">
        <v>150</v>
      </c>
      <c r="BK686">
        <v>60</v>
      </c>
      <c r="BL686" t="s">
        <v>521</v>
      </c>
      <c r="BM686">
        <v>635.14559999999994</v>
      </c>
      <c r="BN686">
        <v>512.26559999999995</v>
      </c>
      <c r="BO686">
        <v>635.14559999999994</v>
      </c>
      <c r="BP686" t="s">
        <v>522</v>
      </c>
      <c r="BQ686">
        <v>1200</v>
      </c>
      <c r="BR686">
        <v>1000</v>
      </c>
      <c r="BS686">
        <v>1058</v>
      </c>
      <c r="BT686">
        <v>1</v>
      </c>
      <c r="BU686">
        <v>0</v>
      </c>
      <c r="BV686">
        <v>1</v>
      </c>
      <c r="BW686">
        <v>60</v>
      </c>
      <c r="BX686">
        <v>0</v>
      </c>
      <c r="BY686">
        <v>60</v>
      </c>
      <c r="BZ686">
        <v>23520</v>
      </c>
      <c r="CA686">
        <v>0</v>
      </c>
      <c r="CB686">
        <v>23520</v>
      </c>
      <c r="CC686">
        <v>512.26559999999995</v>
      </c>
      <c r="CD686" t="s">
        <v>799</v>
      </c>
      <c r="CE686" t="s">
        <v>1925</v>
      </c>
      <c r="CG686" t="s">
        <v>421</v>
      </c>
      <c r="CN686" t="str">
        <v>M45</v>
      </c>
      <c r="CO686" t="str">
        <v>1339-12B0009EN</v>
      </c>
      <c r="CP686" t="str">
        <v>OOCU6912465</v>
      </c>
      <c r="CQ686" s="23">
        <v>5745.38346</v>
      </c>
      <c r="CR686" s="25">
        <f t="shared" si="28"/>
        <v>0.26939978984167584</v>
      </c>
      <c r="CS686" s="21">
        <f t="shared" si="29"/>
        <v>673.49947460418957</v>
      </c>
    </row>
    <row r="687" spans="2:97" x14ac:dyDescent="0.35">
      <c r="B687" t="s">
        <v>295</v>
      </c>
      <c r="C687" t="s">
        <v>868</v>
      </c>
      <c r="D687" t="s">
        <v>395</v>
      </c>
      <c r="E687" t="s">
        <v>395</v>
      </c>
      <c r="F687" t="s">
        <v>396</v>
      </c>
      <c r="G687" t="s">
        <v>397</v>
      </c>
      <c r="H687" t="s">
        <v>398</v>
      </c>
      <c r="I687" t="s">
        <v>399</v>
      </c>
      <c r="J687" t="s">
        <v>749</v>
      </c>
      <c r="K687" t="s">
        <v>629</v>
      </c>
      <c r="L687" t="s">
        <v>787</v>
      </c>
      <c r="M687" t="s">
        <v>403</v>
      </c>
      <c r="N687">
        <v>1</v>
      </c>
      <c r="O687">
        <v>5</v>
      </c>
      <c r="P687" t="s">
        <v>869</v>
      </c>
      <c r="Q687" t="s">
        <v>637</v>
      </c>
      <c r="R687" t="s">
        <v>870</v>
      </c>
      <c r="S687" t="s">
        <v>871</v>
      </c>
      <c r="T687" t="s">
        <v>408</v>
      </c>
      <c r="U687">
        <v>50950076250</v>
      </c>
      <c r="W687">
        <v>7200</v>
      </c>
      <c r="X687" t="s">
        <v>409</v>
      </c>
      <c r="Y687" t="s">
        <v>410</v>
      </c>
      <c r="Z687" t="s">
        <v>410</v>
      </c>
      <c r="AA687" t="s">
        <v>411</v>
      </c>
      <c r="AB687" t="s">
        <v>554</v>
      </c>
      <c r="AC687" t="s">
        <v>411</v>
      </c>
      <c r="AD687">
        <v>46111</v>
      </c>
      <c r="AE687">
        <v>46118</v>
      </c>
      <c r="AF687">
        <v>46113</v>
      </c>
      <c r="AG687" t="s">
        <v>754</v>
      </c>
      <c r="AH687">
        <v>6160071</v>
      </c>
      <c r="AI687">
        <v>46107</v>
      </c>
      <c r="AJ687">
        <v>46108</v>
      </c>
      <c r="AK687">
        <v>7200</v>
      </c>
      <c r="AL687" t="s">
        <v>396</v>
      </c>
      <c r="AM687" t="s">
        <v>2459</v>
      </c>
      <c r="AN687">
        <v>46108</v>
      </c>
      <c r="AO687">
        <v>46108.396585648145</v>
      </c>
      <c r="AP687" t="s">
        <v>51</v>
      </c>
      <c r="AQ687">
        <v>1.03729</v>
      </c>
      <c r="AR687">
        <v>7468.5</v>
      </c>
      <c r="AS687" t="s">
        <v>51</v>
      </c>
      <c r="AT687">
        <v>7468.5</v>
      </c>
      <c r="AU687" t="s">
        <v>415</v>
      </c>
      <c r="AV687" t="s">
        <v>1420</v>
      </c>
      <c r="AW687" t="s">
        <v>2363</v>
      </c>
      <c r="AX687">
        <v>46113</v>
      </c>
      <c r="AY687">
        <v>46162</v>
      </c>
      <c r="AZ687" t="s">
        <v>2447</v>
      </c>
      <c r="BA687" t="s">
        <v>560</v>
      </c>
      <c r="BB687" t="s">
        <v>2448</v>
      </c>
      <c r="BC687">
        <v>40</v>
      </c>
      <c r="BD687" t="s">
        <v>521</v>
      </c>
      <c r="BE687">
        <v>4.4851000000000001</v>
      </c>
      <c r="BF687">
        <v>3.3351000000000002</v>
      </c>
      <c r="BG687" t="s">
        <v>522</v>
      </c>
      <c r="BH687">
        <v>495</v>
      </c>
      <c r="BI687">
        <v>395</v>
      </c>
      <c r="BJ687">
        <v>1800</v>
      </c>
      <c r="BK687">
        <v>30</v>
      </c>
      <c r="BL687" t="s">
        <v>521</v>
      </c>
      <c r="BM687">
        <v>161.553</v>
      </c>
      <c r="BN687">
        <v>100.053</v>
      </c>
      <c r="BO687">
        <v>969.32159999999999</v>
      </c>
      <c r="BP687" t="s">
        <v>522</v>
      </c>
      <c r="BQ687">
        <v>1200</v>
      </c>
      <c r="BR687">
        <v>1000</v>
      </c>
      <c r="BS687">
        <v>1058</v>
      </c>
      <c r="BT687">
        <v>6</v>
      </c>
      <c r="BU687">
        <v>0</v>
      </c>
      <c r="BV687">
        <v>6</v>
      </c>
      <c r="BW687">
        <v>180</v>
      </c>
      <c r="BX687">
        <v>0</v>
      </c>
      <c r="BY687">
        <v>180</v>
      </c>
      <c r="BZ687">
        <v>7200</v>
      </c>
      <c r="CA687">
        <v>0</v>
      </c>
      <c r="CB687">
        <v>7200</v>
      </c>
      <c r="CC687">
        <v>600.32159999999999</v>
      </c>
      <c r="CD687" t="s">
        <v>799</v>
      </c>
      <c r="CE687" t="s">
        <v>873</v>
      </c>
      <c r="CG687" t="s">
        <v>421</v>
      </c>
      <c r="CN687" t="str">
        <v>M45</v>
      </c>
      <c r="CO687" t="str">
        <v>1339-12C0008EN</v>
      </c>
      <c r="CP687" t="str">
        <v>OOCU6912465</v>
      </c>
      <c r="CQ687" s="23">
        <v>1276.9090000000001</v>
      </c>
      <c r="CR687" s="25">
        <f t="shared" si="28"/>
        <v>5.9873987287690021E-2</v>
      </c>
      <c r="CS687" s="21">
        <f t="shared" si="29"/>
        <v>149.68496821922506</v>
      </c>
    </row>
    <row r="688" spans="2:97" x14ac:dyDescent="0.35">
      <c r="B688" t="s">
        <v>299</v>
      </c>
      <c r="C688" t="s">
        <v>2460</v>
      </c>
      <c r="D688" t="s">
        <v>395</v>
      </c>
      <c r="E688" t="s">
        <v>395</v>
      </c>
      <c r="F688" t="s">
        <v>396</v>
      </c>
      <c r="G688" t="s">
        <v>397</v>
      </c>
      <c r="H688" t="s">
        <v>398</v>
      </c>
      <c r="I688" t="s">
        <v>399</v>
      </c>
      <c r="J688" t="s">
        <v>749</v>
      </c>
      <c r="K688" t="s">
        <v>629</v>
      </c>
      <c r="L688" t="s">
        <v>787</v>
      </c>
      <c r="M688" t="s">
        <v>403</v>
      </c>
      <c r="N688">
        <v>1</v>
      </c>
      <c r="O688">
        <v>1</v>
      </c>
      <c r="P688" t="s">
        <v>1177</v>
      </c>
      <c r="Q688" t="s">
        <v>637</v>
      </c>
      <c r="R688" t="s">
        <v>1128</v>
      </c>
      <c r="S688" t="s">
        <v>1178</v>
      </c>
      <c r="T688" t="s">
        <v>408</v>
      </c>
      <c r="U688">
        <v>50950079340</v>
      </c>
      <c r="W688">
        <v>16800</v>
      </c>
      <c r="X688" t="s">
        <v>409</v>
      </c>
      <c r="Y688" t="s">
        <v>410</v>
      </c>
      <c r="Z688" t="s">
        <v>410</v>
      </c>
      <c r="AA688" t="s">
        <v>411</v>
      </c>
      <c r="AB688" t="s">
        <v>554</v>
      </c>
      <c r="AC688" t="s">
        <v>411</v>
      </c>
      <c r="AD688">
        <v>46111</v>
      </c>
      <c r="AE688">
        <v>46153</v>
      </c>
      <c r="AF688">
        <v>46113</v>
      </c>
      <c r="AG688" t="s">
        <v>754</v>
      </c>
      <c r="AH688">
        <v>6160072</v>
      </c>
      <c r="AI688">
        <v>46107</v>
      </c>
      <c r="AJ688">
        <v>46108</v>
      </c>
      <c r="AK688">
        <v>16800</v>
      </c>
      <c r="AL688" t="s">
        <v>396</v>
      </c>
      <c r="AM688" t="s">
        <v>2461</v>
      </c>
      <c r="AN688">
        <v>46108</v>
      </c>
      <c r="AO688">
        <v>46108.396585648145</v>
      </c>
      <c r="AP688" t="s">
        <v>51</v>
      </c>
      <c r="AQ688">
        <v>1.1251800000000001</v>
      </c>
      <c r="AR688">
        <v>18903.009999999998</v>
      </c>
      <c r="AS688" t="s">
        <v>51</v>
      </c>
      <c r="AT688">
        <v>18903.009999999998</v>
      </c>
      <c r="AU688" t="s">
        <v>415</v>
      </c>
      <c r="AV688" t="s">
        <v>1420</v>
      </c>
      <c r="AW688" t="s">
        <v>2363</v>
      </c>
      <c r="AX688">
        <v>46113</v>
      </c>
      <c r="AY688">
        <v>46162</v>
      </c>
      <c r="AZ688" t="s">
        <v>2447</v>
      </c>
      <c r="BA688" t="s">
        <v>560</v>
      </c>
      <c r="BB688" t="s">
        <v>2448</v>
      </c>
      <c r="BC688">
        <v>80</v>
      </c>
      <c r="BD688" t="s">
        <v>521</v>
      </c>
      <c r="BE688">
        <v>6.9805999999999999</v>
      </c>
      <c r="BF688">
        <v>3.0506000000000002</v>
      </c>
      <c r="BG688" t="s">
        <v>522</v>
      </c>
      <c r="BH688">
        <v>520</v>
      </c>
      <c r="BI688">
        <v>330</v>
      </c>
      <c r="BJ688">
        <v>190</v>
      </c>
      <c r="BK688">
        <v>30</v>
      </c>
      <c r="BL688" t="s">
        <v>521</v>
      </c>
      <c r="BM688">
        <v>235.41800000000001</v>
      </c>
      <c r="BN688">
        <v>91.518000000000001</v>
      </c>
      <c r="BO688">
        <v>1647.9344000000001</v>
      </c>
      <c r="BP688" t="s">
        <v>522</v>
      </c>
      <c r="BQ688">
        <v>1066</v>
      </c>
      <c r="BR688">
        <v>1066</v>
      </c>
      <c r="BS688">
        <v>1100</v>
      </c>
      <c r="BT688">
        <v>7</v>
      </c>
      <c r="BU688">
        <v>0</v>
      </c>
      <c r="BV688">
        <v>7</v>
      </c>
      <c r="BW688">
        <v>210</v>
      </c>
      <c r="BX688">
        <v>0</v>
      </c>
      <c r="BY688">
        <v>210</v>
      </c>
      <c r="BZ688">
        <v>16800</v>
      </c>
      <c r="CA688">
        <v>0</v>
      </c>
      <c r="CB688">
        <v>16800</v>
      </c>
      <c r="CC688">
        <v>640.63440000000003</v>
      </c>
      <c r="CD688" t="s">
        <v>1131</v>
      </c>
      <c r="CE688" t="s">
        <v>1132</v>
      </c>
      <c r="CG688" t="s">
        <v>421</v>
      </c>
      <c r="CN688" t="str">
        <v>M01</v>
      </c>
      <c r="CO688" t="str">
        <v>1999-1031497EN</v>
      </c>
      <c r="CP688" t="str">
        <v>OOCU8204341</v>
      </c>
      <c r="CQ688" s="23">
        <v>2083.1999999999998</v>
      </c>
      <c r="CR688" s="25">
        <f t="shared" si="28"/>
        <v>0.10880260543298376</v>
      </c>
      <c r="CS688" s="21">
        <f t="shared" si="29"/>
        <v>272.00651358245938</v>
      </c>
    </row>
    <row r="689" spans="2:97" x14ac:dyDescent="0.35">
      <c r="B689" t="s">
        <v>299</v>
      </c>
      <c r="C689" t="s">
        <v>1987</v>
      </c>
      <c r="D689" t="s">
        <v>965</v>
      </c>
      <c r="E689" t="s">
        <v>395</v>
      </c>
      <c r="F689" t="s">
        <v>396</v>
      </c>
      <c r="G689" t="s">
        <v>397</v>
      </c>
      <c r="H689" t="s">
        <v>398</v>
      </c>
      <c r="I689" t="s">
        <v>399</v>
      </c>
      <c r="J689" t="s">
        <v>749</v>
      </c>
      <c r="K689" t="s">
        <v>526</v>
      </c>
      <c r="L689" t="s">
        <v>787</v>
      </c>
      <c r="M689" t="s">
        <v>403</v>
      </c>
      <c r="N689">
        <v>1</v>
      </c>
      <c r="O689">
        <v>5</v>
      </c>
      <c r="P689" t="s">
        <v>966</v>
      </c>
      <c r="Q689" t="s">
        <v>424</v>
      </c>
      <c r="R689" t="s">
        <v>959</v>
      </c>
      <c r="S689" t="s">
        <v>967</v>
      </c>
      <c r="T689" t="s">
        <v>408</v>
      </c>
      <c r="U689">
        <v>50950079530</v>
      </c>
      <c r="W689">
        <v>57024</v>
      </c>
      <c r="X689" t="s">
        <v>409</v>
      </c>
      <c r="Y689" t="s">
        <v>410</v>
      </c>
      <c r="Z689" t="s">
        <v>410</v>
      </c>
      <c r="AA689" t="s">
        <v>411</v>
      </c>
      <c r="AB689" t="s">
        <v>554</v>
      </c>
      <c r="AC689" t="s">
        <v>411</v>
      </c>
      <c r="AD689">
        <v>46095</v>
      </c>
      <c r="AE689">
        <v>46111</v>
      </c>
      <c r="AF689">
        <v>46113</v>
      </c>
      <c r="AG689" t="s">
        <v>754</v>
      </c>
      <c r="AH689">
        <v>6160073</v>
      </c>
      <c r="AI689">
        <v>46107</v>
      </c>
      <c r="AJ689">
        <v>46108</v>
      </c>
      <c r="AK689">
        <v>57024</v>
      </c>
      <c r="AL689" t="s">
        <v>396</v>
      </c>
      <c r="AM689" t="s">
        <v>2462</v>
      </c>
      <c r="AN689">
        <v>46108</v>
      </c>
      <c r="AO689">
        <v>46108.396585648145</v>
      </c>
      <c r="AP689" t="s">
        <v>51</v>
      </c>
      <c r="AQ689">
        <v>5.5079999999999997E-2</v>
      </c>
      <c r="AR689">
        <v>3140.88</v>
      </c>
      <c r="AS689" t="s">
        <v>51</v>
      </c>
      <c r="AT689">
        <v>3140.88</v>
      </c>
      <c r="AU689" t="s">
        <v>415</v>
      </c>
      <c r="AV689" t="s">
        <v>1420</v>
      </c>
      <c r="AW689" t="s">
        <v>2363</v>
      </c>
      <c r="AX689">
        <v>46113</v>
      </c>
      <c r="AY689">
        <v>46162</v>
      </c>
      <c r="AZ689" t="s">
        <v>2447</v>
      </c>
      <c r="BA689" t="s">
        <v>560</v>
      </c>
      <c r="BB689" t="s">
        <v>2448</v>
      </c>
      <c r="BC689">
        <v>594</v>
      </c>
      <c r="BD689" t="s">
        <v>521</v>
      </c>
      <c r="BE689">
        <v>8.2226999999999997</v>
      </c>
      <c r="BF689">
        <v>7.9726999999999997</v>
      </c>
      <c r="BG689" t="s">
        <v>522</v>
      </c>
      <c r="BH689">
        <v>286</v>
      </c>
      <c r="BI689">
        <v>190</v>
      </c>
      <c r="BJ689">
        <v>72</v>
      </c>
      <c r="BK689">
        <v>48</v>
      </c>
      <c r="BL689" t="s">
        <v>521</v>
      </c>
      <c r="BM689">
        <v>419.68959999999998</v>
      </c>
      <c r="BN689">
        <v>382.68959999999998</v>
      </c>
      <c r="BO689">
        <v>839.37612799999999</v>
      </c>
      <c r="BP689" t="s">
        <v>522</v>
      </c>
      <c r="BQ689">
        <v>1200</v>
      </c>
      <c r="BR689">
        <v>800</v>
      </c>
      <c r="BS689">
        <v>378</v>
      </c>
      <c r="BT689">
        <v>2</v>
      </c>
      <c r="BU689">
        <v>0</v>
      </c>
      <c r="BV689">
        <v>2</v>
      </c>
      <c r="BW689">
        <v>96</v>
      </c>
      <c r="BX689">
        <v>0</v>
      </c>
      <c r="BY689">
        <v>96</v>
      </c>
      <c r="BZ689">
        <v>57024</v>
      </c>
      <c r="CA689">
        <v>0</v>
      </c>
      <c r="CB689">
        <v>57024</v>
      </c>
      <c r="CC689">
        <v>765.37612799999999</v>
      </c>
      <c r="CD689" t="s">
        <v>969</v>
      </c>
      <c r="CE689" t="s">
        <v>970</v>
      </c>
      <c r="CG689" t="s">
        <v>421</v>
      </c>
      <c r="CN689" t="str">
        <v>M01</v>
      </c>
      <c r="CO689" t="str">
        <v>1200-1030990EN0002</v>
      </c>
      <c r="CP689" t="str">
        <v>OOCU8204341</v>
      </c>
      <c r="CQ689" s="23">
        <v>432.12959999999998</v>
      </c>
      <c r="CR689" s="25">
        <f t="shared" si="28"/>
        <v>2.256952110441297E-2</v>
      </c>
      <c r="CS689" s="21">
        <f t="shared" si="29"/>
        <v>56.423802761032427</v>
      </c>
    </row>
    <row r="690" spans="2:97" x14ac:dyDescent="0.35">
      <c r="B690" t="s">
        <v>299</v>
      </c>
      <c r="C690" t="s">
        <v>2463</v>
      </c>
      <c r="D690" t="s">
        <v>395</v>
      </c>
      <c r="E690" t="s">
        <v>395</v>
      </c>
      <c r="F690" t="s">
        <v>396</v>
      </c>
      <c r="G690" t="s">
        <v>397</v>
      </c>
      <c r="H690" t="s">
        <v>398</v>
      </c>
      <c r="I690" t="s">
        <v>399</v>
      </c>
      <c r="J690" t="s">
        <v>749</v>
      </c>
      <c r="K690" t="s">
        <v>526</v>
      </c>
      <c r="L690" t="s">
        <v>787</v>
      </c>
      <c r="M690" t="s">
        <v>403</v>
      </c>
      <c r="N690">
        <v>1</v>
      </c>
      <c r="O690">
        <v>1</v>
      </c>
      <c r="P690" t="s">
        <v>966</v>
      </c>
      <c r="Q690" t="s">
        <v>424</v>
      </c>
      <c r="R690" t="s">
        <v>959</v>
      </c>
      <c r="S690" t="s">
        <v>967</v>
      </c>
      <c r="T690" t="s">
        <v>408</v>
      </c>
      <c r="U690">
        <v>50950079531</v>
      </c>
      <c r="W690">
        <v>228096</v>
      </c>
      <c r="X690" t="s">
        <v>409</v>
      </c>
      <c r="Y690" t="s">
        <v>410</v>
      </c>
      <c r="Z690" t="s">
        <v>410</v>
      </c>
      <c r="AA690" t="s">
        <v>411</v>
      </c>
      <c r="AB690" t="s">
        <v>554</v>
      </c>
      <c r="AC690" t="s">
        <v>411</v>
      </c>
      <c r="AD690">
        <v>46102</v>
      </c>
      <c r="AE690">
        <v>46118</v>
      </c>
      <c r="AF690">
        <v>46113</v>
      </c>
      <c r="AG690" t="s">
        <v>754</v>
      </c>
      <c r="AH690">
        <v>6160074</v>
      </c>
      <c r="AI690">
        <v>46107</v>
      </c>
      <c r="AJ690">
        <v>46108</v>
      </c>
      <c r="AK690">
        <v>228096</v>
      </c>
      <c r="AL690" t="s">
        <v>396</v>
      </c>
      <c r="AM690" t="s">
        <v>2464</v>
      </c>
      <c r="AN690">
        <v>46108</v>
      </c>
      <c r="AO690">
        <v>46108.396585648145</v>
      </c>
      <c r="AP690" t="s">
        <v>51</v>
      </c>
      <c r="AQ690">
        <v>5.5079999999999997E-2</v>
      </c>
      <c r="AR690">
        <v>12563.52</v>
      </c>
      <c r="AS690" t="s">
        <v>51</v>
      </c>
      <c r="AT690">
        <v>12563.52</v>
      </c>
      <c r="AU690" t="s">
        <v>415</v>
      </c>
      <c r="AV690" t="s">
        <v>1420</v>
      </c>
      <c r="AW690" t="s">
        <v>2363</v>
      </c>
      <c r="AX690">
        <v>46113</v>
      </c>
      <c r="AY690">
        <v>46162</v>
      </c>
      <c r="AZ690" t="s">
        <v>2447</v>
      </c>
      <c r="BA690" t="s">
        <v>560</v>
      </c>
      <c r="BB690" t="s">
        <v>2448</v>
      </c>
      <c r="BC690">
        <v>594</v>
      </c>
      <c r="BD690" t="s">
        <v>521</v>
      </c>
      <c r="BE690">
        <v>8.2226999999999997</v>
      </c>
      <c r="BF690">
        <v>7.9726999999999997</v>
      </c>
      <c r="BG690" t="s">
        <v>522</v>
      </c>
      <c r="BH690">
        <v>286</v>
      </c>
      <c r="BI690">
        <v>190</v>
      </c>
      <c r="BJ690">
        <v>72</v>
      </c>
      <c r="BK690">
        <v>48</v>
      </c>
      <c r="BL690" t="s">
        <v>521</v>
      </c>
      <c r="BM690">
        <v>419.68959999999998</v>
      </c>
      <c r="BN690">
        <v>382.68959999999998</v>
      </c>
      <c r="BO690">
        <v>3357.504512</v>
      </c>
      <c r="BP690" t="s">
        <v>522</v>
      </c>
      <c r="BQ690">
        <v>1200</v>
      </c>
      <c r="BR690">
        <v>800</v>
      </c>
      <c r="BS690">
        <v>378</v>
      </c>
      <c r="BT690">
        <v>8</v>
      </c>
      <c r="BU690">
        <v>0</v>
      </c>
      <c r="BV690">
        <v>8</v>
      </c>
      <c r="BW690">
        <v>384</v>
      </c>
      <c r="BX690">
        <v>0</v>
      </c>
      <c r="BY690">
        <v>384</v>
      </c>
      <c r="BZ690">
        <v>228096</v>
      </c>
      <c r="CA690">
        <v>0</v>
      </c>
      <c r="CB690">
        <v>228096</v>
      </c>
      <c r="CC690">
        <v>3061.504512</v>
      </c>
      <c r="CD690" t="s">
        <v>969</v>
      </c>
      <c r="CE690" t="s">
        <v>970</v>
      </c>
      <c r="CG690" t="s">
        <v>421</v>
      </c>
      <c r="CN690" t="str">
        <v>M19</v>
      </c>
      <c r="CO690" t="str">
        <v>1606-5YY5024EN</v>
      </c>
      <c r="CP690" t="str">
        <v>OOCU8204341</v>
      </c>
      <c r="CQ690" s="23">
        <v>635.14559999999994</v>
      </c>
      <c r="CR690" s="25">
        <f t="shared" si="28"/>
        <v>3.3172761189178057E-2</v>
      </c>
      <c r="CS690" s="21">
        <f t="shared" si="29"/>
        <v>82.931902972945139</v>
      </c>
    </row>
    <row r="691" spans="2:97" x14ac:dyDescent="0.35">
      <c r="B691" t="s">
        <v>296</v>
      </c>
      <c r="C691" t="s">
        <v>2423</v>
      </c>
      <c r="D691" t="s">
        <v>395</v>
      </c>
      <c r="E691" t="s">
        <v>395</v>
      </c>
      <c r="F691" t="s">
        <v>396</v>
      </c>
      <c r="G691" t="s">
        <v>397</v>
      </c>
      <c r="H691" t="s">
        <v>398</v>
      </c>
      <c r="I691" t="s">
        <v>399</v>
      </c>
      <c r="J691" t="s">
        <v>749</v>
      </c>
      <c r="K691" t="s">
        <v>629</v>
      </c>
      <c r="L691" t="s">
        <v>787</v>
      </c>
      <c r="M691" t="s">
        <v>403</v>
      </c>
      <c r="N691">
        <v>1</v>
      </c>
      <c r="O691">
        <v>2</v>
      </c>
      <c r="P691" t="s">
        <v>802</v>
      </c>
      <c r="Q691" t="s">
        <v>405</v>
      </c>
      <c r="R691" t="s">
        <v>803</v>
      </c>
      <c r="S691" t="s">
        <v>804</v>
      </c>
      <c r="T691" t="s">
        <v>408</v>
      </c>
      <c r="U691">
        <v>50950079999</v>
      </c>
      <c r="W691">
        <v>17280</v>
      </c>
      <c r="X691" t="s">
        <v>409</v>
      </c>
      <c r="Y691" t="s">
        <v>410</v>
      </c>
      <c r="Z691" t="s">
        <v>410</v>
      </c>
      <c r="AA691" t="s">
        <v>411</v>
      </c>
      <c r="AB691" t="s">
        <v>554</v>
      </c>
      <c r="AC691" t="s">
        <v>411</v>
      </c>
      <c r="AD691">
        <v>46111</v>
      </c>
      <c r="AE691">
        <v>46160</v>
      </c>
      <c r="AF691">
        <v>46113</v>
      </c>
      <c r="AG691" t="s">
        <v>754</v>
      </c>
      <c r="AH691">
        <v>6160075</v>
      </c>
      <c r="AI691">
        <v>46107</v>
      </c>
      <c r="AJ691">
        <v>46108</v>
      </c>
      <c r="AK691">
        <v>17280</v>
      </c>
      <c r="AL691" t="s">
        <v>396</v>
      </c>
      <c r="AM691" t="s">
        <v>2465</v>
      </c>
      <c r="AN691">
        <v>46108</v>
      </c>
      <c r="AO691">
        <v>46108.396585648145</v>
      </c>
      <c r="AP691" t="s">
        <v>51</v>
      </c>
      <c r="AQ691">
        <v>0.30101</v>
      </c>
      <c r="AR691">
        <v>5201.45</v>
      </c>
      <c r="AS691" t="s">
        <v>51</v>
      </c>
      <c r="AT691">
        <v>5201.45</v>
      </c>
      <c r="AU691" t="s">
        <v>415</v>
      </c>
      <c r="AV691" t="s">
        <v>1420</v>
      </c>
      <c r="AW691" t="s">
        <v>2363</v>
      </c>
      <c r="AX691">
        <v>46113</v>
      </c>
      <c r="AY691">
        <v>46162</v>
      </c>
      <c r="AZ691" t="s">
        <v>2447</v>
      </c>
      <c r="BA691" t="s">
        <v>560</v>
      </c>
      <c r="BB691" t="s">
        <v>2448</v>
      </c>
      <c r="BC691">
        <v>288</v>
      </c>
      <c r="BD691" t="s">
        <v>521</v>
      </c>
      <c r="BE691">
        <v>13.2311</v>
      </c>
      <c r="BF691">
        <v>11.8161</v>
      </c>
      <c r="BG691" t="s">
        <v>522</v>
      </c>
      <c r="BH691">
        <v>395</v>
      </c>
      <c r="BI691">
        <v>295</v>
      </c>
      <c r="BJ691">
        <v>160</v>
      </c>
      <c r="BK691">
        <v>60</v>
      </c>
      <c r="BL691" t="s">
        <v>521</v>
      </c>
      <c r="BM691">
        <v>820.86383999999998</v>
      </c>
      <c r="BN691">
        <v>708.96384</v>
      </c>
      <c r="BO691">
        <v>820.86383999999998</v>
      </c>
      <c r="BP691" t="s">
        <v>522</v>
      </c>
      <c r="BQ691">
        <v>1200</v>
      </c>
      <c r="BR691">
        <v>1000</v>
      </c>
      <c r="BS691">
        <v>1120</v>
      </c>
      <c r="BT691">
        <v>1</v>
      </c>
      <c r="BU691">
        <v>0</v>
      </c>
      <c r="BV691">
        <v>1</v>
      </c>
      <c r="BW691">
        <v>60</v>
      </c>
      <c r="BX691">
        <v>0</v>
      </c>
      <c r="BY691">
        <v>60</v>
      </c>
      <c r="BZ691">
        <v>17280</v>
      </c>
      <c r="CA691">
        <v>0</v>
      </c>
      <c r="CB691">
        <v>17280</v>
      </c>
      <c r="CC691">
        <v>708.96384</v>
      </c>
      <c r="CD691" t="s">
        <v>806</v>
      </c>
      <c r="CE691" t="s">
        <v>807</v>
      </c>
      <c r="CG691" t="s">
        <v>421</v>
      </c>
      <c r="CN691" t="str">
        <v>M19</v>
      </c>
      <c r="CO691" t="str">
        <v>1271-5YY0099EN</v>
      </c>
      <c r="CP691" t="str">
        <v>OOCU8204341</v>
      </c>
      <c r="CQ691" s="23">
        <v>470.83839999999998</v>
      </c>
      <c r="CR691" s="25">
        <f t="shared" si="28"/>
        <v>2.45912272743363E-2</v>
      </c>
      <c r="CS691" s="21">
        <f t="shared" si="29"/>
        <v>61.478068185840748</v>
      </c>
    </row>
    <row r="692" spans="2:97" x14ac:dyDescent="0.35">
      <c r="B692" t="s">
        <v>297</v>
      </c>
      <c r="C692" t="s">
        <v>2466</v>
      </c>
      <c r="D692" t="s">
        <v>395</v>
      </c>
      <c r="E692" t="s">
        <v>395</v>
      </c>
      <c r="F692" t="s">
        <v>396</v>
      </c>
      <c r="G692" t="s">
        <v>397</v>
      </c>
      <c r="H692" t="s">
        <v>398</v>
      </c>
      <c r="I692" t="s">
        <v>399</v>
      </c>
      <c r="J692" t="s">
        <v>749</v>
      </c>
      <c r="K692" t="s">
        <v>629</v>
      </c>
      <c r="L692" t="s">
        <v>787</v>
      </c>
      <c r="M692" t="s">
        <v>403</v>
      </c>
      <c r="N692">
        <v>1</v>
      </c>
      <c r="O692">
        <v>1</v>
      </c>
      <c r="P692" t="s">
        <v>1589</v>
      </c>
      <c r="Q692" t="s">
        <v>637</v>
      </c>
      <c r="R692" t="s">
        <v>1483</v>
      </c>
      <c r="S692" t="s">
        <v>1484</v>
      </c>
      <c r="T692" t="s">
        <v>408</v>
      </c>
      <c r="U692">
        <v>50950080562</v>
      </c>
      <c r="W692">
        <v>36000</v>
      </c>
      <c r="X692" t="s">
        <v>409</v>
      </c>
      <c r="Y692" t="s">
        <v>410</v>
      </c>
      <c r="Z692" t="s">
        <v>410</v>
      </c>
      <c r="AA692" t="s">
        <v>411</v>
      </c>
      <c r="AB692" t="s">
        <v>554</v>
      </c>
      <c r="AC692" t="s">
        <v>411</v>
      </c>
      <c r="AD692">
        <v>46109</v>
      </c>
      <c r="AE692">
        <v>46125</v>
      </c>
      <c r="AF692">
        <v>46113</v>
      </c>
      <c r="AG692" t="s">
        <v>754</v>
      </c>
      <c r="AH692">
        <v>6160076</v>
      </c>
      <c r="AI692">
        <v>46107</v>
      </c>
      <c r="AJ692">
        <v>46108</v>
      </c>
      <c r="AK692">
        <v>36000</v>
      </c>
      <c r="AL692" t="s">
        <v>396</v>
      </c>
      <c r="AM692" t="s">
        <v>2467</v>
      </c>
      <c r="AN692">
        <v>46108</v>
      </c>
      <c r="AO692">
        <v>46108.396585648145</v>
      </c>
      <c r="AP692" t="s">
        <v>51</v>
      </c>
      <c r="AQ692">
        <v>3.8539999999999998E-2</v>
      </c>
      <c r="AR692">
        <v>1387.44</v>
      </c>
      <c r="AS692" t="s">
        <v>51</v>
      </c>
      <c r="AT692">
        <v>1387.44</v>
      </c>
      <c r="AU692" t="s">
        <v>415</v>
      </c>
      <c r="AV692" t="s">
        <v>1420</v>
      </c>
      <c r="AW692" t="s">
        <v>2363</v>
      </c>
      <c r="AX692">
        <v>46113</v>
      </c>
      <c r="AY692">
        <v>46162</v>
      </c>
      <c r="AZ692" t="s">
        <v>2447</v>
      </c>
      <c r="BA692" t="s">
        <v>560</v>
      </c>
      <c r="BB692" t="s">
        <v>2448</v>
      </c>
      <c r="BC692">
        <v>900</v>
      </c>
      <c r="BD692" t="s">
        <v>521</v>
      </c>
      <c r="BE692">
        <v>4.2458</v>
      </c>
      <c r="BF692">
        <v>3.5388000000000002</v>
      </c>
      <c r="BG692" t="s">
        <v>522</v>
      </c>
      <c r="BH692">
        <v>395</v>
      </c>
      <c r="BI692">
        <v>295</v>
      </c>
      <c r="BJ692">
        <v>150</v>
      </c>
      <c r="BK692">
        <v>60</v>
      </c>
      <c r="BL692" t="s">
        <v>521</v>
      </c>
      <c r="BM692">
        <v>196.83199999999999</v>
      </c>
      <c r="BN692">
        <v>141.55199999999999</v>
      </c>
      <c r="BO692">
        <v>196.83199999999999</v>
      </c>
      <c r="BP692" t="s">
        <v>522</v>
      </c>
      <c r="BQ692">
        <v>1200</v>
      </c>
      <c r="BR692">
        <v>1000</v>
      </c>
      <c r="BS692">
        <v>1058</v>
      </c>
      <c r="BT692">
        <v>0</v>
      </c>
      <c r="BU692">
        <v>1</v>
      </c>
      <c r="BV692">
        <v>1</v>
      </c>
      <c r="BW692">
        <v>40</v>
      </c>
      <c r="BX692">
        <v>0</v>
      </c>
      <c r="BY692">
        <v>40</v>
      </c>
      <c r="BZ692">
        <v>0</v>
      </c>
      <c r="CA692">
        <v>36000</v>
      </c>
      <c r="CB692">
        <v>36000</v>
      </c>
      <c r="CC692">
        <v>141.55199999999999</v>
      </c>
      <c r="CD692" t="s">
        <v>799</v>
      </c>
      <c r="CE692" t="s">
        <v>1591</v>
      </c>
      <c r="CG692" t="s">
        <v>421</v>
      </c>
      <c r="CN692" t="str">
        <v>M45</v>
      </c>
      <c r="CO692" t="str">
        <v>1100-12B0008EN</v>
      </c>
      <c r="CP692" t="str">
        <v>OOCU8204341</v>
      </c>
      <c r="CQ692" s="23">
        <v>2716.9776000000002</v>
      </c>
      <c r="CR692" s="25">
        <f t="shared" si="28"/>
        <v>0.14190391790661253</v>
      </c>
      <c r="CS692" s="21">
        <f t="shared" si="29"/>
        <v>354.75979476653129</v>
      </c>
    </row>
    <row r="693" spans="2:97" x14ac:dyDescent="0.35">
      <c r="B693" t="s">
        <v>297</v>
      </c>
      <c r="C693" t="s">
        <v>2468</v>
      </c>
      <c r="D693" t="s">
        <v>395</v>
      </c>
      <c r="E693" t="s">
        <v>395</v>
      </c>
      <c r="F693" t="s">
        <v>396</v>
      </c>
      <c r="G693" t="s">
        <v>397</v>
      </c>
      <c r="H693" t="s">
        <v>398</v>
      </c>
      <c r="I693" t="s">
        <v>399</v>
      </c>
      <c r="J693" t="s">
        <v>749</v>
      </c>
      <c r="K693" t="s">
        <v>629</v>
      </c>
      <c r="L693" t="s">
        <v>787</v>
      </c>
      <c r="M693" t="s">
        <v>403</v>
      </c>
      <c r="N693">
        <v>1</v>
      </c>
      <c r="O693">
        <v>1</v>
      </c>
      <c r="P693" t="s">
        <v>900</v>
      </c>
      <c r="Q693" t="s">
        <v>789</v>
      </c>
      <c r="R693" t="s">
        <v>631</v>
      </c>
      <c r="S693" t="s">
        <v>901</v>
      </c>
      <c r="T693" t="s">
        <v>408</v>
      </c>
      <c r="U693">
        <v>50950080586</v>
      </c>
      <c r="W693">
        <v>28000</v>
      </c>
      <c r="X693" t="s">
        <v>409</v>
      </c>
      <c r="Y693" t="s">
        <v>410</v>
      </c>
      <c r="Z693" t="s">
        <v>410</v>
      </c>
      <c r="AA693" t="s">
        <v>411</v>
      </c>
      <c r="AB693" t="s">
        <v>554</v>
      </c>
      <c r="AC693" t="s">
        <v>411</v>
      </c>
      <c r="AD693">
        <v>46109</v>
      </c>
      <c r="AE693">
        <v>46111</v>
      </c>
      <c r="AF693">
        <v>46113</v>
      </c>
      <c r="AG693" t="s">
        <v>754</v>
      </c>
      <c r="AH693">
        <v>6160077</v>
      </c>
      <c r="AI693">
        <v>46107</v>
      </c>
      <c r="AJ693">
        <v>46108</v>
      </c>
      <c r="AK693">
        <v>28000</v>
      </c>
      <c r="AL693" t="s">
        <v>396</v>
      </c>
      <c r="AM693" t="s">
        <v>2469</v>
      </c>
      <c r="AN693">
        <v>46108</v>
      </c>
      <c r="AO693">
        <v>46108.396585648145</v>
      </c>
      <c r="AP693" t="s">
        <v>51</v>
      </c>
      <c r="AQ693">
        <v>0.11025</v>
      </c>
      <c r="AR693">
        <v>3087</v>
      </c>
      <c r="AS693" t="s">
        <v>51</v>
      </c>
      <c r="AT693">
        <v>3087</v>
      </c>
      <c r="AU693" t="s">
        <v>415</v>
      </c>
      <c r="AV693" t="s">
        <v>1420</v>
      </c>
      <c r="AW693" t="s">
        <v>2363</v>
      </c>
      <c r="AX693">
        <v>46113</v>
      </c>
      <c r="AY693">
        <v>46162</v>
      </c>
      <c r="AZ693" t="s">
        <v>2447</v>
      </c>
      <c r="BA693" t="s">
        <v>560</v>
      </c>
      <c r="BB693" t="s">
        <v>2448</v>
      </c>
      <c r="BC693">
        <v>1400</v>
      </c>
      <c r="BD693" t="s">
        <v>521</v>
      </c>
      <c r="BE693">
        <v>9.8621999999999996</v>
      </c>
      <c r="BF693">
        <v>8.9922000000000004</v>
      </c>
      <c r="BG693" t="s">
        <v>522</v>
      </c>
      <c r="BH693">
        <v>595</v>
      </c>
      <c r="BI693">
        <v>395</v>
      </c>
      <c r="BJ693">
        <v>190</v>
      </c>
      <c r="BK693">
        <v>25</v>
      </c>
      <c r="BL693" t="s">
        <v>521</v>
      </c>
      <c r="BM693">
        <v>224.244</v>
      </c>
      <c r="BN693">
        <v>179.84399999999999</v>
      </c>
      <c r="BO693">
        <v>224.244</v>
      </c>
      <c r="BP693" t="s">
        <v>522</v>
      </c>
      <c r="BQ693">
        <v>1200</v>
      </c>
      <c r="BR693">
        <v>1000</v>
      </c>
      <c r="BS693">
        <v>1088</v>
      </c>
      <c r="BT693">
        <v>0</v>
      </c>
      <c r="BU693">
        <v>1</v>
      </c>
      <c r="BV693">
        <v>1</v>
      </c>
      <c r="BW693">
        <v>20</v>
      </c>
      <c r="BX693">
        <v>0</v>
      </c>
      <c r="BY693">
        <v>20</v>
      </c>
      <c r="BZ693">
        <v>0</v>
      </c>
      <c r="CA693">
        <v>28000</v>
      </c>
      <c r="CB693">
        <v>28000</v>
      </c>
      <c r="CC693">
        <v>179.84399999999999</v>
      </c>
      <c r="CD693" t="s">
        <v>842</v>
      </c>
      <c r="CE693" t="s">
        <v>898</v>
      </c>
      <c r="CG693" t="s">
        <v>421</v>
      </c>
      <c r="CN693" t="str">
        <v>M45</v>
      </c>
      <c r="CO693" t="str">
        <v>1100-12C0005EN</v>
      </c>
      <c r="CP693" t="str">
        <v>OOCU8204341</v>
      </c>
      <c r="CQ693" s="23">
        <v>2462.5915199999999</v>
      </c>
      <c r="CR693" s="25">
        <f t="shared" si="28"/>
        <v>0.1286176908089342</v>
      </c>
      <c r="CS693" s="21">
        <f t="shared" si="29"/>
        <v>321.54422702233552</v>
      </c>
    </row>
    <row r="694" spans="2:97" x14ac:dyDescent="0.35">
      <c r="B694" t="s">
        <v>297</v>
      </c>
      <c r="C694" t="s">
        <v>831</v>
      </c>
      <c r="D694" t="s">
        <v>395</v>
      </c>
      <c r="E694" t="s">
        <v>395</v>
      </c>
      <c r="F694" t="s">
        <v>396</v>
      </c>
      <c r="G694" t="s">
        <v>397</v>
      </c>
      <c r="H694" t="s">
        <v>398</v>
      </c>
      <c r="I694" t="s">
        <v>399</v>
      </c>
      <c r="J694" t="s">
        <v>749</v>
      </c>
      <c r="K694" t="s">
        <v>629</v>
      </c>
      <c r="L694" t="s">
        <v>787</v>
      </c>
      <c r="M694" t="s">
        <v>403</v>
      </c>
      <c r="N694">
        <v>2</v>
      </c>
      <c r="O694">
        <v>2</v>
      </c>
      <c r="P694" t="s">
        <v>832</v>
      </c>
      <c r="Q694" t="s">
        <v>645</v>
      </c>
      <c r="R694" t="s">
        <v>833</v>
      </c>
      <c r="S694" t="s">
        <v>834</v>
      </c>
      <c r="T694" t="s">
        <v>408</v>
      </c>
      <c r="U694">
        <v>50950080792</v>
      </c>
      <c r="W694">
        <v>9600</v>
      </c>
      <c r="X694" t="s">
        <v>409</v>
      </c>
      <c r="Y694" t="s">
        <v>410</v>
      </c>
      <c r="Z694" t="s">
        <v>410</v>
      </c>
      <c r="AA694" t="s">
        <v>411</v>
      </c>
      <c r="AB694" t="s">
        <v>554</v>
      </c>
      <c r="AC694" t="s">
        <v>411</v>
      </c>
      <c r="AD694">
        <v>46102</v>
      </c>
      <c r="AE694">
        <v>46146</v>
      </c>
      <c r="AF694">
        <v>46113</v>
      </c>
      <c r="AG694" t="s">
        <v>754</v>
      </c>
      <c r="AH694">
        <v>6160078</v>
      </c>
      <c r="AI694">
        <v>46107</v>
      </c>
      <c r="AJ694">
        <v>46108</v>
      </c>
      <c r="AK694">
        <v>9600</v>
      </c>
      <c r="AL694" t="s">
        <v>396</v>
      </c>
      <c r="AM694" t="s">
        <v>2470</v>
      </c>
      <c r="AN694">
        <v>46108</v>
      </c>
      <c r="AO694">
        <v>46108.396585648145</v>
      </c>
      <c r="AP694" t="s">
        <v>51</v>
      </c>
      <c r="AQ694">
        <v>0.11833</v>
      </c>
      <c r="AR694">
        <v>1135.97</v>
      </c>
      <c r="AS694" t="s">
        <v>51</v>
      </c>
      <c r="AT694">
        <v>1135.97</v>
      </c>
      <c r="AU694" t="s">
        <v>415</v>
      </c>
      <c r="AV694" t="s">
        <v>1420</v>
      </c>
      <c r="AW694" t="s">
        <v>2363</v>
      </c>
      <c r="AX694">
        <v>46113</v>
      </c>
      <c r="AY694">
        <v>46162</v>
      </c>
      <c r="AZ694" t="s">
        <v>2447</v>
      </c>
      <c r="BA694" t="s">
        <v>560</v>
      </c>
      <c r="BB694" t="s">
        <v>2448</v>
      </c>
      <c r="BC694">
        <v>320</v>
      </c>
      <c r="BD694" t="s">
        <v>521</v>
      </c>
      <c r="BE694">
        <v>4.1859999999999999</v>
      </c>
      <c r="BF694">
        <v>3.6160000000000001</v>
      </c>
      <c r="BG694" t="s">
        <v>522</v>
      </c>
      <c r="BH694">
        <v>395</v>
      </c>
      <c r="BI694">
        <v>295</v>
      </c>
      <c r="BJ694">
        <v>255</v>
      </c>
      <c r="BK694">
        <v>30</v>
      </c>
      <c r="BL694" t="s">
        <v>521</v>
      </c>
      <c r="BM694">
        <v>152.58000000000001</v>
      </c>
      <c r="BN694">
        <v>108.48</v>
      </c>
      <c r="BO694">
        <v>152.58000000000001</v>
      </c>
      <c r="BP694" t="s">
        <v>522</v>
      </c>
      <c r="BQ694">
        <v>1200</v>
      </c>
      <c r="BR694">
        <v>1000</v>
      </c>
      <c r="BS694">
        <v>918</v>
      </c>
      <c r="BT694">
        <v>1</v>
      </c>
      <c r="BU694">
        <v>0</v>
      </c>
      <c r="BV694">
        <v>1</v>
      </c>
      <c r="BW694">
        <v>30</v>
      </c>
      <c r="BX694">
        <v>0</v>
      </c>
      <c r="BY694">
        <v>30</v>
      </c>
      <c r="BZ694">
        <v>9600</v>
      </c>
      <c r="CA694">
        <v>0</v>
      </c>
      <c r="CB694">
        <v>9600</v>
      </c>
      <c r="CC694">
        <v>108.48</v>
      </c>
      <c r="CD694" t="s">
        <v>633</v>
      </c>
      <c r="CE694" t="s">
        <v>836</v>
      </c>
      <c r="CG694" t="s">
        <v>421</v>
      </c>
      <c r="CN694" t="str">
        <v>M45</v>
      </c>
      <c r="CO694" t="str">
        <v>1484-12C0012EN</v>
      </c>
      <c r="CP694" t="str">
        <v>OOCU8204341</v>
      </c>
      <c r="CQ694" s="23">
        <v>407.4</v>
      </c>
      <c r="CR694" s="25">
        <f t="shared" si="28"/>
        <v>2.1277928885079483E-2</v>
      </c>
      <c r="CS694" s="21">
        <f t="shared" si="29"/>
        <v>53.19482221269871</v>
      </c>
    </row>
    <row r="695" spans="2:97" x14ac:dyDescent="0.35">
      <c r="B695" t="s">
        <v>299</v>
      </c>
      <c r="C695" t="s">
        <v>2353</v>
      </c>
      <c r="D695" t="s">
        <v>395</v>
      </c>
      <c r="E695" t="s">
        <v>395</v>
      </c>
      <c r="F695" t="s">
        <v>396</v>
      </c>
      <c r="G695" t="s">
        <v>397</v>
      </c>
      <c r="H695" t="s">
        <v>398</v>
      </c>
      <c r="I695" t="s">
        <v>399</v>
      </c>
      <c r="J695" t="s">
        <v>749</v>
      </c>
      <c r="K695" t="s">
        <v>845</v>
      </c>
      <c r="L695" t="s">
        <v>787</v>
      </c>
      <c r="M695" t="s">
        <v>403</v>
      </c>
      <c r="N695">
        <v>1</v>
      </c>
      <c r="O695">
        <v>4</v>
      </c>
      <c r="P695" t="s">
        <v>853</v>
      </c>
      <c r="Q695" t="s">
        <v>789</v>
      </c>
      <c r="R695" t="s">
        <v>847</v>
      </c>
      <c r="S695" t="s">
        <v>854</v>
      </c>
      <c r="T695" t="s">
        <v>408</v>
      </c>
      <c r="U695">
        <v>50950081250</v>
      </c>
      <c r="W695">
        <v>2376</v>
      </c>
      <c r="X695" t="s">
        <v>409</v>
      </c>
      <c r="Y695" t="s">
        <v>410</v>
      </c>
      <c r="Z695" t="s">
        <v>410</v>
      </c>
      <c r="AA695" t="s">
        <v>411</v>
      </c>
      <c r="AB695" t="s">
        <v>554</v>
      </c>
      <c r="AC695" t="s">
        <v>411</v>
      </c>
      <c r="AD695">
        <v>46102</v>
      </c>
      <c r="AE695">
        <v>46160</v>
      </c>
      <c r="AF695">
        <v>46113</v>
      </c>
      <c r="AG695" t="s">
        <v>754</v>
      </c>
      <c r="AH695">
        <v>6160079</v>
      </c>
      <c r="AI695">
        <v>46107</v>
      </c>
      <c r="AJ695">
        <v>46108</v>
      </c>
      <c r="AK695">
        <v>2376</v>
      </c>
      <c r="AL695" t="s">
        <v>396</v>
      </c>
      <c r="AM695" t="s">
        <v>2471</v>
      </c>
      <c r="AN695">
        <v>46108</v>
      </c>
      <c r="AO695">
        <v>46108.396585648145</v>
      </c>
      <c r="AP695" t="s">
        <v>51</v>
      </c>
      <c r="AQ695">
        <v>1.00054</v>
      </c>
      <c r="AR695">
        <v>2377.2800000000002</v>
      </c>
      <c r="AS695" t="s">
        <v>51</v>
      </c>
      <c r="AT695">
        <v>2377.2800000000002</v>
      </c>
      <c r="AU695" t="s">
        <v>415</v>
      </c>
      <c r="AV695" t="s">
        <v>1420</v>
      </c>
      <c r="AW695" t="s">
        <v>2363</v>
      </c>
      <c r="AX695">
        <v>46113</v>
      </c>
      <c r="AY695">
        <v>46162</v>
      </c>
      <c r="AZ695" t="s">
        <v>2447</v>
      </c>
      <c r="BA695" t="s">
        <v>560</v>
      </c>
      <c r="BB695" t="s">
        <v>2448</v>
      </c>
      <c r="BC695">
        <v>33</v>
      </c>
      <c r="BD695" t="s">
        <v>521</v>
      </c>
      <c r="BE695">
        <v>12.9557</v>
      </c>
      <c r="BF695">
        <v>12.005699999999999</v>
      </c>
      <c r="BG695" t="s">
        <v>522</v>
      </c>
      <c r="BH695">
        <v>495</v>
      </c>
      <c r="BI695">
        <v>395</v>
      </c>
      <c r="BJ695">
        <v>150</v>
      </c>
      <c r="BK695">
        <v>36</v>
      </c>
      <c r="BL695" t="s">
        <v>521</v>
      </c>
      <c r="BM695">
        <v>493.40519999999998</v>
      </c>
      <c r="BN695">
        <v>432.20519999999999</v>
      </c>
      <c r="BO695">
        <v>986.81255999999996</v>
      </c>
      <c r="BP695" t="s">
        <v>522</v>
      </c>
      <c r="BQ695">
        <v>1200</v>
      </c>
      <c r="BR695">
        <v>1000</v>
      </c>
      <c r="BS695">
        <v>1053</v>
      </c>
      <c r="BT695">
        <v>2</v>
      </c>
      <c r="BU695">
        <v>0</v>
      </c>
      <c r="BV695">
        <v>2</v>
      </c>
      <c r="BW695">
        <v>72</v>
      </c>
      <c r="BX695">
        <v>0</v>
      </c>
      <c r="BY695">
        <v>72</v>
      </c>
      <c r="BZ695">
        <v>2376</v>
      </c>
      <c r="CA695">
        <v>0</v>
      </c>
      <c r="CB695">
        <v>2376</v>
      </c>
      <c r="CC695">
        <v>864.41255999999998</v>
      </c>
      <c r="CD695" t="s">
        <v>856</v>
      </c>
      <c r="CE695" t="s">
        <v>857</v>
      </c>
      <c r="CG695" t="s">
        <v>421</v>
      </c>
      <c r="CN695" t="str">
        <v>M19</v>
      </c>
      <c r="CO695" t="str">
        <v>1330-5YY0182EN</v>
      </c>
      <c r="CP695" t="str">
        <v>OOCU8204341</v>
      </c>
      <c r="CQ695" s="23">
        <v>702.54240000000004</v>
      </c>
      <c r="CR695" s="25">
        <f t="shared" si="28"/>
        <v>3.669280124190738E-2</v>
      </c>
      <c r="CS695" s="21">
        <f t="shared" si="29"/>
        <v>91.732003104768452</v>
      </c>
    </row>
    <row r="696" spans="2:97" x14ac:dyDescent="0.35">
      <c r="B696" t="s">
        <v>297</v>
      </c>
      <c r="C696" t="s">
        <v>2472</v>
      </c>
      <c r="D696" t="s">
        <v>395</v>
      </c>
      <c r="E696" t="s">
        <v>395</v>
      </c>
      <c r="F696" t="s">
        <v>396</v>
      </c>
      <c r="G696" t="s">
        <v>397</v>
      </c>
      <c r="H696" t="s">
        <v>398</v>
      </c>
      <c r="I696" t="s">
        <v>399</v>
      </c>
      <c r="J696" t="s">
        <v>749</v>
      </c>
      <c r="K696" t="s">
        <v>1142</v>
      </c>
      <c r="L696" t="s">
        <v>787</v>
      </c>
      <c r="M696" t="s">
        <v>403</v>
      </c>
      <c r="N696">
        <v>2</v>
      </c>
      <c r="O696">
        <v>1</v>
      </c>
      <c r="P696" t="s">
        <v>1383</v>
      </c>
      <c r="Q696" t="s">
        <v>430</v>
      </c>
      <c r="R696" t="s">
        <v>1384</v>
      </c>
      <c r="S696" t="s">
        <v>1385</v>
      </c>
      <c r="T696" t="s">
        <v>408</v>
      </c>
      <c r="U696">
        <v>50950081373</v>
      </c>
      <c r="W696">
        <v>2280000</v>
      </c>
      <c r="X696" t="s">
        <v>448</v>
      </c>
      <c r="Y696" t="s">
        <v>410</v>
      </c>
      <c r="Z696" t="s">
        <v>410</v>
      </c>
      <c r="AA696" t="s">
        <v>411</v>
      </c>
      <c r="AB696" t="s">
        <v>412</v>
      </c>
      <c r="AC696" t="s">
        <v>411</v>
      </c>
      <c r="AD696">
        <v>46107</v>
      </c>
      <c r="AE696">
        <v>46090</v>
      </c>
      <c r="AF696">
        <v>46109</v>
      </c>
      <c r="AG696" t="s">
        <v>754</v>
      </c>
      <c r="AH696">
        <v>6160426</v>
      </c>
      <c r="AI696">
        <v>46107</v>
      </c>
      <c r="AJ696">
        <v>46108</v>
      </c>
      <c r="AK696">
        <v>2280000</v>
      </c>
      <c r="AL696" t="s">
        <v>396</v>
      </c>
      <c r="AM696" t="s">
        <v>2473</v>
      </c>
      <c r="AN696">
        <v>46108</v>
      </c>
      <c r="AO696">
        <v>46108.396585648145</v>
      </c>
      <c r="AP696" t="s">
        <v>51</v>
      </c>
      <c r="AQ696">
        <v>1.17E-3</v>
      </c>
      <c r="AR696">
        <v>2667.6</v>
      </c>
      <c r="AS696" t="s">
        <v>51</v>
      </c>
      <c r="AT696">
        <v>2667.6</v>
      </c>
      <c r="AU696" t="s">
        <v>450</v>
      </c>
      <c r="AV696" t="s">
        <v>1597</v>
      </c>
      <c r="AW696" t="s">
        <v>2474</v>
      </c>
      <c r="AX696">
        <v>46110</v>
      </c>
      <c r="AY696">
        <v>46116</v>
      </c>
      <c r="BA696" t="s">
        <v>448</v>
      </c>
      <c r="BB696" t="s">
        <v>2475</v>
      </c>
      <c r="BC696">
        <v>760000</v>
      </c>
      <c r="BD696" t="s">
        <v>521</v>
      </c>
      <c r="BE696">
        <v>382.68</v>
      </c>
      <c r="BF696">
        <v>317.68</v>
      </c>
      <c r="BG696" t="s">
        <v>522</v>
      </c>
      <c r="BH696">
        <v>1050</v>
      </c>
      <c r="BI696">
        <v>480</v>
      </c>
      <c r="BJ696">
        <v>460</v>
      </c>
      <c r="BK696">
        <v>1</v>
      </c>
      <c r="BL696" t="s">
        <v>521</v>
      </c>
      <c r="BM696">
        <v>399.08</v>
      </c>
      <c r="BN696">
        <v>317.68</v>
      </c>
      <c r="BO696">
        <v>1197.24</v>
      </c>
      <c r="BP696" t="s">
        <v>522</v>
      </c>
      <c r="BQ696">
        <v>1050</v>
      </c>
      <c r="BR696">
        <v>480</v>
      </c>
      <c r="BS696">
        <v>480</v>
      </c>
      <c r="BT696">
        <v>3</v>
      </c>
      <c r="BU696">
        <v>0</v>
      </c>
      <c r="BV696">
        <v>3</v>
      </c>
      <c r="BW696">
        <v>3</v>
      </c>
      <c r="BX696">
        <v>0</v>
      </c>
      <c r="BY696">
        <v>3</v>
      </c>
      <c r="BZ696">
        <v>2280000</v>
      </c>
      <c r="CA696">
        <v>0</v>
      </c>
      <c r="CB696">
        <v>2280000</v>
      </c>
      <c r="CC696">
        <v>953.04</v>
      </c>
      <c r="CD696" t="s">
        <v>1387</v>
      </c>
      <c r="CE696" t="s">
        <v>1388</v>
      </c>
      <c r="CG696" t="s">
        <v>421</v>
      </c>
      <c r="CN696" t="str">
        <v>M19</v>
      </c>
      <c r="CO696" t="str">
        <v>1330-5YY0183EN</v>
      </c>
      <c r="CP696" t="str">
        <v>OOCU8204341</v>
      </c>
      <c r="CQ696" s="23">
        <v>515.39520000000005</v>
      </c>
      <c r="CR696" s="25">
        <f t="shared" si="28"/>
        <v>2.6918366257514283E-2</v>
      </c>
      <c r="CS696" s="21">
        <f t="shared" si="29"/>
        <v>67.295915643785705</v>
      </c>
    </row>
    <row r="697" spans="2:97" x14ac:dyDescent="0.35">
      <c r="B697" t="s">
        <v>296</v>
      </c>
      <c r="C697" t="s">
        <v>2077</v>
      </c>
      <c r="D697" t="s">
        <v>395</v>
      </c>
      <c r="E697" t="s">
        <v>395</v>
      </c>
      <c r="F697" t="s">
        <v>396</v>
      </c>
      <c r="G697" t="s">
        <v>397</v>
      </c>
      <c r="H697" t="s">
        <v>398</v>
      </c>
      <c r="I697" t="s">
        <v>399</v>
      </c>
      <c r="J697" t="s">
        <v>749</v>
      </c>
      <c r="K697" t="s">
        <v>629</v>
      </c>
      <c r="L697" t="s">
        <v>787</v>
      </c>
      <c r="M697" t="s">
        <v>403</v>
      </c>
      <c r="N697">
        <v>1</v>
      </c>
      <c r="O697">
        <v>2</v>
      </c>
      <c r="P697" t="s">
        <v>1482</v>
      </c>
      <c r="Q697" t="s">
        <v>934</v>
      </c>
      <c r="R697" t="s">
        <v>1483</v>
      </c>
      <c r="S697" t="s">
        <v>1484</v>
      </c>
      <c r="T697" t="s">
        <v>408</v>
      </c>
      <c r="U697">
        <v>50950081464</v>
      </c>
      <c r="W697">
        <v>1440</v>
      </c>
      <c r="X697" t="s">
        <v>409</v>
      </c>
      <c r="Y697" t="s">
        <v>410</v>
      </c>
      <c r="Z697" t="s">
        <v>410</v>
      </c>
      <c r="AA697" t="s">
        <v>411</v>
      </c>
      <c r="AB697" t="s">
        <v>554</v>
      </c>
      <c r="AC697" t="s">
        <v>411</v>
      </c>
      <c r="AD697">
        <v>46102</v>
      </c>
      <c r="AE697">
        <v>46160</v>
      </c>
      <c r="AF697">
        <v>46113</v>
      </c>
      <c r="AG697" t="s">
        <v>754</v>
      </c>
      <c r="AH697">
        <v>6160080</v>
      </c>
      <c r="AI697">
        <v>46107</v>
      </c>
      <c r="AJ697">
        <v>46108</v>
      </c>
      <c r="AK697">
        <v>1440</v>
      </c>
      <c r="AL697" t="s">
        <v>396</v>
      </c>
      <c r="AM697" t="s">
        <v>2476</v>
      </c>
      <c r="AN697">
        <v>46108</v>
      </c>
      <c r="AO697">
        <v>46108.396585648145</v>
      </c>
      <c r="AP697" t="s">
        <v>51</v>
      </c>
      <c r="AQ697">
        <v>0.38090000000000002</v>
      </c>
      <c r="AR697">
        <v>548.5</v>
      </c>
      <c r="AS697" t="s">
        <v>51</v>
      </c>
      <c r="AT697">
        <v>548.5</v>
      </c>
      <c r="AU697" t="s">
        <v>415</v>
      </c>
      <c r="AV697" t="s">
        <v>1420</v>
      </c>
      <c r="AW697" t="s">
        <v>2363</v>
      </c>
      <c r="AX697">
        <v>46113</v>
      </c>
      <c r="AY697">
        <v>46162</v>
      </c>
      <c r="AZ697" t="s">
        <v>2447</v>
      </c>
      <c r="BA697" t="s">
        <v>560</v>
      </c>
      <c r="BB697" t="s">
        <v>2448</v>
      </c>
      <c r="BC697">
        <v>120</v>
      </c>
      <c r="BD697" t="s">
        <v>521</v>
      </c>
      <c r="BE697">
        <v>10.095499999999999</v>
      </c>
      <c r="BF697">
        <v>8.5655000000000001</v>
      </c>
      <c r="BG697" t="s">
        <v>522</v>
      </c>
      <c r="BH697">
        <v>595</v>
      </c>
      <c r="BI697">
        <v>495</v>
      </c>
      <c r="BJ697">
        <v>310</v>
      </c>
      <c r="BK697">
        <v>12</v>
      </c>
      <c r="BL697" t="s">
        <v>521</v>
      </c>
      <c r="BM697">
        <v>148.14576</v>
      </c>
      <c r="BN697">
        <v>102.78576</v>
      </c>
      <c r="BO697">
        <v>148.14576</v>
      </c>
      <c r="BP697" t="s">
        <v>522</v>
      </c>
      <c r="BQ697">
        <v>1200</v>
      </c>
      <c r="BR697">
        <v>1000</v>
      </c>
      <c r="BS697">
        <v>1088</v>
      </c>
      <c r="BT697">
        <v>1</v>
      </c>
      <c r="BU697">
        <v>0</v>
      </c>
      <c r="BV697">
        <v>1</v>
      </c>
      <c r="BW697">
        <v>12</v>
      </c>
      <c r="BX697">
        <v>0</v>
      </c>
      <c r="BY697">
        <v>12</v>
      </c>
      <c r="BZ697">
        <v>1440</v>
      </c>
      <c r="CA697">
        <v>0</v>
      </c>
      <c r="CB697">
        <v>1440</v>
      </c>
      <c r="CC697">
        <v>102.78576</v>
      </c>
      <c r="CD697" t="s">
        <v>842</v>
      </c>
      <c r="CE697" t="s">
        <v>843</v>
      </c>
      <c r="CG697" t="s">
        <v>421</v>
      </c>
      <c r="CN697" t="str">
        <v>M01</v>
      </c>
      <c r="CO697" t="str">
        <v>1458-1030144EN</v>
      </c>
      <c r="CP697" t="str">
        <v>OOCU8204341</v>
      </c>
      <c r="CQ697" s="23">
        <v>404.61759999999998</v>
      </c>
      <c r="CR697" s="25">
        <f t="shared" si="28"/>
        <v>2.1132608047254631E-2</v>
      </c>
      <c r="CS697" s="21">
        <f t="shared" si="29"/>
        <v>52.831520118136581</v>
      </c>
    </row>
    <row r="698" spans="2:97" x14ac:dyDescent="0.35">
      <c r="B698" t="s">
        <v>297</v>
      </c>
      <c r="C698" t="s">
        <v>2477</v>
      </c>
      <c r="D698" t="s">
        <v>395</v>
      </c>
      <c r="E698" t="s">
        <v>395</v>
      </c>
      <c r="F698" t="s">
        <v>396</v>
      </c>
      <c r="G698" t="s">
        <v>397</v>
      </c>
      <c r="H698" t="s">
        <v>398</v>
      </c>
      <c r="I698" t="s">
        <v>399</v>
      </c>
      <c r="J698" t="s">
        <v>749</v>
      </c>
      <c r="K698" t="s">
        <v>629</v>
      </c>
      <c r="L698" t="s">
        <v>787</v>
      </c>
      <c r="M698" t="s">
        <v>403</v>
      </c>
      <c r="N698">
        <v>1</v>
      </c>
      <c r="O698">
        <v>1</v>
      </c>
      <c r="P698" t="s">
        <v>2478</v>
      </c>
      <c r="Q698" t="s">
        <v>430</v>
      </c>
      <c r="R698" t="s">
        <v>905</v>
      </c>
      <c r="S698" t="s">
        <v>906</v>
      </c>
      <c r="T698" t="s">
        <v>408</v>
      </c>
      <c r="U698">
        <v>50950081512</v>
      </c>
      <c r="W698">
        <v>36000</v>
      </c>
      <c r="X698" t="s">
        <v>409</v>
      </c>
      <c r="Y698" t="s">
        <v>410</v>
      </c>
      <c r="Z698" t="s">
        <v>410</v>
      </c>
      <c r="AA698" t="s">
        <v>411</v>
      </c>
      <c r="AB698" t="s">
        <v>554</v>
      </c>
      <c r="AC698" t="s">
        <v>411</v>
      </c>
      <c r="AD698">
        <v>46102</v>
      </c>
      <c r="AE698">
        <v>46167</v>
      </c>
      <c r="AF698">
        <v>46113</v>
      </c>
      <c r="AG698" t="s">
        <v>754</v>
      </c>
      <c r="AH698">
        <v>6160081</v>
      </c>
      <c r="AI698">
        <v>46107</v>
      </c>
      <c r="AJ698">
        <v>46108</v>
      </c>
      <c r="AK698">
        <v>36000</v>
      </c>
      <c r="AL698" t="s">
        <v>396</v>
      </c>
      <c r="AM698" t="s">
        <v>2479</v>
      </c>
      <c r="AN698">
        <v>46108</v>
      </c>
      <c r="AO698">
        <v>46108.396585648145</v>
      </c>
      <c r="AP698" t="s">
        <v>51</v>
      </c>
      <c r="AQ698">
        <v>6.6360000000000002E-2</v>
      </c>
      <c r="AR698">
        <v>2388.96</v>
      </c>
      <c r="AS698" t="s">
        <v>51</v>
      </c>
      <c r="AT698">
        <v>2388.96</v>
      </c>
      <c r="AU698" t="s">
        <v>415</v>
      </c>
      <c r="AV698" t="s">
        <v>1420</v>
      </c>
      <c r="AW698" t="s">
        <v>2363</v>
      </c>
      <c r="AX698">
        <v>46113</v>
      </c>
      <c r="AY698">
        <v>46162</v>
      </c>
      <c r="AZ698" t="s">
        <v>2447</v>
      </c>
      <c r="BA698" t="s">
        <v>560</v>
      </c>
      <c r="BB698" t="s">
        <v>2448</v>
      </c>
      <c r="BC698">
        <v>1200</v>
      </c>
      <c r="BD698" t="s">
        <v>521</v>
      </c>
      <c r="BE698">
        <v>7.2553999999999998</v>
      </c>
      <c r="BF698">
        <v>6.3444000000000003</v>
      </c>
      <c r="BG698" t="s">
        <v>522</v>
      </c>
      <c r="BH698">
        <v>395</v>
      </c>
      <c r="BI698">
        <v>295</v>
      </c>
      <c r="BJ698">
        <v>270</v>
      </c>
      <c r="BK698">
        <v>30</v>
      </c>
      <c r="BL698" t="s">
        <v>521</v>
      </c>
      <c r="BM698">
        <v>244.66200000000001</v>
      </c>
      <c r="BN698">
        <v>190.33199999999999</v>
      </c>
      <c r="BO698">
        <v>244.66200000000001</v>
      </c>
      <c r="BP698" t="s">
        <v>522</v>
      </c>
      <c r="BQ698">
        <v>1200</v>
      </c>
      <c r="BR698">
        <v>1000</v>
      </c>
      <c r="BS698">
        <v>984</v>
      </c>
      <c r="BT698">
        <v>1</v>
      </c>
      <c r="BU698">
        <v>0</v>
      </c>
      <c r="BV698">
        <v>1</v>
      </c>
      <c r="BW698">
        <v>30</v>
      </c>
      <c r="BX698">
        <v>0</v>
      </c>
      <c r="BY698">
        <v>30</v>
      </c>
      <c r="BZ698">
        <v>36000</v>
      </c>
      <c r="CA698">
        <v>0</v>
      </c>
      <c r="CB698">
        <v>36000</v>
      </c>
      <c r="CC698">
        <v>190.33199999999999</v>
      </c>
      <c r="CD698" t="s">
        <v>908</v>
      </c>
      <c r="CE698" t="s">
        <v>909</v>
      </c>
      <c r="CG698" t="s">
        <v>421</v>
      </c>
      <c r="CN698" t="str">
        <v>M01</v>
      </c>
      <c r="CO698" t="str">
        <v>1301-1030463EN</v>
      </c>
      <c r="CP698" t="str">
        <v>OOCU8204341</v>
      </c>
      <c r="CQ698" s="23">
        <v>111.916</v>
      </c>
      <c r="CR698" s="25">
        <f t="shared" si="28"/>
        <v>5.8452152408015601E-3</v>
      </c>
      <c r="CS698" s="21">
        <f t="shared" si="29"/>
        <v>14.6130381020039</v>
      </c>
    </row>
    <row r="699" spans="2:97" x14ac:dyDescent="0.35">
      <c r="B699" t="s">
        <v>295</v>
      </c>
      <c r="C699" t="s">
        <v>2480</v>
      </c>
      <c r="D699" t="s">
        <v>395</v>
      </c>
      <c r="E699" t="s">
        <v>395</v>
      </c>
      <c r="F699" t="s">
        <v>396</v>
      </c>
      <c r="G699" t="s">
        <v>397</v>
      </c>
      <c r="H699" t="s">
        <v>398</v>
      </c>
      <c r="I699" t="s">
        <v>399</v>
      </c>
      <c r="J699" t="s">
        <v>749</v>
      </c>
      <c r="K699" t="s">
        <v>845</v>
      </c>
      <c r="L699" t="s">
        <v>787</v>
      </c>
      <c r="M699" t="s">
        <v>403</v>
      </c>
      <c r="N699">
        <v>1</v>
      </c>
      <c r="O699">
        <v>1</v>
      </c>
      <c r="P699" t="s">
        <v>1575</v>
      </c>
      <c r="Q699" t="s">
        <v>645</v>
      </c>
      <c r="R699" t="s">
        <v>1121</v>
      </c>
      <c r="S699" t="s">
        <v>1122</v>
      </c>
      <c r="T699" t="s">
        <v>408</v>
      </c>
      <c r="U699">
        <v>50950081552</v>
      </c>
      <c r="W699">
        <v>10000</v>
      </c>
      <c r="X699" t="s">
        <v>409</v>
      </c>
      <c r="Y699" t="s">
        <v>410</v>
      </c>
      <c r="Z699" t="s">
        <v>410</v>
      </c>
      <c r="AA699" t="s">
        <v>411</v>
      </c>
      <c r="AB699" t="s">
        <v>554</v>
      </c>
      <c r="AC699" t="s">
        <v>411</v>
      </c>
      <c r="AD699">
        <v>46105</v>
      </c>
      <c r="AE699">
        <v>46160</v>
      </c>
      <c r="AF699">
        <v>46113</v>
      </c>
      <c r="AG699" t="s">
        <v>754</v>
      </c>
      <c r="AH699">
        <v>6160082</v>
      </c>
      <c r="AI699">
        <v>46107</v>
      </c>
      <c r="AJ699">
        <v>46108</v>
      </c>
      <c r="AK699">
        <v>10000</v>
      </c>
      <c r="AL699" t="s">
        <v>396</v>
      </c>
      <c r="AM699" t="s">
        <v>2481</v>
      </c>
      <c r="AN699">
        <v>46108</v>
      </c>
      <c r="AO699">
        <v>46108.396585648145</v>
      </c>
      <c r="AP699" t="s">
        <v>51</v>
      </c>
      <c r="AQ699">
        <v>5.6329999999999998E-2</v>
      </c>
      <c r="AR699">
        <v>563.29999999999995</v>
      </c>
      <c r="AS699" t="s">
        <v>51</v>
      </c>
      <c r="AT699">
        <v>563.29999999999995</v>
      </c>
      <c r="AU699" t="s">
        <v>415</v>
      </c>
      <c r="AV699" t="s">
        <v>1420</v>
      </c>
      <c r="AW699" t="s">
        <v>2363</v>
      </c>
      <c r="AX699">
        <v>46113</v>
      </c>
      <c r="AY699">
        <v>46162</v>
      </c>
      <c r="AZ699" t="s">
        <v>2447</v>
      </c>
      <c r="BA699" t="s">
        <v>560</v>
      </c>
      <c r="BB699" t="s">
        <v>2448</v>
      </c>
      <c r="BC699">
        <v>500</v>
      </c>
      <c r="BD699" t="s">
        <v>521</v>
      </c>
      <c r="BE699">
        <v>9.4039999999999999</v>
      </c>
      <c r="BF699">
        <v>8.8439999999999994</v>
      </c>
      <c r="BG699" t="s">
        <v>522</v>
      </c>
      <c r="BH699">
        <v>295</v>
      </c>
      <c r="BI699">
        <v>195</v>
      </c>
      <c r="BJ699">
        <v>138</v>
      </c>
      <c r="BK699">
        <v>100</v>
      </c>
      <c r="BL699" t="s">
        <v>521</v>
      </c>
      <c r="BM699">
        <v>215.08</v>
      </c>
      <c r="BN699">
        <v>176.88</v>
      </c>
      <c r="BO699">
        <v>215.08</v>
      </c>
      <c r="BP699" t="s">
        <v>522</v>
      </c>
      <c r="BQ699">
        <v>1200</v>
      </c>
      <c r="BR699">
        <v>1000</v>
      </c>
      <c r="BS699">
        <v>850</v>
      </c>
      <c r="BT699">
        <v>0</v>
      </c>
      <c r="BU699">
        <v>1</v>
      </c>
      <c r="BV699">
        <v>1</v>
      </c>
      <c r="BW699">
        <v>20</v>
      </c>
      <c r="BX699">
        <v>0</v>
      </c>
      <c r="BY699">
        <v>20</v>
      </c>
      <c r="BZ699">
        <v>0</v>
      </c>
      <c r="CA699">
        <v>10000</v>
      </c>
      <c r="CB699">
        <v>10000</v>
      </c>
      <c r="CC699">
        <v>176.88</v>
      </c>
      <c r="CD699" t="s">
        <v>1124</v>
      </c>
      <c r="CE699" t="s">
        <v>1125</v>
      </c>
      <c r="CG699" t="s">
        <v>421</v>
      </c>
      <c r="CN699" t="str">
        <v>M01</v>
      </c>
      <c r="CO699" t="str">
        <v>1458-1030109EN</v>
      </c>
      <c r="CP699" t="str">
        <v>OOCU8204341</v>
      </c>
      <c r="CQ699" s="23">
        <v>315.61680000000001</v>
      </c>
      <c r="CR699" s="25">
        <f t="shared" si="28"/>
        <v>1.6484221466215893E-2</v>
      </c>
      <c r="CS699" s="21">
        <f t="shared" si="29"/>
        <v>41.210553665539734</v>
      </c>
    </row>
    <row r="700" spans="2:97" x14ac:dyDescent="0.35">
      <c r="B700" t="s">
        <v>297</v>
      </c>
      <c r="C700" t="s">
        <v>2482</v>
      </c>
      <c r="D700" t="s">
        <v>395</v>
      </c>
      <c r="E700" t="s">
        <v>395</v>
      </c>
      <c r="F700" t="s">
        <v>396</v>
      </c>
      <c r="G700" t="s">
        <v>397</v>
      </c>
      <c r="H700" t="s">
        <v>398</v>
      </c>
      <c r="I700" t="s">
        <v>399</v>
      </c>
      <c r="J700" t="s">
        <v>749</v>
      </c>
      <c r="K700" t="s">
        <v>629</v>
      </c>
      <c r="L700" t="s">
        <v>787</v>
      </c>
      <c r="M700" t="s">
        <v>403</v>
      </c>
      <c r="N700">
        <v>1</v>
      </c>
      <c r="O700">
        <v>1</v>
      </c>
      <c r="P700" t="s">
        <v>2203</v>
      </c>
      <c r="Q700" t="s">
        <v>789</v>
      </c>
      <c r="R700" t="s">
        <v>2204</v>
      </c>
      <c r="S700" t="s">
        <v>1484</v>
      </c>
      <c r="T700" t="s">
        <v>408</v>
      </c>
      <c r="U700">
        <v>50950081693</v>
      </c>
      <c r="W700">
        <v>48000</v>
      </c>
      <c r="X700" t="s">
        <v>409</v>
      </c>
      <c r="Y700" t="s">
        <v>410</v>
      </c>
      <c r="Z700" t="s">
        <v>410</v>
      </c>
      <c r="AA700" t="s">
        <v>411</v>
      </c>
      <c r="AB700" t="s">
        <v>554</v>
      </c>
      <c r="AC700" t="s">
        <v>411</v>
      </c>
      <c r="AD700">
        <v>46111</v>
      </c>
      <c r="AE700">
        <v>46174</v>
      </c>
      <c r="AF700">
        <v>46113</v>
      </c>
      <c r="AG700" t="s">
        <v>754</v>
      </c>
      <c r="AH700">
        <v>6160083</v>
      </c>
      <c r="AI700">
        <v>46107</v>
      </c>
      <c r="AJ700">
        <v>46108</v>
      </c>
      <c r="AK700">
        <v>48000</v>
      </c>
      <c r="AL700" t="s">
        <v>396</v>
      </c>
      <c r="AM700" t="s">
        <v>2483</v>
      </c>
      <c r="AN700">
        <v>46108</v>
      </c>
      <c r="AO700">
        <v>46108.396585648145</v>
      </c>
      <c r="AP700" t="s">
        <v>51</v>
      </c>
      <c r="AQ700">
        <v>3.8989999999999997E-2</v>
      </c>
      <c r="AR700">
        <v>1871.52</v>
      </c>
      <c r="AS700" t="s">
        <v>51</v>
      </c>
      <c r="AT700">
        <v>1871.52</v>
      </c>
      <c r="AU700" t="s">
        <v>415</v>
      </c>
      <c r="AV700" t="s">
        <v>1420</v>
      </c>
      <c r="AW700" t="s">
        <v>2363</v>
      </c>
      <c r="AX700">
        <v>46113</v>
      </c>
      <c r="AY700">
        <v>46162</v>
      </c>
      <c r="AZ700" t="s">
        <v>2447</v>
      </c>
      <c r="BA700" t="s">
        <v>560</v>
      </c>
      <c r="BB700" t="s">
        <v>2448</v>
      </c>
      <c r="BC700">
        <v>1200</v>
      </c>
      <c r="BD700" t="s">
        <v>521</v>
      </c>
      <c r="BE700">
        <v>5.9470000000000001</v>
      </c>
      <c r="BF700">
        <v>5.04</v>
      </c>
      <c r="BG700" t="s">
        <v>522</v>
      </c>
      <c r="BH700">
        <v>395</v>
      </c>
      <c r="BI700">
        <v>295</v>
      </c>
      <c r="BJ700">
        <v>270</v>
      </c>
      <c r="BK700">
        <v>30</v>
      </c>
      <c r="BL700" t="s">
        <v>521</v>
      </c>
      <c r="BM700">
        <v>205.41</v>
      </c>
      <c r="BN700">
        <v>151.19999999999999</v>
      </c>
      <c r="BO700">
        <v>291.88</v>
      </c>
      <c r="BP700" t="s">
        <v>522</v>
      </c>
      <c r="BQ700">
        <v>1200</v>
      </c>
      <c r="BR700">
        <v>1000</v>
      </c>
      <c r="BS700">
        <v>968</v>
      </c>
      <c r="BT700">
        <v>1</v>
      </c>
      <c r="BU700">
        <v>1</v>
      </c>
      <c r="BV700">
        <v>2</v>
      </c>
      <c r="BW700">
        <v>40</v>
      </c>
      <c r="BX700">
        <v>0</v>
      </c>
      <c r="BY700">
        <v>40</v>
      </c>
      <c r="BZ700">
        <v>36000</v>
      </c>
      <c r="CA700">
        <v>12000</v>
      </c>
      <c r="CB700">
        <v>48000</v>
      </c>
      <c r="CC700">
        <v>201.6</v>
      </c>
      <c r="CD700" t="s">
        <v>1151</v>
      </c>
      <c r="CE700" t="s">
        <v>634</v>
      </c>
      <c r="CG700" t="s">
        <v>421</v>
      </c>
      <c r="CN700" t="str">
        <v>M19</v>
      </c>
      <c r="CO700" t="str">
        <v>1271-5YY0100EN</v>
      </c>
      <c r="CP700" t="str">
        <v>OOCU8204341</v>
      </c>
      <c r="CQ700" s="23">
        <v>1256</v>
      </c>
      <c r="CR700" s="25">
        <f t="shared" si="28"/>
        <v>6.5599113106676071E-2</v>
      </c>
      <c r="CS700" s="21">
        <f t="shared" si="29"/>
        <v>163.99778276669016</v>
      </c>
    </row>
    <row r="701" spans="2:97" x14ac:dyDescent="0.35">
      <c r="B701" s="34" t="s">
        <v>298</v>
      </c>
      <c r="C701" t="s">
        <v>2484</v>
      </c>
      <c r="D701" t="s">
        <v>395</v>
      </c>
      <c r="E701" t="s">
        <v>395</v>
      </c>
      <c r="F701" t="s">
        <v>396</v>
      </c>
      <c r="G701" t="s">
        <v>397</v>
      </c>
      <c r="H701" t="s">
        <v>398</v>
      </c>
      <c r="I701" t="s">
        <v>399</v>
      </c>
      <c r="J701" t="s">
        <v>749</v>
      </c>
      <c r="K701" t="s">
        <v>629</v>
      </c>
      <c r="L701" t="s">
        <v>750</v>
      </c>
      <c r="M701" t="s">
        <v>751</v>
      </c>
      <c r="N701">
        <v>1</v>
      </c>
      <c r="O701">
        <v>1</v>
      </c>
      <c r="P701" t="s">
        <v>2485</v>
      </c>
      <c r="Q701" t="s">
        <v>424</v>
      </c>
      <c r="R701" t="s">
        <v>753</v>
      </c>
      <c r="S701" t="s">
        <v>2486</v>
      </c>
      <c r="T701" t="s">
        <v>408</v>
      </c>
      <c r="U701">
        <v>50950082291</v>
      </c>
      <c r="W701">
        <v>6400</v>
      </c>
      <c r="X701" t="s">
        <v>448</v>
      </c>
      <c r="Y701" t="s">
        <v>410</v>
      </c>
      <c r="Z701" t="s">
        <v>410</v>
      </c>
      <c r="AA701" t="s">
        <v>411</v>
      </c>
      <c r="AB701" t="s">
        <v>412</v>
      </c>
      <c r="AC701" t="s">
        <v>411</v>
      </c>
      <c r="AD701">
        <v>46107</v>
      </c>
      <c r="AE701">
        <v>46111</v>
      </c>
      <c r="AF701">
        <v>46111</v>
      </c>
      <c r="AG701" t="s">
        <v>754</v>
      </c>
      <c r="AH701">
        <v>6160261</v>
      </c>
      <c r="AI701">
        <v>46107</v>
      </c>
      <c r="AJ701">
        <v>46108</v>
      </c>
      <c r="AK701">
        <v>6400</v>
      </c>
      <c r="AL701" t="s">
        <v>396</v>
      </c>
      <c r="AM701" t="s">
        <v>2487</v>
      </c>
      <c r="AN701">
        <v>46108</v>
      </c>
      <c r="AO701">
        <v>46108.396585648145</v>
      </c>
      <c r="AP701" t="s">
        <v>51</v>
      </c>
      <c r="AQ701">
        <v>7.8189999999999996E-2</v>
      </c>
      <c r="AR701">
        <v>500.42</v>
      </c>
      <c r="AS701" t="s">
        <v>51</v>
      </c>
      <c r="AT701">
        <v>500.42</v>
      </c>
      <c r="AU701" t="s">
        <v>450</v>
      </c>
      <c r="AV701" t="s">
        <v>756</v>
      </c>
      <c r="AW701" t="s">
        <v>2488</v>
      </c>
      <c r="AX701">
        <v>46110</v>
      </c>
      <c r="AY701">
        <v>46118</v>
      </c>
      <c r="BA701" t="s">
        <v>448</v>
      </c>
      <c r="BB701" t="s">
        <v>2489</v>
      </c>
      <c r="BC701">
        <v>3200</v>
      </c>
      <c r="BD701" t="s">
        <v>521</v>
      </c>
      <c r="BE701">
        <v>4.8448000000000002</v>
      </c>
      <c r="BF701">
        <v>4.0448000000000004</v>
      </c>
      <c r="BG701" t="s">
        <v>522</v>
      </c>
      <c r="BH701">
        <v>395</v>
      </c>
      <c r="BI701">
        <v>295</v>
      </c>
      <c r="BJ701">
        <v>210</v>
      </c>
      <c r="BK701">
        <v>6</v>
      </c>
      <c r="BL701" t="s">
        <v>521</v>
      </c>
      <c r="BM701">
        <v>17.689599999999999</v>
      </c>
      <c r="BN701">
        <v>8.0896000000000008</v>
      </c>
      <c r="BO701">
        <v>17.689599999999999</v>
      </c>
      <c r="BP701" t="s">
        <v>522</v>
      </c>
      <c r="BQ701">
        <v>800</v>
      </c>
      <c r="BR701">
        <v>300</v>
      </c>
      <c r="BS701">
        <v>790</v>
      </c>
      <c r="BT701">
        <v>0</v>
      </c>
      <c r="BU701">
        <v>1</v>
      </c>
      <c r="BV701">
        <v>1</v>
      </c>
      <c r="BW701">
        <v>2</v>
      </c>
      <c r="BX701">
        <v>0</v>
      </c>
      <c r="BY701">
        <v>2</v>
      </c>
      <c r="BZ701">
        <v>0</v>
      </c>
      <c r="CA701">
        <v>6400</v>
      </c>
      <c r="CB701">
        <v>6400</v>
      </c>
      <c r="CC701">
        <v>8.0896000000000008</v>
      </c>
      <c r="CD701" t="s">
        <v>626</v>
      </c>
      <c r="CE701" t="s">
        <v>760</v>
      </c>
      <c r="CG701" t="s">
        <v>421</v>
      </c>
      <c r="CN701" t="str">
        <v>M19</v>
      </c>
      <c r="CO701" t="str">
        <v>1330-5YY0167EN</v>
      </c>
      <c r="CP701" t="str">
        <v>OOCU8204341</v>
      </c>
      <c r="CQ701" s="23">
        <v>350.45519999999999</v>
      </c>
      <c r="CR701" s="25">
        <f t="shared" si="28"/>
        <v>1.8303782088871644E-2</v>
      </c>
      <c r="CS701" s="21">
        <f t="shared" si="29"/>
        <v>45.759455222179106</v>
      </c>
    </row>
    <row r="702" spans="2:97" x14ac:dyDescent="0.35">
      <c r="B702" t="s">
        <v>299</v>
      </c>
      <c r="C702" t="s">
        <v>2490</v>
      </c>
      <c r="D702" t="s">
        <v>395</v>
      </c>
      <c r="E702" t="s">
        <v>395</v>
      </c>
      <c r="F702" t="s">
        <v>396</v>
      </c>
      <c r="G702" t="s">
        <v>397</v>
      </c>
      <c r="H702" t="s">
        <v>398</v>
      </c>
      <c r="I702" t="s">
        <v>399</v>
      </c>
      <c r="J702" t="s">
        <v>749</v>
      </c>
      <c r="K702" t="s">
        <v>777</v>
      </c>
      <c r="L702" t="s">
        <v>778</v>
      </c>
      <c r="M702" t="s">
        <v>403</v>
      </c>
      <c r="N702">
        <v>1</v>
      </c>
      <c r="O702">
        <v>1</v>
      </c>
      <c r="P702" t="s">
        <v>1490</v>
      </c>
      <c r="Q702" t="s">
        <v>637</v>
      </c>
      <c r="R702" t="s">
        <v>536</v>
      </c>
      <c r="S702" t="s">
        <v>1491</v>
      </c>
      <c r="T702" t="s">
        <v>408</v>
      </c>
      <c r="U702">
        <v>50950076733</v>
      </c>
      <c r="W702">
        <v>4032</v>
      </c>
      <c r="X702" t="s">
        <v>409</v>
      </c>
      <c r="Y702" t="s">
        <v>410</v>
      </c>
      <c r="Z702" t="s">
        <v>410</v>
      </c>
      <c r="AA702" t="s">
        <v>411</v>
      </c>
      <c r="AB702" t="s">
        <v>554</v>
      </c>
      <c r="AC702" t="s">
        <v>411</v>
      </c>
      <c r="AD702">
        <v>46111</v>
      </c>
      <c r="AE702">
        <v>46111</v>
      </c>
      <c r="AF702">
        <v>46113</v>
      </c>
      <c r="AG702" t="s">
        <v>781</v>
      </c>
      <c r="AH702">
        <v>6161906</v>
      </c>
      <c r="AI702">
        <v>46108</v>
      </c>
      <c r="AJ702">
        <v>46109</v>
      </c>
      <c r="AK702">
        <v>4032</v>
      </c>
      <c r="AL702" t="s">
        <v>396</v>
      </c>
      <c r="AM702" t="s">
        <v>2491</v>
      </c>
      <c r="AN702">
        <v>46109</v>
      </c>
      <c r="AO702">
        <v>46109.368206018517</v>
      </c>
      <c r="AP702" t="s">
        <v>51</v>
      </c>
      <c r="AQ702">
        <v>3.2103700000000002</v>
      </c>
      <c r="AR702">
        <v>12944.24</v>
      </c>
      <c r="AS702" t="s">
        <v>51</v>
      </c>
      <c r="AT702">
        <v>12944.24</v>
      </c>
      <c r="AU702" t="s">
        <v>415</v>
      </c>
      <c r="AV702" t="s">
        <v>557</v>
      </c>
      <c r="AW702" t="s">
        <v>2492</v>
      </c>
      <c r="AX702">
        <v>46113</v>
      </c>
      <c r="AY702">
        <v>46162</v>
      </c>
      <c r="AZ702" t="s">
        <v>2493</v>
      </c>
      <c r="BA702" t="s">
        <v>560</v>
      </c>
      <c r="BB702" t="s">
        <v>2494</v>
      </c>
      <c r="BC702">
        <v>28</v>
      </c>
      <c r="BD702" t="s">
        <v>521</v>
      </c>
      <c r="BE702">
        <v>6.0069999999999997</v>
      </c>
      <c r="BF702">
        <v>4.1440000000000001</v>
      </c>
      <c r="BG702" t="s">
        <v>522</v>
      </c>
      <c r="BH702">
        <v>795</v>
      </c>
      <c r="BI702">
        <v>395</v>
      </c>
      <c r="BJ702">
        <v>145</v>
      </c>
      <c r="BK702">
        <v>18</v>
      </c>
      <c r="BL702" t="s">
        <v>521</v>
      </c>
      <c r="BM702">
        <v>133.126</v>
      </c>
      <c r="BN702">
        <v>74.591999999999999</v>
      </c>
      <c r="BO702">
        <v>1065.008</v>
      </c>
      <c r="BP702" t="s">
        <v>522</v>
      </c>
      <c r="BQ702">
        <v>1200</v>
      </c>
      <c r="BR702">
        <v>800</v>
      </c>
      <c r="BS702">
        <v>1030</v>
      </c>
      <c r="BT702">
        <v>8</v>
      </c>
      <c r="BU702">
        <v>0</v>
      </c>
      <c r="BV702">
        <v>8</v>
      </c>
      <c r="BW702">
        <v>144</v>
      </c>
      <c r="BX702">
        <v>0</v>
      </c>
      <c r="BY702">
        <v>144</v>
      </c>
      <c r="BZ702">
        <v>4032</v>
      </c>
      <c r="CA702">
        <v>0</v>
      </c>
      <c r="CB702">
        <v>4032</v>
      </c>
      <c r="CC702">
        <v>596.73599999999999</v>
      </c>
      <c r="CD702" t="s">
        <v>783</v>
      </c>
      <c r="CE702" t="s">
        <v>784</v>
      </c>
      <c r="CG702" t="s">
        <v>421</v>
      </c>
      <c r="CN702" t="str">
        <v>M01</v>
      </c>
      <c r="CO702" t="str">
        <v>1426-1030044EN</v>
      </c>
      <c r="CP702" t="str">
        <v>OOCU8204341</v>
      </c>
      <c r="CQ702" s="23">
        <v>173.38</v>
      </c>
      <c r="CR702" s="25">
        <f t="shared" si="28"/>
        <v>9.0553934955696636E-3</v>
      </c>
      <c r="CS702" s="21">
        <f t="shared" si="29"/>
        <v>22.638483738924158</v>
      </c>
    </row>
    <row r="703" spans="2:97" x14ac:dyDescent="0.35">
      <c r="B703" t="s">
        <v>299</v>
      </c>
      <c r="C703" t="s">
        <v>2412</v>
      </c>
      <c r="D703" t="s">
        <v>395</v>
      </c>
      <c r="E703" t="s">
        <v>395</v>
      </c>
      <c r="F703" t="s">
        <v>396</v>
      </c>
      <c r="G703" t="s">
        <v>397</v>
      </c>
      <c r="H703" t="s">
        <v>398</v>
      </c>
      <c r="I703" t="s">
        <v>399</v>
      </c>
      <c r="J703" t="s">
        <v>749</v>
      </c>
      <c r="K703" t="s">
        <v>777</v>
      </c>
      <c r="L703" t="s">
        <v>778</v>
      </c>
      <c r="M703" t="s">
        <v>403</v>
      </c>
      <c r="N703">
        <v>1</v>
      </c>
      <c r="O703">
        <v>2</v>
      </c>
      <c r="P703" t="s">
        <v>779</v>
      </c>
      <c r="Q703" t="s">
        <v>587</v>
      </c>
      <c r="R703" t="s">
        <v>536</v>
      </c>
      <c r="S703" t="s">
        <v>780</v>
      </c>
      <c r="T703" t="s">
        <v>408</v>
      </c>
      <c r="U703">
        <v>50950076745</v>
      </c>
      <c r="W703">
        <v>1008</v>
      </c>
      <c r="X703" t="s">
        <v>409</v>
      </c>
      <c r="Y703" t="s">
        <v>410</v>
      </c>
      <c r="Z703" t="s">
        <v>410</v>
      </c>
      <c r="AA703" t="s">
        <v>411</v>
      </c>
      <c r="AB703" t="s">
        <v>554</v>
      </c>
      <c r="AC703" t="s">
        <v>411</v>
      </c>
      <c r="AD703">
        <v>46104</v>
      </c>
      <c r="AE703">
        <v>46160</v>
      </c>
      <c r="AF703">
        <v>46113</v>
      </c>
      <c r="AG703" t="s">
        <v>781</v>
      </c>
      <c r="AH703">
        <v>6161907</v>
      </c>
      <c r="AI703">
        <v>46108</v>
      </c>
      <c r="AJ703">
        <v>46109</v>
      </c>
      <c r="AK703">
        <v>1008</v>
      </c>
      <c r="AL703" t="s">
        <v>396</v>
      </c>
      <c r="AM703" t="s">
        <v>2495</v>
      </c>
      <c r="AN703">
        <v>46109</v>
      </c>
      <c r="AO703">
        <v>46109.368206018517</v>
      </c>
      <c r="AP703" t="s">
        <v>51</v>
      </c>
      <c r="AQ703">
        <v>2.1913299999999998</v>
      </c>
      <c r="AR703">
        <v>2208.86</v>
      </c>
      <c r="AS703" t="s">
        <v>51</v>
      </c>
      <c r="AT703">
        <v>2208.86</v>
      </c>
      <c r="AU703" t="s">
        <v>415</v>
      </c>
      <c r="AV703" t="s">
        <v>557</v>
      </c>
      <c r="AW703" t="s">
        <v>2492</v>
      </c>
      <c r="AX703">
        <v>46113</v>
      </c>
      <c r="AY703">
        <v>46162</v>
      </c>
      <c r="AZ703" t="s">
        <v>2493</v>
      </c>
      <c r="BA703" t="s">
        <v>560</v>
      </c>
      <c r="BB703" t="s">
        <v>2494</v>
      </c>
      <c r="BC703">
        <v>28</v>
      </c>
      <c r="BD703" t="s">
        <v>521</v>
      </c>
      <c r="BE703">
        <v>4.1197999999999997</v>
      </c>
      <c r="BF703">
        <v>2.2568000000000001</v>
      </c>
      <c r="BG703" t="s">
        <v>522</v>
      </c>
      <c r="BH703">
        <v>795</v>
      </c>
      <c r="BI703">
        <v>395</v>
      </c>
      <c r="BJ703">
        <v>145</v>
      </c>
      <c r="BK703">
        <v>18</v>
      </c>
      <c r="BL703" t="s">
        <v>521</v>
      </c>
      <c r="BM703">
        <v>99.156400000000005</v>
      </c>
      <c r="BN703">
        <v>40.622399999999999</v>
      </c>
      <c r="BO703">
        <v>198.31280000000001</v>
      </c>
      <c r="BP703" t="s">
        <v>522</v>
      </c>
      <c r="BQ703">
        <v>1200</v>
      </c>
      <c r="BR703">
        <v>800</v>
      </c>
      <c r="BS703">
        <v>1030</v>
      </c>
      <c r="BT703">
        <v>2</v>
      </c>
      <c r="BU703">
        <v>0</v>
      </c>
      <c r="BV703">
        <v>2</v>
      </c>
      <c r="BW703">
        <v>36</v>
      </c>
      <c r="BX703">
        <v>0</v>
      </c>
      <c r="BY703">
        <v>36</v>
      </c>
      <c r="BZ703">
        <v>1008</v>
      </c>
      <c r="CA703">
        <v>0</v>
      </c>
      <c r="CB703">
        <v>1008</v>
      </c>
      <c r="CC703">
        <v>81.244799999999998</v>
      </c>
      <c r="CD703" t="s">
        <v>783</v>
      </c>
      <c r="CE703" t="s">
        <v>784</v>
      </c>
      <c r="CG703" t="s">
        <v>421</v>
      </c>
      <c r="CN703" t="str">
        <v>M45</v>
      </c>
      <c r="CO703" t="str">
        <v>1404-12C0002EN</v>
      </c>
      <c r="CP703" t="str">
        <v>OOCU8204341</v>
      </c>
      <c r="CQ703" s="23">
        <v>1318.3378</v>
      </c>
      <c r="CR703" s="25">
        <f t="shared" si="28"/>
        <v>6.8854928706215374E-2</v>
      </c>
      <c r="CS703" s="21">
        <f t="shared" si="29"/>
        <v>172.13732176553845</v>
      </c>
    </row>
    <row r="704" spans="2:97" x14ac:dyDescent="0.35">
      <c r="B704" t="s">
        <v>299</v>
      </c>
      <c r="C704" t="s">
        <v>2414</v>
      </c>
      <c r="D704" t="s">
        <v>395</v>
      </c>
      <c r="E704" t="s">
        <v>395</v>
      </c>
      <c r="F704" t="s">
        <v>396</v>
      </c>
      <c r="G704" t="s">
        <v>397</v>
      </c>
      <c r="H704" t="s">
        <v>398</v>
      </c>
      <c r="I704" t="s">
        <v>399</v>
      </c>
      <c r="J704" t="s">
        <v>749</v>
      </c>
      <c r="K704" t="s">
        <v>777</v>
      </c>
      <c r="L704" t="s">
        <v>778</v>
      </c>
      <c r="M704" t="s">
        <v>403</v>
      </c>
      <c r="N704">
        <v>1</v>
      </c>
      <c r="O704">
        <v>2</v>
      </c>
      <c r="P704" t="s">
        <v>1372</v>
      </c>
      <c r="Q704" t="s">
        <v>637</v>
      </c>
      <c r="R704" t="s">
        <v>536</v>
      </c>
      <c r="S704" t="s">
        <v>1373</v>
      </c>
      <c r="T704" t="s">
        <v>408</v>
      </c>
      <c r="U704">
        <v>50950078246</v>
      </c>
      <c r="W704">
        <v>1512</v>
      </c>
      <c r="X704" t="s">
        <v>409</v>
      </c>
      <c r="Y704" t="s">
        <v>410</v>
      </c>
      <c r="Z704" t="s">
        <v>410</v>
      </c>
      <c r="AA704" t="s">
        <v>411</v>
      </c>
      <c r="AB704" t="s">
        <v>554</v>
      </c>
      <c r="AC704" t="s">
        <v>411</v>
      </c>
      <c r="AD704">
        <v>46102</v>
      </c>
      <c r="AE704">
        <v>46160</v>
      </c>
      <c r="AF704">
        <v>46113</v>
      </c>
      <c r="AG704" t="s">
        <v>781</v>
      </c>
      <c r="AH704">
        <v>6161908</v>
      </c>
      <c r="AI704">
        <v>46108</v>
      </c>
      <c r="AJ704">
        <v>46109</v>
      </c>
      <c r="AK704">
        <v>1512</v>
      </c>
      <c r="AL704" t="s">
        <v>396</v>
      </c>
      <c r="AM704" t="s">
        <v>2496</v>
      </c>
      <c r="AN704">
        <v>46109</v>
      </c>
      <c r="AO704">
        <v>46109.368206018517</v>
      </c>
      <c r="AP704" t="s">
        <v>51</v>
      </c>
      <c r="AQ704">
        <v>2.7070500000000002</v>
      </c>
      <c r="AR704">
        <v>4093.05</v>
      </c>
      <c r="AS704" t="s">
        <v>51</v>
      </c>
      <c r="AT704">
        <v>4093.05</v>
      </c>
      <c r="AU704" t="s">
        <v>415</v>
      </c>
      <c r="AV704" t="s">
        <v>557</v>
      </c>
      <c r="AW704" t="s">
        <v>2492</v>
      </c>
      <c r="AX704">
        <v>46113</v>
      </c>
      <c r="AY704">
        <v>46162</v>
      </c>
      <c r="AZ704" t="s">
        <v>2493</v>
      </c>
      <c r="BA704" t="s">
        <v>560</v>
      </c>
      <c r="BB704" t="s">
        <v>2494</v>
      </c>
      <c r="BC704">
        <v>28</v>
      </c>
      <c r="BD704" t="s">
        <v>521</v>
      </c>
      <c r="BE704">
        <v>5.1753999999999998</v>
      </c>
      <c r="BF704">
        <v>3.3123999999999998</v>
      </c>
      <c r="BG704" t="s">
        <v>522</v>
      </c>
      <c r="BH704">
        <v>795</v>
      </c>
      <c r="BI704">
        <v>395</v>
      </c>
      <c r="BJ704">
        <v>145</v>
      </c>
      <c r="BK704">
        <v>18</v>
      </c>
      <c r="BL704" t="s">
        <v>521</v>
      </c>
      <c r="BM704">
        <v>118.1572</v>
      </c>
      <c r="BN704">
        <v>59.623199999999997</v>
      </c>
      <c r="BO704">
        <v>354.47160000000002</v>
      </c>
      <c r="BP704" t="s">
        <v>522</v>
      </c>
      <c r="BQ704">
        <v>1200</v>
      </c>
      <c r="BR704">
        <v>800</v>
      </c>
      <c r="BS704">
        <v>1030</v>
      </c>
      <c r="BT704">
        <v>3</v>
      </c>
      <c r="BU704">
        <v>0</v>
      </c>
      <c r="BV704">
        <v>3</v>
      </c>
      <c r="BW704">
        <v>54</v>
      </c>
      <c r="BX704">
        <v>0</v>
      </c>
      <c r="BY704">
        <v>54</v>
      </c>
      <c r="BZ704">
        <v>1512</v>
      </c>
      <c r="CA704">
        <v>0</v>
      </c>
      <c r="CB704">
        <v>1512</v>
      </c>
      <c r="CC704">
        <v>178.86959999999999</v>
      </c>
      <c r="CD704" t="s">
        <v>783</v>
      </c>
      <c r="CE704" t="s">
        <v>784</v>
      </c>
      <c r="CG704" t="s">
        <v>421</v>
      </c>
      <c r="CN704" t="str">
        <v>M01</v>
      </c>
      <c r="CO704" t="str">
        <v>1277-1030086EN</v>
      </c>
      <c r="CP704" t="str">
        <v>OOCU8204341</v>
      </c>
      <c r="CQ704" s="23">
        <v>153.06</v>
      </c>
      <c r="CR704" s="25">
        <f t="shared" si="28"/>
        <v>7.9941084809775804E-3</v>
      </c>
      <c r="CS704" s="21">
        <f t="shared" si="29"/>
        <v>19.985271202443951</v>
      </c>
    </row>
    <row r="705" spans="2:97" x14ac:dyDescent="0.35">
      <c r="B705" t="s">
        <v>299</v>
      </c>
      <c r="C705" t="s">
        <v>2416</v>
      </c>
      <c r="D705" t="s">
        <v>395</v>
      </c>
      <c r="E705" t="s">
        <v>823</v>
      </c>
      <c r="F705" t="s">
        <v>396</v>
      </c>
      <c r="G705" t="s">
        <v>397</v>
      </c>
      <c r="H705" t="s">
        <v>398</v>
      </c>
      <c r="I705" t="s">
        <v>399</v>
      </c>
      <c r="J705" t="s">
        <v>749</v>
      </c>
      <c r="K705" t="s">
        <v>777</v>
      </c>
      <c r="L705" t="s">
        <v>778</v>
      </c>
      <c r="M705" t="s">
        <v>403</v>
      </c>
      <c r="N705">
        <v>1</v>
      </c>
      <c r="O705">
        <v>2</v>
      </c>
      <c r="P705" t="s">
        <v>2417</v>
      </c>
      <c r="Q705" t="s">
        <v>637</v>
      </c>
      <c r="R705" t="s">
        <v>536</v>
      </c>
      <c r="S705" t="s">
        <v>2418</v>
      </c>
      <c r="T705" t="s">
        <v>408</v>
      </c>
      <c r="U705">
        <v>50950079409</v>
      </c>
      <c r="W705">
        <v>1008</v>
      </c>
      <c r="X705" t="s">
        <v>409</v>
      </c>
      <c r="Y705" t="s">
        <v>410</v>
      </c>
      <c r="Z705" t="s">
        <v>410</v>
      </c>
      <c r="AA705" t="s">
        <v>411</v>
      </c>
      <c r="AB705" t="s">
        <v>554</v>
      </c>
      <c r="AC705" t="s">
        <v>411</v>
      </c>
      <c r="AD705">
        <v>46104</v>
      </c>
      <c r="AE705">
        <v>46160</v>
      </c>
      <c r="AF705">
        <v>46113</v>
      </c>
      <c r="AG705" t="s">
        <v>781</v>
      </c>
      <c r="AH705">
        <v>6161909</v>
      </c>
      <c r="AI705">
        <v>46108</v>
      </c>
      <c r="AJ705">
        <v>46109</v>
      </c>
      <c r="AK705">
        <v>1008</v>
      </c>
      <c r="AL705" t="s">
        <v>396</v>
      </c>
      <c r="AM705" t="s">
        <v>2497</v>
      </c>
      <c r="AN705">
        <v>46109</v>
      </c>
      <c r="AO705">
        <v>46109.368206018517</v>
      </c>
      <c r="AP705" t="s">
        <v>51</v>
      </c>
      <c r="AQ705">
        <v>2.5460099999999999</v>
      </c>
      <c r="AR705">
        <v>2566.38</v>
      </c>
      <c r="AS705" t="s">
        <v>51</v>
      </c>
      <c r="AT705">
        <v>2566.38</v>
      </c>
      <c r="AU705" t="s">
        <v>415</v>
      </c>
      <c r="AV705" t="s">
        <v>557</v>
      </c>
      <c r="AW705" t="s">
        <v>2492</v>
      </c>
      <c r="AX705">
        <v>46113</v>
      </c>
      <c r="AY705">
        <v>46162</v>
      </c>
      <c r="AZ705" t="s">
        <v>2493</v>
      </c>
      <c r="BA705" t="s">
        <v>560</v>
      </c>
      <c r="BB705" t="s">
        <v>2494</v>
      </c>
      <c r="BC705">
        <v>28</v>
      </c>
      <c r="BD705" t="s">
        <v>521</v>
      </c>
      <c r="BE705">
        <v>4.8365999999999998</v>
      </c>
      <c r="BF705">
        <v>2.9735999999999998</v>
      </c>
      <c r="BG705" t="s">
        <v>522</v>
      </c>
      <c r="BH705">
        <v>795</v>
      </c>
      <c r="BI705">
        <v>395</v>
      </c>
      <c r="BJ705">
        <v>145</v>
      </c>
      <c r="BK705">
        <v>18</v>
      </c>
      <c r="BL705" t="s">
        <v>521</v>
      </c>
      <c r="BM705">
        <v>112.05880000000001</v>
      </c>
      <c r="BN705">
        <v>53.524799999999999</v>
      </c>
      <c r="BO705">
        <v>224.11760000000001</v>
      </c>
      <c r="BP705" t="s">
        <v>522</v>
      </c>
      <c r="BQ705">
        <v>1200</v>
      </c>
      <c r="BR705">
        <v>800</v>
      </c>
      <c r="BS705">
        <v>1030</v>
      </c>
      <c r="BT705">
        <v>2</v>
      </c>
      <c r="BU705">
        <v>0</v>
      </c>
      <c r="BV705">
        <v>2</v>
      </c>
      <c r="BW705">
        <v>36</v>
      </c>
      <c r="BX705">
        <v>0</v>
      </c>
      <c r="BY705">
        <v>36</v>
      </c>
      <c r="BZ705">
        <v>1008</v>
      </c>
      <c r="CA705">
        <v>0</v>
      </c>
      <c r="CB705">
        <v>1008</v>
      </c>
      <c r="CC705">
        <v>107.0496</v>
      </c>
      <c r="CD705" t="s">
        <v>783</v>
      </c>
      <c r="CE705" t="s">
        <v>784</v>
      </c>
      <c r="CG705" t="s">
        <v>421</v>
      </c>
      <c r="CN705" t="str">
        <v>M01</v>
      </c>
      <c r="CO705" t="str">
        <v>1301-1030479EN</v>
      </c>
      <c r="CP705" t="str">
        <v>OOCU8204341</v>
      </c>
      <c r="CQ705" s="23">
        <v>737.44</v>
      </c>
      <c r="CR705" s="25">
        <f t="shared" si="28"/>
        <v>3.8515453797282814E-2</v>
      </c>
      <c r="CS705" s="21">
        <f t="shared" si="29"/>
        <v>96.288634493207041</v>
      </c>
    </row>
    <row r="706" spans="2:97" x14ac:dyDescent="0.35">
      <c r="B706" t="s">
        <v>296</v>
      </c>
      <c r="C706" t="s">
        <v>2368</v>
      </c>
      <c r="D706" t="s">
        <v>395</v>
      </c>
      <c r="E706" t="s">
        <v>395</v>
      </c>
      <c r="F706" t="s">
        <v>396</v>
      </c>
      <c r="G706" t="s">
        <v>397</v>
      </c>
      <c r="H706" t="s">
        <v>398</v>
      </c>
      <c r="I706" t="s">
        <v>399</v>
      </c>
      <c r="J706" t="s">
        <v>749</v>
      </c>
      <c r="K706" t="s">
        <v>629</v>
      </c>
      <c r="L706" t="s">
        <v>787</v>
      </c>
      <c r="M706" t="s">
        <v>403</v>
      </c>
      <c r="N706">
        <v>1</v>
      </c>
      <c r="O706">
        <v>3</v>
      </c>
      <c r="P706" t="s">
        <v>881</v>
      </c>
      <c r="Q706" t="s">
        <v>645</v>
      </c>
      <c r="R706" t="s">
        <v>882</v>
      </c>
      <c r="S706" t="s">
        <v>883</v>
      </c>
      <c r="T706" t="s">
        <v>408</v>
      </c>
      <c r="U706">
        <v>50950079647</v>
      </c>
      <c r="W706">
        <v>19800</v>
      </c>
      <c r="X706" t="s">
        <v>409</v>
      </c>
      <c r="Y706" t="s">
        <v>410</v>
      </c>
      <c r="Z706" t="s">
        <v>410</v>
      </c>
      <c r="AA706" t="s">
        <v>411</v>
      </c>
      <c r="AB706" t="s">
        <v>554</v>
      </c>
      <c r="AC706" t="s">
        <v>411</v>
      </c>
      <c r="AD706">
        <v>46104</v>
      </c>
      <c r="AE706">
        <v>46195</v>
      </c>
      <c r="AF706">
        <v>46113</v>
      </c>
      <c r="AG706" t="s">
        <v>754</v>
      </c>
      <c r="AH706">
        <v>6161910</v>
      </c>
      <c r="AI706">
        <v>46108</v>
      </c>
      <c r="AJ706">
        <v>46109</v>
      </c>
      <c r="AK706">
        <v>19800</v>
      </c>
      <c r="AL706" t="s">
        <v>396</v>
      </c>
      <c r="AM706" t="s">
        <v>2498</v>
      </c>
      <c r="AN706">
        <v>46109</v>
      </c>
      <c r="AO706">
        <v>46109.368206018517</v>
      </c>
      <c r="AP706" t="s">
        <v>51</v>
      </c>
      <c r="AQ706">
        <v>0.19572000000000001</v>
      </c>
      <c r="AR706">
        <v>3875.25</v>
      </c>
      <c r="AS706" t="s">
        <v>51</v>
      </c>
      <c r="AT706">
        <v>3875.25</v>
      </c>
      <c r="AU706" t="s">
        <v>415</v>
      </c>
      <c r="AV706" t="s">
        <v>557</v>
      </c>
      <c r="AW706" t="s">
        <v>2492</v>
      </c>
      <c r="AX706">
        <v>46113</v>
      </c>
      <c r="AY706">
        <v>46162</v>
      </c>
      <c r="AZ706" t="s">
        <v>2493</v>
      </c>
      <c r="BA706" t="s">
        <v>560</v>
      </c>
      <c r="BB706" t="s">
        <v>2494</v>
      </c>
      <c r="BC706">
        <v>264</v>
      </c>
      <c r="BD706" t="s">
        <v>521</v>
      </c>
      <c r="BE706">
        <v>5.2203999999999997</v>
      </c>
      <c r="BF706">
        <v>3.8304</v>
      </c>
      <c r="BG706" t="s">
        <v>522</v>
      </c>
      <c r="BH706">
        <v>595</v>
      </c>
      <c r="BI706">
        <v>395</v>
      </c>
      <c r="BJ706">
        <v>175</v>
      </c>
      <c r="BK706">
        <v>25</v>
      </c>
      <c r="BL706" t="s">
        <v>521</v>
      </c>
      <c r="BM706">
        <v>157.51</v>
      </c>
      <c r="BN706">
        <v>95.76</v>
      </c>
      <c r="BO706">
        <v>472.52820000000003</v>
      </c>
      <c r="BP706" t="s">
        <v>522</v>
      </c>
      <c r="BQ706">
        <v>1200</v>
      </c>
      <c r="BR706">
        <v>1000</v>
      </c>
      <c r="BS706">
        <v>1035</v>
      </c>
      <c r="BT706">
        <v>3</v>
      </c>
      <c r="BU706">
        <v>0</v>
      </c>
      <c r="BV706">
        <v>3</v>
      </c>
      <c r="BW706">
        <v>75</v>
      </c>
      <c r="BX706">
        <v>0</v>
      </c>
      <c r="BY706">
        <v>75</v>
      </c>
      <c r="BZ706">
        <v>19800</v>
      </c>
      <c r="CA706">
        <v>0</v>
      </c>
      <c r="CB706">
        <v>19800</v>
      </c>
      <c r="CC706">
        <v>287.27820000000003</v>
      </c>
      <c r="CD706" t="s">
        <v>885</v>
      </c>
      <c r="CE706" t="s">
        <v>886</v>
      </c>
      <c r="CG706" t="s">
        <v>421</v>
      </c>
      <c r="CN706" t="str">
        <v>M45</v>
      </c>
      <c r="CO706" t="str">
        <v>AYSP61AS981EN</v>
      </c>
      <c r="CP706" t="str">
        <v>OOCU8204341</v>
      </c>
      <c r="CQ706" s="23">
        <v>2365.8006</v>
      </c>
      <c r="CR706" s="25">
        <f t="shared" si="28"/>
        <v>0.12356243721914183</v>
      </c>
      <c r="CS706" s="21">
        <f t="shared" si="29"/>
        <v>308.90609304785454</v>
      </c>
    </row>
    <row r="707" spans="2:97" x14ac:dyDescent="0.35">
      <c r="B707" t="s">
        <v>299</v>
      </c>
      <c r="C707" t="s">
        <v>1380</v>
      </c>
      <c r="D707" t="s">
        <v>965</v>
      </c>
      <c r="E707" t="s">
        <v>395</v>
      </c>
      <c r="F707" t="s">
        <v>396</v>
      </c>
      <c r="G707" t="s">
        <v>397</v>
      </c>
      <c r="H707" t="s">
        <v>398</v>
      </c>
      <c r="I707" t="s">
        <v>399</v>
      </c>
      <c r="J707" t="s">
        <v>749</v>
      </c>
      <c r="K707" t="s">
        <v>809</v>
      </c>
      <c r="L707" t="s">
        <v>787</v>
      </c>
      <c r="M707" t="s">
        <v>403</v>
      </c>
      <c r="N707">
        <v>1</v>
      </c>
      <c r="O707">
        <v>4</v>
      </c>
      <c r="P707" t="s">
        <v>810</v>
      </c>
      <c r="Q707" t="s">
        <v>405</v>
      </c>
      <c r="R707" t="s">
        <v>811</v>
      </c>
      <c r="S707" t="s">
        <v>812</v>
      </c>
      <c r="T707" t="s">
        <v>408</v>
      </c>
      <c r="U707">
        <v>50950080270</v>
      </c>
      <c r="W707">
        <v>3360</v>
      </c>
      <c r="X707" t="s">
        <v>409</v>
      </c>
      <c r="Y707" t="s">
        <v>410</v>
      </c>
      <c r="Z707" t="s">
        <v>410</v>
      </c>
      <c r="AA707" t="s">
        <v>411</v>
      </c>
      <c r="AB707" t="s">
        <v>554</v>
      </c>
      <c r="AC707" t="s">
        <v>411</v>
      </c>
      <c r="AD707">
        <v>46109</v>
      </c>
      <c r="AE707">
        <v>46125</v>
      </c>
      <c r="AF707">
        <v>46113</v>
      </c>
      <c r="AG707" t="s">
        <v>754</v>
      </c>
      <c r="AH707">
        <v>6161911</v>
      </c>
      <c r="AI707">
        <v>46108</v>
      </c>
      <c r="AJ707">
        <v>46109</v>
      </c>
      <c r="AK707">
        <v>3360</v>
      </c>
      <c r="AL707" t="s">
        <v>396</v>
      </c>
      <c r="AM707" t="s">
        <v>2499</v>
      </c>
      <c r="AN707">
        <v>46109</v>
      </c>
      <c r="AO707">
        <v>46109.368206018517</v>
      </c>
      <c r="AP707" t="s">
        <v>51</v>
      </c>
      <c r="AQ707">
        <v>1.96204</v>
      </c>
      <c r="AR707">
        <v>6592.46</v>
      </c>
      <c r="AS707" t="s">
        <v>51</v>
      </c>
      <c r="AT707">
        <v>6592.46</v>
      </c>
      <c r="AU707" t="s">
        <v>415</v>
      </c>
      <c r="AV707" t="s">
        <v>557</v>
      </c>
      <c r="AW707" t="s">
        <v>2492</v>
      </c>
      <c r="AX707">
        <v>46113</v>
      </c>
      <c r="AY707">
        <v>46162</v>
      </c>
      <c r="AZ707" t="s">
        <v>2493</v>
      </c>
      <c r="BA707" t="s">
        <v>560</v>
      </c>
      <c r="BB707" t="s">
        <v>2494</v>
      </c>
      <c r="BC707">
        <v>16</v>
      </c>
      <c r="BD707" t="s">
        <v>521</v>
      </c>
      <c r="BE707">
        <v>4.9545000000000003</v>
      </c>
      <c r="BF707">
        <v>3.7555000000000001</v>
      </c>
      <c r="BG707" t="s">
        <v>522</v>
      </c>
      <c r="BH707">
        <v>495</v>
      </c>
      <c r="BI707">
        <v>395</v>
      </c>
      <c r="BJ707">
        <v>190</v>
      </c>
      <c r="BK707">
        <v>30</v>
      </c>
      <c r="BL707" t="s">
        <v>521</v>
      </c>
      <c r="BM707">
        <v>175.63499999999999</v>
      </c>
      <c r="BN707">
        <v>112.66500000000001</v>
      </c>
      <c r="BO707">
        <v>1229.4492</v>
      </c>
      <c r="BP707" t="s">
        <v>522</v>
      </c>
      <c r="BQ707">
        <v>1200</v>
      </c>
      <c r="BR707">
        <v>1000</v>
      </c>
      <c r="BS707">
        <v>1120</v>
      </c>
      <c r="BT707">
        <v>7</v>
      </c>
      <c r="BU707">
        <v>0</v>
      </c>
      <c r="BV707">
        <v>7</v>
      </c>
      <c r="BW707">
        <v>210</v>
      </c>
      <c r="BX707">
        <v>0</v>
      </c>
      <c r="BY707">
        <v>210</v>
      </c>
      <c r="BZ707">
        <v>3360</v>
      </c>
      <c r="CA707">
        <v>0</v>
      </c>
      <c r="CB707">
        <v>3360</v>
      </c>
      <c r="CC707">
        <v>788.65920000000006</v>
      </c>
      <c r="CD707" t="s">
        <v>806</v>
      </c>
      <c r="CE707" t="s">
        <v>816</v>
      </c>
      <c r="CG707" t="s">
        <v>421</v>
      </c>
      <c r="CN707" t="str">
        <v>M01</v>
      </c>
      <c r="CO707" t="str">
        <v>1301-1030476EN</v>
      </c>
      <c r="CP707" t="str">
        <v>OOCU8204341</v>
      </c>
      <c r="CQ707" s="23">
        <v>737.44</v>
      </c>
      <c r="CR707" s="25">
        <f t="shared" si="28"/>
        <v>3.8515453797282814E-2</v>
      </c>
      <c r="CS707" s="21">
        <f t="shared" si="29"/>
        <v>96.288634493207041</v>
      </c>
    </row>
    <row r="708" spans="2:97" x14ac:dyDescent="0.35">
      <c r="B708" t="s">
        <v>299</v>
      </c>
      <c r="C708" t="s">
        <v>2346</v>
      </c>
      <c r="D708" t="s">
        <v>395</v>
      </c>
      <c r="E708" t="s">
        <v>395</v>
      </c>
      <c r="F708" t="s">
        <v>396</v>
      </c>
      <c r="G708" t="s">
        <v>397</v>
      </c>
      <c r="H708" t="s">
        <v>398</v>
      </c>
      <c r="I708" t="s">
        <v>399</v>
      </c>
      <c r="J708" t="s">
        <v>749</v>
      </c>
      <c r="K708" t="s">
        <v>809</v>
      </c>
      <c r="L708" t="s">
        <v>787</v>
      </c>
      <c r="M708" t="s">
        <v>403</v>
      </c>
      <c r="N708">
        <v>1</v>
      </c>
      <c r="O708">
        <v>3</v>
      </c>
      <c r="P708" t="s">
        <v>1069</v>
      </c>
      <c r="Q708" t="s">
        <v>424</v>
      </c>
      <c r="R708" t="s">
        <v>811</v>
      </c>
      <c r="S708" t="s">
        <v>1070</v>
      </c>
      <c r="T708" t="s">
        <v>408</v>
      </c>
      <c r="U708">
        <v>50950081202</v>
      </c>
      <c r="W708">
        <v>480</v>
      </c>
      <c r="X708" t="s">
        <v>409</v>
      </c>
      <c r="Y708" t="s">
        <v>410</v>
      </c>
      <c r="Z708" t="s">
        <v>410</v>
      </c>
      <c r="AA708" t="s">
        <v>411</v>
      </c>
      <c r="AB708" t="s">
        <v>554</v>
      </c>
      <c r="AC708" t="s">
        <v>411</v>
      </c>
      <c r="AD708">
        <v>46102</v>
      </c>
      <c r="AE708">
        <v>46153</v>
      </c>
      <c r="AF708">
        <v>46113</v>
      </c>
      <c r="AG708" t="s">
        <v>754</v>
      </c>
      <c r="AH708">
        <v>6161912</v>
      </c>
      <c r="AI708">
        <v>46108</v>
      </c>
      <c r="AJ708">
        <v>46109</v>
      </c>
      <c r="AK708">
        <v>480</v>
      </c>
      <c r="AL708" t="s">
        <v>396</v>
      </c>
      <c r="AM708" t="s">
        <v>2500</v>
      </c>
      <c r="AN708">
        <v>46109</v>
      </c>
      <c r="AO708">
        <v>46109.368206018517</v>
      </c>
      <c r="AP708" t="s">
        <v>51</v>
      </c>
      <c r="AQ708">
        <v>2.3610099999999998</v>
      </c>
      <c r="AR708">
        <v>1133.28</v>
      </c>
      <c r="AS708" t="s">
        <v>51</v>
      </c>
      <c r="AT708">
        <v>1133.28</v>
      </c>
      <c r="AU708" t="s">
        <v>415</v>
      </c>
      <c r="AV708" t="s">
        <v>557</v>
      </c>
      <c r="AW708" t="s">
        <v>2492</v>
      </c>
      <c r="AX708">
        <v>46113</v>
      </c>
      <c r="AY708">
        <v>46162</v>
      </c>
      <c r="AZ708" t="s">
        <v>2493</v>
      </c>
      <c r="BA708" t="s">
        <v>560</v>
      </c>
      <c r="BB708" t="s">
        <v>2494</v>
      </c>
      <c r="BC708">
        <v>16</v>
      </c>
      <c r="BD708" t="s">
        <v>521</v>
      </c>
      <c r="BE708">
        <v>6.3334000000000001</v>
      </c>
      <c r="BF708">
        <v>5.1344000000000003</v>
      </c>
      <c r="BG708" t="s">
        <v>522</v>
      </c>
      <c r="BH708">
        <v>495</v>
      </c>
      <c r="BI708">
        <v>395</v>
      </c>
      <c r="BJ708">
        <v>190</v>
      </c>
      <c r="BK708">
        <v>30</v>
      </c>
      <c r="BL708" t="s">
        <v>521</v>
      </c>
      <c r="BM708">
        <v>217.00200000000001</v>
      </c>
      <c r="BN708">
        <v>154.03200000000001</v>
      </c>
      <c r="BO708">
        <v>217.00200000000001</v>
      </c>
      <c r="BP708" t="s">
        <v>522</v>
      </c>
      <c r="BQ708">
        <v>1200</v>
      </c>
      <c r="BR708">
        <v>1000</v>
      </c>
      <c r="BS708">
        <v>1120</v>
      </c>
      <c r="BT708">
        <v>1</v>
      </c>
      <c r="BU708">
        <v>0</v>
      </c>
      <c r="BV708">
        <v>1</v>
      </c>
      <c r="BW708">
        <v>30</v>
      </c>
      <c r="BX708">
        <v>0</v>
      </c>
      <c r="BY708">
        <v>30</v>
      </c>
      <c r="BZ708">
        <v>480</v>
      </c>
      <c r="CA708">
        <v>0</v>
      </c>
      <c r="CB708">
        <v>480</v>
      </c>
      <c r="CC708">
        <v>154.03200000000001</v>
      </c>
      <c r="CD708" t="s">
        <v>806</v>
      </c>
      <c r="CE708" t="s">
        <v>816</v>
      </c>
      <c r="CG708" t="s">
        <v>421</v>
      </c>
      <c r="CN708" t="str">
        <v>M01</v>
      </c>
      <c r="CO708" t="str">
        <v>1301-1030478EN</v>
      </c>
      <c r="CP708" t="str">
        <v>OOCU8204341</v>
      </c>
      <c r="CQ708" s="23">
        <v>719.84</v>
      </c>
      <c r="CR708" s="25">
        <f t="shared" si="28"/>
        <v>3.7596230556297537E-2</v>
      </c>
      <c r="CS708" s="21">
        <f t="shared" si="29"/>
        <v>93.99057639074384</v>
      </c>
    </row>
    <row r="709" spans="2:97" x14ac:dyDescent="0.35">
      <c r="B709" t="s">
        <v>299</v>
      </c>
      <c r="C709" t="s">
        <v>2073</v>
      </c>
      <c r="D709" t="s">
        <v>395</v>
      </c>
      <c r="E709" t="s">
        <v>395</v>
      </c>
      <c r="F709" t="s">
        <v>396</v>
      </c>
      <c r="G709" t="s">
        <v>397</v>
      </c>
      <c r="H709" t="s">
        <v>398</v>
      </c>
      <c r="I709" t="s">
        <v>399</v>
      </c>
      <c r="J709" t="s">
        <v>749</v>
      </c>
      <c r="K709" t="s">
        <v>809</v>
      </c>
      <c r="L709" t="s">
        <v>787</v>
      </c>
      <c r="M709" t="s">
        <v>403</v>
      </c>
      <c r="N709">
        <v>1</v>
      </c>
      <c r="O709">
        <v>2</v>
      </c>
      <c r="P709" t="s">
        <v>892</v>
      </c>
      <c r="Q709" t="s">
        <v>424</v>
      </c>
      <c r="R709" t="s">
        <v>811</v>
      </c>
      <c r="S709" t="s">
        <v>893</v>
      </c>
      <c r="T709" t="s">
        <v>408</v>
      </c>
      <c r="U709">
        <v>50950081285</v>
      </c>
      <c r="W709">
        <v>1440</v>
      </c>
      <c r="X709" t="s">
        <v>409</v>
      </c>
      <c r="Y709" t="s">
        <v>410</v>
      </c>
      <c r="Z709" t="s">
        <v>410</v>
      </c>
      <c r="AA709" t="s">
        <v>411</v>
      </c>
      <c r="AB709" t="s">
        <v>554</v>
      </c>
      <c r="AC709" t="s">
        <v>411</v>
      </c>
      <c r="AD709">
        <v>46102</v>
      </c>
      <c r="AE709">
        <v>46160</v>
      </c>
      <c r="AF709">
        <v>46113</v>
      </c>
      <c r="AG709" t="s">
        <v>754</v>
      </c>
      <c r="AH709">
        <v>6161913</v>
      </c>
      <c r="AI709">
        <v>46108</v>
      </c>
      <c r="AJ709">
        <v>46109</v>
      </c>
      <c r="AK709">
        <v>1440</v>
      </c>
      <c r="AL709" t="s">
        <v>396</v>
      </c>
      <c r="AM709" t="s">
        <v>2501</v>
      </c>
      <c r="AN709">
        <v>46109</v>
      </c>
      <c r="AO709">
        <v>46109.368206018517</v>
      </c>
      <c r="AP709" t="s">
        <v>51</v>
      </c>
      <c r="AQ709">
        <v>1.0937699999999999</v>
      </c>
      <c r="AR709">
        <v>1575.03</v>
      </c>
      <c r="AS709" t="s">
        <v>51</v>
      </c>
      <c r="AT709">
        <v>1575.03</v>
      </c>
      <c r="AU709" t="s">
        <v>415</v>
      </c>
      <c r="AV709" t="s">
        <v>557</v>
      </c>
      <c r="AW709" t="s">
        <v>2492</v>
      </c>
      <c r="AX709">
        <v>46113</v>
      </c>
      <c r="AY709">
        <v>46162</v>
      </c>
      <c r="AZ709" t="s">
        <v>2493</v>
      </c>
      <c r="BA709" t="s">
        <v>560</v>
      </c>
      <c r="BB709" t="s">
        <v>2494</v>
      </c>
      <c r="BC709">
        <v>48</v>
      </c>
      <c r="BD709" t="s">
        <v>521</v>
      </c>
      <c r="BE709">
        <v>7.6664000000000003</v>
      </c>
      <c r="BF709">
        <v>6.2064000000000004</v>
      </c>
      <c r="BG709" t="s">
        <v>522</v>
      </c>
      <c r="BH709">
        <v>495</v>
      </c>
      <c r="BI709">
        <v>395</v>
      </c>
      <c r="BJ709">
        <v>190</v>
      </c>
      <c r="BK709">
        <v>30</v>
      </c>
      <c r="BL709" t="s">
        <v>521</v>
      </c>
      <c r="BM709">
        <v>256.99200000000002</v>
      </c>
      <c r="BN709">
        <v>186.19200000000001</v>
      </c>
      <c r="BO709">
        <v>256.99200000000002</v>
      </c>
      <c r="BP709" t="s">
        <v>522</v>
      </c>
      <c r="BQ709">
        <v>1200</v>
      </c>
      <c r="BR709">
        <v>1000</v>
      </c>
      <c r="BS709">
        <v>1120</v>
      </c>
      <c r="BT709">
        <v>1</v>
      </c>
      <c r="BU709">
        <v>0</v>
      </c>
      <c r="BV709">
        <v>1</v>
      </c>
      <c r="BW709">
        <v>30</v>
      </c>
      <c r="BX709">
        <v>0</v>
      </c>
      <c r="BY709">
        <v>30</v>
      </c>
      <c r="BZ709">
        <v>1440</v>
      </c>
      <c r="CA709">
        <v>0</v>
      </c>
      <c r="CB709">
        <v>1440</v>
      </c>
      <c r="CC709">
        <v>186.19200000000001</v>
      </c>
      <c r="CD709" t="s">
        <v>806</v>
      </c>
      <c r="CE709" t="s">
        <v>821</v>
      </c>
      <c r="CG709" t="s">
        <v>421</v>
      </c>
      <c r="CN709" t="str">
        <v>M45</v>
      </c>
      <c r="CO709" t="str">
        <v>1484-12C0010EN</v>
      </c>
      <c r="CP709" t="str">
        <v>OOCU8204341</v>
      </c>
      <c r="CQ709" s="23">
        <v>76.475999999999999</v>
      </c>
      <c r="CR709" s="25">
        <f t="shared" si="28"/>
        <v>3.9942338964539491E-3</v>
      </c>
      <c r="CS709" s="21">
        <f t="shared" si="29"/>
        <v>9.9855847411348719</v>
      </c>
    </row>
    <row r="710" spans="2:97" x14ac:dyDescent="0.35">
      <c r="B710" t="s">
        <v>299</v>
      </c>
      <c r="C710" t="s">
        <v>2353</v>
      </c>
      <c r="D710" t="s">
        <v>395</v>
      </c>
      <c r="E710" t="s">
        <v>395</v>
      </c>
      <c r="F710" t="s">
        <v>396</v>
      </c>
      <c r="G710" t="s">
        <v>397</v>
      </c>
      <c r="H710" t="s">
        <v>398</v>
      </c>
      <c r="I710" t="s">
        <v>399</v>
      </c>
      <c r="J710" t="s">
        <v>749</v>
      </c>
      <c r="K710" t="s">
        <v>845</v>
      </c>
      <c r="L710" t="s">
        <v>787</v>
      </c>
      <c r="M710" t="s">
        <v>403</v>
      </c>
      <c r="N710">
        <v>1</v>
      </c>
      <c r="O710">
        <v>5</v>
      </c>
      <c r="P710" t="s">
        <v>853</v>
      </c>
      <c r="Q710" t="s">
        <v>789</v>
      </c>
      <c r="R710" t="s">
        <v>847</v>
      </c>
      <c r="S710" t="s">
        <v>854</v>
      </c>
      <c r="T710" t="s">
        <v>408</v>
      </c>
      <c r="U710">
        <v>50950081250</v>
      </c>
      <c r="W710">
        <v>1188</v>
      </c>
      <c r="X710" t="s">
        <v>409</v>
      </c>
      <c r="Y710" t="s">
        <v>410</v>
      </c>
      <c r="Z710" t="s">
        <v>410</v>
      </c>
      <c r="AA710" t="s">
        <v>411</v>
      </c>
      <c r="AB710" t="s">
        <v>554</v>
      </c>
      <c r="AC710" t="s">
        <v>411</v>
      </c>
      <c r="AD710">
        <v>46102</v>
      </c>
      <c r="AE710">
        <v>46160</v>
      </c>
      <c r="AF710">
        <v>46113</v>
      </c>
      <c r="AG710" t="s">
        <v>754</v>
      </c>
      <c r="AH710">
        <v>6161914</v>
      </c>
      <c r="AI710">
        <v>46108</v>
      </c>
      <c r="AJ710">
        <v>46109</v>
      </c>
      <c r="AK710">
        <v>1188</v>
      </c>
      <c r="AL710" t="s">
        <v>396</v>
      </c>
      <c r="AM710" t="s">
        <v>2502</v>
      </c>
      <c r="AN710">
        <v>46109</v>
      </c>
      <c r="AO710">
        <v>46109.368206018517</v>
      </c>
      <c r="AP710" t="s">
        <v>51</v>
      </c>
      <c r="AQ710">
        <v>1.00054</v>
      </c>
      <c r="AR710">
        <v>1188.6400000000001</v>
      </c>
      <c r="AS710" t="s">
        <v>51</v>
      </c>
      <c r="AT710">
        <v>1188.6400000000001</v>
      </c>
      <c r="AU710" t="s">
        <v>415</v>
      </c>
      <c r="AV710" t="s">
        <v>557</v>
      </c>
      <c r="AW710" t="s">
        <v>2492</v>
      </c>
      <c r="AX710">
        <v>46113</v>
      </c>
      <c r="AY710">
        <v>46162</v>
      </c>
      <c r="AZ710" t="s">
        <v>2493</v>
      </c>
      <c r="BA710" t="s">
        <v>560</v>
      </c>
      <c r="BB710" t="s">
        <v>2494</v>
      </c>
      <c r="BC710">
        <v>33</v>
      </c>
      <c r="BD710" t="s">
        <v>521</v>
      </c>
      <c r="BE710">
        <v>12.9557</v>
      </c>
      <c r="BF710">
        <v>12.005699999999999</v>
      </c>
      <c r="BG710" t="s">
        <v>522</v>
      </c>
      <c r="BH710">
        <v>495</v>
      </c>
      <c r="BI710">
        <v>395</v>
      </c>
      <c r="BJ710">
        <v>150</v>
      </c>
      <c r="BK710">
        <v>36</v>
      </c>
      <c r="BL710" t="s">
        <v>521</v>
      </c>
      <c r="BM710">
        <v>493.40627999999998</v>
      </c>
      <c r="BN710">
        <v>432.20627999999999</v>
      </c>
      <c r="BO710">
        <v>493.40627999999998</v>
      </c>
      <c r="BP710" t="s">
        <v>522</v>
      </c>
      <c r="BQ710">
        <v>1200</v>
      </c>
      <c r="BR710">
        <v>1000</v>
      </c>
      <c r="BS710">
        <v>1053</v>
      </c>
      <c r="BT710">
        <v>1</v>
      </c>
      <c r="BU710">
        <v>0</v>
      </c>
      <c r="BV710">
        <v>1</v>
      </c>
      <c r="BW710">
        <v>36</v>
      </c>
      <c r="BX710">
        <v>0</v>
      </c>
      <c r="BY710">
        <v>36</v>
      </c>
      <c r="BZ710">
        <v>1188</v>
      </c>
      <c r="CA710">
        <v>0</v>
      </c>
      <c r="CB710">
        <v>1188</v>
      </c>
      <c r="CC710">
        <v>432.20627999999999</v>
      </c>
      <c r="CD710" t="s">
        <v>856</v>
      </c>
      <c r="CE710" t="s">
        <v>857</v>
      </c>
      <c r="CG710" t="s">
        <v>421</v>
      </c>
      <c r="CN710" t="str">
        <v>M19</v>
      </c>
      <c r="CO710" t="str">
        <v>1275-5YY0687EN</v>
      </c>
      <c r="CP710" t="str">
        <v>OOCU9018737</v>
      </c>
      <c r="CQ710" s="23">
        <v>324.32159999999999</v>
      </c>
      <c r="CR710" s="25">
        <f t="shared" ref="CR710:CR773" si="30">IFERROR(CQ710/(SUMIFS(CQ:CQ,CP:CP,CP710)),100%)</f>
        <v>3.4719799093426332E-2</v>
      </c>
      <c r="CS710" s="21">
        <f t="shared" si="29"/>
        <v>86.799497733565829</v>
      </c>
    </row>
    <row r="711" spans="2:97" x14ac:dyDescent="0.35">
      <c r="B711" t="s">
        <v>297</v>
      </c>
      <c r="C711" t="s">
        <v>2472</v>
      </c>
      <c r="D711" t="s">
        <v>395</v>
      </c>
      <c r="E711" t="s">
        <v>395</v>
      </c>
      <c r="F711" t="s">
        <v>396</v>
      </c>
      <c r="G711" t="s">
        <v>397</v>
      </c>
      <c r="H711" t="s">
        <v>398</v>
      </c>
      <c r="I711" t="s">
        <v>399</v>
      </c>
      <c r="J711" t="s">
        <v>749</v>
      </c>
      <c r="K711" t="s">
        <v>1142</v>
      </c>
      <c r="L711" t="s">
        <v>787</v>
      </c>
      <c r="M711" t="s">
        <v>403</v>
      </c>
      <c r="N711">
        <v>1</v>
      </c>
      <c r="O711">
        <v>1</v>
      </c>
      <c r="P711" t="s">
        <v>1383</v>
      </c>
      <c r="Q711" t="s">
        <v>430</v>
      </c>
      <c r="R711" t="s">
        <v>1384</v>
      </c>
      <c r="S711" t="s">
        <v>1385</v>
      </c>
      <c r="T711" t="s">
        <v>408</v>
      </c>
      <c r="U711">
        <v>50950081373</v>
      </c>
      <c r="W711">
        <v>2280000</v>
      </c>
      <c r="X711" t="s">
        <v>409</v>
      </c>
      <c r="Y711" t="s">
        <v>410</v>
      </c>
      <c r="Z711" t="s">
        <v>410</v>
      </c>
      <c r="AA711" t="s">
        <v>411</v>
      </c>
      <c r="AB711" t="s">
        <v>554</v>
      </c>
      <c r="AC711" t="s">
        <v>411</v>
      </c>
      <c r="AD711">
        <v>46107</v>
      </c>
      <c r="AE711">
        <v>46118</v>
      </c>
      <c r="AF711">
        <v>46113</v>
      </c>
      <c r="AG711" t="s">
        <v>754</v>
      </c>
      <c r="AH711">
        <v>6161915</v>
      </c>
      <c r="AI711">
        <v>46108</v>
      </c>
      <c r="AJ711">
        <v>46109</v>
      </c>
      <c r="AK711">
        <v>2280000</v>
      </c>
      <c r="AL711" t="s">
        <v>396</v>
      </c>
      <c r="AM711" t="s">
        <v>2503</v>
      </c>
      <c r="AN711">
        <v>46109</v>
      </c>
      <c r="AO711">
        <v>46109.368206018517</v>
      </c>
      <c r="AP711" t="s">
        <v>51</v>
      </c>
      <c r="AQ711">
        <v>1.17E-3</v>
      </c>
      <c r="AR711">
        <v>2667.6</v>
      </c>
      <c r="AS711" t="s">
        <v>51</v>
      </c>
      <c r="AT711">
        <v>2667.6</v>
      </c>
      <c r="AU711" t="s">
        <v>415</v>
      </c>
      <c r="AV711" t="s">
        <v>557</v>
      </c>
      <c r="AW711" t="s">
        <v>2492</v>
      </c>
      <c r="AX711">
        <v>46113</v>
      </c>
      <c r="AY711">
        <v>46162</v>
      </c>
      <c r="AZ711" t="s">
        <v>2493</v>
      </c>
      <c r="BA711" t="s">
        <v>560</v>
      </c>
      <c r="BB711" t="s">
        <v>2494</v>
      </c>
      <c r="BC711">
        <v>760000</v>
      </c>
      <c r="BD711" t="s">
        <v>521</v>
      </c>
      <c r="BE711">
        <v>382.68</v>
      </c>
      <c r="BF711">
        <v>317.68</v>
      </c>
      <c r="BG711" t="s">
        <v>522</v>
      </c>
      <c r="BH711">
        <v>1050</v>
      </c>
      <c r="BI711">
        <v>480</v>
      </c>
      <c r="BJ711">
        <v>460</v>
      </c>
      <c r="BK711">
        <v>1</v>
      </c>
      <c r="BL711" t="s">
        <v>521</v>
      </c>
      <c r="BM711">
        <v>399.08</v>
      </c>
      <c r="BN711">
        <v>317.68</v>
      </c>
      <c r="BO711">
        <v>1197.24</v>
      </c>
      <c r="BP711" t="s">
        <v>522</v>
      </c>
      <c r="BQ711">
        <v>1050</v>
      </c>
      <c r="BR711">
        <v>480</v>
      </c>
      <c r="BS711">
        <v>480</v>
      </c>
      <c r="BT711">
        <v>3</v>
      </c>
      <c r="BU711">
        <v>0</v>
      </c>
      <c r="BV711">
        <v>3</v>
      </c>
      <c r="BW711">
        <v>3</v>
      </c>
      <c r="BX711">
        <v>0</v>
      </c>
      <c r="BY711">
        <v>3</v>
      </c>
      <c r="BZ711">
        <v>2280000</v>
      </c>
      <c r="CA711">
        <v>0</v>
      </c>
      <c r="CB711">
        <v>2280000</v>
      </c>
      <c r="CC711">
        <v>953.04</v>
      </c>
      <c r="CD711" t="s">
        <v>1387</v>
      </c>
      <c r="CE711" t="s">
        <v>1388</v>
      </c>
      <c r="CG711" t="s">
        <v>421</v>
      </c>
      <c r="CN711" t="str">
        <v>M19</v>
      </c>
      <c r="CO711" t="str">
        <v>1275-5YY0685EN</v>
      </c>
      <c r="CP711" t="str">
        <v>OOCU9018737</v>
      </c>
      <c r="CQ711" s="23">
        <v>104.008</v>
      </c>
      <c r="CR711" s="25">
        <f t="shared" si="30"/>
        <v>1.1134432193566773E-2</v>
      </c>
      <c r="CS711" s="21">
        <f t="shared" ref="CS711:CS774" si="31">CR711*$CS$2</f>
        <v>27.836080483916934</v>
      </c>
    </row>
    <row r="712" spans="2:97" x14ac:dyDescent="0.35">
      <c r="B712" t="s">
        <v>296</v>
      </c>
      <c r="C712" t="s">
        <v>2077</v>
      </c>
      <c r="D712" t="s">
        <v>395</v>
      </c>
      <c r="E712" t="s">
        <v>395</v>
      </c>
      <c r="F712" t="s">
        <v>396</v>
      </c>
      <c r="G712" t="s">
        <v>397</v>
      </c>
      <c r="H712" t="s">
        <v>398</v>
      </c>
      <c r="I712" t="s">
        <v>399</v>
      </c>
      <c r="J712" t="s">
        <v>749</v>
      </c>
      <c r="K712" t="s">
        <v>629</v>
      </c>
      <c r="L712" t="s">
        <v>787</v>
      </c>
      <c r="M712" t="s">
        <v>403</v>
      </c>
      <c r="N712">
        <v>1</v>
      </c>
      <c r="O712">
        <v>3</v>
      </c>
      <c r="P712" t="s">
        <v>1482</v>
      </c>
      <c r="Q712" t="s">
        <v>934</v>
      </c>
      <c r="R712" t="s">
        <v>1483</v>
      </c>
      <c r="S712" t="s">
        <v>1484</v>
      </c>
      <c r="T712" t="s">
        <v>408</v>
      </c>
      <c r="U712">
        <v>50950081464</v>
      </c>
      <c r="W712">
        <v>2880</v>
      </c>
      <c r="X712" t="s">
        <v>409</v>
      </c>
      <c r="Y712" t="s">
        <v>410</v>
      </c>
      <c r="Z712" t="s">
        <v>410</v>
      </c>
      <c r="AA712" t="s">
        <v>411</v>
      </c>
      <c r="AB712" t="s">
        <v>554</v>
      </c>
      <c r="AC712" t="s">
        <v>411</v>
      </c>
      <c r="AD712">
        <v>46102</v>
      </c>
      <c r="AE712">
        <v>46160</v>
      </c>
      <c r="AF712">
        <v>46113</v>
      </c>
      <c r="AG712" t="s">
        <v>754</v>
      </c>
      <c r="AH712">
        <v>6161916</v>
      </c>
      <c r="AI712">
        <v>46108</v>
      </c>
      <c r="AJ712">
        <v>46109</v>
      </c>
      <c r="AK712">
        <v>2880</v>
      </c>
      <c r="AL712" t="s">
        <v>396</v>
      </c>
      <c r="AM712" t="s">
        <v>2504</v>
      </c>
      <c r="AN712">
        <v>46109</v>
      </c>
      <c r="AO712">
        <v>46109.368206018517</v>
      </c>
      <c r="AP712" t="s">
        <v>51</v>
      </c>
      <c r="AQ712">
        <v>0.38090000000000002</v>
      </c>
      <c r="AR712">
        <v>1097</v>
      </c>
      <c r="AS712" t="s">
        <v>51</v>
      </c>
      <c r="AT712">
        <v>1097</v>
      </c>
      <c r="AU712" t="s">
        <v>415</v>
      </c>
      <c r="AV712" t="s">
        <v>557</v>
      </c>
      <c r="AW712" t="s">
        <v>2492</v>
      </c>
      <c r="AX712">
        <v>46113</v>
      </c>
      <c r="AY712">
        <v>46162</v>
      </c>
      <c r="AZ712" t="s">
        <v>2493</v>
      </c>
      <c r="BA712" t="s">
        <v>560</v>
      </c>
      <c r="BB712" t="s">
        <v>2494</v>
      </c>
      <c r="BC712">
        <v>120</v>
      </c>
      <c r="BD712" t="s">
        <v>521</v>
      </c>
      <c r="BE712">
        <v>10.095499999999999</v>
      </c>
      <c r="BF712">
        <v>8.5655000000000001</v>
      </c>
      <c r="BG712" t="s">
        <v>522</v>
      </c>
      <c r="BH712">
        <v>595</v>
      </c>
      <c r="BI712">
        <v>495</v>
      </c>
      <c r="BJ712">
        <v>310</v>
      </c>
      <c r="BK712">
        <v>12</v>
      </c>
      <c r="BL712" t="s">
        <v>521</v>
      </c>
      <c r="BM712">
        <v>148.14599999999999</v>
      </c>
      <c r="BN712">
        <v>102.786</v>
      </c>
      <c r="BO712">
        <v>296.29151999999999</v>
      </c>
      <c r="BP712" t="s">
        <v>522</v>
      </c>
      <c r="BQ712">
        <v>1200</v>
      </c>
      <c r="BR712">
        <v>1000</v>
      </c>
      <c r="BS712">
        <v>1088</v>
      </c>
      <c r="BT712">
        <v>2</v>
      </c>
      <c r="BU712">
        <v>0</v>
      </c>
      <c r="BV712">
        <v>2</v>
      </c>
      <c r="BW712">
        <v>24</v>
      </c>
      <c r="BX712">
        <v>0</v>
      </c>
      <c r="BY712">
        <v>24</v>
      </c>
      <c r="BZ712">
        <v>2880</v>
      </c>
      <c r="CA712">
        <v>0</v>
      </c>
      <c r="CB712">
        <v>2880</v>
      </c>
      <c r="CC712">
        <v>205.57151999999999</v>
      </c>
      <c r="CD712" t="s">
        <v>842</v>
      </c>
      <c r="CE712" t="s">
        <v>843</v>
      </c>
      <c r="CG712" t="s">
        <v>421</v>
      </c>
      <c r="CN712" t="str">
        <v>M19</v>
      </c>
      <c r="CO712" t="str">
        <v>1275-5YY0685EN</v>
      </c>
      <c r="CP712" t="str">
        <v>OOCU9018737</v>
      </c>
      <c r="CQ712" s="23">
        <v>520.04</v>
      </c>
      <c r="CR712" s="25">
        <f t="shared" si="30"/>
        <v>5.5672160967833867E-2</v>
      </c>
      <c r="CS712" s="21">
        <f t="shared" si="31"/>
        <v>139.18040241958468</v>
      </c>
    </row>
    <row r="713" spans="2:97" x14ac:dyDescent="0.35">
      <c r="B713" t="s">
        <v>296</v>
      </c>
      <c r="C713" t="s">
        <v>2505</v>
      </c>
      <c r="D713" t="s">
        <v>395</v>
      </c>
      <c r="E713" t="s">
        <v>395</v>
      </c>
      <c r="F713" t="s">
        <v>396</v>
      </c>
      <c r="G713" t="s">
        <v>397</v>
      </c>
      <c r="H713" t="s">
        <v>398</v>
      </c>
      <c r="I713" t="s">
        <v>399</v>
      </c>
      <c r="J713" t="s">
        <v>749</v>
      </c>
      <c r="K713" t="s">
        <v>845</v>
      </c>
      <c r="L713" t="s">
        <v>787</v>
      </c>
      <c r="M713" t="s">
        <v>403</v>
      </c>
      <c r="N713">
        <v>1</v>
      </c>
      <c r="O713">
        <v>1</v>
      </c>
      <c r="P713" t="s">
        <v>1560</v>
      </c>
      <c r="Q713" t="s">
        <v>430</v>
      </c>
      <c r="R713" t="s">
        <v>1561</v>
      </c>
      <c r="S713" t="s">
        <v>1562</v>
      </c>
      <c r="T713" t="s">
        <v>408</v>
      </c>
      <c r="U713">
        <v>50950081468</v>
      </c>
      <c r="W713">
        <v>40000</v>
      </c>
      <c r="X713" t="s">
        <v>409</v>
      </c>
      <c r="Y713" t="s">
        <v>410</v>
      </c>
      <c r="Z713" t="s">
        <v>410</v>
      </c>
      <c r="AA713" t="s">
        <v>411</v>
      </c>
      <c r="AB713" t="s">
        <v>554</v>
      </c>
      <c r="AC713" t="s">
        <v>411</v>
      </c>
      <c r="AD713">
        <v>46105</v>
      </c>
      <c r="AE713">
        <v>46146</v>
      </c>
      <c r="AF713">
        <v>46113</v>
      </c>
      <c r="AG713" t="s">
        <v>754</v>
      </c>
      <c r="AH713">
        <v>6161917</v>
      </c>
      <c r="AI713">
        <v>46108</v>
      </c>
      <c r="AJ713">
        <v>46109</v>
      </c>
      <c r="AK713">
        <v>40000</v>
      </c>
      <c r="AL713" t="s">
        <v>396</v>
      </c>
      <c r="AM713" t="s">
        <v>2506</v>
      </c>
      <c r="AN713">
        <v>46109</v>
      </c>
      <c r="AO713">
        <v>46109.368206018517</v>
      </c>
      <c r="AP713" t="s">
        <v>51</v>
      </c>
      <c r="AQ713">
        <v>2.3949999999999999E-2</v>
      </c>
      <c r="AR713">
        <v>958</v>
      </c>
      <c r="AS713" t="s">
        <v>51</v>
      </c>
      <c r="AT713">
        <v>958</v>
      </c>
      <c r="AU713" t="s">
        <v>415</v>
      </c>
      <c r="AV713" t="s">
        <v>557</v>
      </c>
      <c r="AW713" t="s">
        <v>2492</v>
      </c>
      <c r="AX713">
        <v>46113</v>
      </c>
      <c r="AY713">
        <v>46162</v>
      </c>
      <c r="AZ713" t="s">
        <v>2493</v>
      </c>
      <c r="BA713" t="s">
        <v>560</v>
      </c>
      <c r="BB713" t="s">
        <v>2494</v>
      </c>
      <c r="BC713">
        <v>12000</v>
      </c>
      <c r="BD713" t="s">
        <v>521</v>
      </c>
      <c r="BE713">
        <v>10.135</v>
      </c>
      <c r="BF713">
        <v>9.48</v>
      </c>
      <c r="BG713" t="s">
        <v>522</v>
      </c>
      <c r="BH713">
        <v>368</v>
      </c>
      <c r="BI713">
        <v>257</v>
      </c>
      <c r="BJ713">
        <v>136</v>
      </c>
      <c r="BK713">
        <v>6</v>
      </c>
      <c r="BL713" t="s">
        <v>521</v>
      </c>
      <c r="BM713">
        <v>42.22</v>
      </c>
      <c r="BN713">
        <v>31.6</v>
      </c>
      <c r="BO713">
        <v>42.22</v>
      </c>
      <c r="BP713" t="s">
        <v>522</v>
      </c>
      <c r="BQ713">
        <v>800</v>
      </c>
      <c r="BR713">
        <v>300</v>
      </c>
      <c r="BS713">
        <v>565</v>
      </c>
      <c r="BT713">
        <v>0</v>
      </c>
      <c r="BU713">
        <v>1</v>
      </c>
      <c r="BV713">
        <v>1</v>
      </c>
      <c r="BW713">
        <v>3</v>
      </c>
      <c r="BX713">
        <v>1</v>
      </c>
      <c r="BY713">
        <v>4</v>
      </c>
      <c r="BZ713">
        <v>0</v>
      </c>
      <c r="CA713">
        <v>40000</v>
      </c>
      <c r="CB713">
        <v>40000</v>
      </c>
      <c r="CC713">
        <v>31.6</v>
      </c>
      <c r="CD713" t="s">
        <v>1564</v>
      </c>
      <c r="CE713" t="s">
        <v>1565</v>
      </c>
      <c r="CG713" t="s">
        <v>421</v>
      </c>
      <c r="CN713" t="str">
        <v>M19</v>
      </c>
      <c r="CO713" t="str">
        <v>1606-5YY5022EN</v>
      </c>
      <c r="CP713" t="str">
        <v>OOCU9018737</v>
      </c>
      <c r="CQ713" s="23">
        <v>917.86800000000005</v>
      </c>
      <c r="CR713" s="25">
        <f t="shared" si="30"/>
        <v>9.8261085768832662E-2</v>
      </c>
      <c r="CS713" s="21">
        <f t="shared" si="31"/>
        <v>245.65271442208166</v>
      </c>
    </row>
    <row r="714" spans="2:97" x14ac:dyDescent="0.35">
      <c r="B714" t="s">
        <v>296</v>
      </c>
      <c r="C714" t="s">
        <v>1652</v>
      </c>
      <c r="D714" t="s">
        <v>395</v>
      </c>
      <c r="E714" t="s">
        <v>395</v>
      </c>
      <c r="F714" t="s">
        <v>396</v>
      </c>
      <c r="G714" t="s">
        <v>397</v>
      </c>
      <c r="H714" t="s">
        <v>398</v>
      </c>
      <c r="I714" t="s">
        <v>399</v>
      </c>
      <c r="J714" t="s">
        <v>749</v>
      </c>
      <c r="K714" t="s">
        <v>1142</v>
      </c>
      <c r="L714" t="s">
        <v>787</v>
      </c>
      <c r="M714" t="s">
        <v>403</v>
      </c>
      <c r="N714">
        <v>3</v>
      </c>
      <c r="O714">
        <v>1</v>
      </c>
      <c r="P714" t="s">
        <v>1653</v>
      </c>
      <c r="Q714" t="s">
        <v>430</v>
      </c>
      <c r="R714" t="s">
        <v>1654</v>
      </c>
      <c r="S714" t="s">
        <v>1655</v>
      </c>
      <c r="T714" t="s">
        <v>408</v>
      </c>
      <c r="U714">
        <v>50950081518</v>
      </c>
      <c r="W714">
        <v>18000</v>
      </c>
      <c r="X714" t="s">
        <v>409</v>
      </c>
      <c r="Y714" t="s">
        <v>410</v>
      </c>
      <c r="Z714" t="s">
        <v>410</v>
      </c>
      <c r="AA714" t="s">
        <v>411</v>
      </c>
      <c r="AB714" t="s">
        <v>554</v>
      </c>
      <c r="AC714" t="s">
        <v>411</v>
      </c>
      <c r="AD714">
        <v>46111</v>
      </c>
      <c r="AE714">
        <v>46160</v>
      </c>
      <c r="AF714">
        <v>46113</v>
      </c>
      <c r="AG714" t="s">
        <v>754</v>
      </c>
      <c r="AH714">
        <v>6161918</v>
      </c>
      <c r="AI714">
        <v>46108</v>
      </c>
      <c r="AJ714">
        <v>46109</v>
      </c>
      <c r="AK714">
        <v>18000</v>
      </c>
      <c r="AL714" t="s">
        <v>396</v>
      </c>
      <c r="AM714" t="s">
        <v>2507</v>
      </c>
      <c r="AN714">
        <v>46109</v>
      </c>
      <c r="AO714">
        <v>46109.368206018517</v>
      </c>
      <c r="AP714" t="s">
        <v>51</v>
      </c>
      <c r="AQ714">
        <v>4.6609999999999999E-2</v>
      </c>
      <c r="AR714">
        <v>838.98</v>
      </c>
      <c r="AS714" t="s">
        <v>51</v>
      </c>
      <c r="AT714">
        <v>838.98</v>
      </c>
      <c r="AU714" t="s">
        <v>415</v>
      </c>
      <c r="AV714" t="s">
        <v>557</v>
      </c>
      <c r="AW714" t="s">
        <v>2492</v>
      </c>
      <c r="AX714">
        <v>46113</v>
      </c>
      <c r="AY714">
        <v>46162</v>
      </c>
      <c r="AZ714" t="s">
        <v>2493</v>
      </c>
      <c r="BA714" t="s">
        <v>560</v>
      </c>
      <c r="BB714" t="s">
        <v>2494</v>
      </c>
      <c r="BC714">
        <v>9000</v>
      </c>
      <c r="BD714" t="s">
        <v>521</v>
      </c>
      <c r="BE714">
        <v>473.2</v>
      </c>
      <c r="BF714">
        <v>452.7</v>
      </c>
      <c r="BG714" t="s">
        <v>522</v>
      </c>
      <c r="BH714">
        <v>1050</v>
      </c>
      <c r="BI714">
        <v>480</v>
      </c>
      <c r="BJ714">
        <v>460</v>
      </c>
      <c r="BK714">
        <v>1</v>
      </c>
      <c r="BL714" t="s">
        <v>521</v>
      </c>
      <c r="BM714">
        <v>473.20010000000002</v>
      </c>
      <c r="BN714">
        <v>452.7</v>
      </c>
      <c r="BO714">
        <v>946.40020000000004</v>
      </c>
      <c r="BP714" t="s">
        <v>522</v>
      </c>
      <c r="BQ714">
        <v>1050</v>
      </c>
      <c r="BR714">
        <v>480</v>
      </c>
      <c r="BS714">
        <v>480</v>
      </c>
      <c r="BT714">
        <v>2</v>
      </c>
      <c r="BU714">
        <v>0</v>
      </c>
      <c r="BV714">
        <v>2</v>
      </c>
      <c r="BW714">
        <v>2</v>
      </c>
      <c r="BX714">
        <v>0</v>
      </c>
      <c r="BY714">
        <v>2</v>
      </c>
      <c r="BZ714">
        <v>18000</v>
      </c>
      <c r="CA714">
        <v>0</v>
      </c>
      <c r="CB714">
        <v>18000</v>
      </c>
      <c r="CC714">
        <v>905.4</v>
      </c>
      <c r="CD714" t="s">
        <v>641</v>
      </c>
      <c r="CE714" t="s">
        <v>1147</v>
      </c>
      <c r="CG714" t="s">
        <v>421</v>
      </c>
      <c r="CN714" t="str">
        <v>M19</v>
      </c>
      <c r="CO714" t="str">
        <v>1606-5YY5024EN</v>
      </c>
      <c r="CP714" t="str">
        <v>OOCU9018737</v>
      </c>
      <c r="CQ714" s="23">
        <v>635.14559999999994</v>
      </c>
      <c r="CR714" s="25">
        <f t="shared" si="30"/>
        <v>6.7994631338380546E-2</v>
      </c>
      <c r="CS714" s="21">
        <f t="shared" si="31"/>
        <v>169.98657834595136</v>
      </c>
    </row>
    <row r="715" spans="2:97" x14ac:dyDescent="0.35">
      <c r="B715" t="s">
        <v>296</v>
      </c>
      <c r="C715" t="s">
        <v>1962</v>
      </c>
      <c r="D715" t="s">
        <v>395</v>
      </c>
      <c r="E715" t="s">
        <v>395</v>
      </c>
      <c r="F715" t="s">
        <v>396</v>
      </c>
      <c r="G715" t="s">
        <v>397</v>
      </c>
      <c r="H715" t="s">
        <v>398</v>
      </c>
      <c r="I715" t="s">
        <v>399</v>
      </c>
      <c r="J715" t="s">
        <v>749</v>
      </c>
      <c r="K715" t="s">
        <v>1142</v>
      </c>
      <c r="L715" t="s">
        <v>787</v>
      </c>
      <c r="M715" t="s">
        <v>403</v>
      </c>
      <c r="N715">
        <v>4</v>
      </c>
      <c r="O715">
        <v>1</v>
      </c>
      <c r="P715" t="s">
        <v>1963</v>
      </c>
      <c r="Q715" t="s">
        <v>424</v>
      </c>
      <c r="R715" t="s">
        <v>1164</v>
      </c>
      <c r="S715" t="s">
        <v>1165</v>
      </c>
      <c r="T715" t="s">
        <v>408</v>
      </c>
      <c r="U715">
        <v>50950081519</v>
      </c>
      <c r="W715">
        <v>18000</v>
      </c>
      <c r="X715" t="s">
        <v>409</v>
      </c>
      <c r="Y715" t="s">
        <v>410</v>
      </c>
      <c r="Z715" t="s">
        <v>410</v>
      </c>
      <c r="AA715" t="s">
        <v>411</v>
      </c>
      <c r="AB715" t="s">
        <v>554</v>
      </c>
      <c r="AC715" t="s">
        <v>411</v>
      </c>
      <c r="AD715">
        <v>46111</v>
      </c>
      <c r="AE715">
        <v>46139</v>
      </c>
      <c r="AF715">
        <v>46113</v>
      </c>
      <c r="AG715" t="s">
        <v>754</v>
      </c>
      <c r="AH715">
        <v>6161919</v>
      </c>
      <c r="AI715">
        <v>46108</v>
      </c>
      <c r="AJ715">
        <v>46109</v>
      </c>
      <c r="AK715">
        <v>18000</v>
      </c>
      <c r="AL715" t="s">
        <v>396</v>
      </c>
      <c r="AM715" t="s">
        <v>2508</v>
      </c>
      <c r="AN715">
        <v>46109</v>
      </c>
      <c r="AO715">
        <v>46109.368206018517</v>
      </c>
      <c r="AP715" t="s">
        <v>51</v>
      </c>
      <c r="AQ715">
        <v>0.25989000000000001</v>
      </c>
      <c r="AR715">
        <v>4678.0200000000004</v>
      </c>
      <c r="AS715" t="s">
        <v>51</v>
      </c>
      <c r="AT715">
        <v>4678.0200000000004</v>
      </c>
      <c r="AU715" t="s">
        <v>415</v>
      </c>
      <c r="AV715" t="s">
        <v>557</v>
      </c>
      <c r="AW715" t="s">
        <v>2492</v>
      </c>
      <c r="AX715">
        <v>46113</v>
      </c>
      <c r="AY715">
        <v>46162</v>
      </c>
      <c r="AZ715" t="s">
        <v>2493</v>
      </c>
      <c r="BA715" t="s">
        <v>560</v>
      </c>
      <c r="BB715" t="s">
        <v>2494</v>
      </c>
      <c r="BC715">
        <v>3000</v>
      </c>
      <c r="BD715" t="s">
        <v>521</v>
      </c>
      <c r="BE715">
        <v>394.3</v>
      </c>
      <c r="BF715">
        <v>373.8</v>
      </c>
      <c r="BG715" t="s">
        <v>522</v>
      </c>
      <c r="BH715">
        <v>1050</v>
      </c>
      <c r="BI715">
        <v>480</v>
      </c>
      <c r="BJ715">
        <v>460</v>
      </c>
      <c r="BK715">
        <v>1</v>
      </c>
      <c r="BL715" t="s">
        <v>521</v>
      </c>
      <c r="BM715">
        <v>394.30009999999999</v>
      </c>
      <c r="BN715">
        <v>373.8</v>
      </c>
      <c r="BO715">
        <v>2365.8006</v>
      </c>
      <c r="BP715" t="s">
        <v>522</v>
      </c>
      <c r="BQ715">
        <v>1050</v>
      </c>
      <c r="BR715">
        <v>480</v>
      </c>
      <c r="BS715">
        <v>480</v>
      </c>
      <c r="BT715">
        <v>6</v>
      </c>
      <c r="BU715">
        <v>0</v>
      </c>
      <c r="BV715">
        <v>6</v>
      </c>
      <c r="BW715">
        <v>6</v>
      </c>
      <c r="BX715">
        <v>0</v>
      </c>
      <c r="BY715">
        <v>6</v>
      </c>
      <c r="BZ715">
        <v>18000</v>
      </c>
      <c r="CA715">
        <v>0</v>
      </c>
      <c r="CB715">
        <v>18000</v>
      </c>
      <c r="CC715">
        <v>2242.8000000000002</v>
      </c>
      <c r="CD715" t="s">
        <v>641</v>
      </c>
      <c r="CE715" t="s">
        <v>1147</v>
      </c>
      <c r="CG715" t="s">
        <v>421</v>
      </c>
      <c r="CN715" t="str">
        <v>M45</v>
      </c>
      <c r="CO715" t="str">
        <v>1301-12C0022EN</v>
      </c>
      <c r="CP715" t="str">
        <v>OOCU9018737</v>
      </c>
      <c r="CQ715" s="23">
        <v>769.52</v>
      </c>
      <c r="CR715" s="25">
        <f t="shared" si="30"/>
        <v>8.2379896369447578E-2</v>
      </c>
      <c r="CS715" s="21">
        <f t="shared" si="31"/>
        <v>205.94974092361895</v>
      </c>
    </row>
    <row r="716" spans="2:97" x14ac:dyDescent="0.35">
      <c r="B716" t="s">
        <v>296</v>
      </c>
      <c r="C716" t="s">
        <v>1568</v>
      </c>
      <c r="D716" t="s">
        <v>395</v>
      </c>
      <c r="E716" t="s">
        <v>395</v>
      </c>
      <c r="F716" t="s">
        <v>396</v>
      </c>
      <c r="G716" t="s">
        <v>397</v>
      </c>
      <c r="H716" t="s">
        <v>398</v>
      </c>
      <c r="I716" t="s">
        <v>399</v>
      </c>
      <c r="J716" t="s">
        <v>749</v>
      </c>
      <c r="K716" t="s">
        <v>1142</v>
      </c>
      <c r="L716" t="s">
        <v>787</v>
      </c>
      <c r="M716" t="s">
        <v>403</v>
      </c>
      <c r="N716">
        <v>2</v>
      </c>
      <c r="O716">
        <v>1</v>
      </c>
      <c r="P716" t="s">
        <v>1143</v>
      </c>
      <c r="Q716" t="s">
        <v>424</v>
      </c>
      <c r="R716" t="s">
        <v>1144</v>
      </c>
      <c r="S716" t="s">
        <v>1145</v>
      </c>
      <c r="T716" t="s">
        <v>408</v>
      </c>
      <c r="U716">
        <v>50950081520</v>
      </c>
      <c r="W716">
        <v>18000</v>
      </c>
      <c r="X716" t="s">
        <v>409</v>
      </c>
      <c r="Y716" t="s">
        <v>410</v>
      </c>
      <c r="Z716" t="s">
        <v>410</v>
      </c>
      <c r="AA716" t="s">
        <v>411</v>
      </c>
      <c r="AB716" t="s">
        <v>554</v>
      </c>
      <c r="AC716" t="s">
        <v>411</v>
      </c>
      <c r="AD716">
        <v>46111</v>
      </c>
      <c r="AE716">
        <v>46139</v>
      </c>
      <c r="AF716">
        <v>46113</v>
      </c>
      <c r="AG716" t="s">
        <v>754</v>
      </c>
      <c r="AH716">
        <v>6161920</v>
      </c>
      <c r="AI716">
        <v>46108</v>
      </c>
      <c r="AJ716">
        <v>46109</v>
      </c>
      <c r="AK716">
        <v>18000</v>
      </c>
      <c r="AL716" t="s">
        <v>396</v>
      </c>
      <c r="AM716" t="s">
        <v>2509</v>
      </c>
      <c r="AN716">
        <v>46109</v>
      </c>
      <c r="AO716">
        <v>46109.368206018517</v>
      </c>
      <c r="AP716" t="s">
        <v>51</v>
      </c>
      <c r="AQ716">
        <v>0.15309</v>
      </c>
      <c r="AR716">
        <v>2755.62</v>
      </c>
      <c r="AS716" t="s">
        <v>51</v>
      </c>
      <c r="AT716">
        <v>2755.62</v>
      </c>
      <c r="AU716" t="s">
        <v>415</v>
      </c>
      <c r="AV716" t="s">
        <v>557</v>
      </c>
      <c r="AW716" t="s">
        <v>2492</v>
      </c>
      <c r="AX716">
        <v>46113</v>
      </c>
      <c r="AY716">
        <v>46162</v>
      </c>
      <c r="AZ716" t="s">
        <v>2493</v>
      </c>
      <c r="BA716" t="s">
        <v>560</v>
      </c>
      <c r="BB716" t="s">
        <v>2494</v>
      </c>
      <c r="BC716">
        <v>9000</v>
      </c>
      <c r="BD716" t="s">
        <v>521</v>
      </c>
      <c r="BE716">
        <v>382.048</v>
      </c>
      <c r="BF716">
        <v>361.548</v>
      </c>
      <c r="BG716" t="s">
        <v>522</v>
      </c>
      <c r="BH716">
        <v>1050</v>
      </c>
      <c r="BI716">
        <v>480</v>
      </c>
      <c r="BJ716">
        <v>460</v>
      </c>
      <c r="BK716">
        <v>1</v>
      </c>
      <c r="BL716" t="s">
        <v>521</v>
      </c>
      <c r="BM716">
        <v>382.04809999999998</v>
      </c>
      <c r="BN716">
        <v>361.548</v>
      </c>
      <c r="BO716">
        <v>764.09619999999995</v>
      </c>
      <c r="BP716" t="s">
        <v>522</v>
      </c>
      <c r="BQ716">
        <v>1050</v>
      </c>
      <c r="BR716">
        <v>480</v>
      </c>
      <c r="BS716">
        <v>480</v>
      </c>
      <c r="BT716">
        <v>2</v>
      </c>
      <c r="BU716">
        <v>0</v>
      </c>
      <c r="BV716">
        <v>2</v>
      </c>
      <c r="BW716">
        <v>2</v>
      </c>
      <c r="BX716">
        <v>0</v>
      </c>
      <c r="BY716">
        <v>2</v>
      </c>
      <c r="BZ716">
        <v>18000</v>
      </c>
      <c r="CA716">
        <v>0</v>
      </c>
      <c r="CB716">
        <v>18000</v>
      </c>
      <c r="CC716">
        <v>723.096</v>
      </c>
      <c r="CD716" t="s">
        <v>641</v>
      </c>
      <c r="CE716" t="s">
        <v>1147</v>
      </c>
      <c r="CG716" t="s">
        <v>421</v>
      </c>
      <c r="CN716" t="str">
        <v>M45</v>
      </c>
      <c r="CO716" t="str">
        <v>1346-12C0011EN</v>
      </c>
      <c r="CP716" t="str">
        <v>OOCU9018737</v>
      </c>
      <c r="CQ716" s="23">
        <v>157.5094</v>
      </c>
      <c r="CR716" s="25">
        <f t="shared" si="30"/>
        <v>1.6861950370638666E-2</v>
      </c>
      <c r="CS716" s="21">
        <f t="shared" si="31"/>
        <v>42.154875926596667</v>
      </c>
    </row>
    <row r="717" spans="2:97" x14ac:dyDescent="0.35">
      <c r="B717" t="s">
        <v>297</v>
      </c>
      <c r="C717" t="s">
        <v>2510</v>
      </c>
      <c r="D717" t="s">
        <v>395</v>
      </c>
      <c r="E717" t="s">
        <v>395</v>
      </c>
      <c r="F717" t="s">
        <v>396</v>
      </c>
      <c r="G717" t="s">
        <v>397</v>
      </c>
      <c r="H717" t="s">
        <v>398</v>
      </c>
      <c r="I717" t="s">
        <v>399</v>
      </c>
      <c r="J717" t="s">
        <v>749</v>
      </c>
      <c r="K717" t="s">
        <v>1142</v>
      </c>
      <c r="L717" t="s">
        <v>787</v>
      </c>
      <c r="M717" t="s">
        <v>403</v>
      </c>
      <c r="N717">
        <v>1</v>
      </c>
      <c r="O717">
        <v>1</v>
      </c>
      <c r="P717" t="s">
        <v>1383</v>
      </c>
      <c r="Q717" t="s">
        <v>430</v>
      </c>
      <c r="R717" t="s">
        <v>1384</v>
      </c>
      <c r="S717" t="s">
        <v>1385</v>
      </c>
      <c r="T717" t="s">
        <v>408</v>
      </c>
      <c r="U717">
        <v>50950081528</v>
      </c>
      <c r="W717">
        <v>2280000</v>
      </c>
      <c r="X717" t="s">
        <v>409</v>
      </c>
      <c r="Y717" t="s">
        <v>410</v>
      </c>
      <c r="Z717" t="s">
        <v>410</v>
      </c>
      <c r="AA717" t="s">
        <v>411</v>
      </c>
      <c r="AB717" t="s">
        <v>554</v>
      </c>
      <c r="AC717" t="s">
        <v>411</v>
      </c>
      <c r="AD717">
        <v>46107</v>
      </c>
      <c r="AE717">
        <v>46132</v>
      </c>
      <c r="AF717">
        <v>46113</v>
      </c>
      <c r="AG717" t="s">
        <v>754</v>
      </c>
      <c r="AH717">
        <v>6161921</v>
      </c>
      <c r="AI717">
        <v>46108</v>
      </c>
      <c r="AJ717">
        <v>46109</v>
      </c>
      <c r="AK717">
        <v>2280000</v>
      </c>
      <c r="AL717" t="s">
        <v>396</v>
      </c>
      <c r="AM717" t="s">
        <v>2511</v>
      </c>
      <c r="AN717">
        <v>46109</v>
      </c>
      <c r="AO717">
        <v>46109.368206018517</v>
      </c>
      <c r="AP717" t="s">
        <v>51</v>
      </c>
      <c r="AQ717">
        <v>1.17E-3</v>
      </c>
      <c r="AR717">
        <v>2667.6</v>
      </c>
      <c r="AS717" t="s">
        <v>51</v>
      </c>
      <c r="AT717">
        <v>2667.6</v>
      </c>
      <c r="AU717" t="s">
        <v>415</v>
      </c>
      <c r="AV717" t="s">
        <v>557</v>
      </c>
      <c r="AW717" t="s">
        <v>2492</v>
      </c>
      <c r="AX717">
        <v>46113</v>
      </c>
      <c r="AY717">
        <v>46162</v>
      </c>
      <c r="AZ717" t="s">
        <v>2493</v>
      </c>
      <c r="BA717" t="s">
        <v>560</v>
      </c>
      <c r="BB717" t="s">
        <v>2494</v>
      </c>
      <c r="BC717">
        <v>760000</v>
      </c>
      <c r="BD717" t="s">
        <v>521</v>
      </c>
      <c r="BE717">
        <v>382.68</v>
      </c>
      <c r="BF717">
        <v>317.68</v>
      </c>
      <c r="BG717" t="s">
        <v>522</v>
      </c>
      <c r="BH717">
        <v>1050</v>
      </c>
      <c r="BI717">
        <v>480</v>
      </c>
      <c r="BJ717">
        <v>460</v>
      </c>
      <c r="BK717">
        <v>1</v>
      </c>
      <c r="BL717" t="s">
        <v>521</v>
      </c>
      <c r="BM717">
        <v>399.08</v>
      </c>
      <c r="BN717">
        <v>317.68</v>
      </c>
      <c r="BO717">
        <v>1197.24</v>
      </c>
      <c r="BP717" t="s">
        <v>522</v>
      </c>
      <c r="BQ717">
        <v>1050</v>
      </c>
      <c r="BR717">
        <v>480</v>
      </c>
      <c r="BS717">
        <v>480</v>
      </c>
      <c r="BT717">
        <v>3</v>
      </c>
      <c r="BU717">
        <v>0</v>
      </c>
      <c r="BV717">
        <v>3</v>
      </c>
      <c r="BW717">
        <v>3</v>
      </c>
      <c r="BX717">
        <v>0</v>
      </c>
      <c r="BY717">
        <v>3</v>
      </c>
      <c r="BZ717">
        <v>2280000</v>
      </c>
      <c r="CA717">
        <v>0</v>
      </c>
      <c r="CB717">
        <v>2280000</v>
      </c>
      <c r="CC717">
        <v>953.04</v>
      </c>
      <c r="CD717" t="s">
        <v>1387</v>
      </c>
      <c r="CE717" t="s">
        <v>1388</v>
      </c>
      <c r="CG717" t="s">
        <v>421</v>
      </c>
      <c r="CN717" t="str">
        <v>M45</v>
      </c>
      <c r="CO717" t="str">
        <v>1100-12C0005EN</v>
      </c>
      <c r="CP717" t="str">
        <v>OOCU9018737</v>
      </c>
      <c r="CQ717" s="23">
        <v>688.55319999999995</v>
      </c>
      <c r="CR717" s="25">
        <f t="shared" si="30"/>
        <v>7.3712107886541617E-2</v>
      </c>
      <c r="CS717" s="21">
        <f t="shared" si="31"/>
        <v>184.28026971635404</v>
      </c>
    </row>
    <row r="718" spans="2:97" x14ac:dyDescent="0.35">
      <c r="B718" t="s">
        <v>297</v>
      </c>
      <c r="C718" t="s">
        <v>2512</v>
      </c>
      <c r="D718" t="s">
        <v>395</v>
      </c>
      <c r="E718" t="s">
        <v>395</v>
      </c>
      <c r="F718" t="s">
        <v>396</v>
      </c>
      <c r="G718" t="s">
        <v>397</v>
      </c>
      <c r="H718" t="s">
        <v>398</v>
      </c>
      <c r="I718" t="s">
        <v>399</v>
      </c>
      <c r="J718" t="s">
        <v>400</v>
      </c>
      <c r="K718" t="s">
        <v>401</v>
      </c>
      <c r="L718" t="s">
        <v>402</v>
      </c>
      <c r="M718" t="s">
        <v>403</v>
      </c>
      <c r="N718">
        <v>1</v>
      </c>
      <c r="O718">
        <v>1</v>
      </c>
      <c r="P718" t="s">
        <v>443</v>
      </c>
      <c r="Q718" t="s">
        <v>424</v>
      </c>
      <c r="R718" t="s">
        <v>444</v>
      </c>
      <c r="S718" t="s">
        <v>445</v>
      </c>
      <c r="T718" t="s">
        <v>408</v>
      </c>
      <c r="U718">
        <v>50950081686</v>
      </c>
      <c r="W718">
        <v>1496.6</v>
      </c>
      <c r="X718" t="s">
        <v>409</v>
      </c>
      <c r="Y718" t="s">
        <v>410</v>
      </c>
      <c r="Z718" t="s">
        <v>410</v>
      </c>
      <c r="AA718" t="s">
        <v>411</v>
      </c>
      <c r="AB718" t="s">
        <v>412</v>
      </c>
      <c r="AC718" t="s">
        <v>411</v>
      </c>
      <c r="AD718">
        <v>46111</v>
      </c>
      <c r="AE718">
        <v>46167</v>
      </c>
      <c r="AF718">
        <v>46118</v>
      </c>
      <c r="AG718" t="s">
        <v>413</v>
      </c>
      <c r="AH718">
        <v>6166640</v>
      </c>
      <c r="AI718">
        <v>46111</v>
      </c>
      <c r="AJ718">
        <v>46111</v>
      </c>
      <c r="AK718">
        <v>1496.6</v>
      </c>
      <c r="AL718" t="s">
        <v>396</v>
      </c>
      <c r="AM718" t="s">
        <v>2513</v>
      </c>
      <c r="AN718">
        <v>46111</v>
      </c>
      <c r="AO718">
        <v>46111.690254629626</v>
      </c>
      <c r="AP718" t="s">
        <v>51</v>
      </c>
      <c r="AQ718">
        <v>12.332750000000001</v>
      </c>
      <c r="AR718">
        <v>18457.189999999999</v>
      </c>
      <c r="AS718" t="s">
        <v>51</v>
      </c>
      <c r="AT718">
        <v>18457.189999999999</v>
      </c>
      <c r="AU718" t="s">
        <v>415</v>
      </c>
      <c r="AV718" t="s">
        <v>772</v>
      </c>
      <c r="AW718" t="s">
        <v>2514</v>
      </c>
      <c r="AX718">
        <v>46119</v>
      </c>
      <c r="AY718">
        <v>46168</v>
      </c>
      <c r="AZ718" t="s">
        <v>2515</v>
      </c>
      <c r="BA718" t="s">
        <v>419</v>
      </c>
      <c r="BB718" t="s">
        <v>2516</v>
      </c>
      <c r="BO718" s="23">
        <f>AR718/AQ718</f>
        <v>1496.5997040400557</v>
      </c>
      <c r="CG718" t="s">
        <v>421</v>
      </c>
      <c r="CN718" t="str">
        <v>M19</v>
      </c>
      <c r="CO718" t="str">
        <v>1330-5YY0182EN</v>
      </c>
      <c r="CP718" t="str">
        <v>OOCU9018737</v>
      </c>
      <c r="CQ718" s="23">
        <v>526.90679999999998</v>
      </c>
      <c r="CR718" s="25">
        <f t="shared" si="30"/>
        <v>5.6407276718418289E-2</v>
      </c>
      <c r="CS718" s="21">
        <f t="shared" si="31"/>
        <v>141.01819179604573</v>
      </c>
    </row>
    <row r="719" spans="2:97" x14ac:dyDescent="0.35">
      <c r="B719" t="s">
        <v>297</v>
      </c>
      <c r="C719" t="s">
        <v>2517</v>
      </c>
      <c r="D719" t="s">
        <v>395</v>
      </c>
      <c r="E719" t="s">
        <v>395</v>
      </c>
      <c r="F719" t="s">
        <v>396</v>
      </c>
      <c r="G719" t="s">
        <v>397</v>
      </c>
      <c r="H719" t="s">
        <v>398</v>
      </c>
      <c r="I719" t="s">
        <v>399</v>
      </c>
      <c r="J719" t="s">
        <v>400</v>
      </c>
      <c r="K719" t="s">
        <v>401</v>
      </c>
      <c r="L719" t="s">
        <v>402</v>
      </c>
      <c r="M719" t="s">
        <v>403</v>
      </c>
      <c r="N719">
        <v>1</v>
      </c>
      <c r="O719">
        <v>1</v>
      </c>
      <c r="P719" t="s">
        <v>404</v>
      </c>
      <c r="Q719" t="s">
        <v>405</v>
      </c>
      <c r="R719" t="s">
        <v>406</v>
      </c>
      <c r="S719" t="s">
        <v>407</v>
      </c>
      <c r="T719" t="s">
        <v>408</v>
      </c>
      <c r="U719">
        <v>50950081695</v>
      </c>
      <c r="W719">
        <v>153120</v>
      </c>
      <c r="X719" t="s">
        <v>409</v>
      </c>
      <c r="Y719" t="s">
        <v>410</v>
      </c>
      <c r="Z719" t="s">
        <v>410</v>
      </c>
      <c r="AA719" t="s">
        <v>411</v>
      </c>
      <c r="AB719" t="s">
        <v>412</v>
      </c>
      <c r="AC719" t="s">
        <v>411</v>
      </c>
      <c r="AD719">
        <v>46111</v>
      </c>
      <c r="AE719">
        <v>46167</v>
      </c>
      <c r="AF719">
        <v>46118</v>
      </c>
      <c r="AG719" t="s">
        <v>413</v>
      </c>
      <c r="AH719">
        <v>6166632</v>
      </c>
      <c r="AI719">
        <v>46111</v>
      </c>
      <c r="AJ719">
        <v>46111</v>
      </c>
      <c r="AK719">
        <v>153120</v>
      </c>
      <c r="AL719" t="s">
        <v>396</v>
      </c>
      <c r="AM719" t="s">
        <v>2518</v>
      </c>
      <c r="AN719">
        <v>46111</v>
      </c>
      <c r="AO719">
        <v>46111.690254629626</v>
      </c>
      <c r="AP719" t="s">
        <v>51</v>
      </c>
      <c r="AQ719">
        <v>3.3480000000000003E-2</v>
      </c>
      <c r="AR719">
        <v>5126.46</v>
      </c>
      <c r="AS719" t="s">
        <v>51</v>
      </c>
      <c r="AT719">
        <v>5126.46</v>
      </c>
      <c r="AU719" t="s">
        <v>415</v>
      </c>
      <c r="AV719" t="s">
        <v>772</v>
      </c>
      <c r="AW719" t="s">
        <v>2514</v>
      </c>
      <c r="AX719">
        <v>46119</v>
      </c>
      <c r="AY719">
        <v>46168</v>
      </c>
      <c r="AZ719" t="s">
        <v>2515</v>
      </c>
      <c r="BA719" t="s">
        <v>419</v>
      </c>
      <c r="BB719" t="s">
        <v>2516</v>
      </c>
      <c r="BO719">
        <v>1500</v>
      </c>
      <c r="CG719" t="s">
        <v>421</v>
      </c>
      <c r="CN719" t="str">
        <v>M19</v>
      </c>
      <c r="CO719" t="str">
        <v>1330-5YY0176EN</v>
      </c>
      <c r="CP719" t="str">
        <v>OOCU9018737</v>
      </c>
      <c r="CQ719" s="23">
        <v>273.75360000000001</v>
      </c>
      <c r="CR719" s="25">
        <f t="shared" si="30"/>
        <v>2.9306311985085775E-2</v>
      </c>
      <c r="CS719" s="21">
        <f t="shared" si="31"/>
        <v>73.265779962714433</v>
      </c>
    </row>
    <row r="720" spans="2:97" x14ac:dyDescent="0.35">
      <c r="B720" t="s">
        <v>297</v>
      </c>
      <c r="C720" t="s">
        <v>2519</v>
      </c>
      <c r="D720" t="s">
        <v>395</v>
      </c>
      <c r="E720" t="s">
        <v>395</v>
      </c>
      <c r="F720" t="s">
        <v>396</v>
      </c>
      <c r="G720" t="s">
        <v>397</v>
      </c>
      <c r="H720" t="s">
        <v>398</v>
      </c>
      <c r="I720" t="s">
        <v>399</v>
      </c>
      <c r="J720" t="s">
        <v>400</v>
      </c>
      <c r="K720" t="s">
        <v>401</v>
      </c>
      <c r="L720" t="s">
        <v>402</v>
      </c>
      <c r="M720" t="s">
        <v>403</v>
      </c>
      <c r="N720">
        <v>1</v>
      </c>
      <c r="O720">
        <v>1</v>
      </c>
      <c r="P720" t="s">
        <v>2213</v>
      </c>
      <c r="Q720" t="s">
        <v>430</v>
      </c>
      <c r="R720" t="s">
        <v>2214</v>
      </c>
      <c r="S720" t="s">
        <v>2215</v>
      </c>
      <c r="T720" t="s">
        <v>408</v>
      </c>
      <c r="U720">
        <v>50950081696</v>
      </c>
      <c r="W720">
        <v>30000</v>
      </c>
      <c r="X720" t="s">
        <v>409</v>
      </c>
      <c r="Y720" t="s">
        <v>410</v>
      </c>
      <c r="Z720" t="s">
        <v>410</v>
      </c>
      <c r="AA720" t="s">
        <v>411</v>
      </c>
      <c r="AB720" t="s">
        <v>412</v>
      </c>
      <c r="AC720" t="s">
        <v>411</v>
      </c>
      <c r="AD720">
        <v>46111</v>
      </c>
      <c r="AE720">
        <v>46174</v>
      </c>
      <c r="AF720">
        <v>46118</v>
      </c>
      <c r="AG720" t="s">
        <v>413</v>
      </c>
      <c r="AH720">
        <v>6166635</v>
      </c>
      <c r="AI720">
        <v>46111</v>
      </c>
      <c r="AJ720">
        <v>46111</v>
      </c>
      <c r="AK720">
        <v>30000</v>
      </c>
      <c r="AL720" t="s">
        <v>396</v>
      </c>
      <c r="AM720" t="s">
        <v>2520</v>
      </c>
      <c r="AN720">
        <v>46111</v>
      </c>
      <c r="AO720">
        <v>46111.690254629626</v>
      </c>
      <c r="AP720" t="s">
        <v>51</v>
      </c>
      <c r="AQ720">
        <v>2.6200000000000001E-2</v>
      </c>
      <c r="AR720">
        <v>786</v>
      </c>
      <c r="AS720" t="s">
        <v>51</v>
      </c>
      <c r="AT720">
        <v>786</v>
      </c>
      <c r="AU720" t="s">
        <v>415</v>
      </c>
      <c r="AV720" t="s">
        <v>772</v>
      </c>
      <c r="AW720" t="s">
        <v>2514</v>
      </c>
      <c r="AX720">
        <v>46119</v>
      </c>
      <c r="AY720">
        <v>46168</v>
      </c>
      <c r="AZ720" t="s">
        <v>2521</v>
      </c>
      <c r="BA720" t="s">
        <v>2219</v>
      </c>
      <c r="BB720" t="s">
        <v>2522</v>
      </c>
      <c r="BE720">
        <v>0</v>
      </c>
      <c r="BF720">
        <v>0</v>
      </c>
      <c r="BM720">
        <v>0</v>
      </c>
      <c r="BN720">
        <v>0</v>
      </c>
      <c r="BO720">
        <v>20</v>
      </c>
      <c r="CG720" t="s">
        <v>421</v>
      </c>
      <c r="CN720" t="str">
        <v>M19</v>
      </c>
      <c r="CO720" t="str">
        <v>1301-5YY0306EN0093</v>
      </c>
      <c r="CP720" t="str">
        <v>OOCU9018737</v>
      </c>
      <c r="CQ720" s="23">
        <v>1973.6251199999999</v>
      </c>
      <c r="CR720" s="25">
        <f t="shared" si="30"/>
        <v>0.21128370004384361</v>
      </c>
      <c r="CS720" s="21">
        <f t="shared" si="31"/>
        <v>528.209250109609</v>
      </c>
    </row>
    <row r="721" spans="2:97" x14ac:dyDescent="0.35">
      <c r="B721" t="s">
        <v>297</v>
      </c>
      <c r="C721" t="s">
        <v>2231</v>
      </c>
      <c r="D721" t="s">
        <v>395</v>
      </c>
      <c r="E721" t="s">
        <v>395</v>
      </c>
      <c r="F721" t="s">
        <v>396</v>
      </c>
      <c r="G721" t="s">
        <v>397</v>
      </c>
      <c r="H721" t="s">
        <v>398</v>
      </c>
      <c r="I721" t="s">
        <v>399</v>
      </c>
      <c r="J721" t="s">
        <v>400</v>
      </c>
      <c r="K721" t="s">
        <v>401</v>
      </c>
      <c r="L721" t="s">
        <v>402</v>
      </c>
      <c r="M721" t="s">
        <v>403</v>
      </c>
      <c r="N721">
        <v>3</v>
      </c>
      <c r="O721">
        <v>1</v>
      </c>
      <c r="P721" t="s">
        <v>429</v>
      </c>
      <c r="Q721" t="s">
        <v>430</v>
      </c>
      <c r="R721" t="s">
        <v>431</v>
      </c>
      <c r="S721" t="s">
        <v>432</v>
      </c>
      <c r="T721" t="s">
        <v>408</v>
      </c>
      <c r="U721">
        <v>50950081705</v>
      </c>
      <c r="W721">
        <v>100000</v>
      </c>
      <c r="X721" t="s">
        <v>409</v>
      </c>
      <c r="Y721" t="s">
        <v>410</v>
      </c>
      <c r="Z721" t="s">
        <v>410</v>
      </c>
      <c r="AA721" t="s">
        <v>411</v>
      </c>
      <c r="AB721" t="s">
        <v>412</v>
      </c>
      <c r="AC721" t="s">
        <v>411</v>
      </c>
      <c r="AD721">
        <v>46111</v>
      </c>
      <c r="AE721">
        <v>46167</v>
      </c>
      <c r="AF721">
        <v>46118</v>
      </c>
      <c r="AG721" t="s">
        <v>413</v>
      </c>
      <c r="AH721">
        <v>6166634</v>
      </c>
      <c r="AI721">
        <v>46111</v>
      </c>
      <c r="AJ721">
        <v>46111</v>
      </c>
      <c r="AK721">
        <v>100000</v>
      </c>
      <c r="AL721" t="s">
        <v>396</v>
      </c>
      <c r="AM721" t="s">
        <v>2523</v>
      </c>
      <c r="AN721">
        <v>46111</v>
      </c>
      <c r="AO721">
        <v>46111.690254629626</v>
      </c>
      <c r="AP721" t="s">
        <v>51</v>
      </c>
      <c r="AQ721">
        <v>9.4119999999999995E-2</v>
      </c>
      <c r="AR721">
        <v>9412</v>
      </c>
      <c r="AS721" t="s">
        <v>51</v>
      </c>
      <c r="AT721">
        <v>9412</v>
      </c>
      <c r="AU721" t="s">
        <v>415</v>
      </c>
      <c r="AV721" t="s">
        <v>772</v>
      </c>
      <c r="AW721" t="s">
        <v>2514</v>
      </c>
      <c r="AX721">
        <v>46119</v>
      </c>
      <c r="AY721">
        <v>46168</v>
      </c>
      <c r="AZ721" t="s">
        <v>2521</v>
      </c>
      <c r="BA721" t="s">
        <v>2219</v>
      </c>
      <c r="BB721" t="s">
        <v>2522</v>
      </c>
      <c r="BE721">
        <v>0</v>
      </c>
      <c r="BF721">
        <v>0</v>
      </c>
      <c r="BM721">
        <v>0</v>
      </c>
      <c r="BN721">
        <v>0</v>
      </c>
      <c r="BO721">
        <v>10</v>
      </c>
      <c r="CG721" t="s">
        <v>421</v>
      </c>
      <c r="CN721" t="str">
        <v>M45</v>
      </c>
      <c r="CO721" t="str">
        <v>1459-12C0018EN</v>
      </c>
      <c r="CP721" t="str">
        <v>OOCU9018737</v>
      </c>
      <c r="CQ721" s="23">
        <v>2232.1924800000002</v>
      </c>
      <c r="CR721" s="25">
        <f t="shared" si="30"/>
        <v>0.2389642701671954</v>
      </c>
      <c r="CS721" s="21">
        <f t="shared" si="31"/>
        <v>597.4106754179885</v>
      </c>
    </row>
    <row r="722" spans="2:97" x14ac:dyDescent="0.35">
      <c r="B722" t="s">
        <v>297</v>
      </c>
      <c r="C722" t="s">
        <v>2524</v>
      </c>
      <c r="D722" t="s">
        <v>395</v>
      </c>
      <c r="E722" t="s">
        <v>395</v>
      </c>
      <c r="F722" t="s">
        <v>396</v>
      </c>
      <c r="G722" t="s">
        <v>397</v>
      </c>
      <c r="H722" t="s">
        <v>398</v>
      </c>
      <c r="I722" t="s">
        <v>399</v>
      </c>
      <c r="J722" t="s">
        <v>400</v>
      </c>
      <c r="K722" t="s">
        <v>401</v>
      </c>
      <c r="L722" t="s">
        <v>402</v>
      </c>
      <c r="M722" t="s">
        <v>403</v>
      </c>
      <c r="N722">
        <v>2</v>
      </c>
      <c r="O722">
        <v>1</v>
      </c>
      <c r="P722" t="s">
        <v>438</v>
      </c>
      <c r="Q722" t="s">
        <v>424</v>
      </c>
      <c r="R722" t="s">
        <v>439</v>
      </c>
      <c r="S722" t="s">
        <v>440</v>
      </c>
      <c r="T722" t="s">
        <v>408</v>
      </c>
      <c r="U722">
        <v>50950081706</v>
      </c>
      <c r="W722">
        <v>185600</v>
      </c>
      <c r="X722" t="s">
        <v>409</v>
      </c>
      <c r="Y722" t="s">
        <v>410</v>
      </c>
      <c r="Z722" t="s">
        <v>410</v>
      </c>
      <c r="AA722" t="s">
        <v>411</v>
      </c>
      <c r="AB722" t="s">
        <v>412</v>
      </c>
      <c r="AC722" t="s">
        <v>411</v>
      </c>
      <c r="AD722">
        <v>46111</v>
      </c>
      <c r="AE722">
        <v>46167</v>
      </c>
      <c r="AF722">
        <v>46118</v>
      </c>
      <c r="AG722" t="s">
        <v>413</v>
      </c>
      <c r="AH722">
        <v>6166639</v>
      </c>
      <c r="AI722">
        <v>46111</v>
      </c>
      <c r="AJ722">
        <v>46111</v>
      </c>
      <c r="AK722">
        <v>185600</v>
      </c>
      <c r="AL722" t="s">
        <v>396</v>
      </c>
      <c r="AM722" t="s">
        <v>2525</v>
      </c>
      <c r="AN722">
        <v>46111</v>
      </c>
      <c r="AO722">
        <v>46111.690254629626</v>
      </c>
      <c r="AP722" t="s">
        <v>51</v>
      </c>
      <c r="AQ722">
        <v>2.512E-2</v>
      </c>
      <c r="AR722">
        <v>4662.28</v>
      </c>
      <c r="AS722" t="s">
        <v>51</v>
      </c>
      <c r="AT722">
        <v>4662.28</v>
      </c>
      <c r="AU722" t="s">
        <v>415</v>
      </c>
      <c r="AV722" t="s">
        <v>772</v>
      </c>
      <c r="AW722" t="s">
        <v>2514</v>
      </c>
      <c r="AX722">
        <v>46119</v>
      </c>
      <c r="AY722">
        <v>46168</v>
      </c>
      <c r="AZ722" t="s">
        <v>2515</v>
      </c>
      <c r="BA722" t="s">
        <v>419</v>
      </c>
      <c r="BB722" t="s">
        <v>2516</v>
      </c>
      <c r="BE722">
        <v>0</v>
      </c>
      <c r="BF722">
        <v>0</v>
      </c>
      <c r="BM722">
        <v>0</v>
      </c>
      <c r="BN722">
        <v>0</v>
      </c>
      <c r="BO722">
        <v>1500</v>
      </c>
      <c r="CG722" t="s">
        <v>421</v>
      </c>
      <c r="CN722" t="str">
        <v>M19</v>
      </c>
      <c r="CO722" t="str">
        <v>1330-5YY0251EN</v>
      </c>
      <c r="CP722" t="str">
        <v>OOCU9018737</v>
      </c>
      <c r="CQ722" s="23">
        <v>217.67016000000001</v>
      </c>
      <c r="CR722" s="25">
        <f t="shared" si="30"/>
        <v>2.3302377096789003E-2</v>
      </c>
      <c r="CS722" s="21">
        <f t="shared" si="31"/>
        <v>58.255942741972504</v>
      </c>
    </row>
    <row r="723" spans="2:97" x14ac:dyDescent="0.35">
      <c r="B723" t="s">
        <v>297</v>
      </c>
      <c r="C723" t="s">
        <v>2524</v>
      </c>
      <c r="D723" t="s">
        <v>395</v>
      </c>
      <c r="E723" t="s">
        <v>395</v>
      </c>
      <c r="F723" t="s">
        <v>396</v>
      </c>
      <c r="G723" t="s">
        <v>397</v>
      </c>
      <c r="H723" t="s">
        <v>398</v>
      </c>
      <c r="I723" t="s">
        <v>399</v>
      </c>
      <c r="J723" t="s">
        <v>400</v>
      </c>
      <c r="K723" t="s">
        <v>401</v>
      </c>
      <c r="L723" t="s">
        <v>402</v>
      </c>
      <c r="M723" t="s">
        <v>403</v>
      </c>
      <c r="N723">
        <v>3</v>
      </c>
      <c r="O723">
        <v>1</v>
      </c>
      <c r="P723" t="s">
        <v>438</v>
      </c>
      <c r="Q723" t="s">
        <v>424</v>
      </c>
      <c r="R723" t="s">
        <v>439</v>
      </c>
      <c r="S723" t="s">
        <v>440</v>
      </c>
      <c r="T723" t="s">
        <v>408</v>
      </c>
      <c r="U723">
        <v>50950081706</v>
      </c>
      <c r="W723">
        <v>185600</v>
      </c>
      <c r="X723" t="s">
        <v>409</v>
      </c>
      <c r="Y723" t="s">
        <v>410</v>
      </c>
      <c r="Z723" t="s">
        <v>410</v>
      </c>
      <c r="AA723" t="s">
        <v>411</v>
      </c>
      <c r="AB723" t="s">
        <v>412</v>
      </c>
      <c r="AC723" t="s">
        <v>411</v>
      </c>
      <c r="AD723">
        <v>46111</v>
      </c>
      <c r="AE723">
        <v>46174</v>
      </c>
      <c r="AF723">
        <v>46118</v>
      </c>
      <c r="AG723" t="s">
        <v>413</v>
      </c>
      <c r="AH723">
        <v>6166639</v>
      </c>
      <c r="AI723">
        <v>46111</v>
      </c>
      <c r="AJ723">
        <v>46111</v>
      </c>
      <c r="AK723">
        <v>185600</v>
      </c>
      <c r="AL723" t="s">
        <v>396</v>
      </c>
      <c r="AM723" t="s">
        <v>2525</v>
      </c>
      <c r="AN723">
        <v>46111</v>
      </c>
      <c r="AO723">
        <v>46111.690254629626</v>
      </c>
      <c r="AP723" t="s">
        <v>51</v>
      </c>
      <c r="AQ723">
        <v>2.512E-2</v>
      </c>
      <c r="AR723">
        <v>4662.28</v>
      </c>
      <c r="AS723" t="s">
        <v>51</v>
      </c>
      <c r="AT723">
        <v>4662.28</v>
      </c>
      <c r="AU723" t="s">
        <v>415</v>
      </c>
      <c r="AV723" t="s">
        <v>772</v>
      </c>
      <c r="AW723" t="s">
        <v>2514</v>
      </c>
      <c r="AX723">
        <v>46119</v>
      </c>
      <c r="AY723">
        <v>46168</v>
      </c>
      <c r="AZ723" t="s">
        <v>2515</v>
      </c>
      <c r="BA723" t="s">
        <v>419</v>
      </c>
      <c r="BB723" t="s">
        <v>2516</v>
      </c>
      <c r="BE723">
        <v>0</v>
      </c>
      <c r="BF723">
        <v>0</v>
      </c>
      <c r="BM723">
        <v>0</v>
      </c>
      <c r="BN723">
        <v>0</v>
      </c>
      <c r="BO723">
        <v>1500</v>
      </c>
      <c r="CG723" t="s">
        <v>421</v>
      </c>
      <c r="CN723" t="str">
        <v>M01</v>
      </c>
      <c r="CO723" t="str">
        <v>1999-1010399E1</v>
      </c>
      <c r="CP723" t="str">
        <v>OOCU9364658</v>
      </c>
      <c r="CQ723" s="23">
        <v>417.88</v>
      </c>
      <c r="CR723" s="25">
        <f t="shared" si="30"/>
        <v>2.9364302586517715E-2</v>
      </c>
      <c r="CS723" s="21">
        <f t="shared" si="31"/>
        <v>73.410756466294288</v>
      </c>
    </row>
    <row r="724" spans="2:97" x14ac:dyDescent="0.35">
      <c r="B724" t="s">
        <v>297</v>
      </c>
      <c r="C724" t="s">
        <v>2526</v>
      </c>
      <c r="D724" t="s">
        <v>395</v>
      </c>
      <c r="E724" t="s">
        <v>395</v>
      </c>
      <c r="F724" t="s">
        <v>396</v>
      </c>
      <c r="G724" t="s">
        <v>397</v>
      </c>
      <c r="H724" t="s">
        <v>398</v>
      </c>
      <c r="I724" t="s">
        <v>399</v>
      </c>
      <c r="J724" t="s">
        <v>400</v>
      </c>
      <c r="K724" t="s">
        <v>401</v>
      </c>
      <c r="L724" t="s">
        <v>402</v>
      </c>
      <c r="M724" t="s">
        <v>403</v>
      </c>
      <c r="N724">
        <v>4</v>
      </c>
      <c r="O724">
        <v>1</v>
      </c>
      <c r="P724" t="s">
        <v>423</v>
      </c>
      <c r="Q724" t="s">
        <v>424</v>
      </c>
      <c r="R724" t="s">
        <v>425</v>
      </c>
      <c r="S724" t="s">
        <v>426</v>
      </c>
      <c r="T724" t="s">
        <v>408</v>
      </c>
      <c r="U724">
        <v>50950081752</v>
      </c>
      <c r="W724">
        <v>100000</v>
      </c>
      <c r="X724" t="s">
        <v>409</v>
      </c>
      <c r="Y724" t="s">
        <v>410</v>
      </c>
      <c r="Z724" t="s">
        <v>410</v>
      </c>
      <c r="AA724" t="s">
        <v>411</v>
      </c>
      <c r="AB724" t="s">
        <v>412</v>
      </c>
      <c r="AC724" t="s">
        <v>411</v>
      </c>
      <c r="AD724">
        <v>46111</v>
      </c>
      <c r="AE724">
        <v>46167</v>
      </c>
      <c r="AF724">
        <v>46118</v>
      </c>
      <c r="AG724" t="s">
        <v>413</v>
      </c>
      <c r="AH724">
        <v>6166636</v>
      </c>
      <c r="AI724">
        <v>46111</v>
      </c>
      <c r="AJ724">
        <v>46111</v>
      </c>
      <c r="AK724">
        <v>100000</v>
      </c>
      <c r="AL724" t="s">
        <v>396</v>
      </c>
      <c r="AM724" t="s">
        <v>2527</v>
      </c>
      <c r="AN724">
        <v>46111</v>
      </c>
      <c r="AO724">
        <v>46111.690254629626</v>
      </c>
      <c r="AP724" t="s">
        <v>51</v>
      </c>
      <c r="AQ724">
        <v>2.018E-2</v>
      </c>
      <c r="AR724">
        <v>2018</v>
      </c>
      <c r="AS724" t="s">
        <v>51</v>
      </c>
      <c r="AT724">
        <v>2018</v>
      </c>
      <c r="AU724" t="s">
        <v>415</v>
      </c>
      <c r="AV724" t="s">
        <v>772</v>
      </c>
      <c r="AW724" t="s">
        <v>2514</v>
      </c>
      <c r="AX724">
        <v>46119</v>
      </c>
      <c r="AY724">
        <v>46168</v>
      </c>
      <c r="AZ724" t="s">
        <v>2521</v>
      </c>
      <c r="BA724" t="s">
        <v>2219</v>
      </c>
      <c r="BB724" t="s">
        <v>2522</v>
      </c>
      <c r="BE724">
        <v>0</v>
      </c>
      <c r="BF724">
        <v>0</v>
      </c>
      <c r="BM724">
        <v>0</v>
      </c>
      <c r="BN724">
        <v>0</v>
      </c>
      <c r="BO724">
        <v>20</v>
      </c>
      <c r="CG724" t="s">
        <v>421</v>
      </c>
      <c r="CN724" t="str">
        <v>M01</v>
      </c>
      <c r="CO724" t="str">
        <v>1999-1010399E1</v>
      </c>
      <c r="CP724" t="str">
        <v>OOCU9364658</v>
      </c>
      <c r="CQ724" s="23">
        <v>417.88</v>
      </c>
      <c r="CR724" s="25">
        <f t="shared" si="30"/>
        <v>2.9364302586517715E-2</v>
      </c>
      <c r="CS724" s="21">
        <f t="shared" si="31"/>
        <v>73.410756466294288</v>
      </c>
    </row>
    <row r="725" spans="2:97" x14ac:dyDescent="0.35">
      <c r="B725" t="s">
        <v>297</v>
      </c>
      <c r="C725" t="s">
        <v>2526</v>
      </c>
      <c r="D725" t="s">
        <v>395</v>
      </c>
      <c r="E725" t="s">
        <v>395</v>
      </c>
      <c r="F725" t="s">
        <v>396</v>
      </c>
      <c r="G725" t="s">
        <v>397</v>
      </c>
      <c r="H725" t="s">
        <v>398</v>
      </c>
      <c r="I725" t="s">
        <v>399</v>
      </c>
      <c r="J725" t="s">
        <v>400</v>
      </c>
      <c r="K725" t="s">
        <v>401</v>
      </c>
      <c r="L725" t="s">
        <v>402</v>
      </c>
      <c r="M725" t="s">
        <v>403</v>
      </c>
      <c r="N725">
        <v>3</v>
      </c>
      <c r="O725">
        <v>1</v>
      </c>
      <c r="P725" t="s">
        <v>423</v>
      </c>
      <c r="Q725" t="s">
        <v>424</v>
      </c>
      <c r="R725" t="s">
        <v>425</v>
      </c>
      <c r="S725" t="s">
        <v>426</v>
      </c>
      <c r="T725" t="s">
        <v>408</v>
      </c>
      <c r="U725">
        <v>50950081752</v>
      </c>
      <c r="W725">
        <v>50000</v>
      </c>
      <c r="X725" t="s">
        <v>409</v>
      </c>
      <c r="Y725" t="s">
        <v>410</v>
      </c>
      <c r="Z725" t="s">
        <v>410</v>
      </c>
      <c r="AA725" t="s">
        <v>411</v>
      </c>
      <c r="AB725" t="s">
        <v>412</v>
      </c>
      <c r="AC725" t="s">
        <v>411</v>
      </c>
      <c r="AD725">
        <v>46111</v>
      </c>
      <c r="AE725">
        <v>46174</v>
      </c>
      <c r="AF725">
        <v>46118</v>
      </c>
      <c r="AG725" t="s">
        <v>413</v>
      </c>
      <c r="AH725">
        <v>6166636</v>
      </c>
      <c r="AI725">
        <v>46111</v>
      </c>
      <c r="AJ725">
        <v>46111</v>
      </c>
      <c r="AK725">
        <v>50000</v>
      </c>
      <c r="AL725" t="s">
        <v>396</v>
      </c>
      <c r="AM725" t="s">
        <v>2527</v>
      </c>
      <c r="AN725">
        <v>46111</v>
      </c>
      <c r="AO725">
        <v>46111.690254629626</v>
      </c>
      <c r="AP725" t="s">
        <v>51</v>
      </c>
      <c r="AQ725">
        <v>2.018E-2</v>
      </c>
      <c r="AR725">
        <v>1009</v>
      </c>
      <c r="AS725" t="s">
        <v>51</v>
      </c>
      <c r="AT725">
        <v>1009</v>
      </c>
      <c r="AU725" t="s">
        <v>415</v>
      </c>
      <c r="AV725" t="s">
        <v>772</v>
      </c>
      <c r="AW725" t="s">
        <v>2514</v>
      </c>
      <c r="AX725">
        <v>46119</v>
      </c>
      <c r="AY725">
        <v>46168</v>
      </c>
      <c r="AZ725" t="s">
        <v>2521</v>
      </c>
      <c r="BA725" t="s">
        <v>2219</v>
      </c>
      <c r="BB725" t="s">
        <v>2522</v>
      </c>
      <c r="BE725">
        <v>0</v>
      </c>
      <c r="BF725">
        <v>0</v>
      </c>
      <c r="BM725">
        <v>0</v>
      </c>
      <c r="BN725">
        <v>0</v>
      </c>
      <c r="BO725">
        <v>20</v>
      </c>
      <c r="CG725" t="s">
        <v>421</v>
      </c>
      <c r="CN725" t="str">
        <v>M19</v>
      </c>
      <c r="CO725" t="str">
        <v>1275-5YY0685EN</v>
      </c>
      <c r="CP725" t="str">
        <v>OOCU9364658</v>
      </c>
      <c r="CQ725" s="23">
        <v>936.072</v>
      </c>
      <c r="CR725" s="25">
        <f t="shared" si="30"/>
        <v>6.5777499403577133E-2</v>
      </c>
      <c r="CS725" s="21">
        <f t="shared" si="31"/>
        <v>164.44374850894283</v>
      </c>
    </row>
    <row r="726" spans="2:97" x14ac:dyDescent="0.35">
      <c r="B726" t="s">
        <v>297</v>
      </c>
      <c r="C726" t="s">
        <v>2528</v>
      </c>
      <c r="D726" t="s">
        <v>395</v>
      </c>
      <c r="E726" t="s">
        <v>395</v>
      </c>
      <c r="F726" t="s">
        <v>396</v>
      </c>
      <c r="G726" t="s">
        <v>397</v>
      </c>
      <c r="H726" t="s">
        <v>398</v>
      </c>
      <c r="I726" t="s">
        <v>399</v>
      </c>
      <c r="J726" t="s">
        <v>400</v>
      </c>
      <c r="K726" t="s">
        <v>401</v>
      </c>
      <c r="L726" t="s">
        <v>402</v>
      </c>
      <c r="M726" t="s">
        <v>403</v>
      </c>
      <c r="N726">
        <v>2</v>
      </c>
      <c r="O726">
        <v>1</v>
      </c>
      <c r="P726" t="s">
        <v>435</v>
      </c>
      <c r="Q726" t="s">
        <v>424</v>
      </c>
      <c r="R726" t="s">
        <v>431</v>
      </c>
      <c r="S726" t="s">
        <v>432</v>
      </c>
      <c r="T726" t="s">
        <v>408</v>
      </c>
      <c r="U726">
        <v>50950081754</v>
      </c>
      <c r="W726">
        <v>40000</v>
      </c>
      <c r="X726" t="s">
        <v>409</v>
      </c>
      <c r="Y726" t="s">
        <v>410</v>
      </c>
      <c r="Z726" t="s">
        <v>410</v>
      </c>
      <c r="AA726" t="s">
        <v>411</v>
      </c>
      <c r="AB726" t="s">
        <v>412</v>
      </c>
      <c r="AC726" t="s">
        <v>411</v>
      </c>
      <c r="AD726">
        <v>46111</v>
      </c>
      <c r="AE726">
        <v>46167</v>
      </c>
      <c r="AF726">
        <v>46118</v>
      </c>
      <c r="AG726" t="s">
        <v>413</v>
      </c>
      <c r="AH726">
        <v>6166633</v>
      </c>
      <c r="AI726">
        <v>46111</v>
      </c>
      <c r="AJ726">
        <v>46111</v>
      </c>
      <c r="AK726">
        <v>40000</v>
      </c>
      <c r="AL726" t="s">
        <v>396</v>
      </c>
      <c r="AM726" t="s">
        <v>2529</v>
      </c>
      <c r="AN726">
        <v>46111</v>
      </c>
      <c r="AO726">
        <v>46111.690254629626</v>
      </c>
      <c r="AP726" t="s">
        <v>51</v>
      </c>
      <c r="AQ726">
        <v>5.2150000000000002E-2</v>
      </c>
      <c r="AR726">
        <v>2086</v>
      </c>
      <c r="AS726" t="s">
        <v>51</v>
      </c>
      <c r="AT726">
        <v>2086</v>
      </c>
      <c r="AU726" t="s">
        <v>415</v>
      </c>
      <c r="AV726" t="s">
        <v>772</v>
      </c>
      <c r="AW726" t="s">
        <v>2514</v>
      </c>
      <c r="AX726">
        <v>46119</v>
      </c>
      <c r="AY726">
        <v>46168</v>
      </c>
      <c r="AZ726" t="s">
        <v>2515</v>
      </c>
      <c r="BA726" t="s">
        <v>419</v>
      </c>
      <c r="BB726" t="s">
        <v>2516</v>
      </c>
      <c r="BE726">
        <v>0</v>
      </c>
      <c r="BF726">
        <v>0</v>
      </c>
      <c r="BM726">
        <v>0</v>
      </c>
      <c r="BN726">
        <v>0</v>
      </c>
      <c r="BO726">
        <v>10</v>
      </c>
      <c r="CG726" t="s">
        <v>421</v>
      </c>
      <c r="CN726" t="str">
        <v>M19</v>
      </c>
      <c r="CO726" t="str">
        <v>1330-5YY0100EN</v>
      </c>
      <c r="CP726" t="str">
        <v>OOCU9364658</v>
      </c>
      <c r="CQ726" s="23">
        <v>320.20319999999998</v>
      </c>
      <c r="CR726" s="25">
        <f t="shared" si="30"/>
        <v>2.2500583071626421E-2</v>
      </c>
      <c r="CS726" s="21">
        <f t="shared" si="31"/>
        <v>56.25145767906605</v>
      </c>
    </row>
    <row r="727" spans="2:97" x14ac:dyDescent="0.35">
      <c r="B727" t="s">
        <v>297</v>
      </c>
      <c r="C727" t="s">
        <v>2528</v>
      </c>
      <c r="D727" t="s">
        <v>395</v>
      </c>
      <c r="E727" t="s">
        <v>395</v>
      </c>
      <c r="F727" t="s">
        <v>396</v>
      </c>
      <c r="G727" t="s">
        <v>397</v>
      </c>
      <c r="H727" t="s">
        <v>398</v>
      </c>
      <c r="I727" t="s">
        <v>399</v>
      </c>
      <c r="J727" t="s">
        <v>400</v>
      </c>
      <c r="K727" t="s">
        <v>401</v>
      </c>
      <c r="L727" t="s">
        <v>402</v>
      </c>
      <c r="M727" t="s">
        <v>403</v>
      </c>
      <c r="N727">
        <v>3</v>
      </c>
      <c r="O727">
        <v>1</v>
      </c>
      <c r="P727" t="s">
        <v>435</v>
      </c>
      <c r="Q727" t="s">
        <v>424</v>
      </c>
      <c r="R727" t="s">
        <v>431</v>
      </c>
      <c r="S727" t="s">
        <v>432</v>
      </c>
      <c r="T727" t="s">
        <v>408</v>
      </c>
      <c r="U727">
        <v>50950081754</v>
      </c>
      <c r="W727">
        <v>40000</v>
      </c>
      <c r="X727" t="s">
        <v>409</v>
      </c>
      <c r="Y727" t="s">
        <v>410</v>
      </c>
      <c r="Z727" t="s">
        <v>410</v>
      </c>
      <c r="AA727" t="s">
        <v>411</v>
      </c>
      <c r="AB727" t="s">
        <v>412</v>
      </c>
      <c r="AC727" t="s">
        <v>411</v>
      </c>
      <c r="AD727">
        <v>46111</v>
      </c>
      <c r="AE727">
        <v>46174</v>
      </c>
      <c r="AF727">
        <v>46118</v>
      </c>
      <c r="AG727" t="s">
        <v>413</v>
      </c>
      <c r="AH727">
        <v>6166633</v>
      </c>
      <c r="AI727">
        <v>46111</v>
      </c>
      <c r="AJ727">
        <v>46111</v>
      </c>
      <c r="AK727">
        <v>40000</v>
      </c>
      <c r="AL727" t="s">
        <v>396</v>
      </c>
      <c r="AM727" t="s">
        <v>2529</v>
      </c>
      <c r="AN727">
        <v>46111</v>
      </c>
      <c r="AO727">
        <v>46111.690254629626</v>
      </c>
      <c r="AP727" t="s">
        <v>51</v>
      </c>
      <c r="AQ727">
        <v>5.2150000000000002E-2</v>
      </c>
      <c r="AR727">
        <v>2086</v>
      </c>
      <c r="AS727" t="s">
        <v>51</v>
      </c>
      <c r="AT727">
        <v>2086</v>
      </c>
      <c r="AU727" t="s">
        <v>415</v>
      </c>
      <c r="AV727" t="s">
        <v>772</v>
      </c>
      <c r="AW727" t="s">
        <v>2514</v>
      </c>
      <c r="AX727">
        <v>46119</v>
      </c>
      <c r="AY727">
        <v>46168</v>
      </c>
      <c r="AZ727" t="s">
        <v>2515</v>
      </c>
      <c r="BA727" t="s">
        <v>419</v>
      </c>
      <c r="BB727" t="s">
        <v>2516</v>
      </c>
      <c r="BE727">
        <v>0</v>
      </c>
      <c r="BF727">
        <v>0</v>
      </c>
      <c r="BM727">
        <v>0</v>
      </c>
      <c r="BN727">
        <v>0</v>
      </c>
      <c r="BO727">
        <v>10</v>
      </c>
      <c r="CG727" t="s">
        <v>421</v>
      </c>
      <c r="CN727" t="str">
        <v>M45</v>
      </c>
      <c r="CO727" t="str">
        <v>1205-12C0016EN</v>
      </c>
      <c r="CP727" t="str">
        <v>OOCU9364658</v>
      </c>
      <c r="CQ727" s="23">
        <v>50.076000000000001</v>
      </c>
      <c r="CR727" s="25">
        <f t="shared" si="30"/>
        <v>3.5188255392037452E-3</v>
      </c>
      <c r="CS727" s="21">
        <f t="shared" si="31"/>
        <v>8.7970638480093637</v>
      </c>
    </row>
    <row r="728" spans="2:97" x14ac:dyDescent="0.35">
      <c r="B728" t="s">
        <v>297</v>
      </c>
      <c r="C728" t="s">
        <v>2530</v>
      </c>
      <c r="D728" t="s">
        <v>395</v>
      </c>
      <c r="E728" t="s">
        <v>395</v>
      </c>
      <c r="F728" t="s">
        <v>396</v>
      </c>
      <c r="G728" t="s">
        <v>397</v>
      </c>
      <c r="H728" t="s">
        <v>398</v>
      </c>
      <c r="I728" t="s">
        <v>399</v>
      </c>
      <c r="J728" t="s">
        <v>400</v>
      </c>
      <c r="K728" t="s">
        <v>401</v>
      </c>
      <c r="L728" t="s">
        <v>402</v>
      </c>
      <c r="M728" t="s">
        <v>403</v>
      </c>
      <c r="N728">
        <v>1</v>
      </c>
      <c r="O728">
        <v>1</v>
      </c>
      <c r="P728" t="s">
        <v>1194</v>
      </c>
      <c r="Q728" t="s">
        <v>405</v>
      </c>
      <c r="R728" t="s">
        <v>1195</v>
      </c>
      <c r="S728" t="s">
        <v>1196</v>
      </c>
      <c r="T728" t="s">
        <v>408</v>
      </c>
      <c r="U728">
        <v>50950081838</v>
      </c>
      <c r="W728">
        <v>100000</v>
      </c>
      <c r="X728" t="s">
        <v>409</v>
      </c>
      <c r="Y728" t="s">
        <v>410</v>
      </c>
      <c r="Z728" t="s">
        <v>410</v>
      </c>
      <c r="AA728" t="s">
        <v>411</v>
      </c>
      <c r="AB728" t="s">
        <v>412</v>
      </c>
      <c r="AC728" t="s">
        <v>411</v>
      </c>
      <c r="AD728">
        <v>46111</v>
      </c>
      <c r="AE728">
        <v>46167</v>
      </c>
      <c r="AF728">
        <v>46118</v>
      </c>
      <c r="AG728" t="s">
        <v>413</v>
      </c>
      <c r="AH728">
        <v>6166638</v>
      </c>
      <c r="AI728">
        <v>46111</v>
      </c>
      <c r="AJ728">
        <v>46111</v>
      </c>
      <c r="AK728">
        <v>100000</v>
      </c>
      <c r="AL728" t="s">
        <v>396</v>
      </c>
      <c r="AM728" t="s">
        <v>2531</v>
      </c>
      <c r="AN728">
        <v>46111</v>
      </c>
      <c r="AO728">
        <v>46111.690254629626</v>
      </c>
      <c r="AP728" t="s">
        <v>51</v>
      </c>
      <c r="AQ728">
        <v>9.5300000000000003E-3</v>
      </c>
      <c r="AR728">
        <v>953</v>
      </c>
      <c r="AS728" t="s">
        <v>51</v>
      </c>
      <c r="AT728">
        <v>953</v>
      </c>
      <c r="AU728" t="s">
        <v>415</v>
      </c>
      <c r="AV728" t="s">
        <v>772</v>
      </c>
      <c r="AW728" t="s">
        <v>2514</v>
      </c>
      <c r="AX728">
        <v>46119</v>
      </c>
      <c r="AY728">
        <v>46168</v>
      </c>
      <c r="AZ728" t="s">
        <v>2515</v>
      </c>
      <c r="BA728" t="s">
        <v>419</v>
      </c>
      <c r="BB728" t="s">
        <v>2516</v>
      </c>
      <c r="BE728">
        <v>0</v>
      </c>
      <c r="BF728">
        <v>0</v>
      </c>
      <c r="BM728">
        <v>0</v>
      </c>
      <c r="BN728">
        <v>0</v>
      </c>
      <c r="BO728">
        <v>0.1</v>
      </c>
      <c r="CG728" t="s">
        <v>421</v>
      </c>
      <c r="CN728" t="str">
        <v>M45</v>
      </c>
      <c r="CO728" t="str">
        <v>1205-12C0015EN</v>
      </c>
      <c r="CP728" t="str">
        <v>OOCU9364658</v>
      </c>
      <c r="CQ728" s="23">
        <v>34.801549999999999</v>
      </c>
      <c r="CR728" s="25">
        <f t="shared" si="30"/>
        <v>2.4454945072265376E-3</v>
      </c>
      <c r="CS728" s="21">
        <f t="shared" si="31"/>
        <v>6.1137362680663436</v>
      </c>
    </row>
    <row r="729" spans="2:97" x14ac:dyDescent="0.35">
      <c r="B729" t="s">
        <v>297</v>
      </c>
      <c r="C729" t="s">
        <v>2532</v>
      </c>
      <c r="D729" t="s">
        <v>395</v>
      </c>
      <c r="E729" t="s">
        <v>395</v>
      </c>
      <c r="F729" t="s">
        <v>396</v>
      </c>
      <c r="G729" t="s">
        <v>397</v>
      </c>
      <c r="H729" t="s">
        <v>398</v>
      </c>
      <c r="I729" t="s">
        <v>399</v>
      </c>
      <c r="J729" t="s">
        <v>400</v>
      </c>
      <c r="K729" t="s">
        <v>401</v>
      </c>
      <c r="L729" t="s">
        <v>402</v>
      </c>
      <c r="M729" t="s">
        <v>403</v>
      </c>
      <c r="N729">
        <v>1</v>
      </c>
      <c r="O729">
        <v>1</v>
      </c>
      <c r="P729" t="s">
        <v>1199</v>
      </c>
      <c r="Q729" t="s">
        <v>405</v>
      </c>
      <c r="R729" t="s">
        <v>1195</v>
      </c>
      <c r="S729" t="s">
        <v>1196</v>
      </c>
      <c r="T729" t="s">
        <v>408</v>
      </c>
      <c r="U729">
        <v>50950081883</v>
      </c>
      <c r="W729">
        <v>100000</v>
      </c>
      <c r="X729" t="s">
        <v>409</v>
      </c>
      <c r="Y729" t="s">
        <v>410</v>
      </c>
      <c r="Z729" t="s">
        <v>410</v>
      </c>
      <c r="AA729" t="s">
        <v>411</v>
      </c>
      <c r="AB729" t="s">
        <v>412</v>
      </c>
      <c r="AC729" t="s">
        <v>411</v>
      </c>
      <c r="AD729">
        <v>46111</v>
      </c>
      <c r="AE729">
        <v>46167</v>
      </c>
      <c r="AF729">
        <v>46118</v>
      </c>
      <c r="AG729" t="s">
        <v>413</v>
      </c>
      <c r="AH729">
        <v>6166637</v>
      </c>
      <c r="AI729">
        <v>46111</v>
      </c>
      <c r="AJ729">
        <v>46111</v>
      </c>
      <c r="AK729">
        <v>100000</v>
      </c>
      <c r="AL729" t="s">
        <v>396</v>
      </c>
      <c r="AM729" t="s">
        <v>2533</v>
      </c>
      <c r="AN729">
        <v>46111</v>
      </c>
      <c r="AO729">
        <v>46111.690254629626</v>
      </c>
      <c r="AP729" t="s">
        <v>51</v>
      </c>
      <c r="AQ729">
        <v>9.5300000000000003E-3</v>
      </c>
      <c r="AR729">
        <v>953</v>
      </c>
      <c r="AS729" t="s">
        <v>51</v>
      </c>
      <c r="AT729">
        <v>953</v>
      </c>
      <c r="AU729" t="s">
        <v>415</v>
      </c>
      <c r="AV729" t="s">
        <v>772</v>
      </c>
      <c r="AW729" t="s">
        <v>2514</v>
      </c>
      <c r="AX729">
        <v>46119</v>
      </c>
      <c r="AY729">
        <v>46168</v>
      </c>
      <c r="AZ729" t="s">
        <v>2515</v>
      </c>
      <c r="BA729" t="s">
        <v>419</v>
      </c>
      <c r="BB729" t="s">
        <v>2516</v>
      </c>
      <c r="BE729">
        <v>0</v>
      </c>
      <c r="BF729">
        <v>0</v>
      </c>
      <c r="BM729">
        <v>0</v>
      </c>
      <c r="BN729">
        <v>0</v>
      </c>
      <c r="BO729">
        <v>0.1</v>
      </c>
      <c r="CG729" t="s">
        <v>421</v>
      </c>
      <c r="CN729" t="str">
        <v>M45</v>
      </c>
      <c r="CO729" t="str">
        <v>1205-12C0014EN</v>
      </c>
      <c r="CP729" t="str">
        <v>OOCU9364658</v>
      </c>
      <c r="CQ729" s="23">
        <v>31.227699999999999</v>
      </c>
      <c r="CR729" s="25">
        <f t="shared" si="30"/>
        <v>2.1943611368837926E-3</v>
      </c>
      <c r="CS729" s="21">
        <f t="shared" si="31"/>
        <v>5.485902842209482</v>
      </c>
    </row>
    <row r="730" spans="2:97" x14ac:dyDescent="0.35">
      <c r="B730" t="s">
        <v>295</v>
      </c>
      <c r="C730" t="s">
        <v>2534</v>
      </c>
      <c r="D730" t="s">
        <v>395</v>
      </c>
      <c r="E730" t="s">
        <v>395</v>
      </c>
      <c r="F730" t="s">
        <v>396</v>
      </c>
      <c r="G730" t="s">
        <v>397</v>
      </c>
      <c r="H730" t="s">
        <v>398</v>
      </c>
      <c r="I730" t="s">
        <v>399</v>
      </c>
      <c r="J730" t="s">
        <v>400</v>
      </c>
      <c r="K730" t="s">
        <v>1214</v>
      </c>
      <c r="L730" t="s">
        <v>1215</v>
      </c>
      <c r="M730" t="s">
        <v>403</v>
      </c>
      <c r="N730">
        <v>1</v>
      </c>
      <c r="O730">
        <v>1</v>
      </c>
      <c r="P730" t="s">
        <v>2328</v>
      </c>
      <c r="Q730" t="s">
        <v>405</v>
      </c>
      <c r="R730" t="s">
        <v>2329</v>
      </c>
      <c r="S730" t="s">
        <v>1265</v>
      </c>
      <c r="T730" t="s">
        <v>408</v>
      </c>
      <c r="U730">
        <v>50950082655</v>
      </c>
      <c r="W730">
        <v>30000</v>
      </c>
      <c r="X730" t="s">
        <v>409</v>
      </c>
      <c r="Y730" t="s">
        <v>410</v>
      </c>
      <c r="Z730" t="s">
        <v>410</v>
      </c>
      <c r="AA730" t="s">
        <v>411</v>
      </c>
      <c r="AB730" t="s">
        <v>412</v>
      </c>
      <c r="AC730" t="s">
        <v>411</v>
      </c>
      <c r="AD730">
        <v>46108</v>
      </c>
      <c r="AE730">
        <v>46202</v>
      </c>
      <c r="AF730">
        <v>46118</v>
      </c>
      <c r="AG730" t="s">
        <v>413</v>
      </c>
      <c r="AH730">
        <v>6166648</v>
      </c>
      <c r="AI730">
        <v>46111</v>
      </c>
      <c r="AJ730">
        <v>46111</v>
      </c>
      <c r="AK730">
        <v>30000</v>
      </c>
      <c r="AL730" t="s">
        <v>396</v>
      </c>
      <c r="AM730" t="s">
        <v>2535</v>
      </c>
      <c r="AN730">
        <v>46111</v>
      </c>
      <c r="AO730">
        <v>46111.702430555553</v>
      </c>
      <c r="AP730" t="s">
        <v>51</v>
      </c>
      <c r="AQ730">
        <v>9.0799999999999995E-3</v>
      </c>
      <c r="AR730">
        <v>272.39999999999998</v>
      </c>
      <c r="AS730" t="s">
        <v>51</v>
      </c>
      <c r="AT730">
        <v>272.39999999999998</v>
      </c>
      <c r="AU730" t="s">
        <v>415</v>
      </c>
      <c r="AV730" t="s">
        <v>772</v>
      </c>
      <c r="AW730" t="s">
        <v>2514</v>
      </c>
      <c r="AX730">
        <v>46119</v>
      </c>
      <c r="AY730">
        <v>46168</v>
      </c>
      <c r="AZ730" t="s">
        <v>2515</v>
      </c>
      <c r="BA730" t="s">
        <v>419</v>
      </c>
      <c r="BB730" t="s">
        <v>2516</v>
      </c>
      <c r="BE730">
        <v>0</v>
      </c>
      <c r="BF730">
        <v>0</v>
      </c>
      <c r="BM730">
        <v>0</v>
      </c>
      <c r="BN730">
        <v>0</v>
      </c>
      <c r="BO730">
        <v>0.1</v>
      </c>
      <c r="CG730" t="s">
        <v>421</v>
      </c>
      <c r="CN730" t="str">
        <v>M19</v>
      </c>
      <c r="CO730" t="str">
        <v>1330-5YY0182EN</v>
      </c>
      <c r="CP730" t="str">
        <v>OOCU9364658</v>
      </c>
      <c r="CQ730" s="23">
        <v>2634.5340000000001</v>
      </c>
      <c r="CR730" s="25">
        <f t="shared" si="30"/>
        <v>0.18512791602964693</v>
      </c>
      <c r="CS730" s="21">
        <f t="shared" si="31"/>
        <v>462.81979007411729</v>
      </c>
    </row>
    <row r="731" spans="2:97" x14ac:dyDescent="0.35">
      <c r="B731" t="s">
        <v>296</v>
      </c>
      <c r="C731" t="s">
        <v>1715</v>
      </c>
      <c r="D731" t="s">
        <v>395</v>
      </c>
      <c r="E731" t="s">
        <v>395</v>
      </c>
      <c r="F731" t="s">
        <v>396</v>
      </c>
      <c r="G731" t="s">
        <v>397</v>
      </c>
      <c r="H731" t="s">
        <v>398</v>
      </c>
      <c r="I731" t="s">
        <v>399</v>
      </c>
      <c r="J731" t="s">
        <v>400</v>
      </c>
      <c r="K731" t="s">
        <v>484</v>
      </c>
      <c r="L731" t="s">
        <v>1716</v>
      </c>
      <c r="M731" t="s">
        <v>403</v>
      </c>
      <c r="N731">
        <v>2</v>
      </c>
      <c r="O731">
        <v>1</v>
      </c>
      <c r="P731" t="s">
        <v>1717</v>
      </c>
      <c r="Q731" t="s">
        <v>424</v>
      </c>
      <c r="R731" t="s">
        <v>1718</v>
      </c>
      <c r="S731" t="s">
        <v>1719</v>
      </c>
      <c r="T731" t="s">
        <v>408</v>
      </c>
      <c r="U731">
        <v>50950081637</v>
      </c>
      <c r="W731">
        <v>36000</v>
      </c>
      <c r="X731" t="s">
        <v>409</v>
      </c>
      <c r="Y731" t="s">
        <v>410</v>
      </c>
      <c r="Z731" t="s">
        <v>410</v>
      </c>
      <c r="AA731" t="s">
        <v>411</v>
      </c>
      <c r="AB731" t="s">
        <v>412</v>
      </c>
      <c r="AC731" t="s">
        <v>411</v>
      </c>
      <c r="AD731">
        <v>46111</v>
      </c>
      <c r="AE731">
        <v>46174</v>
      </c>
      <c r="AF731">
        <v>46118</v>
      </c>
      <c r="AG731" t="s">
        <v>489</v>
      </c>
      <c r="AH731">
        <v>6166651</v>
      </c>
      <c r="AI731">
        <v>46111</v>
      </c>
      <c r="AJ731">
        <v>46111</v>
      </c>
      <c r="AK731">
        <v>36000</v>
      </c>
      <c r="AL731" t="s">
        <v>396</v>
      </c>
      <c r="AM731" t="s">
        <v>2536</v>
      </c>
      <c r="AN731">
        <v>46111</v>
      </c>
      <c r="AO731">
        <v>46112.561828703707</v>
      </c>
      <c r="AP731" t="s">
        <v>51</v>
      </c>
      <c r="AQ731">
        <v>0.14984</v>
      </c>
      <c r="AR731">
        <v>5394.24</v>
      </c>
      <c r="AS731" t="s">
        <v>51</v>
      </c>
      <c r="AT731">
        <v>5394.24</v>
      </c>
      <c r="AU731" t="s">
        <v>415</v>
      </c>
      <c r="AV731" t="s">
        <v>772</v>
      </c>
      <c r="AW731" t="s">
        <v>2514</v>
      </c>
      <c r="AX731">
        <v>46119</v>
      </c>
      <c r="AY731">
        <v>46168</v>
      </c>
      <c r="AZ731" t="s">
        <v>2521</v>
      </c>
      <c r="BA731" t="s">
        <v>2219</v>
      </c>
      <c r="BB731" t="s">
        <v>2522</v>
      </c>
      <c r="BE731">
        <v>0</v>
      </c>
      <c r="BF731">
        <v>0</v>
      </c>
      <c r="BM731">
        <v>0</v>
      </c>
      <c r="BN731">
        <v>0</v>
      </c>
      <c r="BO731">
        <v>200</v>
      </c>
      <c r="CG731" t="s">
        <v>421</v>
      </c>
      <c r="CN731" t="str">
        <v>M19</v>
      </c>
      <c r="CO731" t="str">
        <v>1330-5YY0182EN</v>
      </c>
      <c r="CP731" t="str">
        <v>OOCU9364658</v>
      </c>
      <c r="CQ731" s="23">
        <v>702.54240000000004</v>
      </c>
      <c r="CR731" s="25">
        <f t="shared" si="30"/>
        <v>4.9367444274572521E-2</v>
      </c>
      <c r="CS731" s="21">
        <f t="shared" si="31"/>
        <v>123.41861068643131</v>
      </c>
    </row>
    <row r="732" spans="2:97" x14ac:dyDescent="0.35">
      <c r="B732" t="s">
        <v>296</v>
      </c>
      <c r="C732" t="s">
        <v>2537</v>
      </c>
      <c r="D732" t="s">
        <v>395</v>
      </c>
      <c r="E732" t="s">
        <v>395</v>
      </c>
      <c r="F732" t="s">
        <v>396</v>
      </c>
      <c r="G732" t="s">
        <v>397</v>
      </c>
      <c r="H732" t="s">
        <v>398</v>
      </c>
      <c r="I732" t="s">
        <v>399</v>
      </c>
      <c r="J732" t="s">
        <v>400</v>
      </c>
      <c r="K732" t="s">
        <v>484</v>
      </c>
      <c r="L732" t="s">
        <v>485</v>
      </c>
      <c r="M732" t="s">
        <v>403</v>
      </c>
      <c r="N732">
        <v>1</v>
      </c>
      <c r="O732">
        <v>1</v>
      </c>
      <c r="P732" t="s">
        <v>1236</v>
      </c>
      <c r="Q732" t="s">
        <v>424</v>
      </c>
      <c r="R732" t="s">
        <v>1237</v>
      </c>
      <c r="S732" t="s">
        <v>1238</v>
      </c>
      <c r="T732" t="s">
        <v>408</v>
      </c>
      <c r="U732">
        <v>50950081444</v>
      </c>
      <c r="W732">
        <v>2028.39</v>
      </c>
      <c r="X732" t="s">
        <v>409</v>
      </c>
      <c r="Y732" t="s">
        <v>410</v>
      </c>
      <c r="Z732" t="s">
        <v>410</v>
      </c>
      <c r="AA732" t="s">
        <v>411</v>
      </c>
      <c r="AB732" t="s">
        <v>412</v>
      </c>
      <c r="AC732" t="s">
        <v>411</v>
      </c>
      <c r="AD732">
        <v>46111</v>
      </c>
      <c r="AE732">
        <v>46174</v>
      </c>
      <c r="AF732">
        <v>46118</v>
      </c>
      <c r="AG732" t="s">
        <v>489</v>
      </c>
      <c r="AH732">
        <v>6166663</v>
      </c>
      <c r="AI732">
        <v>46111</v>
      </c>
      <c r="AJ732">
        <v>46111</v>
      </c>
      <c r="AK732">
        <v>2028.39</v>
      </c>
      <c r="AL732" t="s">
        <v>396</v>
      </c>
      <c r="AM732" t="s">
        <v>2538</v>
      </c>
      <c r="AN732">
        <v>46111</v>
      </c>
      <c r="AO732">
        <v>46112.561828703707</v>
      </c>
      <c r="AP732" t="s">
        <v>51</v>
      </c>
      <c r="AQ732">
        <v>7.3144900000000002</v>
      </c>
      <c r="AR732">
        <v>14836.64</v>
      </c>
      <c r="AS732" t="s">
        <v>51</v>
      </c>
      <c r="AT732">
        <v>14836.64</v>
      </c>
      <c r="AU732" t="s">
        <v>415</v>
      </c>
      <c r="AV732" t="s">
        <v>772</v>
      </c>
      <c r="AW732" t="s">
        <v>2514</v>
      </c>
      <c r="AX732">
        <v>46119</v>
      </c>
      <c r="AY732">
        <v>46168</v>
      </c>
      <c r="AZ732" t="s">
        <v>2515</v>
      </c>
      <c r="BA732" t="s">
        <v>419</v>
      </c>
      <c r="BB732" t="s">
        <v>2516</v>
      </c>
      <c r="BO732" s="23">
        <f t="shared" ref="BO732:BO735" si="32">AR732/AQ732</f>
        <v>2028.3902226949519</v>
      </c>
      <c r="CG732" t="s">
        <v>421</v>
      </c>
      <c r="CN732" t="str">
        <v>M19</v>
      </c>
      <c r="CO732" t="str">
        <v>1307-5YY0174EN</v>
      </c>
      <c r="CP732" t="str">
        <v>OOCU9364658</v>
      </c>
      <c r="CQ732" s="23">
        <v>1613.3920000000001</v>
      </c>
      <c r="CR732" s="25">
        <f t="shared" si="30"/>
        <v>0.1133725731757131</v>
      </c>
      <c r="CS732" s="21">
        <f t="shared" si="31"/>
        <v>283.43143293928273</v>
      </c>
    </row>
    <row r="733" spans="2:97" x14ac:dyDescent="0.35">
      <c r="B733" t="s">
        <v>296</v>
      </c>
      <c r="C733" t="s">
        <v>2539</v>
      </c>
      <c r="D733" t="s">
        <v>395</v>
      </c>
      <c r="E733" t="s">
        <v>395</v>
      </c>
      <c r="F733" t="s">
        <v>396</v>
      </c>
      <c r="G733" t="s">
        <v>397</v>
      </c>
      <c r="H733" t="s">
        <v>398</v>
      </c>
      <c r="I733" t="s">
        <v>399</v>
      </c>
      <c r="J733" t="s">
        <v>400</v>
      </c>
      <c r="K733" t="s">
        <v>484</v>
      </c>
      <c r="L733" t="s">
        <v>485</v>
      </c>
      <c r="M733" t="s">
        <v>403</v>
      </c>
      <c r="N733">
        <v>1</v>
      </c>
      <c r="O733">
        <v>1</v>
      </c>
      <c r="P733" t="s">
        <v>2260</v>
      </c>
      <c r="Q733" t="s">
        <v>424</v>
      </c>
      <c r="R733" t="s">
        <v>2261</v>
      </c>
      <c r="S733" t="s">
        <v>1238</v>
      </c>
      <c r="T733" t="s">
        <v>408</v>
      </c>
      <c r="U733">
        <v>50950081453</v>
      </c>
      <c r="W733">
        <v>987.22</v>
      </c>
      <c r="X733" t="s">
        <v>409</v>
      </c>
      <c r="Y733" t="s">
        <v>410</v>
      </c>
      <c r="Z733" t="s">
        <v>410</v>
      </c>
      <c r="AA733" t="s">
        <v>411</v>
      </c>
      <c r="AB733" t="s">
        <v>412</v>
      </c>
      <c r="AC733" t="s">
        <v>411</v>
      </c>
      <c r="AD733">
        <v>46111</v>
      </c>
      <c r="AE733">
        <v>46167</v>
      </c>
      <c r="AF733">
        <v>46118</v>
      </c>
      <c r="AG733" t="s">
        <v>489</v>
      </c>
      <c r="AH733">
        <v>6166662</v>
      </c>
      <c r="AI733">
        <v>46111</v>
      </c>
      <c r="AJ733">
        <v>46111</v>
      </c>
      <c r="AK733">
        <v>987.22</v>
      </c>
      <c r="AL733" t="s">
        <v>396</v>
      </c>
      <c r="AM733" t="s">
        <v>2540</v>
      </c>
      <c r="AN733">
        <v>46111</v>
      </c>
      <c r="AO733">
        <v>46112.561828703707</v>
      </c>
      <c r="AP733" t="s">
        <v>51</v>
      </c>
      <c r="AQ733">
        <v>5.5122200000000001</v>
      </c>
      <c r="AR733">
        <v>5441.77</v>
      </c>
      <c r="AS733" t="s">
        <v>51</v>
      </c>
      <c r="AT733">
        <v>5441.77</v>
      </c>
      <c r="AU733" t="s">
        <v>415</v>
      </c>
      <c r="AV733" t="s">
        <v>772</v>
      </c>
      <c r="AW733" t="s">
        <v>2514</v>
      </c>
      <c r="AX733">
        <v>46119</v>
      </c>
      <c r="AY733">
        <v>46168</v>
      </c>
      <c r="AZ733" t="s">
        <v>2515</v>
      </c>
      <c r="BA733" t="s">
        <v>419</v>
      </c>
      <c r="BB733" t="s">
        <v>2516</v>
      </c>
      <c r="BO733" s="23">
        <f t="shared" si="32"/>
        <v>987.2193054703913</v>
      </c>
      <c r="CG733" t="s">
        <v>421</v>
      </c>
      <c r="CN733" t="str">
        <v>M19</v>
      </c>
      <c r="CO733" t="str">
        <v>1330-5YY0183EN</v>
      </c>
      <c r="CP733" t="str">
        <v>OOCU9364658</v>
      </c>
      <c r="CQ733" s="23">
        <v>257.69760000000002</v>
      </c>
      <c r="CR733" s="25">
        <f t="shared" si="30"/>
        <v>1.810833325887673E-2</v>
      </c>
      <c r="CS733" s="21">
        <f t="shared" si="31"/>
        <v>45.270833147191823</v>
      </c>
    </row>
    <row r="734" spans="2:97" x14ac:dyDescent="0.35">
      <c r="B734" t="s">
        <v>296</v>
      </c>
      <c r="C734" t="s">
        <v>2541</v>
      </c>
      <c r="D734" t="s">
        <v>395</v>
      </c>
      <c r="E734" t="s">
        <v>395</v>
      </c>
      <c r="F734" t="s">
        <v>396</v>
      </c>
      <c r="G734" t="s">
        <v>397</v>
      </c>
      <c r="H734" t="s">
        <v>398</v>
      </c>
      <c r="I734" t="s">
        <v>399</v>
      </c>
      <c r="J734" t="s">
        <v>400</v>
      </c>
      <c r="K734" t="s">
        <v>484</v>
      </c>
      <c r="L734" t="s">
        <v>485</v>
      </c>
      <c r="M734" t="s">
        <v>403</v>
      </c>
      <c r="N734">
        <v>1</v>
      </c>
      <c r="O734">
        <v>1</v>
      </c>
      <c r="P734" t="s">
        <v>1236</v>
      </c>
      <c r="Q734" t="s">
        <v>424</v>
      </c>
      <c r="R734" t="s">
        <v>1237</v>
      </c>
      <c r="S734" t="s">
        <v>1238</v>
      </c>
      <c r="T734" t="s">
        <v>408</v>
      </c>
      <c r="U734">
        <v>50950081462</v>
      </c>
      <c r="W734">
        <v>2015.18</v>
      </c>
      <c r="X734" t="s">
        <v>409</v>
      </c>
      <c r="Y734" t="s">
        <v>410</v>
      </c>
      <c r="Z734" t="s">
        <v>410</v>
      </c>
      <c r="AA734" t="s">
        <v>411</v>
      </c>
      <c r="AB734" t="s">
        <v>412</v>
      </c>
      <c r="AC734" t="s">
        <v>411</v>
      </c>
      <c r="AD734">
        <v>46111</v>
      </c>
      <c r="AE734">
        <v>46167</v>
      </c>
      <c r="AF734">
        <v>46118</v>
      </c>
      <c r="AG734" t="s">
        <v>489</v>
      </c>
      <c r="AH734">
        <v>6166664</v>
      </c>
      <c r="AI734">
        <v>46111</v>
      </c>
      <c r="AJ734">
        <v>46111</v>
      </c>
      <c r="AK734">
        <v>2015.18</v>
      </c>
      <c r="AL734" t="s">
        <v>396</v>
      </c>
      <c r="AM734" t="s">
        <v>2542</v>
      </c>
      <c r="AN734">
        <v>46111</v>
      </c>
      <c r="AO734">
        <v>46112.561828703707</v>
      </c>
      <c r="AP734" t="s">
        <v>51</v>
      </c>
      <c r="AQ734">
        <v>7.3144900000000002</v>
      </c>
      <c r="AR734">
        <v>14740.01</v>
      </c>
      <c r="AS734" t="s">
        <v>51</v>
      </c>
      <c r="AT734">
        <v>14740.01</v>
      </c>
      <c r="AU734" t="s">
        <v>415</v>
      </c>
      <c r="AV734" t="s">
        <v>772</v>
      </c>
      <c r="AW734" t="s">
        <v>2514</v>
      </c>
      <c r="AX734">
        <v>46119</v>
      </c>
      <c r="AY734">
        <v>46168</v>
      </c>
      <c r="AZ734" t="s">
        <v>2515</v>
      </c>
      <c r="BA734" t="s">
        <v>419</v>
      </c>
      <c r="BB734" t="s">
        <v>2516</v>
      </c>
      <c r="BO734" s="23">
        <f t="shared" si="32"/>
        <v>2015.1794588549578</v>
      </c>
      <c r="CG734" t="s">
        <v>421</v>
      </c>
      <c r="CN734" t="str">
        <v>M01</v>
      </c>
      <c r="CO734" t="str">
        <v>1108-0033100EN0018</v>
      </c>
      <c r="CP734" t="str">
        <v>OOCU9364658</v>
      </c>
      <c r="CQ734" s="23">
        <v>17.655999999999999</v>
      </c>
      <c r="CR734" s="25">
        <f t="shared" si="30"/>
        <v>1.2406818380098514E-3</v>
      </c>
      <c r="CS734" s="21">
        <f t="shared" si="31"/>
        <v>3.1017045950246285</v>
      </c>
    </row>
    <row r="735" spans="2:97" x14ac:dyDescent="0.35">
      <c r="B735" t="s">
        <v>296</v>
      </c>
      <c r="C735" t="s">
        <v>2543</v>
      </c>
      <c r="D735" t="s">
        <v>395</v>
      </c>
      <c r="E735" t="s">
        <v>395</v>
      </c>
      <c r="F735" t="s">
        <v>396</v>
      </c>
      <c r="G735" t="s">
        <v>397</v>
      </c>
      <c r="H735" t="s">
        <v>398</v>
      </c>
      <c r="I735" t="s">
        <v>399</v>
      </c>
      <c r="J735" t="s">
        <v>400</v>
      </c>
      <c r="K735" t="s">
        <v>484</v>
      </c>
      <c r="L735" t="s">
        <v>485</v>
      </c>
      <c r="M735" t="s">
        <v>403</v>
      </c>
      <c r="N735">
        <v>1</v>
      </c>
      <c r="O735">
        <v>1</v>
      </c>
      <c r="P735" t="s">
        <v>1241</v>
      </c>
      <c r="Q735" t="s">
        <v>424</v>
      </c>
      <c r="R735" t="s">
        <v>1242</v>
      </c>
      <c r="S735" t="s">
        <v>1243</v>
      </c>
      <c r="T735" t="s">
        <v>408</v>
      </c>
      <c r="U735">
        <v>50950081463</v>
      </c>
      <c r="W735">
        <v>20</v>
      </c>
      <c r="X735" t="s">
        <v>409</v>
      </c>
      <c r="Y735" t="s">
        <v>410</v>
      </c>
      <c r="Z735" t="s">
        <v>410</v>
      </c>
      <c r="AA735" t="s">
        <v>411</v>
      </c>
      <c r="AB735" t="s">
        <v>412</v>
      </c>
      <c r="AC735" t="s">
        <v>411</v>
      </c>
      <c r="AD735">
        <v>46111</v>
      </c>
      <c r="AE735">
        <v>46167</v>
      </c>
      <c r="AF735">
        <v>46118</v>
      </c>
      <c r="AG735" t="s">
        <v>489</v>
      </c>
      <c r="AH735">
        <v>6166667</v>
      </c>
      <c r="AI735">
        <v>46111</v>
      </c>
      <c r="AJ735">
        <v>46111</v>
      </c>
      <c r="AK735">
        <v>20</v>
      </c>
      <c r="AL735" t="s">
        <v>396</v>
      </c>
      <c r="AM735" t="s">
        <v>2544</v>
      </c>
      <c r="AN735">
        <v>46111</v>
      </c>
      <c r="AO735">
        <v>46112.561828703707</v>
      </c>
      <c r="AP735" t="s">
        <v>51</v>
      </c>
      <c r="AQ735">
        <v>107.39230999999999</v>
      </c>
      <c r="AR735">
        <v>2147.85</v>
      </c>
      <c r="AS735" t="s">
        <v>51</v>
      </c>
      <c r="AT735">
        <v>2147.85</v>
      </c>
      <c r="AU735" t="s">
        <v>415</v>
      </c>
      <c r="AV735" t="s">
        <v>772</v>
      </c>
      <c r="AW735" t="s">
        <v>2514</v>
      </c>
      <c r="AX735">
        <v>46119</v>
      </c>
      <c r="AY735">
        <v>46168</v>
      </c>
      <c r="AZ735" t="s">
        <v>2515</v>
      </c>
      <c r="BA735" t="s">
        <v>419</v>
      </c>
      <c r="BB735" t="s">
        <v>2516</v>
      </c>
      <c r="BO735" s="23">
        <f t="shared" si="32"/>
        <v>20.000035384284033</v>
      </c>
      <c r="CG735" t="s">
        <v>421</v>
      </c>
      <c r="CN735" t="str">
        <v>MCS</v>
      </c>
      <c r="CO735" t="str">
        <v>1209-5YY0205-T2EN</v>
      </c>
      <c r="CP735" t="str">
        <v>OOCU9364658</v>
      </c>
      <c r="CQ735" s="23">
        <v>34.771099999999997</v>
      </c>
      <c r="CR735" s="25">
        <f t="shared" si="30"/>
        <v>2.4433547948359961E-3</v>
      </c>
      <c r="CS735" s="21">
        <f t="shared" si="31"/>
        <v>6.1083869870899905</v>
      </c>
    </row>
    <row r="736" spans="2:97" x14ac:dyDescent="0.35">
      <c r="B736" t="s">
        <v>296</v>
      </c>
      <c r="C736" t="s">
        <v>2545</v>
      </c>
      <c r="D736" t="s">
        <v>395</v>
      </c>
      <c r="E736" t="s">
        <v>395</v>
      </c>
      <c r="F736" t="s">
        <v>396</v>
      </c>
      <c r="G736" t="s">
        <v>397</v>
      </c>
      <c r="H736" t="s">
        <v>398</v>
      </c>
      <c r="I736" t="s">
        <v>399</v>
      </c>
      <c r="J736" t="s">
        <v>400</v>
      </c>
      <c r="K736" t="s">
        <v>484</v>
      </c>
      <c r="L736" t="s">
        <v>485</v>
      </c>
      <c r="M736" t="s">
        <v>403</v>
      </c>
      <c r="N736">
        <v>1</v>
      </c>
      <c r="O736">
        <v>1</v>
      </c>
      <c r="P736" t="s">
        <v>492</v>
      </c>
      <c r="Q736" t="s">
        <v>430</v>
      </c>
      <c r="R736" t="s">
        <v>493</v>
      </c>
      <c r="S736" t="s">
        <v>494</v>
      </c>
      <c r="T736" t="s">
        <v>408</v>
      </c>
      <c r="U736">
        <v>50950081837</v>
      </c>
      <c r="W736">
        <v>50000</v>
      </c>
      <c r="X736" t="s">
        <v>409</v>
      </c>
      <c r="Y736" t="s">
        <v>410</v>
      </c>
      <c r="Z736" t="s">
        <v>410</v>
      </c>
      <c r="AA736" t="s">
        <v>411</v>
      </c>
      <c r="AB736" t="s">
        <v>412</v>
      </c>
      <c r="AC736" t="s">
        <v>411</v>
      </c>
      <c r="AD736">
        <v>46111</v>
      </c>
      <c r="AE736">
        <v>46174</v>
      </c>
      <c r="AF736">
        <v>46118</v>
      </c>
      <c r="AG736" t="s">
        <v>489</v>
      </c>
      <c r="AH736">
        <v>6166665</v>
      </c>
      <c r="AI736">
        <v>46111</v>
      </c>
      <c r="AJ736">
        <v>46111</v>
      </c>
      <c r="AK736">
        <v>50000</v>
      </c>
      <c r="AL736" t="s">
        <v>396</v>
      </c>
      <c r="AM736" t="s">
        <v>2546</v>
      </c>
      <c r="AN736">
        <v>46111</v>
      </c>
      <c r="AO736">
        <v>46112.561828703707</v>
      </c>
      <c r="AP736" t="s">
        <v>51</v>
      </c>
      <c r="AQ736">
        <v>4.4589999999999998E-2</v>
      </c>
      <c r="AR736">
        <v>2229.5</v>
      </c>
      <c r="AS736" t="s">
        <v>51</v>
      </c>
      <c r="AT736">
        <v>2229.5</v>
      </c>
      <c r="AU736" t="s">
        <v>415</v>
      </c>
      <c r="AV736" t="s">
        <v>772</v>
      </c>
      <c r="AW736" t="s">
        <v>2514</v>
      </c>
      <c r="AX736">
        <v>46119</v>
      </c>
      <c r="AY736">
        <v>46168</v>
      </c>
      <c r="AZ736" t="s">
        <v>2521</v>
      </c>
      <c r="BA736" t="s">
        <v>2219</v>
      </c>
      <c r="BB736" t="s">
        <v>2522</v>
      </c>
      <c r="BE736">
        <v>0</v>
      </c>
      <c r="BF736">
        <v>0</v>
      </c>
      <c r="BM736">
        <v>0</v>
      </c>
      <c r="BN736">
        <v>0</v>
      </c>
      <c r="BO736">
        <v>50</v>
      </c>
      <c r="CG736" t="s">
        <v>421</v>
      </c>
      <c r="CN736" t="str">
        <v>M19</v>
      </c>
      <c r="CO736" t="str">
        <v>1330-5YY0176EN</v>
      </c>
      <c r="CP736" t="str">
        <v>OOCU9364658</v>
      </c>
      <c r="CQ736" s="23">
        <v>821.26080000000002</v>
      </c>
      <c r="CR736" s="25">
        <f t="shared" si="30"/>
        <v>5.7709750726633501E-2</v>
      </c>
      <c r="CS736" s="21">
        <f t="shared" si="31"/>
        <v>144.27437681658375</v>
      </c>
    </row>
    <row r="737" spans="2:97" x14ac:dyDescent="0.35">
      <c r="B737" t="s">
        <v>296</v>
      </c>
      <c r="C737" t="s">
        <v>2547</v>
      </c>
      <c r="D737" t="s">
        <v>395</v>
      </c>
      <c r="E737" t="s">
        <v>395</v>
      </c>
      <c r="F737" t="s">
        <v>396</v>
      </c>
      <c r="G737" t="s">
        <v>397</v>
      </c>
      <c r="H737" t="s">
        <v>398</v>
      </c>
      <c r="I737" t="s">
        <v>399</v>
      </c>
      <c r="J737" t="s">
        <v>400</v>
      </c>
      <c r="K737" t="s">
        <v>484</v>
      </c>
      <c r="L737" t="s">
        <v>485</v>
      </c>
      <c r="M737" t="s">
        <v>403</v>
      </c>
      <c r="N737">
        <v>1</v>
      </c>
      <c r="O737">
        <v>1</v>
      </c>
      <c r="P737" t="s">
        <v>492</v>
      </c>
      <c r="Q737" t="s">
        <v>430</v>
      </c>
      <c r="R737" t="s">
        <v>493</v>
      </c>
      <c r="S737" t="s">
        <v>494</v>
      </c>
      <c r="T737" t="s">
        <v>408</v>
      </c>
      <c r="U737">
        <v>50950082442</v>
      </c>
      <c r="W737">
        <v>80000</v>
      </c>
      <c r="X737" t="s">
        <v>409</v>
      </c>
      <c r="Y737" t="s">
        <v>410</v>
      </c>
      <c r="Z737" t="s">
        <v>410</v>
      </c>
      <c r="AA737" t="s">
        <v>411</v>
      </c>
      <c r="AB737" t="s">
        <v>412</v>
      </c>
      <c r="AC737" t="s">
        <v>411</v>
      </c>
      <c r="AD737">
        <v>46111</v>
      </c>
      <c r="AE737">
        <v>46174</v>
      </c>
      <c r="AF737">
        <v>46118</v>
      </c>
      <c r="AG737" t="s">
        <v>489</v>
      </c>
      <c r="AH737">
        <v>6166666</v>
      </c>
      <c r="AI737">
        <v>46111</v>
      </c>
      <c r="AJ737">
        <v>46111</v>
      </c>
      <c r="AK737">
        <v>80000</v>
      </c>
      <c r="AL737" t="s">
        <v>396</v>
      </c>
      <c r="AM737" t="s">
        <v>2548</v>
      </c>
      <c r="AN737">
        <v>46111</v>
      </c>
      <c r="AO737">
        <v>46112.561828703707</v>
      </c>
      <c r="AP737" t="s">
        <v>51</v>
      </c>
      <c r="AQ737">
        <v>4.4589999999999998E-2</v>
      </c>
      <c r="AR737">
        <v>3567.2</v>
      </c>
      <c r="AS737" t="s">
        <v>51</v>
      </c>
      <c r="AT737">
        <v>3567.2</v>
      </c>
      <c r="AU737" t="s">
        <v>415</v>
      </c>
      <c r="AV737" t="s">
        <v>772</v>
      </c>
      <c r="AW737" t="s">
        <v>2514</v>
      </c>
      <c r="AX737">
        <v>46119</v>
      </c>
      <c r="AY737">
        <v>46168</v>
      </c>
      <c r="AZ737" t="s">
        <v>2521</v>
      </c>
      <c r="BA737" t="s">
        <v>2219</v>
      </c>
      <c r="BB737" t="s">
        <v>2522</v>
      </c>
      <c r="BE737">
        <v>0</v>
      </c>
      <c r="BF737">
        <v>0</v>
      </c>
      <c r="BM737">
        <v>0</v>
      </c>
      <c r="BN737">
        <v>0</v>
      </c>
      <c r="BO737">
        <v>50</v>
      </c>
      <c r="CG737" t="s">
        <v>421</v>
      </c>
      <c r="CN737" t="str">
        <v>MCS</v>
      </c>
      <c r="CO737" t="str">
        <v>1326-5YY0037EN</v>
      </c>
      <c r="CP737" t="str">
        <v>OOCU9364658</v>
      </c>
      <c r="CQ737" s="23">
        <v>29.498000000000001</v>
      </c>
      <c r="CR737" s="25">
        <f t="shared" si="30"/>
        <v>2.0728156353429202E-3</v>
      </c>
      <c r="CS737" s="21">
        <f t="shared" si="31"/>
        <v>5.1820390883573006</v>
      </c>
    </row>
    <row r="738" spans="2:97" x14ac:dyDescent="0.35">
      <c r="B738" t="s">
        <v>296</v>
      </c>
      <c r="C738" t="s">
        <v>2549</v>
      </c>
      <c r="D738" t="s">
        <v>395</v>
      </c>
      <c r="E738" t="s">
        <v>395</v>
      </c>
      <c r="F738" t="s">
        <v>396</v>
      </c>
      <c r="G738" t="s">
        <v>397</v>
      </c>
      <c r="H738" t="s">
        <v>398</v>
      </c>
      <c r="I738" t="s">
        <v>399</v>
      </c>
      <c r="J738" t="s">
        <v>400</v>
      </c>
      <c r="K738" t="s">
        <v>484</v>
      </c>
      <c r="L738" t="s">
        <v>485</v>
      </c>
      <c r="M738" t="s">
        <v>403</v>
      </c>
      <c r="N738">
        <v>1</v>
      </c>
      <c r="O738">
        <v>1</v>
      </c>
      <c r="P738" t="s">
        <v>2550</v>
      </c>
      <c r="Q738" t="s">
        <v>430</v>
      </c>
      <c r="R738" t="s">
        <v>1718</v>
      </c>
      <c r="S738" t="s">
        <v>2551</v>
      </c>
      <c r="T738" t="s">
        <v>408</v>
      </c>
      <c r="U738">
        <v>50950082570</v>
      </c>
      <c r="W738">
        <v>26880</v>
      </c>
      <c r="X738" t="s">
        <v>409</v>
      </c>
      <c r="Y738" t="s">
        <v>410</v>
      </c>
      <c r="Z738" t="s">
        <v>410</v>
      </c>
      <c r="AA738" t="s">
        <v>411</v>
      </c>
      <c r="AB738" t="s">
        <v>412</v>
      </c>
      <c r="AC738" t="s">
        <v>411</v>
      </c>
      <c r="AD738">
        <v>46111</v>
      </c>
      <c r="AE738">
        <v>46216</v>
      </c>
      <c r="AF738">
        <v>46118</v>
      </c>
      <c r="AG738" t="s">
        <v>489</v>
      </c>
      <c r="AH738">
        <v>6166668</v>
      </c>
      <c r="AI738">
        <v>46111</v>
      </c>
      <c r="AJ738">
        <v>46111</v>
      </c>
      <c r="AK738">
        <v>26880</v>
      </c>
      <c r="AL738" t="s">
        <v>396</v>
      </c>
      <c r="AM738" t="s">
        <v>2552</v>
      </c>
      <c r="AN738">
        <v>46111</v>
      </c>
      <c r="AO738">
        <v>46112.561828703707</v>
      </c>
      <c r="AP738" t="s">
        <v>51</v>
      </c>
      <c r="AQ738">
        <v>0.14321999999999999</v>
      </c>
      <c r="AR738">
        <v>3849.75</v>
      </c>
      <c r="AS738" t="s">
        <v>51</v>
      </c>
      <c r="AT738">
        <v>3849.75</v>
      </c>
      <c r="AU738" t="s">
        <v>415</v>
      </c>
      <c r="AV738" t="s">
        <v>772</v>
      </c>
      <c r="AW738" t="s">
        <v>2514</v>
      </c>
      <c r="AX738">
        <v>46119</v>
      </c>
      <c r="AY738">
        <v>46168</v>
      </c>
      <c r="AZ738" t="s">
        <v>2521</v>
      </c>
      <c r="BA738" t="s">
        <v>2219</v>
      </c>
      <c r="BB738" t="s">
        <v>2522</v>
      </c>
      <c r="BE738">
        <v>0</v>
      </c>
      <c r="BF738">
        <v>0</v>
      </c>
      <c r="BM738">
        <v>0</v>
      </c>
      <c r="BN738">
        <v>0</v>
      </c>
      <c r="BO738">
        <v>200</v>
      </c>
      <c r="CG738" t="s">
        <v>421</v>
      </c>
      <c r="CN738" t="str">
        <v>M19</v>
      </c>
      <c r="CO738" t="str">
        <v>1330-5YY0112EN</v>
      </c>
      <c r="CP738" t="str">
        <v>OOCU9364658</v>
      </c>
      <c r="CQ738" s="23">
        <v>148.10568000000001</v>
      </c>
      <c r="CR738" s="25">
        <f t="shared" si="30"/>
        <v>1.0407341826127034E-2</v>
      </c>
      <c r="CS738" s="21">
        <f t="shared" si="31"/>
        <v>26.018354565317583</v>
      </c>
    </row>
    <row r="739" spans="2:97" x14ac:dyDescent="0.35">
      <c r="B739" t="s">
        <v>296</v>
      </c>
      <c r="C739" t="s">
        <v>2553</v>
      </c>
      <c r="D739" t="s">
        <v>395</v>
      </c>
      <c r="E739" t="s">
        <v>395</v>
      </c>
      <c r="F739" t="s">
        <v>396</v>
      </c>
      <c r="G739" t="s">
        <v>397</v>
      </c>
      <c r="H739" t="s">
        <v>398</v>
      </c>
      <c r="I739" t="s">
        <v>399</v>
      </c>
      <c r="J739" t="s">
        <v>400</v>
      </c>
      <c r="K739" t="s">
        <v>484</v>
      </c>
      <c r="L739" t="s">
        <v>497</v>
      </c>
      <c r="M739" t="s">
        <v>403</v>
      </c>
      <c r="N739">
        <v>1</v>
      </c>
      <c r="O739">
        <v>1</v>
      </c>
      <c r="P739" t="s">
        <v>2554</v>
      </c>
      <c r="Q739" t="s">
        <v>430</v>
      </c>
      <c r="R739" t="s">
        <v>2555</v>
      </c>
      <c r="S739" t="s">
        <v>2556</v>
      </c>
      <c r="T739" t="s">
        <v>408</v>
      </c>
      <c r="U739">
        <v>50950081666</v>
      </c>
      <c r="W739">
        <v>312000</v>
      </c>
      <c r="X739" t="s">
        <v>409</v>
      </c>
      <c r="Y739" t="s">
        <v>410</v>
      </c>
      <c r="Z739" t="s">
        <v>410</v>
      </c>
      <c r="AA739" t="s">
        <v>411</v>
      </c>
      <c r="AB739" t="s">
        <v>412</v>
      </c>
      <c r="AC739" t="s">
        <v>411</v>
      </c>
      <c r="AD739">
        <v>46111</v>
      </c>
      <c r="AE739">
        <v>46174</v>
      </c>
      <c r="AF739">
        <v>46118</v>
      </c>
      <c r="AG739" t="s">
        <v>489</v>
      </c>
      <c r="AH739">
        <v>6166673</v>
      </c>
      <c r="AI739">
        <v>46111</v>
      </c>
      <c r="AJ739">
        <v>46111</v>
      </c>
      <c r="AK739">
        <v>312000</v>
      </c>
      <c r="AL739" t="s">
        <v>396</v>
      </c>
      <c r="AM739" t="s">
        <v>2557</v>
      </c>
      <c r="AN739">
        <v>46111</v>
      </c>
      <c r="AO739">
        <v>46112.561828703707</v>
      </c>
      <c r="AP739" t="s">
        <v>51</v>
      </c>
      <c r="AQ739">
        <v>8.7799999999999996E-3</v>
      </c>
      <c r="AR739">
        <v>2739.36</v>
      </c>
      <c r="AS739" t="s">
        <v>51</v>
      </c>
      <c r="AT739">
        <v>2739.36</v>
      </c>
      <c r="AU739" t="s">
        <v>415</v>
      </c>
      <c r="AV739" t="s">
        <v>772</v>
      </c>
      <c r="AW739" t="s">
        <v>2514</v>
      </c>
      <c r="AX739">
        <v>46119</v>
      </c>
      <c r="AY739">
        <v>46168</v>
      </c>
      <c r="AZ739" t="s">
        <v>2515</v>
      </c>
      <c r="BA739" t="s">
        <v>419</v>
      </c>
      <c r="BB739" t="s">
        <v>2516</v>
      </c>
      <c r="BE739">
        <v>0</v>
      </c>
      <c r="BF739">
        <v>0</v>
      </c>
      <c r="BM739">
        <v>0</v>
      </c>
      <c r="BN739">
        <v>0</v>
      </c>
      <c r="BO739">
        <v>0.1</v>
      </c>
      <c r="CG739" t="s">
        <v>421</v>
      </c>
      <c r="CN739" t="str">
        <v>M19</v>
      </c>
      <c r="CO739" t="str">
        <v>1330-5YY0168EN</v>
      </c>
      <c r="CP739" t="str">
        <v>OOCU9364658</v>
      </c>
      <c r="CQ739" s="23">
        <v>513.98400000000004</v>
      </c>
      <c r="CR739" s="25">
        <f t="shared" si="30"/>
        <v>3.6117501915929745E-2</v>
      </c>
      <c r="CS739" s="21">
        <f t="shared" si="31"/>
        <v>90.293754789824362</v>
      </c>
    </row>
    <row r="740" spans="2:97" x14ac:dyDescent="0.35">
      <c r="B740" t="s">
        <v>296</v>
      </c>
      <c r="C740" t="s">
        <v>2558</v>
      </c>
      <c r="D740" t="s">
        <v>395</v>
      </c>
      <c r="E740" t="s">
        <v>395</v>
      </c>
      <c r="F740" t="s">
        <v>396</v>
      </c>
      <c r="G740" t="s">
        <v>397</v>
      </c>
      <c r="H740" t="s">
        <v>398</v>
      </c>
      <c r="I740" t="s">
        <v>399</v>
      </c>
      <c r="J740" t="s">
        <v>400</v>
      </c>
      <c r="K740" t="s">
        <v>484</v>
      </c>
      <c r="L740" t="s">
        <v>497</v>
      </c>
      <c r="M740" t="s">
        <v>403</v>
      </c>
      <c r="N740">
        <v>1</v>
      </c>
      <c r="O740">
        <v>1</v>
      </c>
      <c r="P740" t="s">
        <v>1263</v>
      </c>
      <c r="Q740" t="s">
        <v>424</v>
      </c>
      <c r="R740" t="s">
        <v>1264</v>
      </c>
      <c r="S740" t="s">
        <v>1265</v>
      </c>
      <c r="T740" t="s">
        <v>408</v>
      </c>
      <c r="U740">
        <v>50950081698</v>
      </c>
      <c r="W740">
        <v>200000</v>
      </c>
      <c r="X740" t="s">
        <v>409</v>
      </c>
      <c r="Y740" t="s">
        <v>410</v>
      </c>
      <c r="Z740" t="s">
        <v>410</v>
      </c>
      <c r="AA740" t="s">
        <v>411</v>
      </c>
      <c r="AB740" t="s">
        <v>412</v>
      </c>
      <c r="AC740" t="s">
        <v>411</v>
      </c>
      <c r="AD740">
        <v>46108</v>
      </c>
      <c r="AE740">
        <v>46174</v>
      </c>
      <c r="AF740">
        <v>46118</v>
      </c>
      <c r="AG740" t="s">
        <v>489</v>
      </c>
      <c r="AH740">
        <v>6166675</v>
      </c>
      <c r="AI740">
        <v>46111</v>
      </c>
      <c r="AJ740">
        <v>46111</v>
      </c>
      <c r="AK740">
        <v>200000</v>
      </c>
      <c r="AL740" t="s">
        <v>396</v>
      </c>
      <c r="AM740" t="s">
        <v>2559</v>
      </c>
      <c r="AN740">
        <v>46111</v>
      </c>
      <c r="AO740">
        <v>46112.561828703707</v>
      </c>
      <c r="AP740" t="s">
        <v>51</v>
      </c>
      <c r="AQ740">
        <v>9.4699999999999993E-3</v>
      </c>
      <c r="AR740">
        <v>1894</v>
      </c>
      <c r="AS740" t="s">
        <v>51</v>
      </c>
      <c r="AT740">
        <v>1894</v>
      </c>
      <c r="AU740" t="s">
        <v>415</v>
      </c>
      <c r="AV740" t="s">
        <v>772</v>
      </c>
      <c r="AW740" t="s">
        <v>2514</v>
      </c>
      <c r="AX740">
        <v>46119</v>
      </c>
      <c r="AY740">
        <v>46168</v>
      </c>
      <c r="AZ740" t="s">
        <v>2515</v>
      </c>
      <c r="BA740" t="s">
        <v>419</v>
      </c>
      <c r="BB740" t="s">
        <v>2516</v>
      </c>
      <c r="BE740">
        <v>0</v>
      </c>
      <c r="BF740">
        <v>0</v>
      </c>
      <c r="BM740">
        <v>0</v>
      </c>
      <c r="BN740">
        <v>0</v>
      </c>
      <c r="BO740">
        <v>0.1</v>
      </c>
      <c r="CG740" t="s">
        <v>421</v>
      </c>
      <c r="CN740" t="str">
        <v>MCS</v>
      </c>
      <c r="CO740" t="str">
        <v>1326-5YY0039EN</v>
      </c>
      <c r="CP740" t="str">
        <v>OOCU9364658</v>
      </c>
      <c r="CQ740" s="23">
        <v>76.675799999999995</v>
      </c>
      <c r="CR740" s="25">
        <f t="shared" si="30"/>
        <v>5.3879855275756556E-3</v>
      </c>
      <c r="CS740" s="21">
        <f t="shared" si="31"/>
        <v>13.469963818939139</v>
      </c>
    </row>
    <row r="741" spans="2:97" x14ac:dyDescent="0.35">
      <c r="B741" t="s">
        <v>296</v>
      </c>
      <c r="C741" t="s">
        <v>2560</v>
      </c>
      <c r="D741" t="s">
        <v>395</v>
      </c>
      <c r="E741" t="s">
        <v>395</v>
      </c>
      <c r="F741" t="s">
        <v>396</v>
      </c>
      <c r="G741" t="s">
        <v>397</v>
      </c>
      <c r="H741" t="s">
        <v>398</v>
      </c>
      <c r="I741" t="s">
        <v>399</v>
      </c>
      <c r="J741" t="s">
        <v>400</v>
      </c>
      <c r="K741" t="s">
        <v>484</v>
      </c>
      <c r="L741" t="s">
        <v>497</v>
      </c>
      <c r="M741" t="s">
        <v>403</v>
      </c>
      <c r="N741">
        <v>1</v>
      </c>
      <c r="O741">
        <v>1</v>
      </c>
      <c r="P741" t="s">
        <v>2561</v>
      </c>
      <c r="Q741" t="s">
        <v>424</v>
      </c>
      <c r="R741" t="s">
        <v>2555</v>
      </c>
      <c r="S741" t="s">
        <v>2562</v>
      </c>
      <c r="T741" t="s">
        <v>408</v>
      </c>
      <c r="U741">
        <v>50950082196</v>
      </c>
      <c r="W741">
        <v>200000</v>
      </c>
      <c r="X741" t="s">
        <v>409</v>
      </c>
      <c r="Y741" t="s">
        <v>410</v>
      </c>
      <c r="Z741" t="s">
        <v>410</v>
      </c>
      <c r="AA741" t="s">
        <v>411</v>
      </c>
      <c r="AB741" t="s">
        <v>412</v>
      </c>
      <c r="AC741" t="s">
        <v>411</v>
      </c>
      <c r="AD741">
        <v>46111</v>
      </c>
      <c r="AE741">
        <v>46188</v>
      </c>
      <c r="AF741">
        <v>46118</v>
      </c>
      <c r="AG741" t="s">
        <v>489</v>
      </c>
      <c r="AH741">
        <v>6166674</v>
      </c>
      <c r="AI741">
        <v>46111</v>
      </c>
      <c r="AJ741">
        <v>46111</v>
      </c>
      <c r="AK741">
        <v>200000</v>
      </c>
      <c r="AL741" t="s">
        <v>396</v>
      </c>
      <c r="AM741" t="s">
        <v>2563</v>
      </c>
      <c r="AN741">
        <v>46111</v>
      </c>
      <c r="AO741">
        <v>46112.561828703707</v>
      </c>
      <c r="AP741" t="s">
        <v>51</v>
      </c>
      <c r="AQ741">
        <v>1.142E-2</v>
      </c>
      <c r="AR741">
        <v>2284</v>
      </c>
      <c r="AS741" t="s">
        <v>51</v>
      </c>
      <c r="AT741">
        <v>2284</v>
      </c>
      <c r="AU741" t="s">
        <v>415</v>
      </c>
      <c r="AV741" t="s">
        <v>772</v>
      </c>
      <c r="AW741" t="s">
        <v>2514</v>
      </c>
      <c r="AX741">
        <v>46119</v>
      </c>
      <c r="AY741">
        <v>46168</v>
      </c>
      <c r="AZ741" t="s">
        <v>2515</v>
      </c>
      <c r="BA741" t="s">
        <v>419</v>
      </c>
      <c r="BB741" t="s">
        <v>2516</v>
      </c>
      <c r="BE741">
        <v>0</v>
      </c>
      <c r="BF741">
        <v>0</v>
      </c>
      <c r="BM741">
        <v>0</v>
      </c>
      <c r="BN741">
        <v>0</v>
      </c>
      <c r="BO741">
        <v>0.1</v>
      </c>
      <c r="CG741" t="s">
        <v>421</v>
      </c>
      <c r="CN741" t="str">
        <v>M01</v>
      </c>
      <c r="CO741" t="str">
        <v>1209-1030065EN</v>
      </c>
      <c r="CP741" t="str">
        <v>OOCU9364658</v>
      </c>
      <c r="CQ741" s="23">
        <v>79.274000000000001</v>
      </c>
      <c r="CR741" s="25">
        <f t="shared" si="30"/>
        <v>5.5705602642950255E-3</v>
      </c>
      <c r="CS741" s="21">
        <f t="shared" si="31"/>
        <v>13.926400660737563</v>
      </c>
    </row>
    <row r="742" spans="2:97" x14ac:dyDescent="0.35">
      <c r="B742" t="s">
        <v>296</v>
      </c>
      <c r="C742" t="s">
        <v>2564</v>
      </c>
      <c r="D742" t="s">
        <v>395</v>
      </c>
      <c r="E742" t="s">
        <v>395</v>
      </c>
      <c r="F742" t="s">
        <v>396</v>
      </c>
      <c r="G742" t="s">
        <v>397</v>
      </c>
      <c r="H742" t="s">
        <v>398</v>
      </c>
      <c r="I742" t="s">
        <v>399</v>
      </c>
      <c r="J742" t="s">
        <v>400</v>
      </c>
      <c r="K742" t="s">
        <v>484</v>
      </c>
      <c r="L742" t="s">
        <v>497</v>
      </c>
      <c r="M742" t="s">
        <v>403</v>
      </c>
      <c r="N742">
        <v>1</v>
      </c>
      <c r="O742">
        <v>1</v>
      </c>
      <c r="P742" t="s">
        <v>2565</v>
      </c>
      <c r="Q742" t="s">
        <v>424</v>
      </c>
      <c r="R742" t="s">
        <v>511</v>
      </c>
      <c r="S742" t="s">
        <v>2566</v>
      </c>
      <c r="T742" t="s">
        <v>408</v>
      </c>
      <c r="U742">
        <v>50950082379</v>
      </c>
      <c r="W742">
        <v>1656.29</v>
      </c>
      <c r="X742" t="s">
        <v>409</v>
      </c>
      <c r="Y742" t="s">
        <v>410</v>
      </c>
      <c r="Z742" t="s">
        <v>410</v>
      </c>
      <c r="AA742" t="s">
        <v>411</v>
      </c>
      <c r="AB742" t="s">
        <v>412</v>
      </c>
      <c r="AC742" t="s">
        <v>411</v>
      </c>
      <c r="AD742">
        <v>46111</v>
      </c>
      <c r="AE742">
        <v>46174</v>
      </c>
      <c r="AF742">
        <v>46118</v>
      </c>
      <c r="AG742" t="s">
        <v>489</v>
      </c>
      <c r="AH742">
        <v>6166676</v>
      </c>
      <c r="AI742">
        <v>46111</v>
      </c>
      <c r="AJ742">
        <v>46111</v>
      </c>
      <c r="AK742">
        <v>1656.29</v>
      </c>
      <c r="AL742" t="s">
        <v>396</v>
      </c>
      <c r="AM742" t="s">
        <v>2567</v>
      </c>
      <c r="AN742">
        <v>46111</v>
      </c>
      <c r="AO742">
        <v>46112.561828703707</v>
      </c>
      <c r="AP742" t="s">
        <v>51</v>
      </c>
      <c r="AQ742">
        <v>6.3403</v>
      </c>
      <c r="AR742">
        <v>10501.38</v>
      </c>
      <c r="AS742" t="s">
        <v>51</v>
      </c>
      <c r="AT742">
        <v>10501.38</v>
      </c>
      <c r="AU742" t="s">
        <v>415</v>
      </c>
      <c r="AV742" t="s">
        <v>772</v>
      </c>
      <c r="AW742" t="s">
        <v>2514</v>
      </c>
      <c r="AX742">
        <v>46119</v>
      </c>
      <c r="AY742">
        <v>46168</v>
      </c>
      <c r="AZ742" t="s">
        <v>2515</v>
      </c>
      <c r="BA742" t="s">
        <v>419</v>
      </c>
      <c r="BB742" t="s">
        <v>2516</v>
      </c>
      <c r="BO742" s="23">
        <f>AR742/AQ742</f>
        <v>1656.2907117959717</v>
      </c>
      <c r="CG742" t="s">
        <v>421</v>
      </c>
      <c r="CN742" t="str">
        <v>M19</v>
      </c>
      <c r="CO742" t="str">
        <v>1330-5YY0251EN</v>
      </c>
      <c r="CP742" t="str">
        <v>OOCU9364658</v>
      </c>
      <c r="CQ742" s="23">
        <v>435.34032000000002</v>
      </c>
      <c r="CR742" s="25">
        <f t="shared" si="30"/>
        <v>3.0591234049467432E-2</v>
      </c>
      <c r="CS742" s="21">
        <f t="shared" si="31"/>
        <v>76.478085123668578</v>
      </c>
    </row>
    <row r="743" spans="2:97" x14ac:dyDescent="0.35">
      <c r="B743" t="s">
        <v>295</v>
      </c>
      <c r="C743" t="s">
        <v>2568</v>
      </c>
      <c r="D743" t="s">
        <v>395</v>
      </c>
      <c r="E743" t="s">
        <v>395</v>
      </c>
      <c r="F743" t="s">
        <v>396</v>
      </c>
      <c r="G743" t="s">
        <v>397</v>
      </c>
      <c r="H743" t="s">
        <v>398</v>
      </c>
      <c r="I743" t="s">
        <v>399</v>
      </c>
      <c r="J743" t="s">
        <v>400</v>
      </c>
      <c r="K743" t="s">
        <v>566</v>
      </c>
      <c r="L743" t="s">
        <v>2272</v>
      </c>
      <c r="M743" t="s">
        <v>403</v>
      </c>
      <c r="N743">
        <v>1</v>
      </c>
      <c r="O743">
        <v>1</v>
      </c>
      <c r="P743" t="s">
        <v>2569</v>
      </c>
      <c r="Q743" t="s">
        <v>424</v>
      </c>
      <c r="R743" t="s">
        <v>2570</v>
      </c>
      <c r="S743" t="s">
        <v>2275</v>
      </c>
      <c r="T743" t="s">
        <v>408</v>
      </c>
      <c r="U743">
        <v>50950082598</v>
      </c>
      <c r="W743">
        <v>80000</v>
      </c>
      <c r="X743" t="s">
        <v>409</v>
      </c>
      <c r="Y743" t="s">
        <v>410</v>
      </c>
      <c r="Z743" t="s">
        <v>410</v>
      </c>
      <c r="AA743" t="s">
        <v>411</v>
      </c>
      <c r="AB743" t="s">
        <v>412</v>
      </c>
      <c r="AC743" t="s">
        <v>411</v>
      </c>
      <c r="AD743">
        <v>46111</v>
      </c>
      <c r="AE743">
        <v>46167</v>
      </c>
      <c r="AF743">
        <v>46118</v>
      </c>
      <c r="AG743" t="s">
        <v>413</v>
      </c>
      <c r="AH743">
        <v>6166645</v>
      </c>
      <c r="AI743">
        <v>46111</v>
      </c>
      <c r="AJ743">
        <v>46111</v>
      </c>
      <c r="AK743">
        <v>80000</v>
      </c>
      <c r="AL743" t="s">
        <v>396</v>
      </c>
      <c r="AM743" t="s">
        <v>2571</v>
      </c>
      <c r="AN743">
        <v>46111</v>
      </c>
      <c r="AO743">
        <v>46111.702430555553</v>
      </c>
      <c r="AP743" t="s">
        <v>51</v>
      </c>
      <c r="AQ743">
        <v>2.86E-2</v>
      </c>
      <c r="AR743">
        <v>2288</v>
      </c>
      <c r="AS743" t="s">
        <v>51</v>
      </c>
      <c r="AT743">
        <v>2288</v>
      </c>
      <c r="AU743" t="s">
        <v>415</v>
      </c>
      <c r="AV743" t="s">
        <v>772</v>
      </c>
      <c r="AW743" t="s">
        <v>2514</v>
      </c>
      <c r="AX743">
        <v>46119</v>
      </c>
      <c r="AY743">
        <v>46168</v>
      </c>
      <c r="AZ743" t="s">
        <v>2515</v>
      </c>
      <c r="BA743" t="s">
        <v>419</v>
      </c>
      <c r="BB743" t="s">
        <v>2516</v>
      </c>
      <c r="BE743">
        <v>0</v>
      </c>
      <c r="BF743">
        <v>0</v>
      </c>
      <c r="BM743">
        <v>0</v>
      </c>
      <c r="BN743">
        <v>0</v>
      </c>
      <c r="BO743">
        <v>50</v>
      </c>
      <c r="CG743" t="s">
        <v>421</v>
      </c>
      <c r="CN743" t="str">
        <v>M01</v>
      </c>
      <c r="CO743" t="str">
        <v>1459-1030040EN</v>
      </c>
      <c r="CP743" t="str">
        <v>OOCU9364658</v>
      </c>
      <c r="CQ743" s="23">
        <v>24.597999999999999</v>
      </c>
      <c r="CR743" s="25">
        <f t="shared" si="30"/>
        <v>1.7284941012328005E-3</v>
      </c>
      <c r="CS743" s="21">
        <f t="shared" si="31"/>
        <v>4.3212352530820013</v>
      </c>
    </row>
    <row r="744" spans="2:97" x14ac:dyDescent="0.35">
      <c r="B744" t="s">
        <v>295</v>
      </c>
      <c r="C744" t="s">
        <v>2572</v>
      </c>
      <c r="D744" t="s">
        <v>395</v>
      </c>
      <c r="E744" t="s">
        <v>395</v>
      </c>
      <c r="F744" t="s">
        <v>396</v>
      </c>
      <c r="G744" t="s">
        <v>397</v>
      </c>
      <c r="H744" t="s">
        <v>398</v>
      </c>
      <c r="I744" t="s">
        <v>399</v>
      </c>
      <c r="J744" t="s">
        <v>400</v>
      </c>
      <c r="K744" t="s">
        <v>566</v>
      </c>
      <c r="L744" t="s">
        <v>2272</v>
      </c>
      <c r="M744" t="s">
        <v>403</v>
      </c>
      <c r="N744">
        <v>1</v>
      </c>
      <c r="O744">
        <v>1</v>
      </c>
      <c r="P744" t="s">
        <v>2573</v>
      </c>
      <c r="Q744" t="s">
        <v>430</v>
      </c>
      <c r="R744" t="s">
        <v>1217</v>
      </c>
      <c r="S744" t="s">
        <v>1218</v>
      </c>
      <c r="T744" t="s">
        <v>408</v>
      </c>
      <c r="U744">
        <v>50950082724</v>
      </c>
      <c r="W744">
        <v>150000</v>
      </c>
      <c r="X744" t="s">
        <v>448</v>
      </c>
      <c r="Y744" t="s">
        <v>410</v>
      </c>
      <c r="Z744" t="s">
        <v>410</v>
      </c>
      <c r="AA744" t="s">
        <v>411</v>
      </c>
      <c r="AB744" t="s">
        <v>412</v>
      </c>
      <c r="AC744" t="s">
        <v>411</v>
      </c>
      <c r="AD744">
        <v>46111</v>
      </c>
      <c r="AE744">
        <v>46111</v>
      </c>
      <c r="AF744">
        <v>46112</v>
      </c>
      <c r="AG744" t="s">
        <v>413</v>
      </c>
      <c r="AH744">
        <v>6165920</v>
      </c>
      <c r="AI744">
        <v>46111</v>
      </c>
      <c r="AJ744">
        <v>46111</v>
      </c>
      <c r="AK744">
        <v>150000</v>
      </c>
      <c r="AL744" t="s">
        <v>396</v>
      </c>
      <c r="AM744" t="s">
        <v>2574</v>
      </c>
      <c r="AN744">
        <v>46111</v>
      </c>
      <c r="AO744">
        <v>46111.471759259257</v>
      </c>
      <c r="AP744" t="s">
        <v>51</v>
      </c>
      <c r="AQ744">
        <v>1.2700000000000001E-3</v>
      </c>
      <c r="AR744">
        <v>190.5</v>
      </c>
      <c r="AS744" t="s">
        <v>51</v>
      </c>
      <c r="AT744">
        <v>190.5</v>
      </c>
      <c r="AU744" t="s">
        <v>450</v>
      </c>
      <c r="AV744" t="s">
        <v>448</v>
      </c>
      <c r="AW744" t="s">
        <v>2575</v>
      </c>
      <c r="AX744">
        <v>46111</v>
      </c>
      <c r="AY744">
        <v>46118</v>
      </c>
      <c r="BA744" t="s">
        <v>448</v>
      </c>
      <c r="BB744" t="s">
        <v>2576</v>
      </c>
      <c r="BE744">
        <v>0</v>
      </c>
      <c r="BF744">
        <v>0</v>
      </c>
      <c r="BM744">
        <v>0</v>
      </c>
      <c r="BN744">
        <v>0</v>
      </c>
      <c r="BO744">
        <v>0.1</v>
      </c>
      <c r="CG744" t="s">
        <v>421</v>
      </c>
      <c r="CN744" t="str">
        <v>M45</v>
      </c>
      <c r="CO744" t="str">
        <v>1339-12C0007EN</v>
      </c>
      <c r="CP744" t="str">
        <v>OOCU9364658</v>
      </c>
      <c r="CQ744" s="23">
        <v>1911.7347</v>
      </c>
      <c r="CR744" s="25">
        <f t="shared" si="30"/>
        <v>0.13433702545215293</v>
      </c>
      <c r="CS744" s="21">
        <f t="shared" si="31"/>
        <v>335.8425636303823</v>
      </c>
    </row>
    <row r="745" spans="2:97" x14ac:dyDescent="0.35">
      <c r="B745" t="s">
        <v>296</v>
      </c>
      <c r="C745" t="s">
        <v>2577</v>
      </c>
      <c r="D745" t="s">
        <v>395</v>
      </c>
      <c r="E745" t="s">
        <v>395</v>
      </c>
      <c r="F745" t="s">
        <v>396</v>
      </c>
      <c r="G745" t="s">
        <v>397</v>
      </c>
      <c r="H745" t="s">
        <v>398</v>
      </c>
      <c r="I745" t="s">
        <v>399</v>
      </c>
      <c r="J745" t="s">
        <v>400</v>
      </c>
      <c r="K745" t="s">
        <v>484</v>
      </c>
      <c r="L745" t="s">
        <v>2259</v>
      </c>
      <c r="M745" t="s">
        <v>403</v>
      </c>
      <c r="N745">
        <v>1</v>
      </c>
      <c r="O745">
        <v>1</v>
      </c>
      <c r="P745" t="s">
        <v>1250</v>
      </c>
      <c r="Q745" t="s">
        <v>424</v>
      </c>
      <c r="R745" t="s">
        <v>511</v>
      </c>
      <c r="S745" t="s">
        <v>1238</v>
      </c>
      <c r="T745" t="s">
        <v>408</v>
      </c>
      <c r="U745">
        <v>50950082440</v>
      </c>
      <c r="W745">
        <v>2446.5</v>
      </c>
      <c r="X745" t="s">
        <v>409</v>
      </c>
      <c r="Y745" t="s">
        <v>410</v>
      </c>
      <c r="Z745" t="s">
        <v>410</v>
      </c>
      <c r="AA745" t="s">
        <v>411</v>
      </c>
      <c r="AB745" t="s">
        <v>412</v>
      </c>
      <c r="AC745" t="s">
        <v>411</v>
      </c>
      <c r="AD745">
        <v>46111</v>
      </c>
      <c r="AE745">
        <v>46167</v>
      </c>
      <c r="AF745">
        <v>46118</v>
      </c>
      <c r="AG745" t="s">
        <v>489</v>
      </c>
      <c r="AH745">
        <v>6166658</v>
      </c>
      <c r="AI745">
        <v>46111</v>
      </c>
      <c r="AJ745">
        <v>46111</v>
      </c>
      <c r="AK745">
        <v>2446.5</v>
      </c>
      <c r="AL745" t="s">
        <v>396</v>
      </c>
      <c r="AM745" t="s">
        <v>2578</v>
      </c>
      <c r="AN745">
        <v>46111</v>
      </c>
      <c r="AO745">
        <v>46112.561828703707</v>
      </c>
      <c r="AP745" t="s">
        <v>51</v>
      </c>
      <c r="AQ745">
        <v>6.5055100000000001</v>
      </c>
      <c r="AR745">
        <v>15915.73</v>
      </c>
      <c r="AS745" t="s">
        <v>51</v>
      </c>
      <c r="AT745">
        <v>15915.73</v>
      </c>
      <c r="AU745" t="s">
        <v>415</v>
      </c>
      <c r="AV745" t="s">
        <v>772</v>
      </c>
      <c r="AW745" t="s">
        <v>2514</v>
      </c>
      <c r="AX745">
        <v>46119</v>
      </c>
      <c r="AY745">
        <v>46168</v>
      </c>
      <c r="AZ745" t="s">
        <v>2515</v>
      </c>
      <c r="BA745" t="s">
        <v>419</v>
      </c>
      <c r="BB745" t="s">
        <v>2516</v>
      </c>
      <c r="BO745" s="23">
        <f>AR745/AQ745</f>
        <v>2446.4999669510921</v>
      </c>
      <c r="CG745" t="s">
        <v>421</v>
      </c>
      <c r="CN745" t="str">
        <v>M45</v>
      </c>
      <c r="CO745" t="str">
        <v>1163-12B0002EN0093</v>
      </c>
      <c r="CP745" t="str">
        <v>OOCU9364658</v>
      </c>
      <c r="CQ745" s="23">
        <v>42.22</v>
      </c>
      <c r="CR745" s="25">
        <f t="shared" si="30"/>
        <v>2.966786769414133E-3</v>
      </c>
      <c r="CS745" s="21">
        <f t="shared" si="31"/>
        <v>7.4169669235353322</v>
      </c>
    </row>
    <row r="746" spans="2:97" x14ac:dyDescent="0.35">
      <c r="B746" t="s">
        <v>295</v>
      </c>
      <c r="C746" t="s">
        <v>2579</v>
      </c>
      <c r="D746" t="s">
        <v>395</v>
      </c>
      <c r="E746" t="s">
        <v>395</v>
      </c>
      <c r="F746" t="s">
        <v>396</v>
      </c>
      <c r="G746" t="s">
        <v>397</v>
      </c>
      <c r="H746" t="s">
        <v>532</v>
      </c>
      <c r="I746" t="s">
        <v>399</v>
      </c>
      <c r="J746" t="s">
        <v>400</v>
      </c>
      <c r="K746" t="s">
        <v>533</v>
      </c>
      <c r="L746" t="s">
        <v>534</v>
      </c>
      <c r="M746" t="s">
        <v>403</v>
      </c>
      <c r="N746">
        <v>1</v>
      </c>
      <c r="O746">
        <v>1</v>
      </c>
      <c r="P746" t="s">
        <v>535</v>
      </c>
      <c r="Q746" t="s">
        <v>405</v>
      </c>
      <c r="R746" t="s">
        <v>536</v>
      </c>
      <c r="S746" t="s">
        <v>537</v>
      </c>
      <c r="T746" t="s">
        <v>408</v>
      </c>
      <c r="U746">
        <v>50950080685</v>
      </c>
      <c r="W746">
        <v>2880</v>
      </c>
      <c r="X746" t="s">
        <v>409</v>
      </c>
      <c r="Y746" t="s">
        <v>410</v>
      </c>
      <c r="Z746" t="s">
        <v>410</v>
      </c>
      <c r="AA746" t="s">
        <v>411</v>
      </c>
      <c r="AB746" t="s">
        <v>412</v>
      </c>
      <c r="AC746" t="s">
        <v>411</v>
      </c>
      <c r="AD746">
        <v>46118</v>
      </c>
      <c r="AE746">
        <v>46174</v>
      </c>
      <c r="AF746">
        <v>46125</v>
      </c>
      <c r="AG746" t="s">
        <v>538</v>
      </c>
      <c r="AH746">
        <v>6167863</v>
      </c>
      <c r="AI746">
        <v>46112</v>
      </c>
      <c r="AJ746">
        <v>46112</v>
      </c>
      <c r="AK746">
        <v>2880</v>
      </c>
      <c r="AL746" t="s">
        <v>396</v>
      </c>
      <c r="AM746" t="s">
        <v>2580</v>
      </c>
      <c r="AN746">
        <v>46112</v>
      </c>
      <c r="AO746">
        <v>46112.474861111114</v>
      </c>
      <c r="AP746" t="s">
        <v>51</v>
      </c>
      <c r="AQ746">
        <v>10.162140000000001</v>
      </c>
      <c r="AR746">
        <v>29266.92</v>
      </c>
      <c r="AS746" t="s">
        <v>51</v>
      </c>
      <c r="AT746">
        <v>29266.92</v>
      </c>
      <c r="AU746" t="s">
        <v>415</v>
      </c>
      <c r="AV746" t="s">
        <v>772</v>
      </c>
      <c r="AW746" t="s">
        <v>2514</v>
      </c>
      <c r="AX746">
        <v>46119</v>
      </c>
      <c r="AY746">
        <v>46168</v>
      </c>
      <c r="AZ746" t="s">
        <v>2515</v>
      </c>
      <c r="BA746" t="s">
        <v>419</v>
      </c>
      <c r="BB746" t="s">
        <v>2516</v>
      </c>
      <c r="BC746">
        <v>40</v>
      </c>
      <c r="BD746" t="s">
        <v>521</v>
      </c>
      <c r="BE746">
        <v>42.085999999999999</v>
      </c>
      <c r="BF746">
        <v>40</v>
      </c>
      <c r="BG746" t="s">
        <v>522</v>
      </c>
      <c r="BH746">
        <v>340</v>
      </c>
      <c r="BI746">
        <v>340</v>
      </c>
      <c r="BJ746">
        <v>384</v>
      </c>
      <c r="BK746">
        <v>6</v>
      </c>
      <c r="BL746" t="s">
        <v>521</v>
      </c>
      <c r="BM746">
        <v>277.51600000000002</v>
      </c>
      <c r="BN746">
        <v>240</v>
      </c>
      <c r="BO746">
        <v>3330.192</v>
      </c>
      <c r="BP746" t="s">
        <v>522</v>
      </c>
      <c r="BQ746">
        <v>1070</v>
      </c>
      <c r="BR746">
        <v>750</v>
      </c>
      <c r="BS746">
        <v>545</v>
      </c>
      <c r="BT746">
        <v>12</v>
      </c>
      <c r="BU746">
        <v>0</v>
      </c>
      <c r="BV746">
        <v>12</v>
      </c>
      <c r="BW746">
        <v>72</v>
      </c>
      <c r="BX746">
        <v>0</v>
      </c>
      <c r="BY746">
        <v>72</v>
      </c>
      <c r="BZ746">
        <v>2880</v>
      </c>
      <c r="CA746">
        <v>0</v>
      </c>
      <c r="CB746">
        <v>2880</v>
      </c>
      <c r="CC746">
        <v>2880</v>
      </c>
      <c r="CD746" t="s">
        <v>540</v>
      </c>
      <c r="CE746" t="s">
        <v>541</v>
      </c>
      <c r="CG746" t="s">
        <v>421</v>
      </c>
      <c r="CN746" t="str">
        <v>M45</v>
      </c>
      <c r="CO746" t="str">
        <v>1339-12C0008EN</v>
      </c>
      <c r="CP746" t="str">
        <v>OOCU9364658</v>
      </c>
      <c r="CQ746" s="23">
        <v>1915.3634999999999</v>
      </c>
      <c r="CR746" s="25">
        <f t="shared" si="30"/>
        <v>0.13459202014255675</v>
      </c>
      <c r="CS746" s="21">
        <f t="shared" si="31"/>
        <v>336.48005035639187</v>
      </c>
    </row>
    <row r="747" spans="2:97" x14ac:dyDescent="0.35">
      <c r="B747" t="s">
        <v>299</v>
      </c>
      <c r="C747" t="s">
        <v>2581</v>
      </c>
      <c r="D747" t="s">
        <v>395</v>
      </c>
      <c r="E747" t="s">
        <v>395</v>
      </c>
      <c r="F747" t="s">
        <v>396</v>
      </c>
      <c r="G747" t="s">
        <v>397</v>
      </c>
      <c r="H747" t="s">
        <v>454</v>
      </c>
      <c r="I747" t="s">
        <v>399</v>
      </c>
      <c r="J747" t="s">
        <v>400</v>
      </c>
      <c r="K747" t="s">
        <v>526</v>
      </c>
      <c r="L747" t="s">
        <v>472</v>
      </c>
      <c r="M747" t="s">
        <v>403</v>
      </c>
      <c r="N747">
        <v>1</v>
      </c>
      <c r="O747">
        <v>1</v>
      </c>
      <c r="P747" t="s">
        <v>527</v>
      </c>
      <c r="Q747" t="s">
        <v>424</v>
      </c>
      <c r="R747" t="s">
        <v>528</v>
      </c>
      <c r="S747" t="s">
        <v>529</v>
      </c>
      <c r="T747" t="s">
        <v>408</v>
      </c>
      <c r="U747">
        <v>50950080987</v>
      </c>
      <c r="W747">
        <v>40320</v>
      </c>
      <c r="X747" t="s">
        <v>409</v>
      </c>
      <c r="Y747" t="s">
        <v>410</v>
      </c>
      <c r="Z747" t="s">
        <v>410</v>
      </c>
      <c r="AA747" t="s">
        <v>411</v>
      </c>
      <c r="AB747" t="s">
        <v>412</v>
      </c>
      <c r="AC747" t="s">
        <v>411</v>
      </c>
      <c r="AD747">
        <v>46105</v>
      </c>
      <c r="AE747">
        <v>46181</v>
      </c>
      <c r="AF747">
        <v>46118</v>
      </c>
      <c r="AG747" t="s">
        <v>476</v>
      </c>
      <c r="AH747">
        <v>6168104</v>
      </c>
      <c r="AI747">
        <v>46112</v>
      </c>
      <c r="AJ747">
        <v>46112</v>
      </c>
      <c r="AK747">
        <v>40320</v>
      </c>
      <c r="AL747" t="s">
        <v>396</v>
      </c>
      <c r="AM747" t="s">
        <v>2582</v>
      </c>
      <c r="AN747">
        <v>46112</v>
      </c>
      <c r="AO747">
        <v>46112.574386574073</v>
      </c>
      <c r="AP747" t="s">
        <v>51</v>
      </c>
      <c r="AQ747">
        <v>8.9230000000000004E-2</v>
      </c>
      <c r="AR747">
        <v>3597.75</v>
      </c>
      <c r="AS747" t="s">
        <v>51</v>
      </c>
      <c r="AT747">
        <v>3597.75</v>
      </c>
      <c r="AU747" t="s">
        <v>415</v>
      </c>
      <c r="AV747" t="s">
        <v>772</v>
      </c>
      <c r="AW747" t="s">
        <v>2514</v>
      </c>
      <c r="AX747">
        <v>46119</v>
      </c>
      <c r="AY747">
        <v>46168</v>
      </c>
      <c r="AZ747" t="s">
        <v>2521</v>
      </c>
      <c r="BA747" t="s">
        <v>2219</v>
      </c>
      <c r="BB747" t="s">
        <v>2522</v>
      </c>
      <c r="BO747">
        <v>4000</v>
      </c>
      <c r="CG747" t="s">
        <v>421</v>
      </c>
      <c r="CN747" t="str">
        <v>M45</v>
      </c>
      <c r="CO747" t="str">
        <v>AYSP61BS362EN</v>
      </c>
      <c r="CP747" t="str">
        <v>OOCU9364658</v>
      </c>
      <c r="CQ747" s="23">
        <v>764.09619999999995</v>
      </c>
      <c r="CR747" s="25">
        <f t="shared" si="30"/>
        <v>5.3692811386063834E-2</v>
      </c>
      <c r="CS747" s="21">
        <f t="shared" si="31"/>
        <v>134.23202846515957</v>
      </c>
    </row>
    <row r="748" spans="2:97" x14ac:dyDescent="0.35">
      <c r="B748" t="s">
        <v>299</v>
      </c>
      <c r="C748" t="s">
        <v>2583</v>
      </c>
      <c r="D748" t="s">
        <v>395</v>
      </c>
      <c r="E748" t="s">
        <v>395</v>
      </c>
      <c r="F748" t="s">
        <v>396</v>
      </c>
      <c r="G748" t="s">
        <v>397</v>
      </c>
      <c r="H748" t="s">
        <v>454</v>
      </c>
      <c r="I748" t="s">
        <v>399</v>
      </c>
      <c r="J748" t="s">
        <v>400</v>
      </c>
      <c r="K748" t="s">
        <v>526</v>
      </c>
      <c r="L748" t="s">
        <v>472</v>
      </c>
      <c r="M748" t="s">
        <v>403</v>
      </c>
      <c r="N748">
        <v>1</v>
      </c>
      <c r="O748">
        <v>1</v>
      </c>
      <c r="P748" t="s">
        <v>2584</v>
      </c>
      <c r="Q748" t="s">
        <v>424</v>
      </c>
      <c r="R748" t="s">
        <v>528</v>
      </c>
      <c r="S748" t="s">
        <v>2585</v>
      </c>
      <c r="T748" t="s">
        <v>408</v>
      </c>
      <c r="U748">
        <v>50950081205</v>
      </c>
      <c r="W748">
        <v>40320</v>
      </c>
      <c r="X748" t="s">
        <v>409</v>
      </c>
      <c r="Y748" t="s">
        <v>410</v>
      </c>
      <c r="Z748" t="s">
        <v>410</v>
      </c>
      <c r="AA748" t="s">
        <v>411</v>
      </c>
      <c r="AB748" t="s">
        <v>412</v>
      </c>
      <c r="AC748" t="s">
        <v>411</v>
      </c>
      <c r="AD748">
        <v>46112</v>
      </c>
      <c r="AE748">
        <v>46188</v>
      </c>
      <c r="AF748">
        <v>46118</v>
      </c>
      <c r="AG748" t="s">
        <v>476</v>
      </c>
      <c r="AH748">
        <v>6168103</v>
      </c>
      <c r="AI748">
        <v>46112</v>
      </c>
      <c r="AJ748">
        <v>46112</v>
      </c>
      <c r="AK748">
        <v>40320</v>
      </c>
      <c r="AL748" t="s">
        <v>396</v>
      </c>
      <c r="AM748" t="s">
        <v>2586</v>
      </c>
      <c r="AN748">
        <v>46112</v>
      </c>
      <c r="AO748">
        <v>46112.574386574073</v>
      </c>
      <c r="AP748" t="s">
        <v>51</v>
      </c>
      <c r="AQ748">
        <v>8.9620000000000005E-2</v>
      </c>
      <c r="AR748">
        <v>3613.48</v>
      </c>
      <c r="AS748" t="s">
        <v>51</v>
      </c>
      <c r="AT748">
        <v>3613.48</v>
      </c>
      <c r="AU748" t="s">
        <v>415</v>
      </c>
      <c r="AV748" t="s">
        <v>772</v>
      </c>
      <c r="AW748" t="s">
        <v>2514</v>
      </c>
      <c r="AX748">
        <v>46119</v>
      </c>
      <c r="AY748">
        <v>46168</v>
      </c>
      <c r="AZ748" t="s">
        <v>2521</v>
      </c>
      <c r="BA748" t="s">
        <v>2219</v>
      </c>
      <c r="BB748" t="s">
        <v>2522</v>
      </c>
      <c r="BO748">
        <v>4000</v>
      </c>
      <c r="CG748" t="s">
        <v>421</v>
      </c>
      <c r="CN748" t="str">
        <v>M01</v>
      </c>
      <c r="CO748" t="str">
        <v>1999-1031492EN</v>
      </c>
      <c r="CP748" t="str">
        <v>OOLU8995146</v>
      </c>
      <c r="CQ748" s="23">
        <v>1036.4000000000001</v>
      </c>
      <c r="CR748" s="25">
        <f t="shared" si="30"/>
        <v>7.8458148888286186E-2</v>
      </c>
      <c r="CS748" s="21">
        <f t="shared" si="31"/>
        <v>196.14537222071547</v>
      </c>
    </row>
    <row r="749" spans="2:97" x14ac:dyDescent="0.35">
      <c r="B749" t="s">
        <v>3497</v>
      </c>
      <c r="C749" t="s">
        <v>2587</v>
      </c>
      <c r="D749" t="s">
        <v>395</v>
      </c>
      <c r="E749" t="s">
        <v>395</v>
      </c>
      <c r="F749" t="s">
        <v>396</v>
      </c>
      <c r="G749" t="s">
        <v>397</v>
      </c>
      <c r="H749" t="s">
        <v>470</v>
      </c>
      <c r="I749" t="s">
        <v>399</v>
      </c>
      <c r="J749" t="s">
        <v>400</v>
      </c>
      <c r="K749" t="s">
        <v>471</v>
      </c>
      <c r="L749" t="s">
        <v>472</v>
      </c>
      <c r="M749" t="s">
        <v>403</v>
      </c>
      <c r="N749">
        <v>1</v>
      </c>
      <c r="O749">
        <v>1</v>
      </c>
      <c r="P749" t="s">
        <v>545</v>
      </c>
      <c r="Q749" t="s">
        <v>424</v>
      </c>
      <c r="R749" t="s">
        <v>528</v>
      </c>
      <c r="S749" t="s">
        <v>546</v>
      </c>
      <c r="T749" t="s">
        <v>408</v>
      </c>
      <c r="U749">
        <v>50950082331</v>
      </c>
      <c r="W749">
        <v>1000</v>
      </c>
      <c r="X749" t="s">
        <v>409</v>
      </c>
      <c r="Y749" t="s">
        <v>410</v>
      </c>
      <c r="Z749" t="s">
        <v>410</v>
      </c>
      <c r="AA749" t="s">
        <v>411</v>
      </c>
      <c r="AB749" t="s">
        <v>412</v>
      </c>
      <c r="AC749" t="s">
        <v>411</v>
      </c>
      <c r="AD749">
        <v>46111</v>
      </c>
      <c r="AE749">
        <v>46167</v>
      </c>
      <c r="AF749">
        <v>46118</v>
      </c>
      <c r="AG749" t="s">
        <v>476</v>
      </c>
      <c r="AH749">
        <v>6167704</v>
      </c>
      <c r="AI749">
        <v>46112</v>
      </c>
      <c r="AJ749">
        <v>46112</v>
      </c>
      <c r="AK749">
        <v>1000</v>
      </c>
      <c r="AL749" t="s">
        <v>396</v>
      </c>
      <c r="AM749" t="s">
        <v>2588</v>
      </c>
      <c r="AN749">
        <v>46112</v>
      </c>
      <c r="AO749">
        <v>46112.400243055556</v>
      </c>
      <c r="AP749" t="s">
        <v>51</v>
      </c>
      <c r="AQ749">
        <v>6.2474999999999996</v>
      </c>
      <c r="AR749">
        <v>6247.5</v>
      </c>
      <c r="AS749" t="s">
        <v>51</v>
      </c>
      <c r="AT749">
        <v>6247.5</v>
      </c>
      <c r="AU749" t="s">
        <v>415</v>
      </c>
      <c r="AV749" t="s">
        <v>772</v>
      </c>
      <c r="AW749" t="s">
        <v>2514</v>
      </c>
      <c r="AX749">
        <v>46119</v>
      </c>
      <c r="AY749">
        <v>46168</v>
      </c>
      <c r="AZ749" t="s">
        <v>2515</v>
      </c>
      <c r="BA749" t="s">
        <v>419</v>
      </c>
      <c r="BB749" t="s">
        <v>2516</v>
      </c>
      <c r="BO749" s="23">
        <f>AR749/AQ749</f>
        <v>1000.0000000000001</v>
      </c>
      <c r="CG749" t="s">
        <v>421</v>
      </c>
      <c r="CN749" t="str">
        <v>M01</v>
      </c>
      <c r="CO749" t="str">
        <v>1200-1030990EN0002</v>
      </c>
      <c r="CP749" t="str">
        <v>OOLU8995146</v>
      </c>
      <c r="CQ749" s="23">
        <v>432.12959999999998</v>
      </c>
      <c r="CR749" s="25">
        <f t="shared" si="30"/>
        <v>3.271332351971782E-2</v>
      </c>
      <c r="CS749" s="21">
        <f t="shared" si="31"/>
        <v>81.783308799294545</v>
      </c>
    </row>
    <row r="750" spans="2:97" x14ac:dyDescent="0.35">
      <c r="B750" s="34" t="s">
        <v>298</v>
      </c>
      <c r="C750" t="s">
        <v>2589</v>
      </c>
      <c r="D750" t="s">
        <v>395</v>
      </c>
      <c r="E750" t="s">
        <v>395</v>
      </c>
      <c r="F750" t="s">
        <v>396</v>
      </c>
      <c r="G750" t="s">
        <v>397</v>
      </c>
      <c r="H750" t="s">
        <v>398</v>
      </c>
      <c r="I750" t="s">
        <v>399</v>
      </c>
      <c r="J750" t="s">
        <v>400</v>
      </c>
      <c r="K750" t="s">
        <v>607</v>
      </c>
      <c r="L750" t="s">
        <v>746</v>
      </c>
      <c r="M750" t="s">
        <v>403</v>
      </c>
      <c r="N750">
        <v>1</v>
      </c>
      <c r="O750">
        <v>1</v>
      </c>
      <c r="P750" t="s">
        <v>2590</v>
      </c>
      <c r="Q750" t="s">
        <v>430</v>
      </c>
      <c r="R750" t="s">
        <v>2591</v>
      </c>
      <c r="S750" t="s">
        <v>2281</v>
      </c>
      <c r="T750" t="s">
        <v>408</v>
      </c>
      <c r="U750">
        <v>50950082523</v>
      </c>
      <c r="W750">
        <v>2000</v>
      </c>
      <c r="X750" t="s">
        <v>448</v>
      </c>
      <c r="Y750" t="s">
        <v>410</v>
      </c>
      <c r="Z750" t="s">
        <v>410</v>
      </c>
      <c r="AA750" t="s">
        <v>411</v>
      </c>
      <c r="AC750" t="s">
        <v>411</v>
      </c>
      <c r="AD750">
        <v>46111</v>
      </c>
      <c r="AE750">
        <v>46111</v>
      </c>
      <c r="AF750">
        <v>46113</v>
      </c>
      <c r="AG750" t="s">
        <v>590</v>
      </c>
      <c r="AH750">
        <v>6168959</v>
      </c>
      <c r="AI750">
        <v>46112</v>
      </c>
      <c r="AJ750">
        <v>46113</v>
      </c>
      <c r="AK750">
        <v>2000</v>
      </c>
      <c r="AL750" t="s">
        <v>396</v>
      </c>
      <c r="AM750" t="s">
        <v>2592</v>
      </c>
      <c r="AN750">
        <v>46113</v>
      </c>
      <c r="AO750">
        <v>46113.420972222222</v>
      </c>
      <c r="AP750" t="s">
        <v>51</v>
      </c>
      <c r="AQ750">
        <v>0.36466999999999999</v>
      </c>
      <c r="AR750">
        <v>729.34</v>
      </c>
      <c r="AS750" t="s">
        <v>51</v>
      </c>
      <c r="AT750">
        <v>729.34</v>
      </c>
      <c r="AU750" t="s">
        <v>2593</v>
      </c>
      <c r="AV750" t="s">
        <v>1597</v>
      </c>
      <c r="AX750">
        <v>46113</v>
      </c>
      <c r="AY750">
        <v>46118</v>
      </c>
      <c r="BC750">
        <v>600</v>
      </c>
      <c r="BD750" t="s">
        <v>521</v>
      </c>
      <c r="BE750">
        <v>25.8931</v>
      </c>
      <c r="BF750">
        <v>25.5031</v>
      </c>
      <c r="BG750" t="s">
        <v>522</v>
      </c>
      <c r="BH750">
        <v>368</v>
      </c>
      <c r="BI750">
        <v>257</v>
      </c>
      <c r="BJ750">
        <v>136</v>
      </c>
      <c r="BK750">
        <v>6</v>
      </c>
      <c r="BL750" t="s">
        <v>521</v>
      </c>
      <c r="BM750">
        <v>94.5702</v>
      </c>
      <c r="BN750">
        <v>85.010199999999998</v>
      </c>
      <c r="BO750">
        <v>94.5702</v>
      </c>
      <c r="BP750" t="s">
        <v>522</v>
      </c>
      <c r="BQ750">
        <v>800</v>
      </c>
      <c r="BR750">
        <v>300</v>
      </c>
      <c r="BS750">
        <v>608</v>
      </c>
      <c r="BT750">
        <v>0</v>
      </c>
      <c r="BU750">
        <v>1</v>
      </c>
      <c r="BV750">
        <v>1</v>
      </c>
      <c r="BW750">
        <v>3</v>
      </c>
      <c r="BX750">
        <v>1</v>
      </c>
      <c r="BY750">
        <v>4</v>
      </c>
      <c r="BZ750">
        <v>0</v>
      </c>
      <c r="CA750">
        <v>2000</v>
      </c>
      <c r="CB750">
        <v>2000</v>
      </c>
      <c r="CC750">
        <v>85.010199999999998</v>
      </c>
      <c r="CD750" t="s">
        <v>523</v>
      </c>
      <c r="CE750" t="s">
        <v>653</v>
      </c>
      <c r="CG750" t="s">
        <v>421</v>
      </c>
      <c r="CN750" t="str">
        <v>M19</v>
      </c>
      <c r="CO750" t="str">
        <v>1275-5YY0561EN</v>
      </c>
      <c r="CP750" t="str">
        <v>OOLU8995146</v>
      </c>
      <c r="CQ750" s="23">
        <v>266.25200000000001</v>
      </c>
      <c r="CR750" s="25">
        <f t="shared" si="30"/>
        <v>2.0155962039563848E-2</v>
      </c>
      <c r="CS750" s="21">
        <f t="shared" si="31"/>
        <v>50.389905098909622</v>
      </c>
    </row>
    <row r="751" spans="2:97" x14ac:dyDescent="0.35">
      <c r="B751" s="34" t="s">
        <v>298</v>
      </c>
      <c r="C751" t="s">
        <v>2594</v>
      </c>
      <c r="D751" t="s">
        <v>395</v>
      </c>
      <c r="E751" t="s">
        <v>395</v>
      </c>
      <c r="F751" t="s">
        <v>396</v>
      </c>
      <c r="G751" t="s">
        <v>397</v>
      </c>
      <c r="H751" t="s">
        <v>398</v>
      </c>
      <c r="I751" t="s">
        <v>399</v>
      </c>
      <c r="J751" t="s">
        <v>400</v>
      </c>
      <c r="K751" t="s">
        <v>607</v>
      </c>
      <c r="L751" t="s">
        <v>746</v>
      </c>
      <c r="M751" t="s">
        <v>403</v>
      </c>
      <c r="N751">
        <v>1</v>
      </c>
      <c r="O751">
        <v>1</v>
      </c>
      <c r="P751" t="s">
        <v>2595</v>
      </c>
      <c r="Q751" t="s">
        <v>405</v>
      </c>
      <c r="R751" t="s">
        <v>2591</v>
      </c>
      <c r="S751" t="s">
        <v>2281</v>
      </c>
      <c r="T751" t="s">
        <v>408</v>
      </c>
      <c r="U751">
        <v>50950082540</v>
      </c>
      <c r="W751">
        <v>2000</v>
      </c>
      <c r="X751" t="s">
        <v>448</v>
      </c>
      <c r="Y751" t="s">
        <v>410</v>
      </c>
      <c r="Z751" t="s">
        <v>410</v>
      </c>
      <c r="AA751" t="s">
        <v>411</v>
      </c>
      <c r="AC751" t="s">
        <v>411</v>
      </c>
      <c r="AD751">
        <v>46111</v>
      </c>
      <c r="AE751">
        <v>46160</v>
      </c>
      <c r="AF751">
        <v>46113</v>
      </c>
      <c r="AG751" t="s">
        <v>590</v>
      </c>
      <c r="AH751">
        <v>6168960</v>
      </c>
      <c r="AI751">
        <v>46112</v>
      </c>
      <c r="AJ751">
        <v>46113</v>
      </c>
      <c r="AK751">
        <v>2000</v>
      </c>
      <c r="AL751" t="s">
        <v>396</v>
      </c>
      <c r="AM751" t="s">
        <v>2596</v>
      </c>
      <c r="AN751">
        <v>46113</v>
      </c>
      <c r="AO751">
        <v>46113.420972222222</v>
      </c>
      <c r="AP751" t="s">
        <v>51</v>
      </c>
      <c r="AQ751">
        <v>4.684E-2</v>
      </c>
      <c r="AR751">
        <v>93.68</v>
      </c>
      <c r="AS751" t="s">
        <v>51</v>
      </c>
      <c r="AT751">
        <v>93.68</v>
      </c>
      <c r="AU751" t="s">
        <v>2593</v>
      </c>
      <c r="AV751" t="s">
        <v>1597</v>
      </c>
      <c r="AX751">
        <v>46113</v>
      </c>
      <c r="AY751">
        <v>46118</v>
      </c>
      <c r="BC751">
        <v>3000</v>
      </c>
      <c r="BD751" t="s">
        <v>521</v>
      </c>
      <c r="BE751">
        <v>11.3688</v>
      </c>
      <c r="BF751">
        <v>10.9788</v>
      </c>
      <c r="BG751" t="s">
        <v>522</v>
      </c>
      <c r="BH751">
        <v>368</v>
      </c>
      <c r="BI751">
        <v>257</v>
      </c>
      <c r="BJ751">
        <v>136</v>
      </c>
      <c r="BK751">
        <v>6</v>
      </c>
      <c r="BL751" t="s">
        <v>521</v>
      </c>
      <c r="BM751">
        <v>19.3688</v>
      </c>
      <c r="BN751">
        <v>10.9788</v>
      </c>
      <c r="BO751">
        <v>19.3688</v>
      </c>
      <c r="BP751" t="s">
        <v>522</v>
      </c>
      <c r="BQ751">
        <v>800</v>
      </c>
      <c r="BR751">
        <v>300</v>
      </c>
      <c r="BS751">
        <v>608</v>
      </c>
      <c r="BT751">
        <v>0</v>
      </c>
      <c r="BU751">
        <v>1</v>
      </c>
      <c r="BV751">
        <v>1</v>
      </c>
      <c r="BW751">
        <v>0</v>
      </c>
      <c r="BX751">
        <v>1</v>
      </c>
      <c r="BY751">
        <v>1</v>
      </c>
      <c r="BZ751">
        <v>0</v>
      </c>
      <c r="CA751">
        <v>2000</v>
      </c>
      <c r="CB751">
        <v>2000</v>
      </c>
      <c r="CC751">
        <v>10.9788</v>
      </c>
      <c r="CD751" t="s">
        <v>523</v>
      </c>
      <c r="CE751" t="s">
        <v>653</v>
      </c>
      <c r="CG751" t="s">
        <v>421</v>
      </c>
      <c r="CN751" t="str">
        <v>M19</v>
      </c>
      <c r="CO751" t="str">
        <v>1275-5YY0685EN</v>
      </c>
      <c r="CP751" t="str">
        <v>OOLU8995146</v>
      </c>
      <c r="CQ751" s="23">
        <v>312.024</v>
      </c>
      <c r="CR751" s="25">
        <f t="shared" si="30"/>
        <v>2.3621020309454465E-2</v>
      </c>
      <c r="CS751" s="21">
        <f t="shared" si="31"/>
        <v>59.052550773636163</v>
      </c>
    </row>
    <row r="752" spans="2:97" x14ac:dyDescent="0.35">
      <c r="B752" t="s">
        <v>299</v>
      </c>
      <c r="C752" t="s">
        <v>2285</v>
      </c>
      <c r="D752" t="s">
        <v>395</v>
      </c>
      <c r="E752" t="s">
        <v>395</v>
      </c>
      <c r="F752" t="s">
        <v>396</v>
      </c>
      <c r="G752" t="s">
        <v>397</v>
      </c>
      <c r="H752" t="s">
        <v>532</v>
      </c>
      <c r="I752" t="s">
        <v>399</v>
      </c>
      <c r="J752" t="s">
        <v>400</v>
      </c>
      <c r="K752" t="s">
        <v>515</v>
      </c>
      <c r="L752" t="s">
        <v>585</v>
      </c>
      <c r="M752" t="s">
        <v>403</v>
      </c>
      <c r="N752">
        <v>1</v>
      </c>
      <c r="O752">
        <v>2</v>
      </c>
      <c r="P752" t="s">
        <v>586</v>
      </c>
      <c r="Q752" t="s">
        <v>587</v>
      </c>
      <c r="R752" t="s">
        <v>588</v>
      </c>
      <c r="S752" t="s">
        <v>589</v>
      </c>
      <c r="T752" t="s">
        <v>408</v>
      </c>
      <c r="U752">
        <v>50950080274</v>
      </c>
      <c r="W752">
        <v>4050</v>
      </c>
      <c r="X752" t="s">
        <v>409</v>
      </c>
      <c r="Y752" t="s">
        <v>410</v>
      </c>
      <c r="Z752" t="s">
        <v>410</v>
      </c>
      <c r="AA752" t="s">
        <v>411</v>
      </c>
      <c r="AB752" t="s">
        <v>554</v>
      </c>
      <c r="AC752" t="s">
        <v>411</v>
      </c>
      <c r="AD752">
        <v>46104</v>
      </c>
      <c r="AE752">
        <v>46160</v>
      </c>
      <c r="AF752">
        <v>46120</v>
      </c>
      <c r="AG752" t="s">
        <v>590</v>
      </c>
      <c r="AH752">
        <v>6170615</v>
      </c>
      <c r="AI752">
        <v>46113</v>
      </c>
      <c r="AJ752">
        <v>46114</v>
      </c>
      <c r="AK752">
        <v>4050</v>
      </c>
      <c r="AL752" t="s">
        <v>396</v>
      </c>
      <c r="AM752" t="s">
        <v>2597</v>
      </c>
      <c r="AN752">
        <v>46114</v>
      </c>
      <c r="AO752">
        <v>46114.569085648145</v>
      </c>
      <c r="AP752" t="s">
        <v>51</v>
      </c>
      <c r="AQ752">
        <v>2.2499099999999999</v>
      </c>
      <c r="AR752">
        <v>9112.14</v>
      </c>
      <c r="AS752" t="s">
        <v>51</v>
      </c>
      <c r="AT752">
        <v>9112.14</v>
      </c>
      <c r="AU752" t="s">
        <v>415</v>
      </c>
      <c r="AV752" t="s">
        <v>1420</v>
      </c>
      <c r="AW752" t="s">
        <v>2598</v>
      </c>
      <c r="AX752">
        <v>46120</v>
      </c>
      <c r="AY752">
        <v>46169</v>
      </c>
      <c r="AZ752" t="s">
        <v>2599</v>
      </c>
      <c r="BA752" t="s">
        <v>560</v>
      </c>
      <c r="BB752" t="s">
        <v>2600</v>
      </c>
      <c r="BC752">
        <v>27</v>
      </c>
      <c r="BD752" t="s">
        <v>521</v>
      </c>
      <c r="BE752">
        <v>2.6560000000000001</v>
      </c>
      <c r="BF752">
        <v>1.623</v>
      </c>
      <c r="BG752" t="s">
        <v>522</v>
      </c>
      <c r="BH752">
        <v>395</v>
      </c>
      <c r="BI752">
        <v>295</v>
      </c>
      <c r="BJ752">
        <v>190</v>
      </c>
      <c r="BK752">
        <v>50</v>
      </c>
      <c r="BL752" t="s">
        <v>521</v>
      </c>
      <c r="BM752">
        <v>159.80000000000001</v>
      </c>
      <c r="BN752">
        <v>81.150000000000006</v>
      </c>
      <c r="BO752">
        <v>479.39954999999998</v>
      </c>
      <c r="BP752" t="s">
        <v>522</v>
      </c>
      <c r="BQ752">
        <v>1200</v>
      </c>
      <c r="BR752">
        <v>1000</v>
      </c>
      <c r="BS752">
        <v>1110</v>
      </c>
      <c r="BT752">
        <v>3</v>
      </c>
      <c r="BU752">
        <v>0</v>
      </c>
      <c r="BV752">
        <v>3</v>
      </c>
      <c r="BW752">
        <v>150</v>
      </c>
      <c r="BX752">
        <v>0</v>
      </c>
      <c r="BY752">
        <v>150</v>
      </c>
      <c r="BZ752">
        <v>4050</v>
      </c>
      <c r="CA752">
        <v>0</v>
      </c>
      <c r="CB752">
        <v>4050</v>
      </c>
      <c r="CC752">
        <v>243.44954999999999</v>
      </c>
      <c r="CD752" t="s">
        <v>592</v>
      </c>
      <c r="CE752" t="s">
        <v>593</v>
      </c>
      <c r="CG752" t="s">
        <v>421</v>
      </c>
      <c r="CN752" t="str">
        <v>M19</v>
      </c>
      <c r="CO752" t="str">
        <v>1275-5YY0685EN</v>
      </c>
      <c r="CP752" t="str">
        <v>OOLU8995146</v>
      </c>
      <c r="CQ752" s="23">
        <v>1560.12</v>
      </c>
      <c r="CR752" s="25">
        <f t="shared" si="30"/>
        <v>0.11810510154727231</v>
      </c>
      <c r="CS752" s="21">
        <f t="shared" si="31"/>
        <v>295.26275386818077</v>
      </c>
    </row>
    <row r="753" spans="2:97" x14ac:dyDescent="0.35">
      <c r="B753" t="s">
        <v>297</v>
      </c>
      <c r="C753" t="s">
        <v>654</v>
      </c>
      <c r="D753" t="s">
        <v>395</v>
      </c>
      <c r="E753" t="s">
        <v>395</v>
      </c>
      <c r="F753" t="s">
        <v>396</v>
      </c>
      <c r="G753" t="s">
        <v>397</v>
      </c>
      <c r="H753" t="s">
        <v>398</v>
      </c>
      <c r="I753" t="s">
        <v>399</v>
      </c>
      <c r="J753" t="s">
        <v>400</v>
      </c>
      <c r="K753" t="s">
        <v>515</v>
      </c>
      <c r="L753" t="s">
        <v>585</v>
      </c>
      <c r="M753" t="s">
        <v>403</v>
      </c>
      <c r="N753">
        <v>3</v>
      </c>
      <c r="O753">
        <v>1</v>
      </c>
      <c r="P753" t="s">
        <v>655</v>
      </c>
      <c r="Q753" t="s">
        <v>637</v>
      </c>
      <c r="R753" t="s">
        <v>656</v>
      </c>
      <c r="S753" t="s">
        <v>657</v>
      </c>
      <c r="T753" t="s">
        <v>408</v>
      </c>
      <c r="U753">
        <v>50950080786</v>
      </c>
      <c r="W753">
        <v>160000</v>
      </c>
      <c r="X753" t="s">
        <v>409</v>
      </c>
      <c r="Y753" t="s">
        <v>410</v>
      </c>
      <c r="Z753" t="s">
        <v>410</v>
      </c>
      <c r="AA753" t="s">
        <v>411</v>
      </c>
      <c r="AB753" t="s">
        <v>412</v>
      </c>
      <c r="AC753" t="s">
        <v>411</v>
      </c>
      <c r="AD753">
        <v>46111</v>
      </c>
      <c r="AE753">
        <v>46167</v>
      </c>
      <c r="AF753">
        <v>46118</v>
      </c>
      <c r="AG753" t="s">
        <v>590</v>
      </c>
      <c r="AH753">
        <v>6170569</v>
      </c>
      <c r="AI753">
        <v>46113</v>
      </c>
      <c r="AJ753">
        <v>46114</v>
      </c>
      <c r="AK753">
        <v>160000</v>
      </c>
      <c r="AL753" t="s">
        <v>396</v>
      </c>
      <c r="AM753" t="s">
        <v>2601</v>
      </c>
      <c r="AN753">
        <v>46114</v>
      </c>
      <c r="AO753">
        <v>46114.654120370367</v>
      </c>
      <c r="AP753" t="s">
        <v>51</v>
      </c>
      <c r="AQ753">
        <v>2.9399999999999999E-3</v>
      </c>
      <c r="AR753">
        <v>470.4</v>
      </c>
      <c r="AS753" t="s">
        <v>51</v>
      </c>
      <c r="AT753">
        <v>470.4</v>
      </c>
      <c r="AU753" t="s">
        <v>415</v>
      </c>
      <c r="AV753" t="s">
        <v>772</v>
      </c>
      <c r="AW753" t="s">
        <v>2514</v>
      </c>
      <c r="AX753">
        <v>46119</v>
      </c>
      <c r="AY753">
        <v>46168</v>
      </c>
      <c r="AZ753" t="s">
        <v>2521</v>
      </c>
      <c r="BA753" t="s">
        <v>2219</v>
      </c>
      <c r="BB753" t="s">
        <v>2522</v>
      </c>
      <c r="BC753">
        <v>8000</v>
      </c>
      <c r="BD753" t="s">
        <v>521</v>
      </c>
      <c r="BE753">
        <v>5.8521999999999998</v>
      </c>
      <c r="BF753">
        <v>5.1231999999999998</v>
      </c>
      <c r="BG753" t="s">
        <v>522</v>
      </c>
      <c r="BH753">
        <v>395</v>
      </c>
      <c r="BI753">
        <v>295</v>
      </c>
      <c r="BJ753">
        <v>120</v>
      </c>
      <c r="BK753">
        <v>8</v>
      </c>
      <c r="BL753" t="s">
        <v>521</v>
      </c>
      <c r="BM753">
        <v>54.817599999999999</v>
      </c>
      <c r="BN753">
        <v>40.985599999999998</v>
      </c>
      <c r="BO753">
        <v>141.04400000000001</v>
      </c>
      <c r="BP753" t="s">
        <v>522</v>
      </c>
      <c r="BQ753">
        <v>800</v>
      </c>
      <c r="BR753">
        <v>300</v>
      </c>
      <c r="BS753">
        <v>698</v>
      </c>
      <c r="BT753">
        <v>2</v>
      </c>
      <c r="BU753">
        <v>1</v>
      </c>
      <c r="BV753">
        <v>3</v>
      </c>
      <c r="BW753">
        <v>20</v>
      </c>
      <c r="BX753">
        <v>0</v>
      </c>
      <c r="BY753">
        <v>20</v>
      </c>
      <c r="BZ753">
        <v>128000</v>
      </c>
      <c r="CA753">
        <v>32000</v>
      </c>
      <c r="CB753">
        <v>160000</v>
      </c>
      <c r="CC753">
        <v>102.464</v>
      </c>
      <c r="CD753" t="s">
        <v>659</v>
      </c>
      <c r="CE753" t="s">
        <v>660</v>
      </c>
      <c r="CG753" t="s">
        <v>421</v>
      </c>
      <c r="CN753" t="str">
        <v>M19</v>
      </c>
      <c r="CO753" t="str">
        <v>1307-5YY0182EN</v>
      </c>
      <c r="CP753" t="str">
        <v>OOLU8995146</v>
      </c>
      <c r="CQ753" s="23">
        <v>839.37612799999999</v>
      </c>
      <c r="CR753" s="25">
        <f t="shared" si="30"/>
        <v>6.3542934411324928E-2</v>
      </c>
      <c r="CS753" s="21">
        <f t="shared" si="31"/>
        <v>158.85733602831232</v>
      </c>
    </row>
    <row r="754" spans="2:97" x14ac:dyDescent="0.35">
      <c r="B754" t="s">
        <v>299</v>
      </c>
      <c r="C754" t="s">
        <v>2602</v>
      </c>
      <c r="D754" t="s">
        <v>395</v>
      </c>
      <c r="E754" t="s">
        <v>395</v>
      </c>
      <c r="F754" t="s">
        <v>396</v>
      </c>
      <c r="G754" t="s">
        <v>397</v>
      </c>
      <c r="H754" t="s">
        <v>532</v>
      </c>
      <c r="I754" t="s">
        <v>399</v>
      </c>
      <c r="J754" t="s">
        <v>400</v>
      </c>
      <c r="K754" t="s">
        <v>607</v>
      </c>
      <c r="L754" t="s">
        <v>585</v>
      </c>
      <c r="M754" t="s">
        <v>403</v>
      </c>
      <c r="N754">
        <v>1</v>
      </c>
      <c r="O754">
        <v>1</v>
      </c>
      <c r="P754" t="s">
        <v>622</v>
      </c>
      <c r="Q754" t="s">
        <v>424</v>
      </c>
      <c r="R754" t="s">
        <v>623</v>
      </c>
      <c r="S754" t="s">
        <v>624</v>
      </c>
      <c r="T754" t="s">
        <v>408</v>
      </c>
      <c r="U754">
        <v>50950080978</v>
      </c>
      <c r="W754">
        <v>24000</v>
      </c>
      <c r="X754" t="s">
        <v>409</v>
      </c>
      <c r="Y754" t="s">
        <v>410</v>
      </c>
      <c r="Z754" t="s">
        <v>410</v>
      </c>
      <c r="AA754" t="s">
        <v>411</v>
      </c>
      <c r="AB754" t="s">
        <v>412</v>
      </c>
      <c r="AC754" t="s">
        <v>411</v>
      </c>
      <c r="AD754">
        <v>46111</v>
      </c>
      <c r="AE754">
        <v>46167</v>
      </c>
      <c r="AF754">
        <v>46118</v>
      </c>
      <c r="AG754" t="s">
        <v>590</v>
      </c>
      <c r="AH754">
        <v>6170570</v>
      </c>
      <c r="AI754">
        <v>46113</v>
      </c>
      <c r="AJ754">
        <v>46114</v>
      </c>
      <c r="AK754">
        <v>24000</v>
      </c>
      <c r="AL754" t="s">
        <v>396</v>
      </c>
      <c r="AM754" t="s">
        <v>2603</v>
      </c>
      <c r="AN754">
        <v>46114</v>
      </c>
      <c r="AO754">
        <v>46114.654120370367</v>
      </c>
      <c r="AP754" t="s">
        <v>51</v>
      </c>
      <c r="AQ754">
        <v>0.12195</v>
      </c>
      <c r="AR754">
        <v>2926.8</v>
      </c>
      <c r="AS754" t="s">
        <v>51</v>
      </c>
      <c r="AT754">
        <v>2926.8</v>
      </c>
      <c r="AU754" t="s">
        <v>415</v>
      </c>
      <c r="AV754" t="s">
        <v>772</v>
      </c>
      <c r="AW754" t="s">
        <v>2514</v>
      </c>
      <c r="AX754">
        <v>46119</v>
      </c>
      <c r="AY754">
        <v>46168</v>
      </c>
      <c r="AZ754" t="s">
        <v>2521</v>
      </c>
      <c r="BA754" t="s">
        <v>2219</v>
      </c>
      <c r="BB754" t="s">
        <v>2522</v>
      </c>
      <c r="BC754">
        <v>2400</v>
      </c>
      <c r="BD754" t="s">
        <v>521</v>
      </c>
      <c r="BE754">
        <v>8.7984000000000009</v>
      </c>
      <c r="BF754">
        <v>7.4774000000000003</v>
      </c>
      <c r="BG754" t="s">
        <v>522</v>
      </c>
      <c r="BH754">
        <v>395</v>
      </c>
      <c r="BI754">
        <v>295</v>
      </c>
      <c r="BJ754">
        <v>210</v>
      </c>
      <c r="BK754">
        <v>6</v>
      </c>
      <c r="BL754" t="s">
        <v>521</v>
      </c>
      <c r="BM754">
        <v>60.790399999999998</v>
      </c>
      <c r="BN754">
        <v>44.864400000000003</v>
      </c>
      <c r="BO754">
        <v>103.98439999999999</v>
      </c>
      <c r="BP754" t="s">
        <v>522</v>
      </c>
      <c r="BQ754">
        <v>800</v>
      </c>
      <c r="BR754">
        <v>300</v>
      </c>
      <c r="BS754">
        <v>790</v>
      </c>
      <c r="BT754">
        <v>1</v>
      </c>
      <c r="BU754">
        <v>1</v>
      </c>
      <c r="BV754">
        <v>2</v>
      </c>
      <c r="BW754">
        <v>10</v>
      </c>
      <c r="BX754">
        <v>0</v>
      </c>
      <c r="BY754">
        <v>10</v>
      </c>
      <c r="BZ754">
        <v>14400</v>
      </c>
      <c r="CA754">
        <v>9600</v>
      </c>
      <c r="CB754">
        <v>24000</v>
      </c>
      <c r="CC754">
        <v>74.7744</v>
      </c>
      <c r="CD754" t="s">
        <v>626</v>
      </c>
      <c r="CE754" t="s">
        <v>627</v>
      </c>
      <c r="CG754" t="s">
        <v>421</v>
      </c>
      <c r="CN754" t="str">
        <v>M19</v>
      </c>
      <c r="CO754" t="str">
        <v>1330-5YY0182EN</v>
      </c>
      <c r="CP754" t="str">
        <v>OOLU8995146</v>
      </c>
      <c r="CQ754" s="23">
        <v>526.90679999999998</v>
      </c>
      <c r="CR754" s="25">
        <f t="shared" si="30"/>
        <v>3.9888201625482851E-2</v>
      </c>
      <c r="CS754" s="21">
        <f t="shared" si="31"/>
        <v>99.720504063707125</v>
      </c>
    </row>
    <row r="755" spans="2:97" x14ac:dyDescent="0.35">
      <c r="B755" t="s">
        <v>299</v>
      </c>
      <c r="C755" t="s">
        <v>2604</v>
      </c>
      <c r="D755" t="s">
        <v>395</v>
      </c>
      <c r="E755" t="s">
        <v>395</v>
      </c>
      <c r="F755" t="s">
        <v>396</v>
      </c>
      <c r="G755" t="s">
        <v>397</v>
      </c>
      <c r="H755" t="s">
        <v>532</v>
      </c>
      <c r="I755" t="s">
        <v>399</v>
      </c>
      <c r="J755" t="s">
        <v>400</v>
      </c>
      <c r="K755" t="s">
        <v>515</v>
      </c>
      <c r="L755" t="s">
        <v>585</v>
      </c>
      <c r="M755" t="s">
        <v>403</v>
      </c>
      <c r="N755">
        <v>1</v>
      </c>
      <c r="O755">
        <v>1</v>
      </c>
      <c r="P755" t="s">
        <v>2605</v>
      </c>
      <c r="Q755" t="s">
        <v>587</v>
      </c>
      <c r="R755" t="s">
        <v>616</v>
      </c>
      <c r="S755" t="s">
        <v>617</v>
      </c>
      <c r="T755" t="s">
        <v>408</v>
      </c>
      <c r="U755">
        <v>50950081092</v>
      </c>
      <c r="W755">
        <v>15120</v>
      </c>
      <c r="X755" t="s">
        <v>409</v>
      </c>
      <c r="Y755" t="s">
        <v>410</v>
      </c>
      <c r="Z755" t="s">
        <v>410</v>
      </c>
      <c r="AA755" t="s">
        <v>411</v>
      </c>
      <c r="AB755" t="s">
        <v>412</v>
      </c>
      <c r="AC755" t="s">
        <v>411</v>
      </c>
      <c r="AD755">
        <v>46111</v>
      </c>
      <c r="AE755">
        <v>46167</v>
      </c>
      <c r="AF755">
        <v>46118</v>
      </c>
      <c r="AG755" t="s">
        <v>590</v>
      </c>
      <c r="AH755">
        <v>6170571</v>
      </c>
      <c r="AI755">
        <v>46113</v>
      </c>
      <c r="AJ755">
        <v>46114</v>
      </c>
      <c r="AK755">
        <v>15120</v>
      </c>
      <c r="AL755" t="s">
        <v>396</v>
      </c>
      <c r="AM755" t="s">
        <v>2606</v>
      </c>
      <c r="AN755">
        <v>46114</v>
      </c>
      <c r="AO755">
        <v>46114.654120370367</v>
      </c>
      <c r="AP755" t="s">
        <v>51</v>
      </c>
      <c r="AQ755">
        <v>0.18651999999999999</v>
      </c>
      <c r="AR755">
        <v>2820.18</v>
      </c>
      <c r="AS755" t="s">
        <v>51</v>
      </c>
      <c r="AT755">
        <v>2820.18</v>
      </c>
      <c r="AU755" t="s">
        <v>415</v>
      </c>
      <c r="AV755" t="s">
        <v>772</v>
      </c>
      <c r="AW755" t="s">
        <v>2514</v>
      </c>
      <c r="AX755">
        <v>46119</v>
      </c>
      <c r="AY755">
        <v>46168</v>
      </c>
      <c r="AZ755" t="s">
        <v>2521</v>
      </c>
      <c r="BA755" t="s">
        <v>2219</v>
      </c>
      <c r="BB755" t="s">
        <v>2522</v>
      </c>
      <c r="BC755">
        <v>420</v>
      </c>
      <c r="BD755" t="s">
        <v>521</v>
      </c>
      <c r="BE755">
        <v>2.0749</v>
      </c>
      <c r="BF755">
        <v>1.3549</v>
      </c>
      <c r="BG755" t="s">
        <v>522</v>
      </c>
      <c r="BH755">
        <v>395</v>
      </c>
      <c r="BI755">
        <v>295</v>
      </c>
      <c r="BJ755">
        <v>220</v>
      </c>
      <c r="BK755">
        <v>6</v>
      </c>
      <c r="BL755" t="s">
        <v>521</v>
      </c>
      <c r="BM755">
        <v>20.449400000000001</v>
      </c>
      <c r="BN755">
        <v>8.1294000000000004</v>
      </c>
      <c r="BO755">
        <v>122.69712</v>
      </c>
      <c r="BP755" t="s">
        <v>522</v>
      </c>
      <c r="BQ755">
        <v>800</v>
      </c>
      <c r="BR755">
        <v>300</v>
      </c>
      <c r="BS755">
        <v>830</v>
      </c>
      <c r="BT755">
        <v>6</v>
      </c>
      <c r="BU755">
        <v>0</v>
      </c>
      <c r="BV755">
        <v>6</v>
      </c>
      <c r="BW755">
        <v>36</v>
      </c>
      <c r="BX755">
        <v>0</v>
      </c>
      <c r="BY755">
        <v>36</v>
      </c>
      <c r="BZ755">
        <v>15120</v>
      </c>
      <c r="CA755">
        <v>0</v>
      </c>
      <c r="CB755">
        <v>15120</v>
      </c>
      <c r="CC755">
        <v>48.777119999999996</v>
      </c>
      <c r="CD755" t="s">
        <v>619</v>
      </c>
      <c r="CE755" t="s">
        <v>620</v>
      </c>
      <c r="CG755" t="s">
        <v>421</v>
      </c>
      <c r="CN755" t="str">
        <v>M19</v>
      </c>
      <c r="CO755" t="str">
        <v>1330-5YY0167EN</v>
      </c>
      <c r="CP755" t="str">
        <v>OOLU8995146</v>
      </c>
      <c r="CQ755" s="23">
        <v>350.45519999999999</v>
      </c>
      <c r="CR755" s="25">
        <f t="shared" si="30"/>
        <v>2.6530361115663943E-2</v>
      </c>
      <c r="CS755" s="21">
        <f t="shared" si="31"/>
        <v>66.325902789159855</v>
      </c>
    </row>
    <row r="756" spans="2:97" x14ac:dyDescent="0.35">
      <c r="B756" t="s">
        <v>299</v>
      </c>
      <c r="C756" t="s">
        <v>2607</v>
      </c>
      <c r="D756" t="s">
        <v>395</v>
      </c>
      <c r="E756" t="s">
        <v>395</v>
      </c>
      <c r="F756" t="s">
        <v>396</v>
      </c>
      <c r="G756" t="s">
        <v>397</v>
      </c>
      <c r="H756" t="s">
        <v>532</v>
      </c>
      <c r="I756" t="s">
        <v>399</v>
      </c>
      <c r="J756" t="s">
        <v>400</v>
      </c>
      <c r="K756" t="s">
        <v>515</v>
      </c>
      <c r="L756" t="s">
        <v>585</v>
      </c>
      <c r="M756" t="s">
        <v>403</v>
      </c>
      <c r="N756">
        <v>1</v>
      </c>
      <c r="O756">
        <v>1</v>
      </c>
      <c r="P756" t="s">
        <v>1310</v>
      </c>
      <c r="Q756" t="s">
        <v>430</v>
      </c>
      <c r="R756" t="s">
        <v>616</v>
      </c>
      <c r="S756" t="s">
        <v>1311</v>
      </c>
      <c r="T756" t="s">
        <v>408</v>
      </c>
      <c r="U756">
        <v>50950081102</v>
      </c>
      <c r="W756">
        <v>19200</v>
      </c>
      <c r="X756" t="s">
        <v>409</v>
      </c>
      <c r="Y756" t="s">
        <v>410</v>
      </c>
      <c r="Z756" t="s">
        <v>410</v>
      </c>
      <c r="AA756" t="s">
        <v>411</v>
      </c>
      <c r="AB756" t="s">
        <v>412</v>
      </c>
      <c r="AC756" t="s">
        <v>411</v>
      </c>
      <c r="AD756">
        <v>46111</v>
      </c>
      <c r="AE756">
        <v>46167</v>
      </c>
      <c r="AF756">
        <v>46118</v>
      </c>
      <c r="AG756" t="s">
        <v>590</v>
      </c>
      <c r="AH756">
        <v>6170572</v>
      </c>
      <c r="AI756">
        <v>46113</v>
      </c>
      <c r="AJ756">
        <v>46114</v>
      </c>
      <c r="AK756">
        <v>19200</v>
      </c>
      <c r="AL756" t="s">
        <v>396</v>
      </c>
      <c r="AM756" t="s">
        <v>2608</v>
      </c>
      <c r="AN756">
        <v>46114</v>
      </c>
      <c r="AO756">
        <v>46114.654120370367</v>
      </c>
      <c r="AP756" t="s">
        <v>51</v>
      </c>
      <c r="AQ756">
        <v>0.24460000000000001</v>
      </c>
      <c r="AR756">
        <v>4696.32</v>
      </c>
      <c r="AS756" t="s">
        <v>51</v>
      </c>
      <c r="AT756">
        <v>4696.32</v>
      </c>
      <c r="AU756" t="s">
        <v>415</v>
      </c>
      <c r="AV756" t="s">
        <v>772</v>
      </c>
      <c r="AW756" t="s">
        <v>2514</v>
      </c>
      <c r="AX756">
        <v>46119</v>
      </c>
      <c r="AY756">
        <v>46168</v>
      </c>
      <c r="AZ756" t="s">
        <v>2521</v>
      </c>
      <c r="BA756" t="s">
        <v>2219</v>
      </c>
      <c r="BB756" t="s">
        <v>2522</v>
      </c>
      <c r="BC756">
        <v>800</v>
      </c>
      <c r="BD756" t="s">
        <v>521</v>
      </c>
      <c r="BE756">
        <v>4.5316000000000001</v>
      </c>
      <c r="BF756">
        <v>2.8616000000000001</v>
      </c>
      <c r="BG756" t="s">
        <v>522</v>
      </c>
      <c r="BH756">
        <v>395</v>
      </c>
      <c r="BI756">
        <v>295</v>
      </c>
      <c r="BJ756">
        <v>150</v>
      </c>
      <c r="BK756">
        <v>48</v>
      </c>
      <c r="BL756" t="s">
        <v>521</v>
      </c>
      <c r="BM756">
        <v>132.75839999999999</v>
      </c>
      <c r="BN756">
        <v>68.678399999999996</v>
      </c>
      <c r="BO756">
        <v>132.75839999999999</v>
      </c>
      <c r="BP756" t="s">
        <v>522</v>
      </c>
      <c r="BQ756">
        <v>1200</v>
      </c>
      <c r="BR756">
        <v>800</v>
      </c>
      <c r="BS756">
        <v>1060</v>
      </c>
      <c r="BT756">
        <v>0</v>
      </c>
      <c r="BU756">
        <v>1</v>
      </c>
      <c r="BV756">
        <v>1</v>
      </c>
      <c r="BW756">
        <v>24</v>
      </c>
      <c r="BX756">
        <v>0</v>
      </c>
      <c r="BY756">
        <v>24</v>
      </c>
      <c r="BZ756">
        <v>0</v>
      </c>
      <c r="CA756">
        <v>19200</v>
      </c>
      <c r="CB756">
        <v>19200</v>
      </c>
      <c r="CC756">
        <v>68.678399999999996</v>
      </c>
      <c r="CD756" t="s">
        <v>694</v>
      </c>
      <c r="CE756" t="s">
        <v>701</v>
      </c>
      <c r="CG756" t="s">
        <v>421</v>
      </c>
      <c r="CN756" t="str">
        <v>M19</v>
      </c>
      <c r="CO756" t="str">
        <v>1330-5YY0176EN</v>
      </c>
      <c r="CP756" t="str">
        <v>OOLU8995146</v>
      </c>
      <c r="CQ756" s="23">
        <v>273.75360000000001</v>
      </c>
      <c r="CR756" s="25">
        <f t="shared" si="30"/>
        <v>2.0723852477329545E-2</v>
      </c>
      <c r="CS756" s="21">
        <f t="shared" si="31"/>
        <v>51.80963119332386</v>
      </c>
    </row>
    <row r="757" spans="2:97" x14ac:dyDescent="0.35">
      <c r="B757" t="s">
        <v>3497</v>
      </c>
      <c r="C757" t="s">
        <v>2609</v>
      </c>
      <c r="D757" t="s">
        <v>395</v>
      </c>
      <c r="E757" t="s">
        <v>395</v>
      </c>
      <c r="F757" t="s">
        <v>396</v>
      </c>
      <c r="G757" t="s">
        <v>397</v>
      </c>
      <c r="H757" t="s">
        <v>398</v>
      </c>
      <c r="I757" t="s">
        <v>399</v>
      </c>
      <c r="J757" t="s">
        <v>400</v>
      </c>
      <c r="K757" t="s">
        <v>515</v>
      </c>
      <c r="L757" t="s">
        <v>585</v>
      </c>
      <c r="M757" t="s">
        <v>403</v>
      </c>
      <c r="N757">
        <v>1</v>
      </c>
      <c r="O757">
        <v>1</v>
      </c>
      <c r="P757" t="s">
        <v>1829</v>
      </c>
      <c r="Q757" t="s">
        <v>424</v>
      </c>
      <c r="R757" t="s">
        <v>691</v>
      </c>
      <c r="S757" t="s">
        <v>1830</v>
      </c>
      <c r="T757" t="s">
        <v>408</v>
      </c>
      <c r="U757">
        <v>50950081105</v>
      </c>
      <c r="W757">
        <v>34560</v>
      </c>
      <c r="X757" t="s">
        <v>409</v>
      </c>
      <c r="Y757" t="s">
        <v>410</v>
      </c>
      <c r="Z757" t="s">
        <v>410</v>
      </c>
      <c r="AA757" t="s">
        <v>411</v>
      </c>
      <c r="AB757" t="s">
        <v>412</v>
      </c>
      <c r="AC757" t="s">
        <v>411</v>
      </c>
      <c r="AD757">
        <v>46111</v>
      </c>
      <c r="AE757">
        <v>46174</v>
      </c>
      <c r="AF757">
        <v>46118</v>
      </c>
      <c r="AG757" t="s">
        <v>590</v>
      </c>
      <c r="AH757">
        <v>6170573</v>
      </c>
      <c r="AI757">
        <v>46113</v>
      </c>
      <c r="AJ757">
        <v>46114</v>
      </c>
      <c r="AK757">
        <v>34560</v>
      </c>
      <c r="AL757" t="s">
        <v>396</v>
      </c>
      <c r="AM757" t="s">
        <v>2610</v>
      </c>
      <c r="AN757">
        <v>46114</v>
      </c>
      <c r="AO757">
        <v>46114.654120370367</v>
      </c>
      <c r="AP757" t="s">
        <v>51</v>
      </c>
      <c r="AQ757">
        <v>6.719E-2</v>
      </c>
      <c r="AR757">
        <v>2322.09</v>
      </c>
      <c r="AS757" t="s">
        <v>51</v>
      </c>
      <c r="AT757">
        <v>2322.09</v>
      </c>
      <c r="AU757" t="s">
        <v>415</v>
      </c>
      <c r="AV757" t="s">
        <v>772</v>
      </c>
      <c r="AW757" t="s">
        <v>2514</v>
      </c>
      <c r="AX757">
        <v>46119</v>
      </c>
      <c r="AY757">
        <v>46168</v>
      </c>
      <c r="AZ757" t="s">
        <v>2521</v>
      </c>
      <c r="BA757" t="s">
        <v>2219</v>
      </c>
      <c r="BB757" t="s">
        <v>2522</v>
      </c>
      <c r="BC757">
        <v>1080</v>
      </c>
      <c r="BD757" t="s">
        <v>521</v>
      </c>
      <c r="BE757">
        <v>4.016</v>
      </c>
      <c r="BF757">
        <v>2.4159999999999999</v>
      </c>
      <c r="BG757" t="s">
        <v>522</v>
      </c>
      <c r="BH757">
        <v>395</v>
      </c>
      <c r="BI757">
        <v>295</v>
      </c>
      <c r="BJ757">
        <v>150</v>
      </c>
      <c r="BK757">
        <v>48</v>
      </c>
      <c r="BL757" t="s">
        <v>521</v>
      </c>
      <c r="BM757">
        <v>152.51071999999999</v>
      </c>
      <c r="BN757">
        <v>77.310720000000003</v>
      </c>
      <c r="BO757">
        <v>152.51071999999999</v>
      </c>
      <c r="BP757" t="s">
        <v>522</v>
      </c>
      <c r="BQ757">
        <v>1200</v>
      </c>
      <c r="BR757">
        <v>800</v>
      </c>
      <c r="BS757">
        <v>1060</v>
      </c>
      <c r="BT757">
        <v>0</v>
      </c>
      <c r="BU757">
        <v>1</v>
      </c>
      <c r="BV757">
        <v>1</v>
      </c>
      <c r="BW757">
        <v>32</v>
      </c>
      <c r="BX757">
        <v>0</v>
      </c>
      <c r="BY757">
        <v>32</v>
      </c>
      <c r="BZ757">
        <v>0</v>
      </c>
      <c r="CA757">
        <v>34560</v>
      </c>
      <c r="CB757">
        <v>34560</v>
      </c>
      <c r="CC757">
        <v>77.310720000000003</v>
      </c>
      <c r="CD757" t="s">
        <v>694</v>
      </c>
      <c r="CE757" t="s">
        <v>695</v>
      </c>
      <c r="CG757" t="s">
        <v>421</v>
      </c>
      <c r="CN757" t="str">
        <v>M19</v>
      </c>
      <c r="CO757" t="str">
        <v>1301-5YY0322EN0093</v>
      </c>
      <c r="CP757" t="str">
        <v>OOLU8995146</v>
      </c>
      <c r="CQ757" s="23">
        <v>445.5849</v>
      </c>
      <c r="CR757" s="25">
        <f t="shared" si="30"/>
        <v>3.373192437917031E-2</v>
      </c>
      <c r="CS757" s="21">
        <f t="shared" si="31"/>
        <v>84.329810947925779</v>
      </c>
    </row>
    <row r="758" spans="2:97" x14ac:dyDescent="0.35">
      <c r="B758" t="s">
        <v>3497</v>
      </c>
      <c r="C758" t="s">
        <v>2611</v>
      </c>
      <c r="D758" t="s">
        <v>395</v>
      </c>
      <c r="E758" t="s">
        <v>395</v>
      </c>
      <c r="F758" t="s">
        <v>396</v>
      </c>
      <c r="G758" t="s">
        <v>397</v>
      </c>
      <c r="H758" t="s">
        <v>398</v>
      </c>
      <c r="I758" t="s">
        <v>399</v>
      </c>
      <c r="J758" t="s">
        <v>400</v>
      </c>
      <c r="K758" t="s">
        <v>515</v>
      </c>
      <c r="L758" t="s">
        <v>585</v>
      </c>
      <c r="M758" t="s">
        <v>403</v>
      </c>
      <c r="N758">
        <v>1</v>
      </c>
      <c r="O758">
        <v>1</v>
      </c>
      <c r="P758" t="s">
        <v>1321</v>
      </c>
      <c r="Q758" t="s">
        <v>424</v>
      </c>
      <c r="R758" t="s">
        <v>691</v>
      </c>
      <c r="S758" t="s">
        <v>1322</v>
      </c>
      <c r="T758" t="s">
        <v>408</v>
      </c>
      <c r="U758">
        <v>50950081115</v>
      </c>
      <c r="W758">
        <v>27000</v>
      </c>
      <c r="X758" t="s">
        <v>409</v>
      </c>
      <c r="Y758" t="s">
        <v>410</v>
      </c>
      <c r="Z758" t="s">
        <v>410</v>
      </c>
      <c r="AA758" t="s">
        <v>411</v>
      </c>
      <c r="AB758" t="s">
        <v>412</v>
      </c>
      <c r="AC758" t="s">
        <v>411</v>
      </c>
      <c r="AD758">
        <v>46111</v>
      </c>
      <c r="AE758">
        <v>46174</v>
      </c>
      <c r="AF758">
        <v>46118</v>
      </c>
      <c r="AG758" t="s">
        <v>590</v>
      </c>
      <c r="AH758">
        <v>6170574</v>
      </c>
      <c r="AI758">
        <v>46113</v>
      </c>
      <c r="AJ758">
        <v>46114</v>
      </c>
      <c r="AK758">
        <v>27000</v>
      </c>
      <c r="AL758" t="s">
        <v>396</v>
      </c>
      <c r="AM758" t="s">
        <v>2612</v>
      </c>
      <c r="AN758">
        <v>46114</v>
      </c>
      <c r="AO758">
        <v>46114.654120370367</v>
      </c>
      <c r="AP758" t="s">
        <v>51</v>
      </c>
      <c r="AQ758">
        <v>6.3979999999999995E-2</v>
      </c>
      <c r="AR758">
        <v>1727.46</v>
      </c>
      <c r="AS758" t="s">
        <v>51</v>
      </c>
      <c r="AT758">
        <v>1727.46</v>
      </c>
      <c r="AU758" t="s">
        <v>415</v>
      </c>
      <c r="AV758" t="s">
        <v>772</v>
      </c>
      <c r="AW758" t="s">
        <v>2514</v>
      </c>
      <c r="AX758">
        <v>46119</v>
      </c>
      <c r="AY758">
        <v>46168</v>
      </c>
      <c r="AZ758" t="s">
        <v>2521</v>
      </c>
      <c r="BA758" t="s">
        <v>2219</v>
      </c>
      <c r="BB758" t="s">
        <v>2522</v>
      </c>
      <c r="BC758">
        <v>900</v>
      </c>
      <c r="BD758" t="s">
        <v>521</v>
      </c>
      <c r="BE758">
        <v>3.0463</v>
      </c>
      <c r="BF758">
        <v>1.4462999999999999</v>
      </c>
      <c r="BG758" t="s">
        <v>522</v>
      </c>
      <c r="BH758">
        <v>395</v>
      </c>
      <c r="BI758">
        <v>295</v>
      </c>
      <c r="BJ758">
        <v>150</v>
      </c>
      <c r="BK758">
        <v>48</v>
      </c>
      <c r="BL758" t="s">
        <v>521</v>
      </c>
      <c r="BM758">
        <v>115.389</v>
      </c>
      <c r="BN758">
        <v>43.389000000000003</v>
      </c>
      <c r="BO758">
        <v>115.389</v>
      </c>
      <c r="BP758" t="s">
        <v>522</v>
      </c>
      <c r="BQ758">
        <v>1200</v>
      </c>
      <c r="BR758">
        <v>800</v>
      </c>
      <c r="BS758">
        <v>1060</v>
      </c>
      <c r="BT758">
        <v>0</v>
      </c>
      <c r="BU758">
        <v>1</v>
      </c>
      <c r="BV758">
        <v>1</v>
      </c>
      <c r="BW758">
        <v>30</v>
      </c>
      <c r="BX758">
        <v>0</v>
      </c>
      <c r="BY758">
        <v>30</v>
      </c>
      <c r="BZ758">
        <v>0</v>
      </c>
      <c r="CA758">
        <v>27000</v>
      </c>
      <c r="CB758">
        <v>27000</v>
      </c>
      <c r="CC758">
        <v>43.389000000000003</v>
      </c>
      <c r="CD758" t="s">
        <v>694</v>
      </c>
      <c r="CE758" t="s">
        <v>695</v>
      </c>
      <c r="CG758" t="s">
        <v>421</v>
      </c>
      <c r="CN758" t="str">
        <v>M19</v>
      </c>
      <c r="CO758" t="str">
        <v>1330-5YY0183EN</v>
      </c>
      <c r="CP758" t="str">
        <v>OOLU8995146</v>
      </c>
      <c r="CQ758" s="23">
        <v>1288.4880000000001</v>
      </c>
      <c r="CR758" s="25">
        <f t="shared" si="30"/>
        <v>9.7541859653386812E-2</v>
      </c>
      <c r="CS758" s="21">
        <f t="shared" si="31"/>
        <v>243.85464913346703</v>
      </c>
    </row>
    <row r="759" spans="2:97" x14ac:dyDescent="0.35">
      <c r="B759" t="s">
        <v>299</v>
      </c>
      <c r="C759" t="s">
        <v>2613</v>
      </c>
      <c r="D759" t="s">
        <v>395</v>
      </c>
      <c r="E759" t="s">
        <v>395</v>
      </c>
      <c r="F759" t="s">
        <v>396</v>
      </c>
      <c r="G759" t="s">
        <v>397</v>
      </c>
      <c r="H759" t="s">
        <v>532</v>
      </c>
      <c r="I759" t="s">
        <v>399</v>
      </c>
      <c r="J759" t="s">
        <v>400</v>
      </c>
      <c r="K759" t="s">
        <v>595</v>
      </c>
      <c r="L759" t="s">
        <v>585</v>
      </c>
      <c r="M759" t="s">
        <v>403</v>
      </c>
      <c r="N759">
        <v>1</v>
      </c>
      <c r="O759">
        <v>1</v>
      </c>
      <c r="P759" t="s">
        <v>603</v>
      </c>
      <c r="Q759" t="s">
        <v>405</v>
      </c>
      <c r="R759" t="s">
        <v>597</v>
      </c>
      <c r="S759" t="s">
        <v>604</v>
      </c>
      <c r="T759" t="s">
        <v>408</v>
      </c>
      <c r="U759">
        <v>50950081116</v>
      </c>
      <c r="W759">
        <v>5760</v>
      </c>
      <c r="X759" t="s">
        <v>409</v>
      </c>
      <c r="Y759" t="s">
        <v>410</v>
      </c>
      <c r="Z759" t="s">
        <v>410</v>
      </c>
      <c r="AA759" t="s">
        <v>411</v>
      </c>
      <c r="AB759" t="s">
        <v>412</v>
      </c>
      <c r="AC759" t="s">
        <v>411</v>
      </c>
      <c r="AD759">
        <v>46111</v>
      </c>
      <c r="AE759">
        <v>46167</v>
      </c>
      <c r="AF759">
        <v>46118</v>
      </c>
      <c r="AG759" t="s">
        <v>590</v>
      </c>
      <c r="AH759">
        <v>6170575</v>
      </c>
      <c r="AI759">
        <v>46113</v>
      </c>
      <c r="AJ759">
        <v>46114</v>
      </c>
      <c r="AK759">
        <v>5760</v>
      </c>
      <c r="AL759" t="s">
        <v>396</v>
      </c>
      <c r="AM759" t="s">
        <v>2614</v>
      </c>
      <c r="AN759">
        <v>46114</v>
      </c>
      <c r="AO759">
        <v>46114.654120370367</v>
      </c>
      <c r="AP759" t="s">
        <v>51</v>
      </c>
      <c r="AQ759">
        <v>0.20987</v>
      </c>
      <c r="AR759">
        <v>1208.8499999999999</v>
      </c>
      <c r="AS759" t="s">
        <v>51</v>
      </c>
      <c r="AT759">
        <v>1208.8499999999999</v>
      </c>
      <c r="AU759" t="s">
        <v>415</v>
      </c>
      <c r="AV759" t="s">
        <v>772</v>
      </c>
      <c r="AW759" t="s">
        <v>2514</v>
      </c>
      <c r="AX759">
        <v>46119</v>
      </c>
      <c r="AY759">
        <v>46168</v>
      </c>
      <c r="AZ759" t="s">
        <v>2521</v>
      </c>
      <c r="BA759" t="s">
        <v>2219</v>
      </c>
      <c r="BB759" t="s">
        <v>2522</v>
      </c>
      <c r="BC759">
        <v>320</v>
      </c>
      <c r="BD759" t="s">
        <v>521</v>
      </c>
      <c r="BE759">
        <v>7.5754999999999999</v>
      </c>
      <c r="BF759">
        <v>7.2755000000000001</v>
      </c>
      <c r="BG759" t="s">
        <v>522</v>
      </c>
      <c r="BH759">
        <v>295</v>
      </c>
      <c r="BI759">
        <v>195</v>
      </c>
      <c r="BJ759">
        <v>100</v>
      </c>
      <c r="BK759">
        <v>64</v>
      </c>
      <c r="BL759" t="s">
        <v>521</v>
      </c>
      <c r="BM759">
        <v>166.35936000000001</v>
      </c>
      <c r="BN759">
        <v>130.95936</v>
      </c>
      <c r="BO759">
        <v>166.35936000000001</v>
      </c>
      <c r="BP759" t="s">
        <v>522</v>
      </c>
      <c r="BQ759">
        <v>1200</v>
      </c>
      <c r="BR759">
        <v>800</v>
      </c>
      <c r="BS759">
        <v>573</v>
      </c>
      <c r="BT759">
        <v>0</v>
      </c>
      <c r="BU759">
        <v>1</v>
      </c>
      <c r="BV759">
        <v>1</v>
      </c>
      <c r="BW759">
        <v>18</v>
      </c>
      <c r="BX759">
        <v>0</v>
      </c>
      <c r="BY759">
        <v>18</v>
      </c>
      <c r="BZ759">
        <v>0</v>
      </c>
      <c r="CA759">
        <v>5760</v>
      </c>
      <c r="CB759">
        <v>5760</v>
      </c>
      <c r="CC759">
        <v>130.95936</v>
      </c>
      <c r="CD759" t="s">
        <v>600</v>
      </c>
      <c r="CE759" t="s">
        <v>601</v>
      </c>
      <c r="CG759" t="s">
        <v>421</v>
      </c>
      <c r="CN759" t="str">
        <v>M19</v>
      </c>
      <c r="CO759" t="str">
        <v>1301-5YY0306EN0093</v>
      </c>
      <c r="CP759" t="str">
        <v>OOLU8995146</v>
      </c>
      <c r="CQ759" s="23">
        <v>4440.6565199999995</v>
      </c>
      <c r="CR759" s="25">
        <f t="shared" si="30"/>
        <v>0.33616913393274678</v>
      </c>
      <c r="CS759" s="21">
        <f t="shared" si="31"/>
        <v>840.42283483186691</v>
      </c>
    </row>
    <row r="760" spans="2:97" x14ac:dyDescent="0.35">
      <c r="B760" t="s">
        <v>299</v>
      </c>
      <c r="C760" t="s">
        <v>2615</v>
      </c>
      <c r="D760" t="s">
        <v>395</v>
      </c>
      <c r="E760" t="s">
        <v>395</v>
      </c>
      <c r="F760" t="s">
        <v>396</v>
      </c>
      <c r="G760" t="s">
        <v>397</v>
      </c>
      <c r="H760" t="s">
        <v>532</v>
      </c>
      <c r="I760" t="s">
        <v>399</v>
      </c>
      <c r="J760" t="s">
        <v>400</v>
      </c>
      <c r="K760" t="s">
        <v>515</v>
      </c>
      <c r="L760" t="s">
        <v>585</v>
      </c>
      <c r="M760" t="s">
        <v>403</v>
      </c>
      <c r="N760">
        <v>1</v>
      </c>
      <c r="O760">
        <v>1</v>
      </c>
      <c r="P760" t="s">
        <v>1327</v>
      </c>
      <c r="Q760" t="s">
        <v>430</v>
      </c>
      <c r="R760" t="s">
        <v>616</v>
      </c>
      <c r="S760" t="s">
        <v>1328</v>
      </c>
      <c r="T760" t="s">
        <v>408</v>
      </c>
      <c r="U760">
        <v>50950081120</v>
      </c>
      <c r="W760">
        <v>25200</v>
      </c>
      <c r="X760" t="s">
        <v>409</v>
      </c>
      <c r="Y760" t="s">
        <v>410</v>
      </c>
      <c r="Z760" t="s">
        <v>410</v>
      </c>
      <c r="AA760" t="s">
        <v>411</v>
      </c>
      <c r="AB760" t="s">
        <v>412</v>
      </c>
      <c r="AC760" t="s">
        <v>411</v>
      </c>
      <c r="AD760">
        <v>46111</v>
      </c>
      <c r="AE760">
        <v>46167</v>
      </c>
      <c r="AF760">
        <v>46118</v>
      </c>
      <c r="AG760" t="s">
        <v>590</v>
      </c>
      <c r="AH760">
        <v>6170576</v>
      </c>
      <c r="AI760">
        <v>46113</v>
      </c>
      <c r="AJ760">
        <v>46114</v>
      </c>
      <c r="AK760">
        <v>25200</v>
      </c>
      <c r="AL760" t="s">
        <v>396</v>
      </c>
      <c r="AM760" t="s">
        <v>2616</v>
      </c>
      <c r="AN760">
        <v>46114</v>
      </c>
      <c r="AO760">
        <v>46114.654120370367</v>
      </c>
      <c r="AP760" t="s">
        <v>51</v>
      </c>
      <c r="AQ760">
        <v>0.35293999999999998</v>
      </c>
      <c r="AR760">
        <v>8894.09</v>
      </c>
      <c r="AS760" t="s">
        <v>51</v>
      </c>
      <c r="AT760">
        <v>8894.09</v>
      </c>
      <c r="AU760" t="s">
        <v>415</v>
      </c>
      <c r="AV760" t="s">
        <v>772</v>
      </c>
      <c r="AW760" t="s">
        <v>2514</v>
      </c>
      <c r="AX760">
        <v>46119</v>
      </c>
      <c r="AY760">
        <v>46168</v>
      </c>
      <c r="AZ760" t="s">
        <v>2521</v>
      </c>
      <c r="BA760" t="s">
        <v>2219</v>
      </c>
      <c r="BB760" t="s">
        <v>2522</v>
      </c>
      <c r="BC760">
        <v>600</v>
      </c>
      <c r="BD760" t="s">
        <v>521</v>
      </c>
      <c r="BE760">
        <v>4.3798000000000004</v>
      </c>
      <c r="BF760">
        <v>2.7797999999999998</v>
      </c>
      <c r="BG760" t="s">
        <v>522</v>
      </c>
      <c r="BH760">
        <v>395</v>
      </c>
      <c r="BI760">
        <v>295</v>
      </c>
      <c r="BJ760">
        <v>150</v>
      </c>
      <c r="BK760">
        <v>48</v>
      </c>
      <c r="BL760" t="s">
        <v>521</v>
      </c>
      <c r="BM760">
        <v>207.95160000000001</v>
      </c>
      <c r="BN760">
        <v>116.7516</v>
      </c>
      <c r="BO760">
        <v>207.95160000000001</v>
      </c>
      <c r="BP760" t="s">
        <v>522</v>
      </c>
      <c r="BQ760">
        <v>1200</v>
      </c>
      <c r="BR760">
        <v>800</v>
      </c>
      <c r="BS760">
        <v>1060</v>
      </c>
      <c r="BT760">
        <v>0</v>
      </c>
      <c r="BU760">
        <v>1</v>
      </c>
      <c r="BV760">
        <v>1</v>
      </c>
      <c r="BW760">
        <v>42</v>
      </c>
      <c r="BX760">
        <v>0</v>
      </c>
      <c r="BY760">
        <v>42</v>
      </c>
      <c r="BZ760">
        <v>0</v>
      </c>
      <c r="CA760">
        <v>25200</v>
      </c>
      <c r="CB760">
        <v>25200</v>
      </c>
      <c r="CC760">
        <v>116.7516</v>
      </c>
      <c r="CD760" t="s">
        <v>694</v>
      </c>
      <c r="CE760" t="s">
        <v>695</v>
      </c>
      <c r="CG760" t="s">
        <v>421</v>
      </c>
      <c r="CN760" t="str">
        <v>M23</v>
      </c>
      <c r="CO760" t="str">
        <v>1307-1060077EN</v>
      </c>
      <c r="CP760" t="str">
        <v>OOLU8995146</v>
      </c>
      <c r="CQ760" s="23">
        <v>776.16319999999996</v>
      </c>
      <c r="CR760" s="25">
        <f t="shared" si="30"/>
        <v>5.8757552978781012E-2</v>
      </c>
      <c r="CS760" s="21">
        <f t="shared" si="31"/>
        <v>146.89388244695252</v>
      </c>
    </row>
    <row r="761" spans="2:97" x14ac:dyDescent="0.35">
      <c r="B761" t="s">
        <v>3497</v>
      </c>
      <c r="C761" t="s">
        <v>2617</v>
      </c>
      <c r="D761" t="s">
        <v>395</v>
      </c>
      <c r="E761" t="s">
        <v>395</v>
      </c>
      <c r="F761" t="s">
        <v>396</v>
      </c>
      <c r="G761" t="s">
        <v>397</v>
      </c>
      <c r="H761" t="s">
        <v>398</v>
      </c>
      <c r="I761" t="s">
        <v>399</v>
      </c>
      <c r="J761" t="s">
        <v>400</v>
      </c>
      <c r="K761" t="s">
        <v>515</v>
      </c>
      <c r="L761" t="s">
        <v>585</v>
      </c>
      <c r="M761" t="s">
        <v>403</v>
      </c>
      <c r="N761">
        <v>1</v>
      </c>
      <c r="O761">
        <v>1</v>
      </c>
      <c r="P761" t="s">
        <v>690</v>
      </c>
      <c r="Q761" t="s">
        <v>424</v>
      </c>
      <c r="R761" t="s">
        <v>691</v>
      </c>
      <c r="S761" t="s">
        <v>692</v>
      </c>
      <c r="T761" t="s">
        <v>408</v>
      </c>
      <c r="U761">
        <v>50950081124</v>
      </c>
      <c r="W761">
        <v>7200</v>
      </c>
      <c r="X761" t="s">
        <v>409</v>
      </c>
      <c r="Y761" t="s">
        <v>410</v>
      </c>
      <c r="Z761" t="s">
        <v>410</v>
      </c>
      <c r="AA761" t="s">
        <v>411</v>
      </c>
      <c r="AB761" t="s">
        <v>412</v>
      </c>
      <c r="AC761" t="s">
        <v>411</v>
      </c>
      <c r="AD761">
        <v>46111</v>
      </c>
      <c r="AE761">
        <v>46167</v>
      </c>
      <c r="AF761">
        <v>46118</v>
      </c>
      <c r="AG761" t="s">
        <v>590</v>
      </c>
      <c r="AH761">
        <v>6170577</v>
      </c>
      <c r="AI761">
        <v>46113</v>
      </c>
      <c r="AJ761">
        <v>46114</v>
      </c>
      <c r="AK761">
        <v>7200</v>
      </c>
      <c r="AL761" t="s">
        <v>396</v>
      </c>
      <c r="AM761" t="s">
        <v>2618</v>
      </c>
      <c r="AN761">
        <v>46114</v>
      </c>
      <c r="AO761">
        <v>46114.654120370367</v>
      </c>
      <c r="AP761" t="s">
        <v>51</v>
      </c>
      <c r="AQ761">
        <v>5.6489999999999999E-2</v>
      </c>
      <c r="AR761">
        <v>406.73</v>
      </c>
      <c r="AS761" t="s">
        <v>51</v>
      </c>
      <c r="AT761">
        <v>406.73</v>
      </c>
      <c r="AU761" t="s">
        <v>415</v>
      </c>
      <c r="AV761" t="s">
        <v>772</v>
      </c>
      <c r="AW761" t="s">
        <v>2514</v>
      </c>
      <c r="AX761">
        <v>46119</v>
      </c>
      <c r="AY761">
        <v>46168</v>
      </c>
      <c r="AZ761" t="s">
        <v>2521</v>
      </c>
      <c r="BA761" t="s">
        <v>2219</v>
      </c>
      <c r="BB761" t="s">
        <v>2522</v>
      </c>
      <c r="BC761">
        <v>900</v>
      </c>
      <c r="BD761" t="s">
        <v>521</v>
      </c>
      <c r="BE761">
        <v>2.7898000000000001</v>
      </c>
      <c r="BF761">
        <v>1.1898</v>
      </c>
      <c r="BG761" t="s">
        <v>522</v>
      </c>
      <c r="BH761">
        <v>395</v>
      </c>
      <c r="BI761">
        <v>295</v>
      </c>
      <c r="BJ761">
        <v>150</v>
      </c>
      <c r="BK761">
        <v>48</v>
      </c>
      <c r="BL761" t="s">
        <v>521</v>
      </c>
      <c r="BM761">
        <v>46.318399999999997</v>
      </c>
      <c r="BN761">
        <v>9.5183999999999997</v>
      </c>
      <c r="BO761">
        <v>46.318399999999997</v>
      </c>
      <c r="BP761" t="s">
        <v>522</v>
      </c>
      <c r="BQ761">
        <v>1200</v>
      </c>
      <c r="BR761">
        <v>800</v>
      </c>
      <c r="BS761">
        <v>1060</v>
      </c>
      <c r="BT761">
        <v>0</v>
      </c>
      <c r="BU761">
        <v>1</v>
      </c>
      <c r="BV761">
        <v>1</v>
      </c>
      <c r="BW761">
        <v>8</v>
      </c>
      <c r="BX761">
        <v>0</v>
      </c>
      <c r="BY761">
        <v>8</v>
      </c>
      <c r="BZ761">
        <v>0</v>
      </c>
      <c r="CA761">
        <v>7200</v>
      </c>
      <c r="CB761">
        <v>7200</v>
      </c>
      <c r="CC761">
        <v>9.5183999999999997</v>
      </c>
      <c r="CD761" t="s">
        <v>694</v>
      </c>
      <c r="CE761" t="s">
        <v>695</v>
      </c>
      <c r="CG761" t="s">
        <v>421</v>
      </c>
      <c r="CN761" t="str">
        <v>M46</v>
      </c>
      <c r="CO761" t="str">
        <v>1301-1060387EN</v>
      </c>
      <c r="CP761" t="str">
        <v>OOLU8995146</v>
      </c>
      <c r="CQ761" s="23">
        <v>661.28031999999996</v>
      </c>
      <c r="CR761" s="25">
        <f t="shared" si="30"/>
        <v>5.0060623121819303E-2</v>
      </c>
      <c r="CS761" s="21">
        <f t="shared" si="31"/>
        <v>125.15155780454826</v>
      </c>
    </row>
    <row r="762" spans="2:97" x14ac:dyDescent="0.35">
      <c r="B762" t="s">
        <v>3497</v>
      </c>
      <c r="C762" t="s">
        <v>2619</v>
      </c>
      <c r="D762" t="s">
        <v>395</v>
      </c>
      <c r="E762" t="s">
        <v>395</v>
      </c>
      <c r="F762" t="s">
        <v>396</v>
      </c>
      <c r="G762" t="s">
        <v>397</v>
      </c>
      <c r="H762" t="s">
        <v>398</v>
      </c>
      <c r="I762" t="s">
        <v>399</v>
      </c>
      <c r="J762" t="s">
        <v>400</v>
      </c>
      <c r="K762" t="s">
        <v>515</v>
      </c>
      <c r="L762" t="s">
        <v>585</v>
      </c>
      <c r="M762" t="s">
        <v>403</v>
      </c>
      <c r="N762">
        <v>1</v>
      </c>
      <c r="O762">
        <v>1</v>
      </c>
      <c r="P762" t="s">
        <v>703</v>
      </c>
      <c r="Q762" t="s">
        <v>424</v>
      </c>
      <c r="R762" t="s">
        <v>691</v>
      </c>
      <c r="S762" t="s">
        <v>704</v>
      </c>
      <c r="T762" t="s">
        <v>408</v>
      </c>
      <c r="U762">
        <v>50950081127</v>
      </c>
      <c r="W762">
        <v>7200</v>
      </c>
      <c r="X762" t="s">
        <v>409</v>
      </c>
      <c r="Y762" t="s">
        <v>410</v>
      </c>
      <c r="Z762" t="s">
        <v>410</v>
      </c>
      <c r="AA762" t="s">
        <v>411</v>
      </c>
      <c r="AB762" t="s">
        <v>412</v>
      </c>
      <c r="AC762" t="s">
        <v>411</v>
      </c>
      <c r="AD762">
        <v>46111</v>
      </c>
      <c r="AE762">
        <v>46167</v>
      </c>
      <c r="AF762">
        <v>46118</v>
      </c>
      <c r="AG762" t="s">
        <v>590</v>
      </c>
      <c r="AH762">
        <v>6170578</v>
      </c>
      <c r="AI762">
        <v>46113</v>
      </c>
      <c r="AJ762">
        <v>46114</v>
      </c>
      <c r="AK762">
        <v>7200</v>
      </c>
      <c r="AL762" t="s">
        <v>396</v>
      </c>
      <c r="AM762" t="s">
        <v>2620</v>
      </c>
      <c r="AN762">
        <v>46114</v>
      </c>
      <c r="AO762">
        <v>46114.654120370367</v>
      </c>
      <c r="AP762" t="s">
        <v>51</v>
      </c>
      <c r="AQ762">
        <v>6.2129999999999998E-2</v>
      </c>
      <c r="AR762">
        <v>447.34</v>
      </c>
      <c r="AS762" t="s">
        <v>51</v>
      </c>
      <c r="AT762">
        <v>447.34</v>
      </c>
      <c r="AU762" t="s">
        <v>415</v>
      </c>
      <c r="AV762" t="s">
        <v>772</v>
      </c>
      <c r="AW762" t="s">
        <v>2514</v>
      </c>
      <c r="AX762">
        <v>46119</v>
      </c>
      <c r="AY762">
        <v>46168</v>
      </c>
      <c r="AZ762" t="s">
        <v>2521</v>
      </c>
      <c r="BA762" t="s">
        <v>2219</v>
      </c>
      <c r="BB762" t="s">
        <v>2522</v>
      </c>
      <c r="BC762">
        <v>900</v>
      </c>
      <c r="BD762" t="s">
        <v>521</v>
      </c>
      <c r="BE762">
        <v>2.9651000000000001</v>
      </c>
      <c r="BF762">
        <v>1.2950999999999999</v>
      </c>
      <c r="BG762" t="s">
        <v>522</v>
      </c>
      <c r="BH762">
        <v>395</v>
      </c>
      <c r="BI762">
        <v>295</v>
      </c>
      <c r="BJ762">
        <v>150</v>
      </c>
      <c r="BK762">
        <v>8</v>
      </c>
      <c r="BL762" t="s">
        <v>521</v>
      </c>
      <c r="BM762">
        <v>31.720800000000001</v>
      </c>
      <c r="BN762">
        <v>10.360799999999999</v>
      </c>
      <c r="BO762">
        <v>31.720800000000001</v>
      </c>
      <c r="BP762" t="s">
        <v>522</v>
      </c>
      <c r="BQ762">
        <v>800</v>
      </c>
      <c r="BR762">
        <v>300</v>
      </c>
      <c r="BS762">
        <v>760</v>
      </c>
      <c r="BT762">
        <v>1</v>
      </c>
      <c r="BU762">
        <v>0</v>
      </c>
      <c r="BV762">
        <v>1</v>
      </c>
      <c r="BW762">
        <v>8</v>
      </c>
      <c r="BX762">
        <v>0</v>
      </c>
      <c r="BY762">
        <v>8</v>
      </c>
      <c r="BZ762">
        <v>7200</v>
      </c>
      <c r="CA762">
        <v>0</v>
      </c>
      <c r="CB762">
        <v>7200</v>
      </c>
      <c r="CC762">
        <v>10.360799999999999</v>
      </c>
      <c r="CD762" t="s">
        <v>700</v>
      </c>
      <c r="CE762" t="s">
        <v>701</v>
      </c>
      <c r="CG762" t="s">
        <v>421</v>
      </c>
      <c r="CN762" t="str">
        <v>M01</v>
      </c>
      <c r="CO762" t="str">
        <v>1999-1031492EN</v>
      </c>
      <c r="CP762" t="str">
        <v>OOLU9103769</v>
      </c>
      <c r="CQ762" s="23">
        <v>518.20000000000005</v>
      </c>
      <c r="CR762" s="25">
        <f t="shared" si="30"/>
        <v>3.9982342735778567E-2</v>
      </c>
      <c r="CS762" s="21">
        <f t="shared" si="31"/>
        <v>99.955856839446412</v>
      </c>
    </row>
    <row r="763" spans="2:97" x14ac:dyDescent="0.35">
      <c r="B763" t="s">
        <v>299</v>
      </c>
      <c r="C763" t="s">
        <v>2621</v>
      </c>
      <c r="D763" t="s">
        <v>395</v>
      </c>
      <c r="E763" t="s">
        <v>395</v>
      </c>
      <c r="F763" t="s">
        <v>396</v>
      </c>
      <c r="G763" t="s">
        <v>397</v>
      </c>
      <c r="H763" t="s">
        <v>532</v>
      </c>
      <c r="I763" t="s">
        <v>399</v>
      </c>
      <c r="J763" t="s">
        <v>400</v>
      </c>
      <c r="K763" t="s">
        <v>515</v>
      </c>
      <c r="L763" t="s">
        <v>585</v>
      </c>
      <c r="M763" t="s">
        <v>403</v>
      </c>
      <c r="N763">
        <v>1</v>
      </c>
      <c r="O763">
        <v>1</v>
      </c>
      <c r="P763" t="s">
        <v>615</v>
      </c>
      <c r="Q763" t="s">
        <v>587</v>
      </c>
      <c r="R763" t="s">
        <v>616</v>
      </c>
      <c r="S763" t="s">
        <v>617</v>
      </c>
      <c r="T763" t="s">
        <v>408</v>
      </c>
      <c r="U763">
        <v>50950081131</v>
      </c>
      <c r="W763">
        <v>15120</v>
      </c>
      <c r="X763" t="s">
        <v>409</v>
      </c>
      <c r="Y763" t="s">
        <v>410</v>
      </c>
      <c r="Z763" t="s">
        <v>410</v>
      </c>
      <c r="AA763" t="s">
        <v>411</v>
      </c>
      <c r="AB763" t="s">
        <v>412</v>
      </c>
      <c r="AC763" t="s">
        <v>411</v>
      </c>
      <c r="AD763">
        <v>46111</v>
      </c>
      <c r="AE763">
        <v>46167</v>
      </c>
      <c r="AF763">
        <v>46118</v>
      </c>
      <c r="AG763" t="s">
        <v>590</v>
      </c>
      <c r="AH763">
        <v>6170579</v>
      </c>
      <c r="AI763">
        <v>46113</v>
      </c>
      <c r="AJ763">
        <v>46114</v>
      </c>
      <c r="AK763">
        <v>15120</v>
      </c>
      <c r="AL763" t="s">
        <v>396</v>
      </c>
      <c r="AM763" t="s">
        <v>2622</v>
      </c>
      <c r="AN763">
        <v>46114</v>
      </c>
      <c r="AO763">
        <v>46114.654120370367</v>
      </c>
      <c r="AP763" t="s">
        <v>51</v>
      </c>
      <c r="AQ763">
        <v>0.18736</v>
      </c>
      <c r="AR763">
        <v>2832.9</v>
      </c>
      <c r="AS763" t="s">
        <v>51</v>
      </c>
      <c r="AT763">
        <v>2832.9</v>
      </c>
      <c r="AU763" t="s">
        <v>415</v>
      </c>
      <c r="AV763" t="s">
        <v>772</v>
      </c>
      <c r="AW763" t="s">
        <v>2514</v>
      </c>
      <c r="AX763">
        <v>46119</v>
      </c>
      <c r="AY763">
        <v>46168</v>
      </c>
      <c r="AZ763" t="s">
        <v>2521</v>
      </c>
      <c r="BA763" t="s">
        <v>2219</v>
      </c>
      <c r="BB763" t="s">
        <v>2522</v>
      </c>
      <c r="BC763">
        <v>420</v>
      </c>
      <c r="BD763" t="s">
        <v>521</v>
      </c>
      <c r="BE763">
        <v>2.1333000000000002</v>
      </c>
      <c r="BF763">
        <v>1.4133</v>
      </c>
      <c r="BG763" t="s">
        <v>522</v>
      </c>
      <c r="BH763">
        <v>395</v>
      </c>
      <c r="BI763">
        <v>295</v>
      </c>
      <c r="BJ763">
        <v>220</v>
      </c>
      <c r="BK763">
        <v>6</v>
      </c>
      <c r="BL763" t="s">
        <v>521</v>
      </c>
      <c r="BM763">
        <v>20.799800000000001</v>
      </c>
      <c r="BN763">
        <v>8.4797999999999991</v>
      </c>
      <c r="BO763">
        <v>124.7988</v>
      </c>
      <c r="BP763" t="s">
        <v>522</v>
      </c>
      <c r="BQ763">
        <v>800</v>
      </c>
      <c r="BR763">
        <v>300</v>
      </c>
      <c r="BS763">
        <v>830</v>
      </c>
      <c r="BT763">
        <v>6</v>
      </c>
      <c r="BU763">
        <v>0</v>
      </c>
      <c r="BV763">
        <v>6</v>
      </c>
      <c r="BW763">
        <v>36</v>
      </c>
      <c r="BX763">
        <v>0</v>
      </c>
      <c r="BY763">
        <v>36</v>
      </c>
      <c r="BZ763">
        <v>15120</v>
      </c>
      <c r="CA763">
        <v>0</v>
      </c>
      <c r="CB763">
        <v>15120</v>
      </c>
      <c r="CC763">
        <v>50.878799999999998</v>
      </c>
      <c r="CD763" t="s">
        <v>619</v>
      </c>
      <c r="CE763" t="s">
        <v>620</v>
      </c>
      <c r="CG763" t="s">
        <v>421</v>
      </c>
      <c r="CN763" t="str">
        <v>M01</v>
      </c>
      <c r="CO763" t="str">
        <v>1999-1031491EN</v>
      </c>
      <c r="CP763" t="str">
        <v>OOLU9103769</v>
      </c>
      <c r="CQ763" s="23">
        <v>1036.4000000000001</v>
      </c>
      <c r="CR763" s="25">
        <f t="shared" si="30"/>
        <v>7.9964685471557134E-2</v>
      </c>
      <c r="CS763" s="21">
        <f t="shared" si="31"/>
        <v>199.91171367889282</v>
      </c>
    </row>
    <row r="764" spans="2:97" x14ac:dyDescent="0.35">
      <c r="B764" t="s">
        <v>299</v>
      </c>
      <c r="C764" t="s">
        <v>2623</v>
      </c>
      <c r="D764" t="s">
        <v>395</v>
      </c>
      <c r="E764" t="s">
        <v>395</v>
      </c>
      <c r="F764" t="s">
        <v>396</v>
      </c>
      <c r="G764" t="s">
        <v>397</v>
      </c>
      <c r="H764" t="s">
        <v>532</v>
      </c>
      <c r="I764" t="s">
        <v>399</v>
      </c>
      <c r="J764" t="s">
        <v>400</v>
      </c>
      <c r="K764" t="s">
        <v>607</v>
      </c>
      <c r="L764" t="s">
        <v>585</v>
      </c>
      <c r="M764" t="s">
        <v>403</v>
      </c>
      <c r="N764">
        <v>1</v>
      </c>
      <c r="O764">
        <v>1</v>
      </c>
      <c r="P764" t="s">
        <v>608</v>
      </c>
      <c r="Q764" t="s">
        <v>405</v>
      </c>
      <c r="R764" t="s">
        <v>609</v>
      </c>
      <c r="S764" t="s">
        <v>610</v>
      </c>
      <c r="T764" t="s">
        <v>408</v>
      </c>
      <c r="U764">
        <v>50950081139</v>
      </c>
      <c r="W764">
        <v>70400</v>
      </c>
      <c r="X764" t="s">
        <v>409</v>
      </c>
      <c r="Y764" t="s">
        <v>410</v>
      </c>
      <c r="Z764" t="s">
        <v>410</v>
      </c>
      <c r="AA764" t="s">
        <v>411</v>
      </c>
      <c r="AB764" t="s">
        <v>412</v>
      </c>
      <c r="AC764" t="s">
        <v>411</v>
      </c>
      <c r="AD764">
        <v>46104</v>
      </c>
      <c r="AE764">
        <v>46160</v>
      </c>
      <c r="AF764">
        <v>46118</v>
      </c>
      <c r="AG764" t="s">
        <v>590</v>
      </c>
      <c r="AH764">
        <v>6170580</v>
      </c>
      <c r="AI764">
        <v>46113</v>
      </c>
      <c r="AJ764">
        <v>46114</v>
      </c>
      <c r="AK764">
        <v>70400</v>
      </c>
      <c r="AL764" t="s">
        <v>396</v>
      </c>
      <c r="AM764" t="s">
        <v>2624</v>
      </c>
      <c r="AN764">
        <v>46114</v>
      </c>
      <c r="AO764">
        <v>46114.654120370367</v>
      </c>
      <c r="AP764" t="s">
        <v>51</v>
      </c>
      <c r="AQ764">
        <v>0.12169000000000001</v>
      </c>
      <c r="AR764">
        <v>8566.9699999999993</v>
      </c>
      <c r="AS764" t="s">
        <v>51</v>
      </c>
      <c r="AT764">
        <v>8566.9699999999993</v>
      </c>
      <c r="AU764" t="s">
        <v>415</v>
      </c>
      <c r="AV764" t="s">
        <v>772</v>
      </c>
      <c r="AW764" t="s">
        <v>2514</v>
      </c>
      <c r="AX764">
        <v>46119</v>
      </c>
      <c r="AY764">
        <v>46168</v>
      </c>
      <c r="AZ764" t="s">
        <v>2521</v>
      </c>
      <c r="BA764" t="s">
        <v>2219</v>
      </c>
      <c r="BB764" t="s">
        <v>2522</v>
      </c>
      <c r="BC764">
        <v>880</v>
      </c>
      <c r="BD764" t="s">
        <v>521</v>
      </c>
      <c r="BE764">
        <v>13.593999999999999</v>
      </c>
      <c r="BF764">
        <v>11.994</v>
      </c>
      <c r="BG764" t="s">
        <v>522</v>
      </c>
      <c r="BH764">
        <v>395</v>
      </c>
      <c r="BI764">
        <v>295</v>
      </c>
      <c r="BJ764">
        <v>230</v>
      </c>
      <c r="BK764">
        <v>40</v>
      </c>
      <c r="BL764" t="s">
        <v>521</v>
      </c>
      <c r="BM764">
        <v>574.76</v>
      </c>
      <c r="BN764">
        <v>479.76</v>
      </c>
      <c r="BO764">
        <v>1149.5168000000001</v>
      </c>
      <c r="BP764" t="s">
        <v>522</v>
      </c>
      <c r="BQ764">
        <v>1200</v>
      </c>
      <c r="BR764">
        <v>1000</v>
      </c>
      <c r="BS764">
        <v>1075</v>
      </c>
      <c r="BT764">
        <v>2</v>
      </c>
      <c r="BU764">
        <v>0</v>
      </c>
      <c r="BV764">
        <v>2</v>
      </c>
      <c r="BW764">
        <v>80</v>
      </c>
      <c r="BX764">
        <v>0</v>
      </c>
      <c r="BY764">
        <v>80</v>
      </c>
      <c r="BZ764">
        <v>70400</v>
      </c>
      <c r="CA764">
        <v>0</v>
      </c>
      <c r="CB764">
        <v>70400</v>
      </c>
      <c r="CC764">
        <v>959.51679999999999</v>
      </c>
      <c r="CD764" t="s">
        <v>612</v>
      </c>
      <c r="CE764" t="s">
        <v>613</v>
      </c>
      <c r="CG764" t="s">
        <v>421</v>
      </c>
      <c r="CN764" t="str">
        <v>M19</v>
      </c>
      <c r="CO764" t="str">
        <v>1275-5YY0677EN</v>
      </c>
      <c r="CP764" t="str">
        <v>OOLU9103769</v>
      </c>
      <c r="CQ764" s="23">
        <v>397.56360000000001</v>
      </c>
      <c r="CR764" s="25">
        <f t="shared" si="30"/>
        <v>3.0674496554361202E-2</v>
      </c>
      <c r="CS764" s="21">
        <f t="shared" si="31"/>
        <v>76.686241385903003</v>
      </c>
    </row>
    <row r="765" spans="2:97" x14ac:dyDescent="0.35">
      <c r="B765" t="s">
        <v>299</v>
      </c>
      <c r="C765" t="s">
        <v>2625</v>
      </c>
      <c r="D765" t="s">
        <v>395</v>
      </c>
      <c r="E765" t="s">
        <v>395</v>
      </c>
      <c r="F765" t="s">
        <v>396</v>
      </c>
      <c r="G765" t="s">
        <v>397</v>
      </c>
      <c r="H765" t="s">
        <v>532</v>
      </c>
      <c r="I765" t="s">
        <v>399</v>
      </c>
      <c r="J765" t="s">
        <v>400</v>
      </c>
      <c r="K765" t="s">
        <v>595</v>
      </c>
      <c r="L765" t="s">
        <v>585</v>
      </c>
      <c r="M765" t="s">
        <v>403</v>
      </c>
      <c r="N765">
        <v>1</v>
      </c>
      <c r="O765">
        <v>1</v>
      </c>
      <c r="P765" t="s">
        <v>1799</v>
      </c>
      <c r="Q765" t="s">
        <v>405</v>
      </c>
      <c r="R765" t="s">
        <v>675</v>
      </c>
      <c r="S765" t="s">
        <v>1800</v>
      </c>
      <c r="T765" t="s">
        <v>408</v>
      </c>
      <c r="U765">
        <v>50950081149</v>
      </c>
      <c r="W765">
        <v>5120</v>
      </c>
      <c r="X765" t="s">
        <v>409</v>
      </c>
      <c r="Y765" t="s">
        <v>410</v>
      </c>
      <c r="Z765" t="s">
        <v>410</v>
      </c>
      <c r="AA765" t="s">
        <v>411</v>
      </c>
      <c r="AB765" t="s">
        <v>412</v>
      </c>
      <c r="AC765" t="s">
        <v>411</v>
      </c>
      <c r="AD765">
        <v>46111</v>
      </c>
      <c r="AE765">
        <v>46167</v>
      </c>
      <c r="AF765">
        <v>46118</v>
      </c>
      <c r="AG765" t="s">
        <v>590</v>
      </c>
      <c r="AH765">
        <v>6170581</v>
      </c>
      <c r="AI765">
        <v>46113</v>
      </c>
      <c r="AJ765">
        <v>46114</v>
      </c>
      <c r="AK765">
        <v>5120</v>
      </c>
      <c r="AL765" t="s">
        <v>396</v>
      </c>
      <c r="AM765" t="s">
        <v>2626</v>
      </c>
      <c r="AN765">
        <v>46114</v>
      </c>
      <c r="AO765">
        <v>46114.654120370367</v>
      </c>
      <c r="AP765" t="s">
        <v>51</v>
      </c>
      <c r="AQ765">
        <v>8.0780000000000005E-2</v>
      </c>
      <c r="AR765">
        <v>413.59</v>
      </c>
      <c r="AS765" t="s">
        <v>51</v>
      </c>
      <c r="AT765">
        <v>413.59</v>
      </c>
      <c r="AU765" t="s">
        <v>415</v>
      </c>
      <c r="AV765" t="s">
        <v>772</v>
      </c>
      <c r="AW765" t="s">
        <v>2514</v>
      </c>
      <c r="AX765">
        <v>46119</v>
      </c>
      <c r="AY765">
        <v>46168</v>
      </c>
      <c r="AZ765" t="s">
        <v>2521</v>
      </c>
      <c r="BA765" t="s">
        <v>2219</v>
      </c>
      <c r="BB765" t="s">
        <v>2522</v>
      </c>
      <c r="BC765">
        <v>320</v>
      </c>
      <c r="BD765" t="s">
        <v>521</v>
      </c>
      <c r="BE765">
        <v>6.5540000000000003</v>
      </c>
      <c r="BF765">
        <v>6.2539999999999996</v>
      </c>
      <c r="BG765" t="s">
        <v>522</v>
      </c>
      <c r="BH765">
        <v>295</v>
      </c>
      <c r="BI765">
        <v>195</v>
      </c>
      <c r="BJ765">
        <v>100</v>
      </c>
      <c r="BK765">
        <v>64</v>
      </c>
      <c r="BL765" t="s">
        <v>521</v>
      </c>
      <c r="BM765">
        <v>134.86425600000001</v>
      </c>
      <c r="BN765">
        <v>100.064256</v>
      </c>
      <c r="BO765">
        <v>134.86425600000001</v>
      </c>
      <c r="BP765" t="s">
        <v>522</v>
      </c>
      <c r="BQ765">
        <v>1200</v>
      </c>
      <c r="BR765">
        <v>800</v>
      </c>
      <c r="BS765">
        <v>573</v>
      </c>
      <c r="BT765">
        <v>0</v>
      </c>
      <c r="BU765">
        <v>1</v>
      </c>
      <c r="BV765">
        <v>1</v>
      </c>
      <c r="BW765">
        <v>16</v>
      </c>
      <c r="BX765">
        <v>0</v>
      </c>
      <c r="BY765">
        <v>16</v>
      </c>
      <c r="BZ765">
        <v>0</v>
      </c>
      <c r="CA765">
        <v>5120</v>
      </c>
      <c r="CB765">
        <v>5120</v>
      </c>
      <c r="CC765">
        <v>100.064256</v>
      </c>
      <c r="CD765" t="s">
        <v>600</v>
      </c>
      <c r="CE765" t="s">
        <v>601</v>
      </c>
      <c r="CG765" t="s">
        <v>421</v>
      </c>
      <c r="CN765" t="str">
        <v>M19</v>
      </c>
      <c r="CO765" t="str">
        <v>1275-5YY0677EN</v>
      </c>
      <c r="CP765" t="str">
        <v>OOLU9103769</v>
      </c>
      <c r="CQ765" s="23">
        <v>397.56360000000001</v>
      </c>
      <c r="CR765" s="25">
        <f t="shared" si="30"/>
        <v>3.0674496554361202E-2</v>
      </c>
      <c r="CS765" s="21">
        <f t="shared" si="31"/>
        <v>76.686241385903003</v>
      </c>
    </row>
    <row r="766" spans="2:97" x14ac:dyDescent="0.35">
      <c r="B766" t="s">
        <v>3497</v>
      </c>
      <c r="C766" t="s">
        <v>2627</v>
      </c>
      <c r="D766" t="s">
        <v>395</v>
      </c>
      <c r="E766" t="s">
        <v>395</v>
      </c>
      <c r="F766" t="s">
        <v>396</v>
      </c>
      <c r="G766" t="s">
        <v>397</v>
      </c>
      <c r="H766" t="s">
        <v>398</v>
      </c>
      <c r="I766" t="s">
        <v>399</v>
      </c>
      <c r="J766" t="s">
        <v>400</v>
      </c>
      <c r="K766" t="s">
        <v>515</v>
      </c>
      <c r="L766" t="s">
        <v>585</v>
      </c>
      <c r="M766" t="s">
        <v>403</v>
      </c>
      <c r="N766">
        <v>1</v>
      </c>
      <c r="O766">
        <v>1</v>
      </c>
      <c r="P766" t="s">
        <v>707</v>
      </c>
      <c r="Q766" t="s">
        <v>424</v>
      </c>
      <c r="R766" t="s">
        <v>691</v>
      </c>
      <c r="S766" t="s">
        <v>708</v>
      </c>
      <c r="T766" t="s">
        <v>408</v>
      </c>
      <c r="U766">
        <v>50950081154</v>
      </c>
      <c r="W766">
        <v>24000</v>
      </c>
      <c r="X766" t="s">
        <v>409</v>
      </c>
      <c r="Y766" t="s">
        <v>410</v>
      </c>
      <c r="Z766" t="s">
        <v>410</v>
      </c>
      <c r="AA766" t="s">
        <v>411</v>
      </c>
      <c r="AB766" t="s">
        <v>412</v>
      </c>
      <c r="AC766" t="s">
        <v>411</v>
      </c>
      <c r="AD766">
        <v>46111</v>
      </c>
      <c r="AE766">
        <v>46167</v>
      </c>
      <c r="AF766">
        <v>46118</v>
      </c>
      <c r="AG766" t="s">
        <v>590</v>
      </c>
      <c r="AH766">
        <v>6170582</v>
      </c>
      <c r="AI766">
        <v>46113</v>
      </c>
      <c r="AJ766">
        <v>46114</v>
      </c>
      <c r="AK766">
        <v>24000</v>
      </c>
      <c r="AL766" t="s">
        <v>396</v>
      </c>
      <c r="AM766" t="s">
        <v>2628</v>
      </c>
      <c r="AN766">
        <v>46114</v>
      </c>
      <c r="AO766">
        <v>46114.654120370367</v>
      </c>
      <c r="AP766" t="s">
        <v>51</v>
      </c>
      <c r="AQ766">
        <v>7.6840000000000006E-2</v>
      </c>
      <c r="AR766">
        <v>1844.16</v>
      </c>
      <c r="AS766" t="s">
        <v>51</v>
      </c>
      <c r="AT766">
        <v>1844.16</v>
      </c>
      <c r="AU766" t="s">
        <v>415</v>
      </c>
      <c r="AV766" t="s">
        <v>772</v>
      </c>
      <c r="AW766" t="s">
        <v>2514</v>
      </c>
      <c r="AX766">
        <v>46119</v>
      </c>
      <c r="AY766">
        <v>46168</v>
      </c>
      <c r="AZ766" t="s">
        <v>2521</v>
      </c>
      <c r="BA766" t="s">
        <v>2219</v>
      </c>
      <c r="BB766" t="s">
        <v>2522</v>
      </c>
      <c r="BC766">
        <v>750</v>
      </c>
      <c r="BD766" t="s">
        <v>521</v>
      </c>
      <c r="BE766">
        <v>3.3420000000000001</v>
      </c>
      <c r="BF766">
        <v>1.929</v>
      </c>
      <c r="BG766" t="s">
        <v>522</v>
      </c>
      <c r="BH766">
        <v>395</v>
      </c>
      <c r="BI766">
        <v>295</v>
      </c>
      <c r="BJ766">
        <v>150</v>
      </c>
      <c r="BK766">
        <v>48</v>
      </c>
      <c r="BL766" t="s">
        <v>521</v>
      </c>
      <c r="BM766">
        <v>130.94399999999999</v>
      </c>
      <c r="BN766">
        <v>61.728000000000002</v>
      </c>
      <c r="BO766">
        <v>130.94399999999999</v>
      </c>
      <c r="BP766" t="s">
        <v>522</v>
      </c>
      <c r="BQ766">
        <v>1200</v>
      </c>
      <c r="BR766">
        <v>800</v>
      </c>
      <c r="BS766">
        <v>1060</v>
      </c>
      <c r="BT766">
        <v>0</v>
      </c>
      <c r="BU766">
        <v>1</v>
      </c>
      <c r="BV766">
        <v>1</v>
      </c>
      <c r="BW766">
        <v>32</v>
      </c>
      <c r="BX766">
        <v>0</v>
      </c>
      <c r="BY766">
        <v>32</v>
      </c>
      <c r="BZ766">
        <v>0</v>
      </c>
      <c r="CA766">
        <v>24000</v>
      </c>
      <c r="CB766">
        <v>24000</v>
      </c>
      <c r="CC766">
        <v>61.728000000000002</v>
      </c>
      <c r="CD766" t="s">
        <v>694</v>
      </c>
      <c r="CE766" t="s">
        <v>710</v>
      </c>
      <c r="CG766" t="s">
        <v>421</v>
      </c>
      <c r="CN766" t="str">
        <v>M19</v>
      </c>
      <c r="CO766" t="str">
        <v>1275-5YY0677EN</v>
      </c>
      <c r="CP766" t="str">
        <v>OOLU9103769</v>
      </c>
      <c r="CQ766" s="23">
        <v>265.04239999999999</v>
      </c>
      <c r="CR766" s="25">
        <f t="shared" si="30"/>
        <v>2.0449664369574135E-2</v>
      </c>
      <c r="CS766" s="21">
        <f t="shared" si="31"/>
        <v>51.124160923935335</v>
      </c>
    </row>
    <row r="767" spans="2:97" x14ac:dyDescent="0.35">
      <c r="B767" t="s">
        <v>3497</v>
      </c>
      <c r="C767" t="s">
        <v>2629</v>
      </c>
      <c r="D767" t="s">
        <v>395</v>
      </c>
      <c r="E767" t="s">
        <v>395</v>
      </c>
      <c r="F767" t="s">
        <v>396</v>
      </c>
      <c r="G767" t="s">
        <v>397</v>
      </c>
      <c r="H767" t="s">
        <v>398</v>
      </c>
      <c r="I767" t="s">
        <v>399</v>
      </c>
      <c r="J767" t="s">
        <v>400</v>
      </c>
      <c r="K767" t="s">
        <v>515</v>
      </c>
      <c r="L767" t="s">
        <v>585</v>
      </c>
      <c r="M767" t="s">
        <v>403</v>
      </c>
      <c r="N767">
        <v>1</v>
      </c>
      <c r="O767">
        <v>1</v>
      </c>
      <c r="P767" t="s">
        <v>2630</v>
      </c>
      <c r="Q767" t="s">
        <v>424</v>
      </c>
      <c r="R767" t="s">
        <v>691</v>
      </c>
      <c r="S767" t="s">
        <v>2631</v>
      </c>
      <c r="T767" t="s">
        <v>408</v>
      </c>
      <c r="U767">
        <v>50950081155</v>
      </c>
      <c r="W767">
        <v>17280</v>
      </c>
      <c r="X767" t="s">
        <v>409</v>
      </c>
      <c r="Y767" t="s">
        <v>410</v>
      </c>
      <c r="Z767" t="s">
        <v>410</v>
      </c>
      <c r="AA767" t="s">
        <v>411</v>
      </c>
      <c r="AB767" t="s">
        <v>412</v>
      </c>
      <c r="AC767" t="s">
        <v>411</v>
      </c>
      <c r="AD767">
        <v>46111</v>
      </c>
      <c r="AE767">
        <v>46167</v>
      </c>
      <c r="AF767">
        <v>46118</v>
      </c>
      <c r="AG767" t="s">
        <v>590</v>
      </c>
      <c r="AH767">
        <v>6170583</v>
      </c>
      <c r="AI767">
        <v>46113</v>
      </c>
      <c r="AJ767">
        <v>46114</v>
      </c>
      <c r="AK767">
        <v>17280</v>
      </c>
      <c r="AL767" t="s">
        <v>396</v>
      </c>
      <c r="AM767" t="s">
        <v>2632</v>
      </c>
      <c r="AN767">
        <v>46114</v>
      </c>
      <c r="AO767">
        <v>46114.654120370367</v>
      </c>
      <c r="AP767" t="s">
        <v>51</v>
      </c>
      <c r="AQ767">
        <v>6.7369999999999999E-2</v>
      </c>
      <c r="AR767">
        <v>1164.1500000000001</v>
      </c>
      <c r="AS767" t="s">
        <v>51</v>
      </c>
      <c r="AT767">
        <v>1164.1500000000001</v>
      </c>
      <c r="AU767" t="s">
        <v>415</v>
      </c>
      <c r="AV767" t="s">
        <v>772</v>
      </c>
      <c r="AW767" t="s">
        <v>2514</v>
      </c>
      <c r="AX767">
        <v>46119</v>
      </c>
      <c r="AY767">
        <v>46168</v>
      </c>
      <c r="AZ767" t="s">
        <v>2521</v>
      </c>
      <c r="BA767" t="s">
        <v>2219</v>
      </c>
      <c r="BB767" t="s">
        <v>2522</v>
      </c>
      <c r="BC767">
        <v>1080</v>
      </c>
      <c r="BD767" t="s">
        <v>521</v>
      </c>
      <c r="BE767">
        <v>4.0278</v>
      </c>
      <c r="BF767">
        <v>2.4278</v>
      </c>
      <c r="BG767" t="s">
        <v>522</v>
      </c>
      <c r="BH767">
        <v>395</v>
      </c>
      <c r="BI767">
        <v>295</v>
      </c>
      <c r="BJ767">
        <v>150</v>
      </c>
      <c r="BK767">
        <v>48</v>
      </c>
      <c r="BL767" t="s">
        <v>521</v>
      </c>
      <c r="BM767">
        <v>88.445440000000005</v>
      </c>
      <c r="BN767">
        <v>38.845440000000004</v>
      </c>
      <c r="BO767">
        <v>88.445440000000005</v>
      </c>
      <c r="BP767" t="s">
        <v>522</v>
      </c>
      <c r="BQ767">
        <v>1200</v>
      </c>
      <c r="BR767">
        <v>800</v>
      </c>
      <c r="BS767">
        <v>1060</v>
      </c>
      <c r="BT767">
        <v>0</v>
      </c>
      <c r="BU767">
        <v>1</v>
      </c>
      <c r="BV767">
        <v>1</v>
      </c>
      <c r="BW767">
        <v>16</v>
      </c>
      <c r="BX767">
        <v>0</v>
      </c>
      <c r="BY767">
        <v>16</v>
      </c>
      <c r="BZ767">
        <v>0</v>
      </c>
      <c r="CA767">
        <v>17280</v>
      </c>
      <c r="CB767">
        <v>17280</v>
      </c>
      <c r="CC767">
        <v>38.845440000000004</v>
      </c>
      <c r="CD767" t="s">
        <v>694</v>
      </c>
      <c r="CE767" t="s">
        <v>695</v>
      </c>
      <c r="CG767" t="s">
        <v>421</v>
      </c>
      <c r="CN767" t="str">
        <v>M45</v>
      </c>
      <c r="CO767" t="str">
        <v>1346-12C0011EN</v>
      </c>
      <c r="CP767" t="str">
        <v>OOLU9103769</v>
      </c>
      <c r="CQ767" s="23">
        <v>157.5094</v>
      </c>
      <c r="CR767" s="25">
        <f t="shared" si="30"/>
        <v>1.215282673660139E-2</v>
      </c>
      <c r="CS767" s="21">
        <f t="shared" si="31"/>
        <v>30.382066841503473</v>
      </c>
    </row>
    <row r="768" spans="2:97" x14ac:dyDescent="0.35">
      <c r="B768" t="s">
        <v>3497</v>
      </c>
      <c r="C768" t="s">
        <v>2633</v>
      </c>
      <c r="D768" t="s">
        <v>395</v>
      </c>
      <c r="E768" t="s">
        <v>395</v>
      </c>
      <c r="F768" t="s">
        <v>396</v>
      </c>
      <c r="G768" t="s">
        <v>397</v>
      </c>
      <c r="H768" t="s">
        <v>398</v>
      </c>
      <c r="I768" t="s">
        <v>399</v>
      </c>
      <c r="J768" t="s">
        <v>400</v>
      </c>
      <c r="K768" t="s">
        <v>515</v>
      </c>
      <c r="L768" t="s">
        <v>585</v>
      </c>
      <c r="M768" t="s">
        <v>403</v>
      </c>
      <c r="N768">
        <v>1</v>
      </c>
      <c r="O768">
        <v>1</v>
      </c>
      <c r="P768" t="s">
        <v>1849</v>
      </c>
      <c r="Q768" t="s">
        <v>424</v>
      </c>
      <c r="R768" t="s">
        <v>691</v>
      </c>
      <c r="S768" t="s">
        <v>1850</v>
      </c>
      <c r="T768" t="s">
        <v>408</v>
      </c>
      <c r="U768">
        <v>50950081156</v>
      </c>
      <c r="W768">
        <v>45000</v>
      </c>
      <c r="X768" t="s">
        <v>409</v>
      </c>
      <c r="Y768" t="s">
        <v>410</v>
      </c>
      <c r="Z768" t="s">
        <v>410</v>
      </c>
      <c r="AA768" t="s">
        <v>411</v>
      </c>
      <c r="AB768" t="s">
        <v>412</v>
      </c>
      <c r="AC768" t="s">
        <v>411</v>
      </c>
      <c r="AD768">
        <v>46111</v>
      </c>
      <c r="AE768">
        <v>46174</v>
      </c>
      <c r="AF768">
        <v>46118</v>
      </c>
      <c r="AG768" t="s">
        <v>590</v>
      </c>
      <c r="AH768">
        <v>6170584</v>
      </c>
      <c r="AI768">
        <v>46113</v>
      </c>
      <c r="AJ768">
        <v>46114</v>
      </c>
      <c r="AK768">
        <v>45000</v>
      </c>
      <c r="AL768" t="s">
        <v>396</v>
      </c>
      <c r="AM768" t="s">
        <v>2634</v>
      </c>
      <c r="AN768">
        <v>46114</v>
      </c>
      <c r="AO768">
        <v>46114.654120370367</v>
      </c>
      <c r="AP768" t="s">
        <v>51</v>
      </c>
      <c r="AQ768">
        <v>6.216E-2</v>
      </c>
      <c r="AR768">
        <v>2797.2</v>
      </c>
      <c r="AS768" t="s">
        <v>51</v>
      </c>
      <c r="AT768">
        <v>2797.2</v>
      </c>
      <c r="AU768" t="s">
        <v>415</v>
      </c>
      <c r="AV768" t="s">
        <v>772</v>
      </c>
      <c r="AW768" t="s">
        <v>2514</v>
      </c>
      <c r="AX768">
        <v>46119</v>
      </c>
      <c r="AY768">
        <v>46168</v>
      </c>
      <c r="AZ768" t="s">
        <v>2521</v>
      </c>
      <c r="BA768" t="s">
        <v>2219</v>
      </c>
      <c r="BB768" t="s">
        <v>2522</v>
      </c>
      <c r="BC768">
        <v>900</v>
      </c>
      <c r="BD768" t="s">
        <v>521</v>
      </c>
      <c r="BE768">
        <v>3.004</v>
      </c>
      <c r="BF768">
        <v>1.4039999999999999</v>
      </c>
      <c r="BG768" t="s">
        <v>522</v>
      </c>
      <c r="BH768">
        <v>395</v>
      </c>
      <c r="BI768">
        <v>295</v>
      </c>
      <c r="BJ768">
        <v>150</v>
      </c>
      <c r="BK768">
        <v>48</v>
      </c>
      <c r="BL768" t="s">
        <v>521</v>
      </c>
      <c r="BM768">
        <v>168.19200000000001</v>
      </c>
      <c r="BN768">
        <v>67.391999999999996</v>
      </c>
      <c r="BO768">
        <v>198.2</v>
      </c>
      <c r="BP768" t="s">
        <v>522</v>
      </c>
      <c r="BQ768">
        <v>1200</v>
      </c>
      <c r="BR768">
        <v>800</v>
      </c>
      <c r="BS768">
        <v>1060</v>
      </c>
      <c r="BT768">
        <v>1</v>
      </c>
      <c r="BU768">
        <v>1</v>
      </c>
      <c r="BV768">
        <v>2</v>
      </c>
      <c r="BW768">
        <v>50</v>
      </c>
      <c r="BX768">
        <v>0</v>
      </c>
      <c r="BY768">
        <v>50</v>
      </c>
      <c r="BZ768">
        <v>43200</v>
      </c>
      <c r="CA768">
        <v>1800</v>
      </c>
      <c r="CB768">
        <v>45000</v>
      </c>
      <c r="CC768">
        <v>70.2</v>
      </c>
      <c r="CD768" t="s">
        <v>694</v>
      </c>
      <c r="CE768" t="s">
        <v>695</v>
      </c>
      <c r="CG768" t="s">
        <v>421</v>
      </c>
      <c r="CN768" t="str">
        <v>M19</v>
      </c>
      <c r="CO768" t="str">
        <v>1307-5YY0182EN</v>
      </c>
      <c r="CP768" t="str">
        <v>OOLU9103769</v>
      </c>
      <c r="CQ768" s="23">
        <v>2098.4403200000002</v>
      </c>
      <c r="CR768" s="25">
        <f t="shared" si="30"/>
        <v>0.16190768059594143</v>
      </c>
      <c r="CS768" s="21">
        <f t="shared" si="31"/>
        <v>404.76920148985357</v>
      </c>
    </row>
    <row r="769" spans="2:97" x14ac:dyDescent="0.35">
      <c r="B769" t="s">
        <v>299</v>
      </c>
      <c r="C769" t="s">
        <v>2635</v>
      </c>
      <c r="D769" t="s">
        <v>395</v>
      </c>
      <c r="E769" t="s">
        <v>395</v>
      </c>
      <c r="F769" t="s">
        <v>396</v>
      </c>
      <c r="G769" t="s">
        <v>397</v>
      </c>
      <c r="H769" t="s">
        <v>532</v>
      </c>
      <c r="I769" t="s">
        <v>399</v>
      </c>
      <c r="J769" t="s">
        <v>400</v>
      </c>
      <c r="K769" t="s">
        <v>595</v>
      </c>
      <c r="L769" t="s">
        <v>585</v>
      </c>
      <c r="M769" t="s">
        <v>403</v>
      </c>
      <c r="N769">
        <v>1</v>
      </c>
      <c r="O769">
        <v>1</v>
      </c>
      <c r="P769" t="s">
        <v>596</v>
      </c>
      <c r="Q769" t="s">
        <v>430</v>
      </c>
      <c r="R769" t="s">
        <v>597</v>
      </c>
      <c r="S769" t="s">
        <v>598</v>
      </c>
      <c r="T769" t="s">
        <v>408</v>
      </c>
      <c r="U769">
        <v>50950081160</v>
      </c>
      <c r="W769">
        <v>23040</v>
      </c>
      <c r="X769" t="s">
        <v>409</v>
      </c>
      <c r="Y769" t="s">
        <v>410</v>
      </c>
      <c r="Z769" t="s">
        <v>410</v>
      </c>
      <c r="AA769" t="s">
        <v>411</v>
      </c>
      <c r="AB769" t="s">
        <v>412</v>
      </c>
      <c r="AC769" t="s">
        <v>411</v>
      </c>
      <c r="AD769">
        <v>46111</v>
      </c>
      <c r="AE769">
        <v>46167</v>
      </c>
      <c r="AF769">
        <v>46118</v>
      </c>
      <c r="AG769" t="s">
        <v>590</v>
      </c>
      <c r="AH769">
        <v>6170585</v>
      </c>
      <c r="AI769">
        <v>46113</v>
      </c>
      <c r="AJ769">
        <v>46114</v>
      </c>
      <c r="AK769">
        <v>23040</v>
      </c>
      <c r="AL769" t="s">
        <v>396</v>
      </c>
      <c r="AM769" t="s">
        <v>2636</v>
      </c>
      <c r="AN769">
        <v>46114</v>
      </c>
      <c r="AO769">
        <v>46114.654120370367</v>
      </c>
      <c r="AP769" t="s">
        <v>51</v>
      </c>
      <c r="AQ769">
        <v>8.0530000000000004E-2</v>
      </c>
      <c r="AR769">
        <v>1855.41</v>
      </c>
      <c r="AS769" t="s">
        <v>51</v>
      </c>
      <c r="AT769">
        <v>1855.41</v>
      </c>
      <c r="AU769" t="s">
        <v>415</v>
      </c>
      <c r="AV769" t="s">
        <v>772</v>
      </c>
      <c r="AW769" t="s">
        <v>2514</v>
      </c>
      <c r="AX769">
        <v>46119</v>
      </c>
      <c r="AY769">
        <v>46168</v>
      </c>
      <c r="AZ769" t="s">
        <v>2521</v>
      </c>
      <c r="BA769" t="s">
        <v>2219</v>
      </c>
      <c r="BB769" t="s">
        <v>2522</v>
      </c>
      <c r="BC769">
        <v>320</v>
      </c>
      <c r="BD769" t="s">
        <v>521</v>
      </c>
      <c r="BE769">
        <v>6.0304000000000002</v>
      </c>
      <c r="BF769">
        <v>5.7304000000000004</v>
      </c>
      <c r="BG769" t="s">
        <v>522</v>
      </c>
      <c r="BH769">
        <v>295</v>
      </c>
      <c r="BI769">
        <v>195</v>
      </c>
      <c r="BJ769">
        <v>100</v>
      </c>
      <c r="BK769">
        <v>64</v>
      </c>
      <c r="BL769" t="s">
        <v>521</v>
      </c>
      <c r="BM769">
        <v>415.94560000000001</v>
      </c>
      <c r="BN769">
        <v>366.74560000000002</v>
      </c>
      <c r="BO769">
        <v>494.18649599999998</v>
      </c>
      <c r="BP769" t="s">
        <v>522</v>
      </c>
      <c r="BQ769">
        <v>1200</v>
      </c>
      <c r="BR769">
        <v>800</v>
      </c>
      <c r="BS769">
        <v>573</v>
      </c>
      <c r="BT769">
        <v>1</v>
      </c>
      <c r="BU769">
        <v>1</v>
      </c>
      <c r="BV769">
        <v>2</v>
      </c>
      <c r="BW769">
        <v>72</v>
      </c>
      <c r="BX769">
        <v>0</v>
      </c>
      <c r="BY769">
        <v>72</v>
      </c>
      <c r="BZ769">
        <v>20480</v>
      </c>
      <c r="CA769">
        <v>2560</v>
      </c>
      <c r="CB769">
        <v>23040</v>
      </c>
      <c r="CC769">
        <v>412.58649600000001</v>
      </c>
      <c r="CD769" t="s">
        <v>600</v>
      </c>
      <c r="CE769" t="s">
        <v>601</v>
      </c>
      <c r="CG769" t="s">
        <v>421</v>
      </c>
      <c r="CN769" t="str">
        <v>M19</v>
      </c>
      <c r="CO769" t="str">
        <v>1307-5YY0151EN</v>
      </c>
      <c r="CP769" t="str">
        <v>OOLU9103769</v>
      </c>
      <c r="CQ769" s="23">
        <v>488.23171200000002</v>
      </c>
      <c r="CR769" s="25">
        <f t="shared" si="30"/>
        <v>3.7670103519220247E-2</v>
      </c>
      <c r="CS769" s="21">
        <f t="shared" si="31"/>
        <v>94.175258798050621</v>
      </c>
    </row>
    <row r="770" spans="2:97" x14ac:dyDescent="0.35">
      <c r="B770" t="s">
        <v>3497</v>
      </c>
      <c r="C770" t="s">
        <v>2637</v>
      </c>
      <c r="D770" t="s">
        <v>395</v>
      </c>
      <c r="E770" t="s">
        <v>395</v>
      </c>
      <c r="F770" t="s">
        <v>396</v>
      </c>
      <c r="G770" t="s">
        <v>397</v>
      </c>
      <c r="H770" t="s">
        <v>398</v>
      </c>
      <c r="I770" t="s">
        <v>399</v>
      </c>
      <c r="J770" t="s">
        <v>400</v>
      </c>
      <c r="K770" t="s">
        <v>515</v>
      </c>
      <c r="L770" t="s">
        <v>585</v>
      </c>
      <c r="M770" t="s">
        <v>403</v>
      </c>
      <c r="N770">
        <v>1</v>
      </c>
      <c r="O770">
        <v>1</v>
      </c>
      <c r="P770" t="s">
        <v>1864</v>
      </c>
      <c r="Q770" t="s">
        <v>424</v>
      </c>
      <c r="R770" t="s">
        <v>691</v>
      </c>
      <c r="S770" t="s">
        <v>1865</v>
      </c>
      <c r="T770" t="s">
        <v>408</v>
      </c>
      <c r="U770">
        <v>50950081177</v>
      </c>
      <c r="W770">
        <v>6000</v>
      </c>
      <c r="X770" t="s">
        <v>409</v>
      </c>
      <c r="Y770" t="s">
        <v>410</v>
      </c>
      <c r="Z770" t="s">
        <v>410</v>
      </c>
      <c r="AA770" t="s">
        <v>411</v>
      </c>
      <c r="AB770" t="s">
        <v>412</v>
      </c>
      <c r="AC770" t="s">
        <v>411</v>
      </c>
      <c r="AD770">
        <v>46111</v>
      </c>
      <c r="AE770">
        <v>46167</v>
      </c>
      <c r="AF770">
        <v>46118</v>
      </c>
      <c r="AG770" t="s">
        <v>590</v>
      </c>
      <c r="AH770">
        <v>6170586</v>
      </c>
      <c r="AI770">
        <v>46113</v>
      </c>
      <c r="AJ770">
        <v>46114</v>
      </c>
      <c r="AK770">
        <v>6000</v>
      </c>
      <c r="AL770" t="s">
        <v>396</v>
      </c>
      <c r="AM770" t="s">
        <v>2638</v>
      </c>
      <c r="AN770">
        <v>46114</v>
      </c>
      <c r="AO770">
        <v>46114.654120370367</v>
      </c>
      <c r="AP770" t="s">
        <v>51</v>
      </c>
      <c r="AQ770">
        <v>7.8109999999999999E-2</v>
      </c>
      <c r="AR770">
        <v>468.66</v>
      </c>
      <c r="AS770" t="s">
        <v>51</v>
      </c>
      <c r="AT770">
        <v>468.66</v>
      </c>
      <c r="AU770" t="s">
        <v>415</v>
      </c>
      <c r="AV770" t="s">
        <v>772</v>
      </c>
      <c r="AW770" t="s">
        <v>2514</v>
      </c>
      <c r="AX770">
        <v>46119</v>
      </c>
      <c r="AY770">
        <v>46168</v>
      </c>
      <c r="AZ770" t="s">
        <v>2521</v>
      </c>
      <c r="BA770" t="s">
        <v>2219</v>
      </c>
      <c r="BB770" t="s">
        <v>2522</v>
      </c>
      <c r="BC770">
        <v>750</v>
      </c>
      <c r="BD770" t="s">
        <v>521</v>
      </c>
      <c r="BE770">
        <v>3.2307999999999999</v>
      </c>
      <c r="BF770">
        <v>1.8008</v>
      </c>
      <c r="BG770" t="s">
        <v>522</v>
      </c>
      <c r="BH770">
        <v>395</v>
      </c>
      <c r="BI770">
        <v>295</v>
      </c>
      <c r="BJ770">
        <v>150</v>
      </c>
      <c r="BK770">
        <v>8</v>
      </c>
      <c r="BL770" t="s">
        <v>521</v>
      </c>
      <c r="BM770">
        <v>33.845999999999997</v>
      </c>
      <c r="BN770">
        <v>14.406000000000001</v>
      </c>
      <c r="BO770">
        <v>33.845999999999997</v>
      </c>
      <c r="BP770" t="s">
        <v>522</v>
      </c>
      <c r="BQ770">
        <v>800</v>
      </c>
      <c r="BR770">
        <v>300</v>
      </c>
      <c r="BS770">
        <v>760</v>
      </c>
      <c r="BT770">
        <v>1</v>
      </c>
      <c r="BU770">
        <v>0</v>
      </c>
      <c r="BV770">
        <v>1</v>
      </c>
      <c r="BW770">
        <v>8</v>
      </c>
      <c r="BX770">
        <v>0</v>
      </c>
      <c r="BY770">
        <v>8</v>
      </c>
      <c r="BZ770">
        <v>6000</v>
      </c>
      <c r="CA770">
        <v>0</v>
      </c>
      <c r="CB770">
        <v>6000</v>
      </c>
      <c r="CC770">
        <v>14.406000000000001</v>
      </c>
      <c r="CD770" t="s">
        <v>700</v>
      </c>
      <c r="CE770" t="s">
        <v>1336</v>
      </c>
      <c r="CG770" t="s">
        <v>421</v>
      </c>
      <c r="CN770" t="str">
        <v>M19</v>
      </c>
      <c r="CO770" t="str">
        <v>1307-5YY0170EN</v>
      </c>
      <c r="CP770" t="str">
        <v>OOLU9103769</v>
      </c>
      <c r="CQ770" s="23">
        <v>1840.96</v>
      </c>
      <c r="CR770" s="25">
        <f t="shared" si="30"/>
        <v>0.14204147758174238</v>
      </c>
      <c r="CS770" s="21">
        <f t="shared" si="31"/>
        <v>355.10369395435595</v>
      </c>
    </row>
    <row r="771" spans="2:97" x14ac:dyDescent="0.35">
      <c r="B771" t="s">
        <v>3497</v>
      </c>
      <c r="C771" t="s">
        <v>2639</v>
      </c>
      <c r="D771" t="s">
        <v>395</v>
      </c>
      <c r="E771" t="s">
        <v>395</v>
      </c>
      <c r="F771" t="s">
        <v>396</v>
      </c>
      <c r="G771" t="s">
        <v>397</v>
      </c>
      <c r="H771" t="s">
        <v>398</v>
      </c>
      <c r="I771" t="s">
        <v>399</v>
      </c>
      <c r="J771" t="s">
        <v>400</v>
      </c>
      <c r="K771" t="s">
        <v>515</v>
      </c>
      <c r="L771" t="s">
        <v>585</v>
      </c>
      <c r="M771" t="s">
        <v>403</v>
      </c>
      <c r="N771">
        <v>1</v>
      </c>
      <c r="O771">
        <v>1</v>
      </c>
      <c r="P771" t="s">
        <v>1333</v>
      </c>
      <c r="Q771" t="s">
        <v>424</v>
      </c>
      <c r="R771" t="s">
        <v>691</v>
      </c>
      <c r="S771" t="s">
        <v>1334</v>
      </c>
      <c r="T771" t="s">
        <v>408</v>
      </c>
      <c r="U771">
        <v>50950081185</v>
      </c>
      <c r="W771">
        <v>6000</v>
      </c>
      <c r="X771" t="s">
        <v>409</v>
      </c>
      <c r="Y771" t="s">
        <v>410</v>
      </c>
      <c r="Z771" t="s">
        <v>410</v>
      </c>
      <c r="AA771" t="s">
        <v>411</v>
      </c>
      <c r="AB771" t="s">
        <v>412</v>
      </c>
      <c r="AC771" t="s">
        <v>411</v>
      </c>
      <c r="AD771">
        <v>46111</v>
      </c>
      <c r="AE771">
        <v>46167</v>
      </c>
      <c r="AF771">
        <v>46118</v>
      </c>
      <c r="AG771" t="s">
        <v>590</v>
      </c>
      <c r="AH771">
        <v>6170587</v>
      </c>
      <c r="AI771">
        <v>46113</v>
      </c>
      <c r="AJ771">
        <v>46114</v>
      </c>
      <c r="AK771">
        <v>6000</v>
      </c>
      <c r="AL771" t="s">
        <v>396</v>
      </c>
      <c r="AM771" t="s">
        <v>2640</v>
      </c>
      <c r="AN771">
        <v>46114</v>
      </c>
      <c r="AO771">
        <v>46114.654120370367</v>
      </c>
      <c r="AP771" t="s">
        <v>51</v>
      </c>
      <c r="AQ771">
        <v>7.9890000000000003E-2</v>
      </c>
      <c r="AR771">
        <v>479.34</v>
      </c>
      <c r="AS771" t="s">
        <v>51</v>
      </c>
      <c r="AT771">
        <v>479.34</v>
      </c>
      <c r="AU771" t="s">
        <v>415</v>
      </c>
      <c r="AV771" t="s">
        <v>772</v>
      </c>
      <c r="AW771" t="s">
        <v>2514</v>
      </c>
      <c r="AX771">
        <v>46119</v>
      </c>
      <c r="AY771">
        <v>46168</v>
      </c>
      <c r="AZ771" t="s">
        <v>2521</v>
      </c>
      <c r="BA771" t="s">
        <v>2219</v>
      </c>
      <c r="BB771" t="s">
        <v>2522</v>
      </c>
      <c r="BC771">
        <v>750</v>
      </c>
      <c r="BD771" t="s">
        <v>521</v>
      </c>
      <c r="BE771">
        <v>3.2120000000000002</v>
      </c>
      <c r="BF771">
        <v>1.782</v>
      </c>
      <c r="BG771" t="s">
        <v>522</v>
      </c>
      <c r="BH771">
        <v>395</v>
      </c>
      <c r="BI771">
        <v>295</v>
      </c>
      <c r="BJ771">
        <v>150</v>
      </c>
      <c r="BK771">
        <v>8</v>
      </c>
      <c r="BL771" t="s">
        <v>521</v>
      </c>
      <c r="BM771">
        <v>33.695999999999998</v>
      </c>
      <c r="BN771">
        <v>14.256</v>
      </c>
      <c r="BO771">
        <v>33.695999999999998</v>
      </c>
      <c r="BP771" t="s">
        <v>522</v>
      </c>
      <c r="BQ771">
        <v>800</v>
      </c>
      <c r="BR771">
        <v>300</v>
      </c>
      <c r="BS771">
        <v>760</v>
      </c>
      <c r="BT771">
        <v>1</v>
      </c>
      <c r="BU771">
        <v>0</v>
      </c>
      <c r="BV771">
        <v>1</v>
      </c>
      <c r="BW771">
        <v>8</v>
      </c>
      <c r="BX771">
        <v>0</v>
      </c>
      <c r="BY771">
        <v>8</v>
      </c>
      <c r="BZ771">
        <v>6000</v>
      </c>
      <c r="CA771">
        <v>0</v>
      </c>
      <c r="CB771">
        <v>6000</v>
      </c>
      <c r="CC771">
        <v>14.256</v>
      </c>
      <c r="CD771" t="s">
        <v>700</v>
      </c>
      <c r="CE771" t="s">
        <v>1336</v>
      </c>
      <c r="CG771" t="s">
        <v>421</v>
      </c>
      <c r="CN771" t="str">
        <v>M19</v>
      </c>
      <c r="CO771" t="str">
        <v>1330-5YY0182EN</v>
      </c>
      <c r="CP771" t="str">
        <v>OOLU9103769</v>
      </c>
      <c r="CQ771" s="23">
        <v>1580.7203999999999</v>
      </c>
      <c r="CR771" s="25">
        <f t="shared" si="30"/>
        <v>0.1219623790085623</v>
      </c>
      <c r="CS771" s="21">
        <f t="shared" si="31"/>
        <v>304.90594752140572</v>
      </c>
    </row>
    <row r="772" spans="2:97" x14ac:dyDescent="0.35">
      <c r="B772" t="s">
        <v>3497</v>
      </c>
      <c r="C772" t="s">
        <v>2641</v>
      </c>
      <c r="D772" t="s">
        <v>395</v>
      </c>
      <c r="E772" t="s">
        <v>395</v>
      </c>
      <c r="F772" t="s">
        <v>396</v>
      </c>
      <c r="G772" t="s">
        <v>397</v>
      </c>
      <c r="H772" t="s">
        <v>398</v>
      </c>
      <c r="I772" t="s">
        <v>399</v>
      </c>
      <c r="J772" t="s">
        <v>400</v>
      </c>
      <c r="K772" t="s">
        <v>515</v>
      </c>
      <c r="L772" t="s">
        <v>585</v>
      </c>
      <c r="M772" t="s">
        <v>403</v>
      </c>
      <c r="N772">
        <v>1</v>
      </c>
      <c r="O772">
        <v>1</v>
      </c>
      <c r="P772" t="s">
        <v>697</v>
      </c>
      <c r="Q772" t="s">
        <v>424</v>
      </c>
      <c r="R772" t="s">
        <v>691</v>
      </c>
      <c r="S772" t="s">
        <v>698</v>
      </c>
      <c r="T772" t="s">
        <v>408</v>
      </c>
      <c r="U772">
        <v>50950081194</v>
      </c>
      <c r="W772">
        <v>7200</v>
      </c>
      <c r="X772" t="s">
        <v>409</v>
      </c>
      <c r="Y772" t="s">
        <v>410</v>
      </c>
      <c r="Z772" t="s">
        <v>410</v>
      </c>
      <c r="AA772" t="s">
        <v>411</v>
      </c>
      <c r="AB772" t="s">
        <v>412</v>
      </c>
      <c r="AC772" t="s">
        <v>411</v>
      </c>
      <c r="AD772">
        <v>46111</v>
      </c>
      <c r="AE772">
        <v>46167</v>
      </c>
      <c r="AF772">
        <v>46118</v>
      </c>
      <c r="AG772" t="s">
        <v>590</v>
      </c>
      <c r="AH772">
        <v>6170588</v>
      </c>
      <c r="AI772">
        <v>46113</v>
      </c>
      <c r="AJ772">
        <v>46114</v>
      </c>
      <c r="AK772">
        <v>7200</v>
      </c>
      <c r="AL772" t="s">
        <v>396</v>
      </c>
      <c r="AM772" t="s">
        <v>2642</v>
      </c>
      <c r="AN772">
        <v>46114</v>
      </c>
      <c r="AO772">
        <v>46114.654120370367</v>
      </c>
      <c r="AP772" t="s">
        <v>51</v>
      </c>
      <c r="AQ772">
        <v>6.7110000000000003E-2</v>
      </c>
      <c r="AR772">
        <v>483.19</v>
      </c>
      <c r="AS772" t="s">
        <v>51</v>
      </c>
      <c r="AT772">
        <v>483.19</v>
      </c>
      <c r="AU772" t="s">
        <v>415</v>
      </c>
      <c r="AV772" t="s">
        <v>772</v>
      </c>
      <c r="AW772" t="s">
        <v>2514</v>
      </c>
      <c r="AX772">
        <v>46119</v>
      </c>
      <c r="AY772">
        <v>46168</v>
      </c>
      <c r="AZ772" t="s">
        <v>2521</v>
      </c>
      <c r="BA772" t="s">
        <v>2219</v>
      </c>
      <c r="BB772" t="s">
        <v>2522</v>
      </c>
      <c r="BC772">
        <v>900</v>
      </c>
      <c r="BD772" t="s">
        <v>521</v>
      </c>
      <c r="BE772">
        <v>3.0865999999999998</v>
      </c>
      <c r="BF772">
        <v>1.4166000000000001</v>
      </c>
      <c r="BG772" t="s">
        <v>522</v>
      </c>
      <c r="BH772">
        <v>395</v>
      </c>
      <c r="BI772">
        <v>295</v>
      </c>
      <c r="BJ772">
        <v>150</v>
      </c>
      <c r="BK772">
        <v>8</v>
      </c>
      <c r="BL772" t="s">
        <v>521</v>
      </c>
      <c r="BM772">
        <v>32.692799999999998</v>
      </c>
      <c r="BN772">
        <v>11.332800000000001</v>
      </c>
      <c r="BO772">
        <v>32.692799999999998</v>
      </c>
      <c r="BP772" t="s">
        <v>522</v>
      </c>
      <c r="BQ772">
        <v>800</v>
      </c>
      <c r="BR772">
        <v>300</v>
      </c>
      <c r="BS772">
        <v>760</v>
      </c>
      <c r="BT772">
        <v>1</v>
      </c>
      <c r="BU772">
        <v>0</v>
      </c>
      <c r="BV772">
        <v>1</v>
      </c>
      <c r="BW772">
        <v>8</v>
      </c>
      <c r="BX772">
        <v>0</v>
      </c>
      <c r="BY772">
        <v>8</v>
      </c>
      <c r="BZ772">
        <v>7200</v>
      </c>
      <c r="CA772">
        <v>0</v>
      </c>
      <c r="CB772">
        <v>7200</v>
      </c>
      <c r="CC772">
        <v>11.332800000000001</v>
      </c>
      <c r="CD772" t="s">
        <v>700</v>
      </c>
      <c r="CE772" t="s">
        <v>701</v>
      </c>
      <c r="CG772" t="s">
        <v>421</v>
      </c>
      <c r="CN772" t="str">
        <v>M19</v>
      </c>
      <c r="CO772" t="str">
        <v>1330-5YY0183EN</v>
      </c>
      <c r="CP772" t="str">
        <v>OOLU9103769</v>
      </c>
      <c r="CQ772" s="23">
        <v>773.09280000000001</v>
      </c>
      <c r="CR772" s="25">
        <f t="shared" si="30"/>
        <v>5.9648902539874003E-2</v>
      </c>
      <c r="CS772" s="21">
        <f t="shared" si="31"/>
        <v>149.12225634968502</v>
      </c>
    </row>
    <row r="773" spans="2:97" x14ac:dyDescent="0.35">
      <c r="B773" t="s">
        <v>299</v>
      </c>
      <c r="C773" t="s">
        <v>2643</v>
      </c>
      <c r="D773" t="s">
        <v>395</v>
      </c>
      <c r="E773" t="s">
        <v>395</v>
      </c>
      <c r="F773" t="s">
        <v>396</v>
      </c>
      <c r="G773" t="s">
        <v>397</v>
      </c>
      <c r="H773" t="s">
        <v>532</v>
      </c>
      <c r="I773" t="s">
        <v>399</v>
      </c>
      <c r="J773" t="s">
        <v>400</v>
      </c>
      <c r="K773" t="s">
        <v>629</v>
      </c>
      <c r="L773" t="s">
        <v>585</v>
      </c>
      <c r="M773" t="s">
        <v>403</v>
      </c>
      <c r="N773">
        <v>1</v>
      </c>
      <c r="O773">
        <v>1</v>
      </c>
      <c r="P773" t="s">
        <v>683</v>
      </c>
      <c r="Q773" t="s">
        <v>430</v>
      </c>
      <c r="R773" t="s">
        <v>684</v>
      </c>
      <c r="S773" t="s">
        <v>685</v>
      </c>
      <c r="T773" t="s">
        <v>408</v>
      </c>
      <c r="U773">
        <v>50950081207</v>
      </c>
      <c r="W773">
        <v>19200</v>
      </c>
      <c r="X773" t="s">
        <v>409</v>
      </c>
      <c r="Y773" t="s">
        <v>410</v>
      </c>
      <c r="Z773" t="s">
        <v>410</v>
      </c>
      <c r="AA773" t="s">
        <v>411</v>
      </c>
      <c r="AB773" t="s">
        <v>412</v>
      </c>
      <c r="AC773" t="s">
        <v>411</v>
      </c>
      <c r="AD773">
        <v>46111</v>
      </c>
      <c r="AE773">
        <v>46167</v>
      </c>
      <c r="AF773">
        <v>46118</v>
      </c>
      <c r="AG773" t="s">
        <v>590</v>
      </c>
      <c r="AH773">
        <v>6170589</v>
      </c>
      <c r="AI773">
        <v>46113</v>
      </c>
      <c r="AJ773">
        <v>46114</v>
      </c>
      <c r="AK773">
        <v>19200</v>
      </c>
      <c r="AL773" t="s">
        <v>396</v>
      </c>
      <c r="AM773" t="s">
        <v>2644</v>
      </c>
      <c r="AN773">
        <v>46114</v>
      </c>
      <c r="AO773">
        <v>46114.654120370367</v>
      </c>
      <c r="AP773" t="s">
        <v>51</v>
      </c>
      <c r="AQ773">
        <v>0.19275999999999999</v>
      </c>
      <c r="AR773">
        <v>3700.99</v>
      </c>
      <c r="AS773" t="s">
        <v>51</v>
      </c>
      <c r="AT773">
        <v>3700.99</v>
      </c>
      <c r="AU773" t="s">
        <v>415</v>
      </c>
      <c r="AV773" t="s">
        <v>772</v>
      </c>
      <c r="AW773" t="s">
        <v>2514</v>
      </c>
      <c r="AX773">
        <v>46119</v>
      </c>
      <c r="AY773">
        <v>46168</v>
      </c>
      <c r="AZ773" t="s">
        <v>2521</v>
      </c>
      <c r="BA773" t="s">
        <v>2219</v>
      </c>
      <c r="BB773" t="s">
        <v>2522</v>
      </c>
      <c r="BC773">
        <v>1600</v>
      </c>
      <c r="BD773" t="s">
        <v>521</v>
      </c>
      <c r="BE773">
        <v>4.4706000000000001</v>
      </c>
      <c r="BF773">
        <v>2.7936000000000001</v>
      </c>
      <c r="BG773" t="s">
        <v>522</v>
      </c>
      <c r="BH773">
        <v>360</v>
      </c>
      <c r="BI773">
        <v>260</v>
      </c>
      <c r="BJ773">
        <v>220</v>
      </c>
      <c r="BK773">
        <v>12</v>
      </c>
      <c r="BL773" t="s">
        <v>521</v>
      </c>
      <c r="BM773">
        <v>66.947199999999995</v>
      </c>
      <c r="BN773">
        <v>33.523200000000003</v>
      </c>
      <c r="BO773">
        <v>66.947199999999995</v>
      </c>
      <c r="BP773" t="s">
        <v>522</v>
      </c>
      <c r="BQ773">
        <v>820</v>
      </c>
      <c r="BR773">
        <v>545</v>
      </c>
      <c r="BS773">
        <v>876</v>
      </c>
      <c r="BT773">
        <v>1</v>
      </c>
      <c r="BU773">
        <v>0</v>
      </c>
      <c r="BV773">
        <v>1</v>
      </c>
      <c r="BW773">
        <v>12</v>
      </c>
      <c r="BX773">
        <v>0</v>
      </c>
      <c r="BY773">
        <v>12</v>
      </c>
      <c r="BZ773">
        <v>19200</v>
      </c>
      <c r="CA773">
        <v>0</v>
      </c>
      <c r="CB773">
        <v>19200</v>
      </c>
      <c r="CC773">
        <v>33.523200000000003</v>
      </c>
      <c r="CD773" t="s">
        <v>687</v>
      </c>
      <c r="CE773" t="s">
        <v>688</v>
      </c>
      <c r="CG773" t="s">
        <v>421</v>
      </c>
      <c r="CN773" t="str">
        <v>M19</v>
      </c>
      <c r="CO773" t="str">
        <v>1330-5YY0256EN</v>
      </c>
      <c r="CP773" t="str">
        <v>OOLU9103769</v>
      </c>
      <c r="CQ773" s="23">
        <v>434.00400000000002</v>
      </c>
      <c r="CR773" s="25">
        <f t="shared" si="30"/>
        <v>3.3486099337512239E-2</v>
      </c>
      <c r="CS773" s="21">
        <f t="shared" si="31"/>
        <v>83.715248343780601</v>
      </c>
    </row>
    <row r="774" spans="2:97" x14ac:dyDescent="0.35">
      <c r="B774" t="s">
        <v>297</v>
      </c>
      <c r="C774" t="s">
        <v>2645</v>
      </c>
      <c r="D774" t="s">
        <v>395</v>
      </c>
      <c r="E774" t="s">
        <v>395</v>
      </c>
      <c r="F774" t="s">
        <v>396</v>
      </c>
      <c r="G774" t="s">
        <v>397</v>
      </c>
      <c r="H774" t="s">
        <v>398</v>
      </c>
      <c r="I774" t="s">
        <v>399</v>
      </c>
      <c r="J774" t="s">
        <v>400</v>
      </c>
      <c r="K774" t="s">
        <v>595</v>
      </c>
      <c r="L774" t="s">
        <v>585</v>
      </c>
      <c r="M774" t="s">
        <v>403</v>
      </c>
      <c r="N774">
        <v>4</v>
      </c>
      <c r="O774">
        <v>1</v>
      </c>
      <c r="P774" t="s">
        <v>667</v>
      </c>
      <c r="Q774" t="s">
        <v>430</v>
      </c>
      <c r="R774" t="s">
        <v>668</v>
      </c>
      <c r="S774" t="s">
        <v>669</v>
      </c>
      <c r="T774" t="s">
        <v>408</v>
      </c>
      <c r="U774">
        <v>50950081687</v>
      </c>
      <c r="W774">
        <v>180000</v>
      </c>
      <c r="X774" t="s">
        <v>409</v>
      </c>
      <c r="Y774" t="s">
        <v>410</v>
      </c>
      <c r="Z774" t="s">
        <v>410</v>
      </c>
      <c r="AA774" t="s">
        <v>411</v>
      </c>
      <c r="AB774" t="s">
        <v>412</v>
      </c>
      <c r="AC774" t="s">
        <v>411</v>
      </c>
      <c r="AD774">
        <v>46111</v>
      </c>
      <c r="AE774">
        <v>46167</v>
      </c>
      <c r="AF774">
        <v>46118</v>
      </c>
      <c r="AG774" t="s">
        <v>590</v>
      </c>
      <c r="AH774">
        <v>6170590</v>
      </c>
      <c r="AI774">
        <v>46113</v>
      </c>
      <c r="AJ774">
        <v>46114</v>
      </c>
      <c r="AK774">
        <v>180000</v>
      </c>
      <c r="AL774" t="s">
        <v>396</v>
      </c>
      <c r="AM774" t="s">
        <v>2646</v>
      </c>
      <c r="AN774">
        <v>46114</v>
      </c>
      <c r="AO774">
        <v>46114.654120370367</v>
      </c>
      <c r="AP774" t="s">
        <v>51</v>
      </c>
      <c r="AQ774">
        <v>2.317E-2</v>
      </c>
      <c r="AR774">
        <v>4170.6000000000004</v>
      </c>
      <c r="AS774" t="s">
        <v>51</v>
      </c>
      <c r="AT774">
        <v>4170.6000000000004</v>
      </c>
      <c r="AU774" t="s">
        <v>415</v>
      </c>
      <c r="AV774" t="s">
        <v>772</v>
      </c>
      <c r="AW774" t="s">
        <v>2514</v>
      </c>
      <c r="AX774">
        <v>46119</v>
      </c>
      <c r="AY774">
        <v>46168</v>
      </c>
      <c r="AZ774" t="s">
        <v>2521</v>
      </c>
      <c r="BA774" t="s">
        <v>2219</v>
      </c>
      <c r="BB774" t="s">
        <v>2522</v>
      </c>
      <c r="BC774">
        <v>6000</v>
      </c>
      <c r="BD774" t="s">
        <v>521</v>
      </c>
      <c r="BE774">
        <v>11.177</v>
      </c>
      <c r="BF774">
        <v>10.71</v>
      </c>
      <c r="BG774" t="s">
        <v>522</v>
      </c>
      <c r="BH774">
        <v>300</v>
      </c>
      <c r="BI774">
        <v>200</v>
      </c>
      <c r="BJ774">
        <v>140</v>
      </c>
      <c r="BK774">
        <v>16</v>
      </c>
      <c r="BL774" t="s">
        <v>521</v>
      </c>
      <c r="BM774">
        <v>186.83199999999999</v>
      </c>
      <c r="BN774">
        <v>171.36</v>
      </c>
      <c r="BO774">
        <v>351.31</v>
      </c>
      <c r="BP774" t="s">
        <v>522</v>
      </c>
      <c r="BQ774">
        <v>800</v>
      </c>
      <c r="BR774">
        <v>300</v>
      </c>
      <c r="BS774">
        <v>718</v>
      </c>
      <c r="BT774">
        <v>1</v>
      </c>
      <c r="BU774">
        <v>1</v>
      </c>
      <c r="BV774">
        <v>2</v>
      </c>
      <c r="BW774">
        <v>30</v>
      </c>
      <c r="BX774">
        <v>0</v>
      </c>
      <c r="BY774">
        <v>30</v>
      </c>
      <c r="BZ774">
        <v>96000</v>
      </c>
      <c r="CA774">
        <v>84000</v>
      </c>
      <c r="CB774">
        <v>180000</v>
      </c>
      <c r="CC774">
        <v>321.3</v>
      </c>
      <c r="CD774" t="s">
        <v>671</v>
      </c>
      <c r="CE774" t="s">
        <v>672</v>
      </c>
      <c r="CG774" t="s">
        <v>421</v>
      </c>
      <c r="CN774" t="str">
        <v>M19</v>
      </c>
      <c r="CO774" t="str">
        <v>1330-5YY0167EN</v>
      </c>
      <c r="CP774" t="str">
        <v>OOLU9103769</v>
      </c>
      <c r="CQ774" s="23">
        <v>2628.4140000000002</v>
      </c>
      <c r="CR774" s="25">
        <f t="shared" ref="CR774:CR837" si="33">IFERROR(CQ774/(SUMIFS(CQ:CQ,CP:CP,CP774)),100%)</f>
        <v>0.20279843573816805</v>
      </c>
      <c r="CS774" s="21">
        <f t="shared" si="31"/>
        <v>506.99608934542016</v>
      </c>
    </row>
    <row r="775" spans="2:97" x14ac:dyDescent="0.35">
      <c r="B775" t="s">
        <v>297</v>
      </c>
      <c r="C775" t="s">
        <v>2647</v>
      </c>
      <c r="D775" t="s">
        <v>395</v>
      </c>
      <c r="E775" t="s">
        <v>395</v>
      </c>
      <c r="F775" t="s">
        <v>396</v>
      </c>
      <c r="G775" t="s">
        <v>397</v>
      </c>
      <c r="H775" t="s">
        <v>398</v>
      </c>
      <c r="I775" t="s">
        <v>399</v>
      </c>
      <c r="J775" t="s">
        <v>400</v>
      </c>
      <c r="K775" t="s">
        <v>515</v>
      </c>
      <c r="L775" t="s">
        <v>585</v>
      </c>
      <c r="M775" t="s">
        <v>403</v>
      </c>
      <c r="N775">
        <v>1</v>
      </c>
      <c r="O775">
        <v>1</v>
      </c>
      <c r="P775" t="s">
        <v>1284</v>
      </c>
      <c r="Q775" t="s">
        <v>637</v>
      </c>
      <c r="R775" t="s">
        <v>1285</v>
      </c>
      <c r="S775" t="s">
        <v>1286</v>
      </c>
      <c r="T775" t="s">
        <v>408</v>
      </c>
      <c r="U775">
        <v>50950081701</v>
      </c>
      <c r="W775">
        <v>320000</v>
      </c>
      <c r="X775" t="s">
        <v>409</v>
      </c>
      <c r="Y775" t="s">
        <v>410</v>
      </c>
      <c r="Z775" t="s">
        <v>410</v>
      </c>
      <c r="AA775" t="s">
        <v>411</v>
      </c>
      <c r="AB775" t="s">
        <v>412</v>
      </c>
      <c r="AC775" t="s">
        <v>411</v>
      </c>
      <c r="AD775">
        <v>46111</v>
      </c>
      <c r="AE775">
        <v>46188</v>
      </c>
      <c r="AF775">
        <v>46118</v>
      </c>
      <c r="AG775" t="s">
        <v>590</v>
      </c>
      <c r="AH775">
        <v>6170591</v>
      </c>
      <c r="AI775">
        <v>46113</v>
      </c>
      <c r="AJ775">
        <v>46114</v>
      </c>
      <c r="AK775">
        <v>320000</v>
      </c>
      <c r="AL775" t="s">
        <v>396</v>
      </c>
      <c r="AM775" t="s">
        <v>2648</v>
      </c>
      <c r="AN775">
        <v>46114</v>
      </c>
      <c r="AO775">
        <v>46114.654120370367</v>
      </c>
      <c r="AP775" t="s">
        <v>51</v>
      </c>
      <c r="AQ775">
        <v>4.0000000000000002E-4</v>
      </c>
      <c r="AR775">
        <v>128</v>
      </c>
      <c r="AS775" t="s">
        <v>51</v>
      </c>
      <c r="AT775">
        <v>128</v>
      </c>
      <c r="AU775" t="s">
        <v>415</v>
      </c>
      <c r="AV775" t="s">
        <v>772</v>
      </c>
      <c r="AW775" t="s">
        <v>2514</v>
      </c>
      <c r="AX775">
        <v>46119</v>
      </c>
      <c r="AY775">
        <v>46168</v>
      </c>
      <c r="AZ775" t="s">
        <v>2521</v>
      </c>
      <c r="BA775" t="s">
        <v>2219</v>
      </c>
      <c r="BB775" t="s">
        <v>2522</v>
      </c>
      <c r="BC775">
        <v>80000</v>
      </c>
      <c r="BD775" t="s">
        <v>521</v>
      </c>
      <c r="BE775">
        <v>1.2889999999999999</v>
      </c>
      <c r="BF775">
        <v>0.56000000000000005</v>
      </c>
      <c r="BG775" t="s">
        <v>522</v>
      </c>
      <c r="BH775">
        <v>395</v>
      </c>
      <c r="BI775">
        <v>295</v>
      </c>
      <c r="BJ775">
        <v>120</v>
      </c>
      <c r="BK775">
        <v>8</v>
      </c>
      <c r="BL775" t="s">
        <v>521</v>
      </c>
      <c r="BM775">
        <v>13.156000000000001</v>
      </c>
      <c r="BN775">
        <v>2.2400000000000002</v>
      </c>
      <c r="BO775">
        <v>13.156000000000001</v>
      </c>
      <c r="BP775" t="s">
        <v>522</v>
      </c>
      <c r="BQ775">
        <v>800</v>
      </c>
      <c r="BR775">
        <v>300</v>
      </c>
      <c r="BS775">
        <v>698</v>
      </c>
      <c r="BT775">
        <v>0</v>
      </c>
      <c r="BU775">
        <v>1</v>
      </c>
      <c r="BV775">
        <v>1</v>
      </c>
      <c r="BW775">
        <v>4</v>
      </c>
      <c r="BX775">
        <v>0</v>
      </c>
      <c r="BY775">
        <v>4</v>
      </c>
      <c r="BZ775">
        <v>0</v>
      </c>
      <c r="CA775">
        <v>320000</v>
      </c>
      <c r="CB775">
        <v>320000</v>
      </c>
      <c r="CC775">
        <v>2.2400000000000002</v>
      </c>
      <c r="CD775" t="s">
        <v>659</v>
      </c>
      <c r="CE775" t="s">
        <v>660</v>
      </c>
      <c r="CG775" t="s">
        <v>421</v>
      </c>
      <c r="CN775" t="str">
        <v>M19</v>
      </c>
      <c r="CO775" t="str">
        <v>1330-5YY0171EN</v>
      </c>
      <c r="CP775" t="str">
        <v>OOLU9103769</v>
      </c>
      <c r="CQ775" s="23">
        <v>344.57904000000002</v>
      </c>
      <c r="CR775" s="25">
        <f t="shared" si="33"/>
        <v>2.6586409256745564E-2</v>
      </c>
      <c r="CS775" s="21">
        <f t="shared" ref="CS775:CS838" si="34">CR775*$CS$2</f>
        <v>66.466023141863914</v>
      </c>
    </row>
    <row r="776" spans="2:97" x14ac:dyDescent="0.35">
      <c r="B776" t="s">
        <v>297</v>
      </c>
      <c r="C776" t="s">
        <v>2649</v>
      </c>
      <c r="D776" t="s">
        <v>395</v>
      </c>
      <c r="E776" t="s">
        <v>395</v>
      </c>
      <c r="F776" t="s">
        <v>396</v>
      </c>
      <c r="G776" t="s">
        <v>397</v>
      </c>
      <c r="H776" t="s">
        <v>398</v>
      </c>
      <c r="I776" t="s">
        <v>399</v>
      </c>
      <c r="J776" t="s">
        <v>400</v>
      </c>
      <c r="K776" t="s">
        <v>607</v>
      </c>
      <c r="L776" t="s">
        <v>585</v>
      </c>
      <c r="M776" t="s">
        <v>403</v>
      </c>
      <c r="N776">
        <v>1</v>
      </c>
      <c r="O776">
        <v>1</v>
      </c>
      <c r="P776" t="s">
        <v>662</v>
      </c>
      <c r="Q776" t="s">
        <v>424</v>
      </c>
      <c r="R776" t="s">
        <v>663</v>
      </c>
      <c r="S776" t="s">
        <v>664</v>
      </c>
      <c r="T776" t="s">
        <v>408</v>
      </c>
      <c r="U776">
        <v>50950081704</v>
      </c>
      <c r="W776">
        <v>192000</v>
      </c>
      <c r="X776" t="s">
        <v>409</v>
      </c>
      <c r="Y776" t="s">
        <v>410</v>
      </c>
      <c r="Z776" t="s">
        <v>410</v>
      </c>
      <c r="AA776" t="s">
        <v>411</v>
      </c>
      <c r="AB776" t="s">
        <v>412</v>
      </c>
      <c r="AC776" t="s">
        <v>411</v>
      </c>
      <c r="AD776">
        <v>46111</v>
      </c>
      <c r="AE776">
        <v>46188</v>
      </c>
      <c r="AF776">
        <v>46118</v>
      </c>
      <c r="AG776" t="s">
        <v>590</v>
      </c>
      <c r="AH776">
        <v>6170592</v>
      </c>
      <c r="AI776">
        <v>46113</v>
      </c>
      <c r="AJ776">
        <v>46114</v>
      </c>
      <c r="AK776">
        <v>192000</v>
      </c>
      <c r="AL776" t="s">
        <v>396</v>
      </c>
      <c r="AM776" t="s">
        <v>2650</v>
      </c>
      <c r="AN776">
        <v>46114</v>
      </c>
      <c r="AO776">
        <v>46114.654120370367</v>
      </c>
      <c r="AP776" t="s">
        <v>51</v>
      </c>
      <c r="AQ776">
        <v>1.142E-2</v>
      </c>
      <c r="AR776">
        <v>2192.64</v>
      </c>
      <c r="AS776" t="s">
        <v>51</v>
      </c>
      <c r="AT776">
        <v>2192.64</v>
      </c>
      <c r="AU776" t="s">
        <v>415</v>
      </c>
      <c r="AV776" t="s">
        <v>772</v>
      </c>
      <c r="AW776" t="s">
        <v>2514</v>
      </c>
      <c r="AX776">
        <v>46119</v>
      </c>
      <c r="AY776">
        <v>46168</v>
      </c>
      <c r="AZ776" t="s">
        <v>2521</v>
      </c>
      <c r="BA776" t="s">
        <v>2219</v>
      </c>
      <c r="BB776" t="s">
        <v>2522</v>
      </c>
      <c r="BC776">
        <v>12000</v>
      </c>
      <c r="BD776" t="s">
        <v>521</v>
      </c>
      <c r="BE776">
        <v>10.8048</v>
      </c>
      <c r="BF776">
        <v>10.4148</v>
      </c>
      <c r="BG776" t="s">
        <v>522</v>
      </c>
      <c r="BH776">
        <v>368</v>
      </c>
      <c r="BI776">
        <v>257</v>
      </c>
      <c r="BJ776">
        <v>136</v>
      </c>
      <c r="BK776">
        <v>6</v>
      </c>
      <c r="BL776" t="s">
        <v>521</v>
      </c>
      <c r="BM776">
        <v>72.828800000000001</v>
      </c>
      <c r="BN776">
        <v>62.488799999999998</v>
      </c>
      <c r="BO776">
        <v>196.8768</v>
      </c>
      <c r="BP776" t="s">
        <v>522</v>
      </c>
      <c r="BQ776">
        <v>800</v>
      </c>
      <c r="BR776">
        <v>300</v>
      </c>
      <c r="BS776">
        <v>608</v>
      </c>
      <c r="BT776">
        <v>2</v>
      </c>
      <c r="BU776">
        <v>1</v>
      </c>
      <c r="BV776">
        <v>3</v>
      </c>
      <c r="BW776">
        <v>16</v>
      </c>
      <c r="BX776">
        <v>0</v>
      </c>
      <c r="BY776">
        <v>16</v>
      </c>
      <c r="BZ776">
        <v>144000</v>
      </c>
      <c r="CA776">
        <v>48000</v>
      </c>
      <c r="CB776">
        <v>192000</v>
      </c>
      <c r="CC776">
        <v>166.63679999999999</v>
      </c>
      <c r="CD776" t="s">
        <v>523</v>
      </c>
      <c r="CE776" t="s">
        <v>653</v>
      </c>
      <c r="CG776" t="s">
        <v>421</v>
      </c>
      <c r="CN776" t="str">
        <v>M01</v>
      </c>
      <c r="CO776" t="str">
        <v>1999-1031491EN</v>
      </c>
      <c r="CP776" t="str">
        <v>OOLU9820013</v>
      </c>
      <c r="CQ776" s="23">
        <v>518.20000000000005</v>
      </c>
      <c r="CR776" s="25">
        <f t="shared" si="33"/>
        <v>4.4879895562144632E-2</v>
      </c>
      <c r="CS776" s="21">
        <f t="shared" si="34"/>
        <v>112.19973890536158</v>
      </c>
    </row>
    <row r="777" spans="2:97" x14ac:dyDescent="0.35">
      <c r="B777" t="s">
        <v>3497</v>
      </c>
      <c r="C777" t="s">
        <v>2651</v>
      </c>
      <c r="D777" t="s">
        <v>395</v>
      </c>
      <c r="E777" t="s">
        <v>395</v>
      </c>
      <c r="F777" t="s">
        <v>396</v>
      </c>
      <c r="G777" t="s">
        <v>397</v>
      </c>
      <c r="H777" t="s">
        <v>398</v>
      </c>
      <c r="I777" t="s">
        <v>399</v>
      </c>
      <c r="J777" t="s">
        <v>400</v>
      </c>
      <c r="K777" t="s">
        <v>515</v>
      </c>
      <c r="L777" t="s">
        <v>585</v>
      </c>
      <c r="M777" t="s">
        <v>403</v>
      </c>
      <c r="N777">
        <v>1</v>
      </c>
      <c r="O777">
        <v>1</v>
      </c>
      <c r="P777" t="s">
        <v>712</v>
      </c>
      <c r="Q777" t="s">
        <v>424</v>
      </c>
      <c r="R777" t="s">
        <v>691</v>
      </c>
      <c r="S777" t="s">
        <v>713</v>
      </c>
      <c r="T777" t="s">
        <v>408</v>
      </c>
      <c r="U777">
        <v>50950081995</v>
      </c>
      <c r="W777">
        <v>7200</v>
      </c>
      <c r="X777" t="s">
        <v>409</v>
      </c>
      <c r="Y777" t="s">
        <v>410</v>
      </c>
      <c r="Z777" t="s">
        <v>410</v>
      </c>
      <c r="AA777" t="s">
        <v>411</v>
      </c>
      <c r="AB777" t="s">
        <v>412</v>
      </c>
      <c r="AC777" t="s">
        <v>411</v>
      </c>
      <c r="AD777">
        <v>46111</v>
      </c>
      <c r="AE777">
        <v>46167</v>
      </c>
      <c r="AF777">
        <v>46118</v>
      </c>
      <c r="AG777" t="s">
        <v>590</v>
      </c>
      <c r="AH777">
        <v>6170593</v>
      </c>
      <c r="AI777">
        <v>46113</v>
      </c>
      <c r="AJ777">
        <v>46114</v>
      </c>
      <c r="AK777">
        <v>7200</v>
      </c>
      <c r="AL777" t="s">
        <v>396</v>
      </c>
      <c r="AM777" t="s">
        <v>2652</v>
      </c>
      <c r="AN777">
        <v>46114</v>
      </c>
      <c r="AO777">
        <v>46114.654120370367</v>
      </c>
      <c r="AP777" t="s">
        <v>51</v>
      </c>
      <c r="AQ777">
        <v>5.4760000000000003E-2</v>
      </c>
      <c r="AR777">
        <v>394.27</v>
      </c>
      <c r="AS777" t="s">
        <v>51</v>
      </c>
      <c r="AT777">
        <v>394.27</v>
      </c>
      <c r="AU777" t="s">
        <v>415</v>
      </c>
      <c r="AV777" t="s">
        <v>772</v>
      </c>
      <c r="AW777" t="s">
        <v>2514</v>
      </c>
      <c r="AX777">
        <v>46119</v>
      </c>
      <c r="AY777">
        <v>46168</v>
      </c>
      <c r="AZ777" t="s">
        <v>2521</v>
      </c>
      <c r="BA777" t="s">
        <v>2219</v>
      </c>
      <c r="BB777" t="s">
        <v>2522</v>
      </c>
      <c r="BC777">
        <v>900</v>
      </c>
      <c r="BD777" t="s">
        <v>521</v>
      </c>
      <c r="BE777">
        <v>2.7673000000000001</v>
      </c>
      <c r="BF777">
        <v>1.1673</v>
      </c>
      <c r="BG777" t="s">
        <v>522</v>
      </c>
      <c r="BH777">
        <v>395</v>
      </c>
      <c r="BI777">
        <v>295</v>
      </c>
      <c r="BJ777">
        <v>150</v>
      </c>
      <c r="BK777">
        <v>48</v>
      </c>
      <c r="BL777" t="s">
        <v>521</v>
      </c>
      <c r="BM777">
        <v>46.138399999999997</v>
      </c>
      <c r="BN777">
        <v>9.3384</v>
      </c>
      <c r="BO777">
        <v>46.138399999999997</v>
      </c>
      <c r="BP777" t="s">
        <v>522</v>
      </c>
      <c r="BQ777">
        <v>1200</v>
      </c>
      <c r="BR777">
        <v>800</v>
      </c>
      <c r="BS777">
        <v>1060</v>
      </c>
      <c r="BT777">
        <v>0</v>
      </c>
      <c r="BU777">
        <v>1</v>
      </c>
      <c r="BV777">
        <v>1</v>
      </c>
      <c r="BW777">
        <v>8</v>
      </c>
      <c r="BX777">
        <v>0</v>
      </c>
      <c r="BY777">
        <v>8</v>
      </c>
      <c r="BZ777">
        <v>0</v>
      </c>
      <c r="CA777">
        <v>7200</v>
      </c>
      <c r="CB777">
        <v>7200</v>
      </c>
      <c r="CC777">
        <v>9.3384</v>
      </c>
      <c r="CD777" t="s">
        <v>694</v>
      </c>
      <c r="CE777" t="s">
        <v>695</v>
      </c>
      <c r="CG777" t="s">
        <v>421</v>
      </c>
      <c r="CN777" t="str">
        <v>M19</v>
      </c>
      <c r="CO777" t="str">
        <v>1275-5YY0783EN</v>
      </c>
      <c r="CP777" t="str">
        <v>OOLU9820013</v>
      </c>
      <c r="CQ777" s="23">
        <v>793.25120000000004</v>
      </c>
      <c r="CR777" s="25">
        <f t="shared" si="33"/>
        <v>6.8701333482334814E-2</v>
      </c>
      <c r="CS777" s="21">
        <f t="shared" si="34"/>
        <v>171.75333370583704</v>
      </c>
    </row>
    <row r="778" spans="2:97" x14ac:dyDescent="0.35">
      <c r="B778" t="s">
        <v>298</v>
      </c>
      <c r="C778" t="s">
        <v>2653</v>
      </c>
      <c r="D778" t="s">
        <v>395</v>
      </c>
      <c r="E778" t="s">
        <v>395</v>
      </c>
      <c r="F778" t="s">
        <v>396</v>
      </c>
      <c r="G778" t="s">
        <v>397</v>
      </c>
      <c r="H778" t="s">
        <v>398</v>
      </c>
      <c r="I778" t="s">
        <v>399</v>
      </c>
      <c r="J778" t="s">
        <v>400</v>
      </c>
      <c r="K778" t="s">
        <v>595</v>
      </c>
      <c r="L778" t="s">
        <v>585</v>
      </c>
      <c r="M778" t="s">
        <v>403</v>
      </c>
      <c r="N778">
        <v>1</v>
      </c>
      <c r="O778">
        <v>1</v>
      </c>
      <c r="P778" t="s">
        <v>726</v>
      </c>
      <c r="Q778" t="s">
        <v>405</v>
      </c>
      <c r="R778" t="s">
        <v>675</v>
      </c>
      <c r="S778" t="s">
        <v>676</v>
      </c>
      <c r="T778" t="s">
        <v>408</v>
      </c>
      <c r="U778">
        <v>50950082305</v>
      </c>
      <c r="W778">
        <v>8000</v>
      </c>
      <c r="X778" t="s">
        <v>409</v>
      </c>
      <c r="Y778" t="s">
        <v>410</v>
      </c>
      <c r="Z778" t="s">
        <v>410</v>
      </c>
      <c r="AA778" t="s">
        <v>411</v>
      </c>
      <c r="AB778" t="s">
        <v>412</v>
      </c>
      <c r="AC778" t="s">
        <v>411</v>
      </c>
      <c r="AD778">
        <v>46111</v>
      </c>
      <c r="AE778">
        <v>46167</v>
      </c>
      <c r="AF778">
        <v>46118</v>
      </c>
      <c r="AG778" t="s">
        <v>590</v>
      </c>
      <c r="AH778">
        <v>6170594</v>
      </c>
      <c r="AI778">
        <v>46113</v>
      </c>
      <c r="AJ778">
        <v>46114</v>
      </c>
      <c r="AK778">
        <v>8000</v>
      </c>
      <c r="AL778" t="s">
        <v>396</v>
      </c>
      <c r="AM778" t="s">
        <v>2654</v>
      </c>
      <c r="AN778">
        <v>46114</v>
      </c>
      <c r="AO778">
        <v>46114.654120370367</v>
      </c>
      <c r="AP778" t="s">
        <v>51</v>
      </c>
      <c r="AQ778">
        <v>0.12222</v>
      </c>
      <c r="AR778">
        <v>977.76</v>
      </c>
      <c r="AS778" t="s">
        <v>51</v>
      </c>
      <c r="AT778">
        <v>977.76</v>
      </c>
      <c r="AU778" t="s">
        <v>415</v>
      </c>
      <c r="AV778" t="s">
        <v>772</v>
      </c>
      <c r="AW778" t="s">
        <v>2514</v>
      </c>
      <c r="AX778">
        <v>46119</v>
      </c>
      <c r="AY778">
        <v>46168</v>
      </c>
      <c r="AZ778" t="s">
        <v>2521</v>
      </c>
      <c r="BA778" t="s">
        <v>2219</v>
      </c>
      <c r="BB778" t="s">
        <v>2522</v>
      </c>
      <c r="BC778">
        <v>2000</v>
      </c>
      <c r="BD778" t="s">
        <v>521</v>
      </c>
      <c r="BE778">
        <v>10.0184</v>
      </c>
      <c r="BF778">
        <v>9.6904000000000003</v>
      </c>
      <c r="BG778" t="s">
        <v>522</v>
      </c>
      <c r="BH778">
        <v>296</v>
      </c>
      <c r="BI778">
        <v>195</v>
      </c>
      <c r="BJ778">
        <v>145</v>
      </c>
      <c r="BK778">
        <v>12</v>
      </c>
      <c r="BL778" t="s">
        <v>521</v>
      </c>
      <c r="BM778">
        <v>48.073599999999999</v>
      </c>
      <c r="BN778">
        <v>38.761600000000001</v>
      </c>
      <c r="BO778">
        <v>48.073599999999999</v>
      </c>
      <c r="BP778" t="s">
        <v>522</v>
      </c>
      <c r="BQ778">
        <v>800</v>
      </c>
      <c r="BR778">
        <v>300</v>
      </c>
      <c r="BS778">
        <v>608</v>
      </c>
      <c r="BT778">
        <v>0</v>
      </c>
      <c r="BU778">
        <v>1</v>
      </c>
      <c r="BV778">
        <v>1</v>
      </c>
      <c r="BW778">
        <v>4</v>
      </c>
      <c r="BX778">
        <v>0</v>
      </c>
      <c r="BY778">
        <v>4</v>
      </c>
      <c r="BZ778">
        <v>0</v>
      </c>
      <c r="CA778">
        <v>8000</v>
      </c>
      <c r="CB778">
        <v>8000</v>
      </c>
      <c r="CC778">
        <v>38.761600000000001</v>
      </c>
      <c r="CD778" t="s">
        <v>523</v>
      </c>
      <c r="CE778" t="s">
        <v>728</v>
      </c>
      <c r="CG778" t="s">
        <v>421</v>
      </c>
      <c r="CN778" t="str">
        <v>M19</v>
      </c>
      <c r="CO778" t="str">
        <v>1275-5YY0564EN</v>
      </c>
      <c r="CP778" t="str">
        <v>OOLU9820013</v>
      </c>
      <c r="CQ778" s="23">
        <v>118.1572</v>
      </c>
      <c r="CR778" s="25">
        <f t="shared" si="33"/>
        <v>1.0233274403541943E-2</v>
      </c>
      <c r="CS778" s="21">
        <f t="shared" si="34"/>
        <v>25.583186008854859</v>
      </c>
    </row>
    <row r="779" spans="2:97" x14ac:dyDescent="0.35">
      <c r="B779" t="s">
        <v>297</v>
      </c>
      <c r="C779" t="s">
        <v>2655</v>
      </c>
      <c r="D779" t="s">
        <v>395</v>
      </c>
      <c r="E779" t="s">
        <v>395</v>
      </c>
      <c r="F779" t="s">
        <v>396</v>
      </c>
      <c r="G779" t="s">
        <v>397</v>
      </c>
      <c r="H779" t="s">
        <v>398</v>
      </c>
      <c r="I779" t="s">
        <v>399</v>
      </c>
      <c r="J779" t="s">
        <v>400</v>
      </c>
      <c r="K779" t="s">
        <v>515</v>
      </c>
      <c r="L779" t="s">
        <v>746</v>
      </c>
      <c r="M779" t="s">
        <v>403</v>
      </c>
      <c r="N779">
        <v>1</v>
      </c>
      <c r="O779">
        <v>1</v>
      </c>
      <c r="P779" t="s">
        <v>1289</v>
      </c>
      <c r="Q779" t="s">
        <v>430</v>
      </c>
      <c r="R779" t="s">
        <v>1290</v>
      </c>
      <c r="S779" t="s">
        <v>1291</v>
      </c>
      <c r="T779" t="s">
        <v>408</v>
      </c>
      <c r="U779">
        <v>50950082543</v>
      </c>
      <c r="W779">
        <v>256000</v>
      </c>
      <c r="X779" t="s">
        <v>409</v>
      </c>
      <c r="Y779" t="s">
        <v>410</v>
      </c>
      <c r="Z779" t="s">
        <v>410</v>
      </c>
      <c r="AA779" t="s">
        <v>411</v>
      </c>
      <c r="AB779" t="s">
        <v>412</v>
      </c>
      <c r="AC779" t="s">
        <v>411</v>
      </c>
      <c r="AD779">
        <v>46111</v>
      </c>
      <c r="AE779">
        <v>46167</v>
      </c>
      <c r="AF779">
        <v>46118</v>
      </c>
      <c r="AG779" t="s">
        <v>590</v>
      </c>
      <c r="AH779">
        <v>6170595</v>
      </c>
      <c r="AI779">
        <v>46113</v>
      </c>
      <c r="AJ779">
        <v>46114</v>
      </c>
      <c r="AK779">
        <v>256000</v>
      </c>
      <c r="AL779" t="s">
        <v>396</v>
      </c>
      <c r="AM779" t="s">
        <v>2656</v>
      </c>
      <c r="AN779">
        <v>46114</v>
      </c>
      <c r="AO779">
        <v>46114.654120370367</v>
      </c>
      <c r="AP779" t="s">
        <v>51</v>
      </c>
      <c r="AQ779">
        <v>7.9000000000000001E-4</v>
      </c>
      <c r="AR779">
        <v>202.24</v>
      </c>
      <c r="AS779" t="s">
        <v>51</v>
      </c>
      <c r="AT779">
        <v>202.24</v>
      </c>
      <c r="AU779" t="s">
        <v>415</v>
      </c>
      <c r="AV779" t="s">
        <v>772</v>
      </c>
      <c r="AW779" t="s">
        <v>2514</v>
      </c>
      <c r="AX779">
        <v>46119</v>
      </c>
      <c r="AY779">
        <v>46168</v>
      </c>
      <c r="AZ779" t="s">
        <v>2521</v>
      </c>
      <c r="BA779" t="s">
        <v>2219</v>
      </c>
      <c r="BB779" t="s">
        <v>2522</v>
      </c>
      <c r="BC779">
        <v>64000</v>
      </c>
      <c r="BD779" t="s">
        <v>521</v>
      </c>
      <c r="BE779">
        <v>1.9450000000000001</v>
      </c>
      <c r="BF779">
        <v>1.216</v>
      </c>
      <c r="BG779" t="s">
        <v>522</v>
      </c>
      <c r="BH779">
        <v>395</v>
      </c>
      <c r="BI779">
        <v>295</v>
      </c>
      <c r="BJ779">
        <v>120</v>
      </c>
      <c r="BK779">
        <v>8</v>
      </c>
      <c r="BL779" t="s">
        <v>521</v>
      </c>
      <c r="BM779">
        <v>15.78</v>
      </c>
      <c r="BN779">
        <v>4.8639999999999999</v>
      </c>
      <c r="BO779">
        <v>15.78</v>
      </c>
      <c r="BP779" t="s">
        <v>522</v>
      </c>
      <c r="BQ779">
        <v>800</v>
      </c>
      <c r="BR779">
        <v>300</v>
      </c>
      <c r="BS779">
        <v>698</v>
      </c>
      <c r="BT779">
        <v>0</v>
      </c>
      <c r="BU779">
        <v>1</v>
      </c>
      <c r="BV779">
        <v>1</v>
      </c>
      <c r="BW779">
        <v>4</v>
      </c>
      <c r="BX779">
        <v>0</v>
      </c>
      <c r="BY779">
        <v>4</v>
      </c>
      <c r="BZ779">
        <v>0</v>
      </c>
      <c r="CA779">
        <v>256000</v>
      </c>
      <c r="CB779">
        <v>256000</v>
      </c>
      <c r="CC779">
        <v>4.8639999999999999</v>
      </c>
      <c r="CD779" t="s">
        <v>659</v>
      </c>
      <c r="CE779" t="s">
        <v>660</v>
      </c>
      <c r="CG779" t="s">
        <v>421</v>
      </c>
      <c r="CN779" t="str">
        <v>M19</v>
      </c>
      <c r="CO779" t="str">
        <v>1275-5YY0677EN</v>
      </c>
      <c r="CP779" t="str">
        <v>OOLU9820013</v>
      </c>
      <c r="CQ779" s="23">
        <v>530.08479999999997</v>
      </c>
      <c r="CR779" s="25">
        <f t="shared" si="33"/>
        <v>4.590920583380996E-2</v>
      </c>
      <c r="CS779" s="21">
        <f t="shared" si="34"/>
        <v>114.7730145845249</v>
      </c>
    </row>
    <row r="780" spans="2:97" x14ac:dyDescent="0.35">
      <c r="B780" t="s">
        <v>295</v>
      </c>
      <c r="C780" t="s">
        <v>2657</v>
      </c>
      <c r="D780" t="s">
        <v>395</v>
      </c>
      <c r="E780" t="s">
        <v>395</v>
      </c>
      <c r="F780" t="s">
        <v>396</v>
      </c>
      <c r="G780" t="s">
        <v>397</v>
      </c>
      <c r="H780" t="s">
        <v>398</v>
      </c>
      <c r="I780" t="s">
        <v>399</v>
      </c>
      <c r="J780" t="s">
        <v>400</v>
      </c>
      <c r="K780" t="s">
        <v>515</v>
      </c>
      <c r="L780" t="s">
        <v>746</v>
      </c>
      <c r="M780" t="s">
        <v>403</v>
      </c>
      <c r="N780">
        <v>1</v>
      </c>
      <c r="O780">
        <v>1</v>
      </c>
      <c r="P780" t="s">
        <v>1354</v>
      </c>
      <c r="Q780" t="s">
        <v>430</v>
      </c>
      <c r="R780" t="s">
        <v>1355</v>
      </c>
      <c r="S780" t="s">
        <v>1265</v>
      </c>
      <c r="T780" t="s">
        <v>408</v>
      </c>
      <c r="U780">
        <v>50950082607</v>
      </c>
      <c r="W780">
        <v>50000</v>
      </c>
      <c r="X780" t="s">
        <v>409</v>
      </c>
      <c r="Y780" t="s">
        <v>410</v>
      </c>
      <c r="Z780" t="s">
        <v>410</v>
      </c>
      <c r="AA780" t="s">
        <v>411</v>
      </c>
      <c r="AB780" t="s">
        <v>412</v>
      </c>
      <c r="AC780" t="s">
        <v>411</v>
      </c>
      <c r="AD780">
        <v>46111</v>
      </c>
      <c r="AE780">
        <v>46167</v>
      </c>
      <c r="AF780">
        <v>46118</v>
      </c>
      <c r="AG780" t="s">
        <v>590</v>
      </c>
      <c r="AH780">
        <v>6170596</v>
      </c>
      <c r="AI780">
        <v>46113</v>
      </c>
      <c r="AJ780">
        <v>46114</v>
      </c>
      <c r="AK780">
        <v>50000</v>
      </c>
      <c r="AL780" t="s">
        <v>396</v>
      </c>
      <c r="AM780" t="s">
        <v>2658</v>
      </c>
      <c r="AN780">
        <v>46114</v>
      </c>
      <c r="AO780">
        <v>46114.654120370367</v>
      </c>
      <c r="AP780" t="s">
        <v>51</v>
      </c>
      <c r="AQ780">
        <v>9.6600000000000002E-3</v>
      </c>
      <c r="AR780">
        <v>483</v>
      </c>
      <c r="AS780" t="s">
        <v>51</v>
      </c>
      <c r="AT780">
        <v>483</v>
      </c>
      <c r="AU780" t="s">
        <v>415</v>
      </c>
      <c r="AV780" t="s">
        <v>772</v>
      </c>
      <c r="AW780" t="s">
        <v>2514</v>
      </c>
      <c r="AX780">
        <v>46119</v>
      </c>
      <c r="AY780">
        <v>46168</v>
      </c>
      <c r="AZ780" t="s">
        <v>2521</v>
      </c>
      <c r="BA780" t="s">
        <v>2219</v>
      </c>
      <c r="BB780" t="s">
        <v>2522</v>
      </c>
      <c r="BC780">
        <v>20000</v>
      </c>
      <c r="BD780" t="s">
        <v>521</v>
      </c>
      <c r="BE780">
        <v>2.6890000000000001</v>
      </c>
      <c r="BF780">
        <v>1.96</v>
      </c>
      <c r="BG780" t="s">
        <v>522</v>
      </c>
      <c r="BH780">
        <v>395</v>
      </c>
      <c r="BI780">
        <v>295</v>
      </c>
      <c r="BJ780">
        <v>120</v>
      </c>
      <c r="BK780">
        <v>6</v>
      </c>
      <c r="BL780" t="s">
        <v>521</v>
      </c>
      <c r="BM780">
        <v>15.087</v>
      </c>
      <c r="BN780">
        <v>4.9000000000000004</v>
      </c>
      <c r="BO780">
        <v>15.087</v>
      </c>
      <c r="BP780" t="s">
        <v>522</v>
      </c>
      <c r="BQ780">
        <v>800</v>
      </c>
      <c r="BR780">
        <v>300</v>
      </c>
      <c r="BS780">
        <v>518</v>
      </c>
      <c r="BT780">
        <v>0</v>
      </c>
      <c r="BU780">
        <v>1</v>
      </c>
      <c r="BV780">
        <v>1</v>
      </c>
      <c r="BW780">
        <v>2</v>
      </c>
      <c r="BX780">
        <v>1</v>
      </c>
      <c r="BY780">
        <v>3</v>
      </c>
      <c r="BZ780">
        <v>0</v>
      </c>
      <c r="CA780">
        <v>50000</v>
      </c>
      <c r="CB780">
        <v>50000</v>
      </c>
      <c r="CC780">
        <v>4.9000000000000004</v>
      </c>
      <c r="CD780" t="s">
        <v>1357</v>
      </c>
      <c r="CE780" t="s">
        <v>1358</v>
      </c>
      <c r="CG780" t="s">
        <v>421</v>
      </c>
      <c r="CN780" t="str">
        <v>M45</v>
      </c>
      <c r="CO780" t="str">
        <v>1346-12C0011EN</v>
      </c>
      <c r="CP780" t="str">
        <v>OOLU9820013</v>
      </c>
      <c r="CQ780" s="23">
        <v>472.52820000000003</v>
      </c>
      <c r="CR780" s="25">
        <f t="shared" si="33"/>
        <v>4.0924384921204537E-2</v>
      </c>
      <c r="CS780" s="21">
        <f t="shared" si="34"/>
        <v>102.31096230301134</v>
      </c>
    </row>
    <row r="781" spans="2:97" x14ac:dyDescent="0.35">
      <c r="B781" t="s">
        <v>297</v>
      </c>
      <c r="C781" t="s">
        <v>2659</v>
      </c>
      <c r="D781" t="s">
        <v>395</v>
      </c>
      <c r="E781" t="s">
        <v>395</v>
      </c>
      <c r="F781" t="s">
        <v>396</v>
      </c>
      <c r="G781" t="s">
        <v>397</v>
      </c>
      <c r="H781" t="s">
        <v>398</v>
      </c>
      <c r="I781" t="s">
        <v>399</v>
      </c>
      <c r="J781" t="s">
        <v>749</v>
      </c>
      <c r="K781" t="s">
        <v>786</v>
      </c>
      <c r="L781" t="s">
        <v>787</v>
      </c>
      <c r="M781" t="s">
        <v>403</v>
      </c>
      <c r="N781">
        <v>1</v>
      </c>
      <c r="O781">
        <v>1</v>
      </c>
      <c r="P781" t="s">
        <v>796</v>
      </c>
      <c r="Q781" t="s">
        <v>637</v>
      </c>
      <c r="R781" t="s">
        <v>790</v>
      </c>
      <c r="S781" t="s">
        <v>797</v>
      </c>
      <c r="T781" t="s">
        <v>408</v>
      </c>
      <c r="U781">
        <v>50950074755</v>
      </c>
      <c r="W781">
        <v>4800</v>
      </c>
      <c r="X781" t="s">
        <v>448</v>
      </c>
      <c r="Y781" t="s">
        <v>410</v>
      </c>
      <c r="Z781" t="s">
        <v>410</v>
      </c>
      <c r="AA781" t="s">
        <v>411</v>
      </c>
      <c r="AB781" t="s">
        <v>412</v>
      </c>
      <c r="AC781" t="s">
        <v>411</v>
      </c>
      <c r="AD781">
        <v>46106</v>
      </c>
      <c r="AE781">
        <v>46174</v>
      </c>
      <c r="AF781">
        <v>46109</v>
      </c>
      <c r="AG781" t="s">
        <v>754</v>
      </c>
      <c r="AH781">
        <v>6161698</v>
      </c>
      <c r="AI781">
        <v>46108</v>
      </c>
      <c r="AJ781">
        <v>46111</v>
      </c>
      <c r="AK781">
        <v>4800</v>
      </c>
      <c r="AL781" t="s">
        <v>396</v>
      </c>
      <c r="AM781" t="s">
        <v>2660</v>
      </c>
      <c r="AN781">
        <v>46111</v>
      </c>
      <c r="AO781">
        <v>46111.384421296294</v>
      </c>
      <c r="AP781" t="s">
        <v>51</v>
      </c>
      <c r="AQ781">
        <v>1.44828</v>
      </c>
      <c r="AR781">
        <v>6951.74</v>
      </c>
      <c r="AS781" t="s">
        <v>51</v>
      </c>
      <c r="AT781">
        <v>6951.74</v>
      </c>
      <c r="AU781" t="s">
        <v>450</v>
      </c>
      <c r="AV781" t="s">
        <v>1597</v>
      </c>
      <c r="AW781" t="s">
        <v>2661</v>
      </c>
      <c r="AX781">
        <v>46114</v>
      </c>
      <c r="AY781">
        <v>46116</v>
      </c>
      <c r="BA781" t="s">
        <v>448</v>
      </c>
      <c r="BB781" t="s">
        <v>2662</v>
      </c>
      <c r="BC781">
        <v>120</v>
      </c>
      <c r="BD781" t="s">
        <v>521</v>
      </c>
      <c r="BE781">
        <v>3.4228000000000001</v>
      </c>
      <c r="BF781">
        <v>2.2368000000000001</v>
      </c>
      <c r="BG781" t="s">
        <v>522</v>
      </c>
      <c r="BH781">
        <v>495</v>
      </c>
      <c r="BI781">
        <v>295</v>
      </c>
      <c r="BJ781">
        <v>180</v>
      </c>
      <c r="BK781">
        <v>40</v>
      </c>
      <c r="BL781" t="s">
        <v>521</v>
      </c>
      <c r="BM781">
        <v>163.91200000000001</v>
      </c>
      <c r="BN781">
        <v>89.471999999999994</v>
      </c>
      <c r="BO781">
        <v>163.91200000000001</v>
      </c>
      <c r="BP781" t="s">
        <v>522</v>
      </c>
      <c r="BQ781">
        <v>1200</v>
      </c>
      <c r="BR781">
        <v>1000</v>
      </c>
      <c r="BS781">
        <v>1058</v>
      </c>
      <c r="BT781">
        <v>1</v>
      </c>
      <c r="BU781">
        <v>0</v>
      </c>
      <c r="BV781">
        <v>1</v>
      </c>
      <c r="BW781">
        <v>40</v>
      </c>
      <c r="BX781">
        <v>0</v>
      </c>
      <c r="BY781">
        <v>40</v>
      </c>
      <c r="BZ781">
        <v>4800</v>
      </c>
      <c r="CA781">
        <v>0</v>
      </c>
      <c r="CB781">
        <v>4800</v>
      </c>
      <c r="CC781">
        <v>89.471999999999994</v>
      </c>
      <c r="CD781" t="s">
        <v>799</v>
      </c>
      <c r="CE781" t="s">
        <v>800</v>
      </c>
      <c r="CG781" t="s">
        <v>421</v>
      </c>
      <c r="CN781" t="str">
        <v>M45</v>
      </c>
      <c r="CO781" t="str">
        <v>1100-12C0005EN</v>
      </c>
      <c r="CP781" t="str">
        <v>OOLU9820013</v>
      </c>
      <c r="CQ781" s="23">
        <v>1641.72768</v>
      </c>
      <c r="CR781" s="25">
        <f t="shared" si="33"/>
        <v>0.14218557857947123</v>
      </c>
      <c r="CS781" s="21">
        <f t="shared" si="34"/>
        <v>355.46394644867809</v>
      </c>
    </row>
    <row r="782" spans="2:97" x14ac:dyDescent="0.35">
      <c r="B782" t="s">
        <v>299</v>
      </c>
      <c r="C782" t="s">
        <v>1380</v>
      </c>
      <c r="D782" t="s">
        <v>965</v>
      </c>
      <c r="E782" t="s">
        <v>395</v>
      </c>
      <c r="F782" t="s">
        <v>396</v>
      </c>
      <c r="G782" t="s">
        <v>397</v>
      </c>
      <c r="H782" t="s">
        <v>398</v>
      </c>
      <c r="I782" t="s">
        <v>399</v>
      </c>
      <c r="J782" t="s">
        <v>749</v>
      </c>
      <c r="K782" t="s">
        <v>809</v>
      </c>
      <c r="L782" t="s">
        <v>787</v>
      </c>
      <c r="M782" t="s">
        <v>403</v>
      </c>
      <c r="N782">
        <v>1</v>
      </c>
      <c r="O782">
        <v>17</v>
      </c>
      <c r="P782" t="s">
        <v>810</v>
      </c>
      <c r="Q782" t="s">
        <v>405</v>
      </c>
      <c r="R782" t="s">
        <v>811</v>
      </c>
      <c r="S782" t="s">
        <v>812</v>
      </c>
      <c r="T782" t="s">
        <v>408</v>
      </c>
      <c r="U782">
        <v>50950080270</v>
      </c>
      <c r="W782">
        <v>4320</v>
      </c>
      <c r="X782" t="s">
        <v>409</v>
      </c>
      <c r="Y782" t="s">
        <v>410</v>
      </c>
      <c r="Z782" t="s">
        <v>410</v>
      </c>
      <c r="AA782" t="s">
        <v>411</v>
      </c>
      <c r="AB782" t="s">
        <v>554</v>
      </c>
      <c r="AC782" t="s">
        <v>411</v>
      </c>
      <c r="AD782">
        <v>46109</v>
      </c>
      <c r="AE782">
        <v>46125</v>
      </c>
      <c r="AF782">
        <v>46120</v>
      </c>
      <c r="AG782" t="s">
        <v>754</v>
      </c>
      <c r="AH782">
        <v>6165820</v>
      </c>
      <c r="AI782">
        <v>46111</v>
      </c>
      <c r="AJ782">
        <v>46112</v>
      </c>
      <c r="AK782">
        <v>4320</v>
      </c>
      <c r="AL782" t="s">
        <v>396</v>
      </c>
      <c r="AM782" t="s">
        <v>2663</v>
      </c>
      <c r="AN782">
        <v>46112</v>
      </c>
      <c r="AO782">
        <v>46112.387511574074</v>
      </c>
      <c r="AP782" t="s">
        <v>51</v>
      </c>
      <c r="AQ782">
        <v>1.96204</v>
      </c>
      <c r="AR782">
        <v>8476.02</v>
      </c>
      <c r="AS782" t="s">
        <v>51</v>
      </c>
      <c r="AT782">
        <v>8476.02</v>
      </c>
      <c r="AU782" t="s">
        <v>415</v>
      </c>
      <c r="AV782" t="s">
        <v>1420</v>
      </c>
      <c r="AW782" t="s">
        <v>2598</v>
      </c>
      <c r="AX782">
        <v>46120</v>
      </c>
      <c r="AY782">
        <v>46169</v>
      </c>
      <c r="AZ782" t="s">
        <v>2664</v>
      </c>
      <c r="BA782" t="s">
        <v>560</v>
      </c>
      <c r="BB782" t="s">
        <v>2665</v>
      </c>
      <c r="BC782">
        <v>16</v>
      </c>
      <c r="BD782" t="s">
        <v>521</v>
      </c>
      <c r="BE782">
        <v>4.9545000000000003</v>
      </c>
      <c r="BF782">
        <v>3.7555000000000001</v>
      </c>
      <c r="BG782" t="s">
        <v>522</v>
      </c>
      <c r="BH782">
        <v>495</v>
      </c>
      <c r="BI782">
        <v>395</v>
      </c>
      <c r="BJ782">
        <v>190</v>
      </c>
      <c r="BK782">
        <v>30</v>
      </c>
      <c r="BL782" t="s">
        <v>521</v>
      </c>
      <c r="BM782">
        <v>175.63499999999999</v>
      </c>
      <c r="BN782">
        <v>112.66500000000001</v>
      </c>
      <c r="BO782">
        <v>1580.7203999999999</v>
      </c>
      <c r="BP782" t="s">
        <v>522</v>
      </c>
      <c r="BQ782">
        <v>1200</v>
      </c>
      <c r="BR782">
        <v>1000</v>
      </c>
      <c r="BS782">
        <v>1120</v>
      </c>
      <c r="BT782">
        <v>9</v>
      </c>
      <c r="BU782">
        <v>0</v>
      </c>
      <c r="BV782">
        <v>9</v>
      </c>
      <c r="BW782">
        <v>270</v>
      </c>
      <c r="BX782">
        <v>0</v>
      </c>
      <c r="BY782">
        <v>270</v>
      </c>
      <c r="BZ782">
        <v>4320</v>
      </c>
      <c r="CA782">
        <v>0</v>
      </c>
      <c r="CB782">
        <v>4320</v>
      </c>
      <c r="CC782">
        <v>1013.9904</v>
      </c>
      <c r="CD782" t="s">
        <v>806</v>
      </c>
      <c r="CE782" t="s">
        <v>816</v>
      </c>
      <c r="CG782" t="s">
        <v>421</v>
      </c>
      <c r="CN782" t="str">
        <v>M19</v>
      </c>
      <c r="CO782" t="str">
        <v>1330-5YY0182EN</v>
      </c>
      <c r="CP782" t="str">
        <v>OOLU9820013</v>
      </c>
      <c r="CQ782" s="23">
        <v>1229.4492</v>
      </c>
      <c r="CR782" s="25">
        <f t="shared" si="33"/>
        <v>0.10647925838472069</v>
      </c>
      <c r="CS782" s="21">
        <f t="shared" si="34"/>
        <v>266.19814596180174</v>
      </c>
    </row>
    <row r="783" spans="2:97" x14ac:dyDescent="0.35">
      <c r="B783" t="s">
        <v>297</v>
      </c>
      <c r="C783" t="s">
        <v>2666</v>
      </c>
      <c r="D783" t="s">
        <v>395</v>
      </c>
      <c r="E783" t="s">
        <v>395</v>
      </c>
      <c r="F783" t="s">
        <v>396</v>
      </c>
      <c r="G783" t="s">
        <v>397</v>
      </c>
      <c r="H783" t="s">
        <v>398</v>
      </c>
      <c r="I783" t="s">
        <v>399</v>
      </c>
      <c r="J783" t="s">
        <v>749</v>
      </c>
      <c r="K783" t="s">
        <v>629</v>
      </c>
      <c r="L783" t="s">
        <v>787</v>
      </c>
      <c r="M783" t="s">
        <v>403</v>
      </c>
      <c r="N783">
        <v>1</v>
      </c>
      <c r="O783">
        <v>1</v>
      </c>
      <c r="P783" t="s">
        <v>2667</v>
      </c>
      <c r="Q783" t="s">
        <v>424</v>
      </c>
      <c r="R783" t="s">
        <v>833</v>
      </c>
      <c r="S783" t="s">
        <v>834</v>
      </c>
      <c r="T783" t="s">
        <v>408</v>
      </c>
      <c r="U783">
        <v>50950080816</v>
      </c>
      <c r="W783">
        <v>7000</v>
      </c>
      <c r="X783" t="s">
        <v>409</v>
      </c>
      <c r="Y783" t="s">
        <v>410</v>
      </c>
      <c r="Z783" t="s">
        <v>410</v>
      </c>
      <c r="AA783" t="s">
        <v>411</v>
      </c>
      <c r="AB783" t="s">
        <v>554</v>
      </c>
      <c r="AC783" t="s">
        <v>411</v>
      </c>
      <c r="AD783">
        <v>46109</v>
      </c>
      <c r="AE783">
        <v>46167</v>
      </c>
      <c r="AF783">
        <v>46120</v>
      </c>
      <c r="AG783" t="s">
        <v>754</v>
      </c>
      <c r="AH783">
        <v>6165821</v>
      </c>
      <c r="AI783">
        <v>46111</v>
      </c>
      <c r="AJ783">
        <v>46112</v>
      </c>
      <c r="AK783">
        <v>7000</v>
      </c>
      <c r="AL783" t="s">
        <v>396</v>
      </c>
      <c r="AM783" t="s">
        <v>2668</v>
      </c>
      <c r="AN783">
        <v>46112</v>
      </c>
      <c r="AO783">
        <v>46112.387511574074</v>
      </c>
      <c r="AP783" t="s">
        <v>51</v>
      </c>
      <c r="AQ783">
        <v>0.11142000000000001</v>
      </c>
      <c r="AR783">
        <v>779.94</v>
      </c>
      <c r="AS783" t="s">
        <v>51</v>
      </c>
      <c r="AT783">
        <v>779.94</v>
      </c>
      <c r="AU783" t="s">
        <v>415</v>
      </c>
      <c r="AV783" t="s">
        <v>1420</v>
      </c>
      <c r="AW783" t="s">
        <v>2598</v>
      </c>
      <c r="AX783">
        <v>46120</v>
      </c>
      <c r="AY783">
        <v>46169</v>
      </c>
      <c r="AZ783" t="s">
        <v>2664</v>
      </c>
      <c r="BA783" t="s">
        <v>560</v>
      </c>
      <c r="BB783" t="s">
        <v>2665</v>
      </c>
      <c r="BC783">
        <v>1400</v>
      </c>
      <c r="BD783" t="s">
        <v>521</v>
      </c>
      <c r="BE783">
        <v>10.0512</v>
      </c>
      <c r="BF783">
        <v>9.1812000000000005</v>
      </c>
      <c r="BG783" t="s">
        <v>522</v>
      </c>
      <c r="BH783">
        <v>595</v>
      </c>
      <c r="BI783">
        <v>395</v>
      </c>
      <c r="BJ783">
        <v>190</v>
      </c>
      <c r="BK783">
        <v>25</v>
      </c>
      <c r="BL783" t="s">
        <v>521</v>
      </c>
      <c r="BM783">
        <v>77.256</v>
      </c>
      <c r="BN783">
        <v>45.905999999999999</v>
      </c>
      <c r="BO783">
        <v>77.256</v>
      </c>
      <c r="BP783" t="s">
        <v>522</v>
      </c>
      <c r="BQ783">
        <v>1200</v>
      </c>
      <c r="BR783">
        <v>1000</v>
      </c>
      <c r="BS783">
        <v>1088</v>
      </c>
      <c r="BT783">
        <v>0</v>
      </c>
      <c r="BU783">
        <v>1</v>
      </c>
      <c r="BV783">
        <v>1</v>
      </c>
      <c r="BW783">
        <v>5</v>
      </c>
      <c r="BX783">
        <v>0</v>
      </c>
      <c r="BY783">
        <v>5</v>
      </c>
      <c r="BZ783">
        <v>0</v>
      </c>
      <c r="CA783">
        <v>7000</v>
      </c>
      <c r="CB783">
        <v>7000</v>
      </c>
      <c r="CC783">
        <v>45.905999999999999</v>
      </c>
      <c r="CD783" t="s">
        <v>842</v>
      </c>
      <c r="CE783" t="s">
        <v>898</v>
      </c>
      <c r="CG783" t="s">
        <v>421</v>
      </c>
      <c r="CN783" t="str">
        <v>M19</v>
      </c>
      <c r="CO783" t="str">
        <v>1330-5YY0183EN</v>
      </c>
      <c r="CP783" t="str">
        <v>OOLU9820013</v>
      </c>
      <c r="CQ783" s="23">
        <v>257.69760000000002</v>
      </c>
      <c r="CR783" s="25">
        <f t="shared" si="33"/>
        <v>2.2318489723302436E-2</v>
      </c>
      <c r="CS783" s="21">
        <f t="shared" si="34"/>
        <v>55.796224308256086</v>
      </c>
    </row>
    <row r="784" spans="2:97" x14ac:dyDescent="0.35">
      <c r="B784" t="s">
        <v>299</v>
      </c>
      <c r="C784" t="s">
        <v>2669</v>
      </c>
      <c r="D784" t="s">
        <v>395</v>
      </c>
      <c r="E784" t="s">
        <v>395</v>
      </c>
      <c r="F784" t="s">
        <v>396</v>
      </c>
      <c r="G784" t="s">
        <v>397</v>
      </c>
      <c r="H784" t="s">
        <v>398</v>
      </c>
      <c r="I784" t="s">
        <v>399</v>
      </c>
      <c r="J784" t="s">
        <v>749</v>
      </c>
      <c r="K784" t="s">
        <v>809</v>
      </c>
      <c r="L784" t="s">
        <v>787</v>
      </c>
      <c r="M784" t="s">
        <v>403</v>
      </c>
      <c r="N784">
        <v>1</v>
      </c>
      <c r="O784">
        <v>1</v>
      </c>
      <c r="P784" t="s">
        <v>1069</v>
      </c>
      <c r="Q784" t="s">
        <v>424</v>
      </c>
      <c r="R784" t="s">
        <v>811</v>
      </c>
      <c r="S784" t="s">
        <v>1070</v>
      </c>
      <c r="T784" t="s">
        <v>408</v>
      </c>
      <c r="U784">
        <v>50950081203</v>
      </c>
      <c r="W784">
        <v>1920</v>
      </c>
      <c r="X784" t="s">
        <v>409</v>
      </c>
      <c r="Y784" t="s">
        <v>410</v>
      </c>
      <c r="Z784" t="s">
        <v>410</v>
      </c>
      <c r="AA784" t="s">
        <v>411</v>
      </c>
      <c r="AB784" t="s">
        <v>554</v>
      </c>
      <c r="AC784" t="s">
        <v>411</v>
      </c>
      <c r="AD784">
        <v>46109</v>
      </c>
      <c r="AE784">
        <v>46160</v>
      </c>
      <c r="AF784">
        <v>46120</v>
      </c>
      <c r="AG784" t="s">
        <v>754</v>
      </c>
      <c r="AH784">
        <v>6165822</v>
      </c>
      <c r="AI784">
        <v>46111</v>
      </c>
      <c r="AJ784">
        <v>46112</v>
      </c>
      <c r="AK784">
        <v>1920</v>
      </c>
      <c r="AL784" t="s">
        <v>396</v>
      </c>
      <c r="AM784" t="s">
        <v>2670</v>
      </c>
      <c r="AN784">
        <v>46112</v>
      </c>
      <c r="AO784">
        <v>46112.387511574074</v>
      </c>
      <c r="AP784" t="s">
        <v>51</v>
      </c>
      <c r="AQ784">
        <v>2.3610099999999998</v>
      </c>
      <c r="AR784">
        <v>4533.12</v>
      </c>
      <c r="AS784" t="s">
        <v>51</v>
      </c>
      <c r="AT784">
        <v>4533.12</v>
      </c>
      <c r="AU784" t="s">
        <v>415</v>
      </c>
      <c r="AV784" t="s">
        <v>1420</v>
      </c>
      <c r="AW784" t="s">
        <v>2598</v>
      </c>
      <c r="AX784">
        <v>46120</v>
      </c>
      <c r="AY784">
        <v>46169</v>
      </c>
      <c r="AZ784" t="s">
        <v>2664</v>
      </c>
      <c r="BA784" t="s">
        <v>560</v>
      </c>
      <c r="BB784" t="s">
        <v>2665</v>
      </c>
      <c r="BC784">
        <v>16</v>
      </c>
      <c r="BD784" t="s">
        <v>521</v>
      </c>
      <c r="BE784">
        <v>6.3334000000000001</v>
      </c>
      <c r="BF784">
        <v>5.1344000000000003</v>
      </c>
      <c r="BG784" t="s">
        <v>522</v>
      </c>
      <c r="BH784">
        <v>495</v>
      </c>
      <c r="BI784">
        <v>395</v>
      </c>
      <c r="BJ784">
        <v>190</v>
      </c>
      <c r="BK784">
        <v>30</v>
      </c>
      <c r="BL784" t="s">
        <v>521</v>
      </c>
      <c r="BM784">
        <v>217.00200000000001</v>
      </c>
      <c r="BN784">
        <v>154.03200000000001</v>
      </c>
      <c r="BO784">
        <v>868.00800000000004</v>
      </c>
      <c r="BP784" t="s">
        <v>522</v>
      </c>
      <c r="BQ784">
        <v>1200</v>
      </c>
      <c r="BR784">
        <v>1000</v>
      </c>
      <c r="BS784">
        <v>1120</v>
      </c>
      <c r="BT784">
        <v>4</v>
      </c>
      <c r="BU784">
        <v>0</v>
      </c>
      <c r="BV784">
        <v>4</v>
      </c>
      <c r="BW784">
        <v>120</v>
      </c>
      <c r="BX784">
        <v>0</v>
      </c>
      <c r="BY784">
        <v>120</v>
      </c>
      <c r="BZ784">
        <v>1920</v>
      </c>
      <c r="CA784">
        <v>0</v>
      </c>
      <c r="CB784">
        <v>1920</v>
      </c>
      <c r="CC784">
        <v>616.12800000000004</v>
      </c>
      <c r="CD784" t="s">
        <v>806</v>
      </c>
      <c r="CE784" t="s">
        <v>816</v>
      </c>
      <c r="CG784" t="s">
        <v>421</v>
      </c>
      <c r="CN784" t="str">
        <v>M19</v>
      </c>
      <c r="CO784" t="str">
        <v>1271-5YY0100EN</v>
      </c>
      <c r="CP784" t="str">
        <v>OOLU9820013</v>
      </c>
      <c r="CQ784" s="23">
        <v>1256</v>
      </c>
      <c r="CR784" s="25">
        <f t="shared" si="33"/>
        <v>0.10877875111164348</v>
      </c>
      <c r="CS784" s="21">
        <f t="shared" si="34"/>
        <v>271.94687777910872</v>
      </c>
    </row>
    <row r="785" spans="2:97" x14ac:dyDescent="0.35">
      <c r="B785" t="s">
        <v>299</v>
      </c>
      <c r="C785" t="s">
        <v>2671</v>
      </c>
      <c r="D785" t="s">
        <v>395</v>
      </c>
      <c r="E785" t="s">
        <v>395</v>
      </c>
      <c r="F785" t="s">
        <v>396</v>
      </c>
      <c r="G785" t="s">
        <v>397</v>
      </c>
      <c r="H785" t="s">
        <v>398</v>
      </c>
      <c r="I785" t="s">
        <v>399</v>
      </c>
      <c r="J785" t="s">
        <v>749</v>
      </c>
      <c r="K785" t="s">
        <v>809</v>
      </c>
      <c r="L785" t="s">
        <v>787</v>
      </c>
      <c r="M785" t="s">
        <v>403</v>
      </c>
      <c r="N785">
        <v>1</v>
      </c>
      <c r="O785">
        <v>1</v>
      </c>
      <c r="P785" t="s">
        <v>828</v>
      </c>
      <c r="Q785" t="s">
        <v>587</v>
      </c>
      <c r="R785" t="s">
        <v>811</v>
      </c>
      <c r="S785" t="s">
        <v>829</v>
      </c>
      <c r="T785" t="s">
        <v>408</v>
      </c>
      <c r="U785">
        <v>50950081266</v>
      </c>
      <c r="W785">
        <v>2880</v>
      </c>
      <c r="X785" t="s">
        <v>409</v>
      </c>
      <c r="Y785" t="s">
        <v>410</v>
      </c>
      <c r="Z785" t="s">
        <v>410</v>
      </c>
      <c r="AA785" t="s">
        <v>411</v>
      </c>
      <c r="AB785" t="s">
        <v>554</v>
      </c>
      <c r="AC785" t="s">
        <v>411</v>
      </c>
      <c r="AD785">
        <v>46119</v>
      </c>
      <c r="AE785">
        <v>46174</v>
      </c>
      <c r="AF785">
        <v>46120</v>
      </c>
      <c r="AG785" t="s">
        <v>754</v>
      </c>
      <c r="AH785">
        <v>6165823</v>
      </c>
      <c r="AI785">
        <v>46111</v>
      </c>
      <c r="AJ785">
        <v>46112</v>
      </c>
      <c r="AK785">
        <v>2880</v>
      </c>
      <c r="AL785" t="s">
        <v>396</v>
      </c>
      <c r="AM785" t="s">
        <v>2672</v>
      </c>
      <c r="AN785">
        <v>46112</v>
      </c>
      <c r="AO785">
        <v>46112.387511574074</v>
      </c>
      <c r="AP785" t="s">
        <v>51</v>
      </c>
      <c r="AQ785">
        <v>1.8924799999999999</v>
      </c>
      <c r="AR785">
        <v>5450.34</v>
      </c>
      <c r="AS785" t="s">
        <v>51</v>
      </c>
      <c r="AT785">
        <v>5450.34</v>
      </c>
      <c r="AU785" t="s">
        <v>415</v>
      </c>
      <c r="AV785" t="s">
        <v>1420</v>
      </c>
      <c r="AW785" t="s">
        <v>2598</v>
      </c>
      <c r="AX785">
        <v>46120</v>
      </c>
      <c r="AY785">
        <v>46169</v>
      </c>
      <c r="AZ785" t="s">
        <v>2664</v>
      </c>
      <c r="BA785" t="s">
        <v>560</v>
      </c>
      <c r="BB785" t="s">
        <v>2665</v>
      </c>
      <c r="BC785">
        <v>16</v>
      </c>
      <c r="BD785" t="s">
        <v>521</v>
      </c>
      <c r="BE785">
        <v>4.9409000000000001</v>
      </c>
      <c r="BF785">
        <v>3.7418999999999998</v>
      </c>
      <c r="BG785" t="s">
        <v>522</v>
      </c>
      <c r="BH785">
        <v>495</v>
      </c>
      <c r="BI785">
        <v>395</v>
      </c>
      <c r="BJ785">
        <v>190</v>
      </c>
      <c r="BK785">
        <v>30</v>
      </c>
      <c r="BL785" t="s">
        <v>521</v>
      </c>
      <c r="BM785">
        <v>175.227</v>
      </c>
      <c r="BN785">
        <v>112.25700000000001</v>
      </c>
      <c r="BO785">
        <v>1051.3656000000001</v>
      </c>
      <c r="BP785" t="s">
        <v>522</v>
      </c>
      <c r="BQ785">
        <v>1200</v>
      </c>
      <c r="BR785">
        <v>1000</v>
      </c>
      <c r="BS785">
        <v>1120</v>
      </c>
      <c r="BT785">
        <v>6</v>
      </c>
      <c r="BU785">
        <v>0</v>
      </c>
      <c r="BV785">
        <v>6</v>
      </c>
      <c r="BW785">
        <v>180</v>
      </c>
      <c r="BX785">
        <v>0</v>
      </c>
      <c r="BY785">
        <v>180</v>
      </c>
      <c r="BZ785">
        <v>2880</v>
      </c>
      <c r="CA785">
        <v>0</v>
      </c>
      <c r="CB785">
        <v>2880</v>
      </c>
      <c r="CC785">
        <v>673.54560000000004</v>
      </c>
      <c r="CD785" t="s">
        <v>806</v>
      </c>
      <c r="CE785" t="s">
        <v>816</v>
      </c>
      <c r="CG785" t="s">
        <v>421</v>
      </c>
      <c r="CN785" t="str">
        <v>M19</v>
      </c>
      <c r="CO785" t="str">
        <v>1330-5YY0256EN</v>
      </c>
      <c r="CP785" t="str">
        <v>OOLU9820013</v>
      </c>
      <c r="CQ785" s="23">
        <v>434.00400000000002</v>
      </c>
      <c r="CR785" s="25">
        <f t="shared" si="33"/>
        <v>3.758790851708417E-2</v>
      </c>
      <c r="CS785" s="21">
        <f t="shared" si="34"/>
        <v>93.969771292710419</v>
      </c>
    </row>
    <row r="786" spans="2:97" x14ac:dyDescent="0.35">
      <c r="B786" t="s">
        <v>299</v>
      </c>
      <c r="C786" t="s">
        <v>2394</v>
      </c>
      <c r="D786" t="s">
        <v>395</v>
      </c>
      <c r="E786" t="s">
        <v>395</v>
      </c>
      <c r="F786" t="s">
        <v>396</v>
      </c>
      <c r="G786" t="s">
        <v>397</v>
      </c>
      <c r="H786" t="s">
        <v>398</v>
      </c>
      <c r="I786" t="s">
        <v>399</v>
      </c>
      <c r="J786" t="s">
        <v>749</v>
      </c>
      <c r="K786" t="s">
        <v>809</v>
      </c>
      <c r="L786" t="s">
        <v>787</v>
      </c>
      <c r="M786" t="s">
        <v>403</v>
      </c>
      <c r="N786">
        <v>1</v>
      </c>
      <c r="O786">
        <v>2</v>
      </c>
      <c r="P786" t="s">
        <v>818</v>
      </c>
      <c r="Q786" t="s">
        <v>430</v>
      </c>
      <c r="R786" t="s">
        <v>811</v>
      </c>
      <c r="S786" t="s">
        <v>819</v>
      </c>
      <c r="T786" t="s">
        <v>408</v>
      </c>
      <c r="U786">
        <v>50950081244</v>
      </c>
      <c r="W786">
        <v>2880</v>
      </c>
      <c r="X786" t="s">
        <v>409</v>
      </c>
      <c r="Y786" t="s">
        <v>410</v>
      </c>
      <c r="Z786" t="s">
        <v>410</v>
      </c>
      <c r="AA786" t="s">
        <v>411</v>
      </c>
      <c r="AB786" t="s">
        <v>554</v>
      </c>
      <c r="AC786" t="s">
        <v>411</v>
      </c>
      <c r="AD786">
        <v>46119</v>
      </c>
      <c r="AE786">
        <v>46167</v>
      </c>
      <c r="AF786">
        <v>46120</v>
      </c>
      <c r="AG786" t="s">
        <v>754</v>
      </c>
      <c r="AH786">
        <v>6165824</v>
      </c>
      <c r="AI786">
        <v>46111</v>
      </c>
      <c r="AJ786">
        <v>46112</v>
      </c>
      <c r="AK786">
        <v>2880</v>
      </c>
      <c r="AL786" t="s">
        <v>396</v>
      </c>
      <c r="AM786" t="s">
        <v>2673</v>
      </c>
      <c r="AN786">
        <v>46112</v>
      </c>
      <c r="AO786">
        <v>46112.387511574074</v>
      </c>
      <c r="AP786" t="s">
        <v>51</v>
      </c>
      <c r="AQ786">
        <v>1.20448</v>
      </c>
      <c r="AR786">
        <v>3468.9</v>
      </c>
      <c r="AS786" t="s">
        <v>51</v>
      </c>
      <c r="AT786">
        <v>3468.9</v>
      </c>
      <c r="AU786" t="s">
        <v>415</v>
      </c>
      <c r="AV786" t="s">
        <v>1420</v>
      </c>
      <c r="AW786" t="s">
        <v>2598</v>
      </c>
      <c r="AX786">
        <v>46120</v>
      </c>
      <c r="AY786">
        <v>46169</v>
      </c>
      <c r="AZ786" t="s">
        <v>2664</v>
      </c>
      <c r="BA786" t="s">
        <v>560</v>
      </c>
      <c r="BB786" t="s">
        <v>2665</v>
      </c>
      <c r="BC786">
        <v>48</v>
      </c>
      <c r="BD786" t="s">
        <v>521</v>
      </c>
      <c r="BE786">
        <v>7.6898999999999997</v>
      </c>
      <c r="BF786">
        <v>6.2298999999999998</v>
      </c>
      <c r="BG786" t="s">
        <v>522</v>
      </c>
      <c r="BH786">
        <v>495</v>
      </c>
      <c r="BI786">
        <v>395</v>
      </c>
      <c r="BJ786">
        <v>190</v>
      </c>
      <c r="BK786">
        <v>30</v>
      </c>
      <c r="BL786" t="s">
        <v>521</v>
      </c>
      <c r="BM786">
        <v>257.697</v>
      </c>
      <c r="BN786">
        <v>186.89699999999999</v>
      </c>
      <c r="BO786">
        <v>515.39520000000005</v>
      </c>
      <c r="BP786" t="s">
        <v>522</v>
      </c>
      <c r="BQ786">
        <v>1200</v>
      </c>
      <c r="BR786">
        <v>1000</v>
      </c>
      <c r="BS786">
        <v>1120</v>
      </c>
      <c r="BT786">
        <v>2</v>
      </c>
      <c r="BU786">
        <v>0</v>
      </c>
      <c r="BV786">
        <v>2</v>
      </c>
      <c r="BW786">
        <v>60</v>
      </c>
      <c r="BX786">
        <v>0</v>
      </c>
      <c r="BY786">
        <v>60</v>
      </c>
      <c r="BZ786">
        <v>2880</v>
      </c>
      <c r="CA786">
        <v>0</v>
      </c>
      <c r="CB786">
        <v>2880</v>
      </c>
      <c r="CC786">
        <v>373.79520000000002</v>
      </c>
      <c r="CD786" t="s">
        <v>806</v>
      </c>
      <c r="CE786" t="s">
        <v>821</v>
      </c>
      <c r="CG786" t="s">
        <v>421</v>
      </c>
      <c r="CN786" t="str">
        <v>M19</v>
      </c>
      <c r="CO786" t="str">
        <v>1330-5YY0183EN</v>
      </c>
      <c r="CP786" t="str">
        <v>OOLU9820013</v>
      </c>
      <c r="CQ786" s="23">
        <v>773.09280000000001</v>
      </c>
      <c r="CR786" s="25">
        <f t="shared" si="33"/>
        <v>6.69554691699073E-2</v>
      </c>
      <c r="CS786" s="21">
        <f t="shared" si="34"/>
        <v>167.38867292476826</v>
      </c>
    </row>
    <row r="787" spans="2:97" x14ac:dyDescent="0.35">
      <c r="B787" t="s">
        <v>299</v>
      </c>
      <c r="C787" t="s">
        <v>2394</v>
      </c>
      <c r="D787" t="s">
        <v>395</v>
      </c>
      <c r="E787" t="s">
        <v>395</v>
      </c>
      <c r="F787" t="s">
        <v>396</v>
      </c>
      <c r="G787" t="s">
        <v>397</v>
      </c>
      <c r="H787" t="s">
        <v>398</v>
      </c>
      <c r="I787" t="s">
        <v>399</v>
      </c>
      <c r="J787" t="s">
        <v>749</v>
      </c>
      <c r="K787" t="s">
        <v>809</v>
      </c>
      <c r="L787" t="s">
        <v>787</v>
      </c>
      <c r="M787" t="s">
        <v>403</v>
      </c>
      <c r="N787">
        <v>1</v>
      </c>
      <c r="O787">
        <v>4</v>
      </c>
      <c r="P787" t="s">
        <v>818</v>
      </c>
      <c r="Q787" t="s">
        <v>430</v>
      </c>
      <c r="R787" t="s">
        <v>811</v>
      </c>
      <c r="S787" t="s">
        <v>819</v>
      </c>
      <c r="T787" t="s">
        <v>408</v>
      </c>
      <c r="U787">
        <v>50950081244</v>
      </c>
      <c r="W787">
        <v>2880</v>
      </c>
      <c r="X787" t="s">
        <v>409</v>
      </c>
      <c r="Y787" t="s">
        <v>410</v>
      </c>
      <c r="Z787" t="s">
        <v>410</v>
      </c>
      <c r="AA787" t="s">
        <v>411</v>
      </c>
      <c r="AB787" t="s">
        <v>554</v>
      </c>
      <c r="AC787" t="s">
        <v>411</v>
      </c>
      <c r="AD787">
        <v>46109</v>
      </c>
      <c r="AE787">
        <v>46167</v>
      </c>
      <c r="AF787">
        <v>46120</v>
      </c>
      <c r="AG787" t="s">
        <v>754</v>
      </c>
      <c r="AH787">
        <v>6165824</v>
      </c>
      <c r="AI787">
        <v>46111</v>
      </c>
      <c r="AJ787">
        <v>46112</v>
      </c>
      <c r="AK787">
        <v>2880</v>
      </c>
      <c r="AL787" t="s">
        <v>396</v>
      </c>
      <c r="AM787" t="s">
        <v>2673</v>
      </c>
      <c r="AN787">
        <v>46112</v>
      </c>
      <c r="AO787">
        <v>46112.387511574074</v>
      </c>
      <c r="AP787" t="s">
        <v>51</v>
      </c>
      <c r="AQ787">
        <v>1.20448</v>
      </c>
      <c r="AR787">
        <v>3468.9</v>
      </c>
      <c r="AS787" t="s">
        <v>51</v>
      </c>
      <c r="AT787">
        <v>3468.9</v>
      </c>
      <c r="AU787" t="s">
        <v>415</v>
      </c>
      <c r="AV787" t="s">
        <v>1420</v>
      </c>
      <c r="AW787" t="s">
        <v>2598</v>
      </c>
      <c r="AX787">
        <v>46120</v>
      </c>
      <c r="AY787">
        <v>46169</v>
      </c>
      <c r="AZ787" t="s">
        <v>2664</v>
      </c>
      <c r="BA787" t="s">
        <v>560</v>
      </c>
      <c r="BB787" t="s">
        <v>2665</v>
      </c>
      <c r="BC787">
        <v>48</v>
      </c>
      <c r="BD787" t="s">
        <v>521</v>
      </c>
      <c r="BE787">
        <v>7.6898999999999997</v>
      </c>
      <c r="BF787">
        <v>6.2298999999999998</v>
      </c>
      <c r="BG787" t="s">
        <v>522</v>
      </c>
      <c r="BH787">
        <v>495</v>
      </c>
      <c r="BI787">
        <v>395</v>
      </c>
      <c r="BJ787">
        <v>190</v>
      </c>
      <c r="BK787">
        <v>30</v>
      </c>
      <c r="BL787" t="s">
        <v>521</v>
      </c>
      <c r="BM787">
        <v>257.697</v>
      </c>
      <c r="BN787">
        <v>186.89699999999999</v>
      </c>
      <c r="BO787">
        <v>515.39520000000005</v>
      </c>
      <c r="BP787" t="s">
        <v>522</v>
      </c>
      <c r="BQ787">
        <v>1200</v>
      </c>
      <c r="BR787">
        <v>1000</v>
      </c>
      <c r="BS787">
        <v>1120</v>
      </c>
      <c r="BT787">
        <v>2</v>
      </c>
      <c r="BU787">
        <v>0</v>
      </c>
      <c r="BV787">
        <v>2</v>
      </c>
      <c r="BW787">
        <v>60</v>
      </c>
      <c r="BX787">
        <v>0</v>
      </c>
      <c r="BY787">
        <v>60</v>
      </c>
      <c r="BZ787">
        <v>2880</v>
      </c>
      <c r="CA787">
        <v>0</v>
      </c>
      <c r="CB787">
        <v>2880</v>
      </c>
      <c r="CC787">
        <v>373.79520000000002</v>
      </c>
      <c r="CD787" t="s">
        <v>806</v>
      </c>
      <c r="CE787" t="s">
        <v>821</v>
      </c>
      <c r="CG787" t="s">
        <v>421</v>
      </c>
      <c r="CN787" t="str">
        <v>M01</v>
      </c>
      <c r="CO787" t="str">
        <v>1301-1030479EN</v>
      </c>
      <c r="CP787" t="str">
        <v>OOLU9820013</v>
      </c>
      <c r="CQ787" s="23">
        <v>1474.88</v>
      </c>
      <c r="CR787" s="25">
        <f t="shared" si="33"/>
        <v>0.12773535385313756</v>
      </c>
      <c r="CS787" s="21">
        <f t="shared" si="34"/>
        <v>319.33838463284388</v>
      </c>
    </row>
    <row r="788" spans="2:97" x14ac:dyDescent="0.35">
      <c r="B788" t="s">
        <v>296</v>
      </c>
      <c r="C788" t="s">
        <v>2674</v>
      </c>
      <c r="D788" t="s">
        <v>395</v>
      </c>
      <c r="E788" t="s">
        <v>395</v>
      </c>
      <c r="F788" t="s">
        <v>396</v>
      </c>
      <c r="G788" t="s">
        <v>397</v>
      </c>
      <c r="H788" t="s">
        <v>398</v>
      </c>
      <c r="I788" t="s">
        <v>399</v>
      </c>
      <c r="J788" t="s">
        <v>749</v>
      </c>
      <c r="K788" t="s">
        <v>629</v>
      </c>
      <c r="L788" t="s">
        <v>787</v>
      </c>
      <c r="M788" t="s">
        <v>403</v>
      </c>
      <c r="N788">
        <v>1</v>
      </c>
      <c r="O788">
        <v>1</v>
      </c>
      <c r="P788" t="s">
        <v>838</v>
      </c>
      <c r="Q788" t="s">
        <v>424</v>
      </c>
      <c r="R788" t="s">
        <v>839</v>
      </c>
      <c r="S788" t="s">
        <v>840</v>
      </c>
      <c r="T788" t="s">
        <v>408</v>
      </c>
      <c r="U788">
        <v>50950081472</v>
      </c>
      <c r="W788">
        <v>60480</v>
      </c>
      <c r="X788" t="s">
        <v>409</v>
      </c>
      <c r="Y788" t="s">
        <v>410</v>
      </c>
      <c r="Z788" t="s">
        <v>410</v>
      </c>
      <c r="AA788" t="s">
        <v>411</v>
      </c>
      <c r="AB788" t="s">
        <v>554</v>
      </c>
      <c r="AC788" t="s">
        <v>411</v>
      </c>
      <c r="AD788">
        <v>46116</v>
      </c>
      <c r="AE788">
        <v>46174</v>
      </c>
      <c r="AF788">
        <v>46120</v>
      </c>
      <c r="AG788" t="s">
        <v>754</v>
      </c>
      <c r="AH788">
        <v>6165825</v>
      </c>
      <c r="AI788">
        <v>46111</v>
      </c>
      <c r="AJ788">
        <v>46112</v>
      </c>
      <c r="AK788">
        <v>60480</v>
      </c>
      <c r="AL788" t="s">
        <v>396</v>
      </c>
      <c r="AM788" t="s">
        <v>2675</v>
      </c>
      <c r="AN788">
        <v>46112</v>
      </c>
      <c r="AO788">
        <v>46112.387511574074</v>
      </c>
      <c r="AP788" t="s">
        <v>51</v>
      </c>
      <c r="AQ788">
        <v>0.11709</v>
      </c>
      <c r="AR788">
        <v>7081.56</v>
      </c>
      <c r="AS788" t="s">
        <v>51</v>
      </c>
      <c r="AT788">
        <v>7081.56</v>
      </c>
      <c r="AU788" t="s">
        <v>415</v>
      </c>
      <c r="AV788" t="s">
        <v>1420</v>
      </c>
      <c r="AW788" t="s">
        <v>2598</v>
      </c>
      <c r="AX788">
        <v>46120</v>
      </c>
      <c r="AY788">
        <v>46169</v>
      </c>
      <c r="AZ788" t="s">
        <v>2664</v>
      </c>
      <c r="BA788" t="s">
        <v>560</v>
      </c>
      <c r="BB788" t="s">
        <v>2665</v>
      </c>
      <c r="BC788">
        <v>280</v>
      </c>
      <c r="BD788" t="s">
        <v>521</v>
      </c>
      <c r="BE788">
        <v>8.6920999999999999</v>
      </c>
      <c r="BF788">
        <v>7.1620999999999997</v>
      </c>
      <c r="BG788" t="s">
        <v>522</v>
      </c>
      <c r="BH788">
        <v>595</v>
      </c>
      <c r="BI788">
        <v>495</v>
      </c>
      <c r="BJ788">
        <v>310</v>
      </c>
      <c r="BK788">
        <v>12</v>
      </c>
      <c r="BL788" t="s">
        <v>521</v>
      </c>
      <c r="BM788">
        <v>131.30520000000001</v>
      </c>
      <c r="BN788">
        <v>85.9452</v>
      </c>
      <c r="BO788">
        <v>2363.4979199999998</v>
      </c>
      <c r="BP788" t="s">
        <v>522</v>
      </c>
      <c r="BQ788">
        <v>1200</v>
      </c>
      <c r="BR788">
        <v>1000</v>
      </c>
      <c r="BS788">
        <v>1088</v>
      </c>
      <c r="BT788">
        <v>18</v>
      </c>
      <c r="BU788">
        <v>0</v>
      </c>
      <c r="BV788">
        <v>18</v>
      </c>
      <c r="BW788">
        <v>216</v>
      </c>
      <c r="BX788">
        <v>0</v>
      </c>
      <c r="BY788">
        <v>216</v>
      </c>
      <c r="BZ788">
        <v>60480</v>
      </c>
      <c r="CA788">
        <v>0</v>
      </c>
      <c r="CB788">
        <v>60480</v>
      </c>
      <c r="CC788">
        <v>1547.01792</v>
      </c>
      <c r="CD788" t="s">
        <v>842</v>
      </c>
      <c r="CE788" t="s">
        <v>843</v>
      </c>
      <c r="CG788" t="s">
        <v>421</v>
      </c>
      <c r="CN788" t="str">
        <v>M01</v>
      </c>
      <c r="CO788" t="str">
        <v>1301-1030479EN</v>
      </c>
      <c r="CP788" t="str">
        <v>OOLU9820013</v>
      </c>
      <c r="CQ788" s="23">
        <v>368.72</v>
      </c>
      <c r="CR788" s="25">
        <f t="shared" si="33"/>
        <v>3.1933838463284389E-2</v>
      </c>
      <c r="CS788" s="21">
        <f t="shared" si="34"/>
        <v>79.834596158210971</v>
      </c>
    </row>
    <row r="789" spans="2:97" x14ac:dyDescent="0.35">
      <c r="B789" t="s">
        <v>297</v>
      </c>
      <c r="C789" t="s">
        <v>2676</v>
      </c>
      <c r="D789" t="s">
        <v>395</v>
      </c>
      <c r="E789" t="s">
        <v>395</v>
      </c>
      <c r="F789" t="s">
        <v>396</v>
      </c>
      <c r="G789" t="s">
        <v>397</v>
      </c>
      <c r="H789" t="s">
        <v>398</v>
      </c>
      <c r="I789" t="s">
        <v>399</v>
      </c>
      <c r="J789" t="s">
        <v>749</v>
      </c>
      <c r="K789" t="s">
        <v>629</v>
      </c>
      <c r="L789" t="s">
        <v>787</v>
      </c>
      <c r="M789" t="s">
        <v>403</v>
      </c>
      <c r="N789">
        <v>1</v>
      </c>
      <c r="O789">
        <v>1</v>
      </c>
      <c r="P789" t="s">
        <v>1956</v>
      </c>
      <c r="Q789" t="s">
        <v>430</v>
      </c>
      <c r="R789" t="s">
        <v>833</v>
      </c>
      <c r="S789" t="s">
        <v>834</v>
      </c>
      <c r="T789" t="s">
        <v>408</v>
      </c>
      <c r="U789">
        <v>50950081634</v>
      </c>
      <c r="W789">
        <v>9600</v>
      </c>
      <c r="X789" t="s">
        <v>409</v>
      </c>
      <c r="Y789" t="s">
        <v>410</v>
      </c>
      <c r="Z789" t="s">
        <v>410</v>
      </c>
      <c r="AA789" t="s">
        <v>411</v>
      </c>
      <c r="AB789" t="s">
        <v>554</v>
      </c>
      <c r="AC789" t="s">
        <v>411</v>
      </c>
      <c r="AD789">
        <v>46108</v>
      </c>
      <c r="AE789">
        <v>46146</v>
      </c>
      <c r="AF789">
        <v>46120</v>
      </c>
      <c r="AG789" t="s">
        <v>754</v>
      </c>
      <c r="AH789">
        <v>6165826</v>
      </c>
      <c r="AI789">
        <v>46111</v>
      </c>
      <c r="AJ789">
        <v>46112</v>
      </c>
      <c r="AK789">
        <v>9600</v>
      </c>
      <c r="AL789" t="s">
        <v>396</v>
      </c>
      <c r="AM789" t="s">
        <v>2677</v>
      </c>
      <c r="AN789">
        <v>46112</v>
      </c>
      <c r="AO789">
        <v>46112.387511574074</v>
      </c>
      <c r="AP789" t="s">
        <v>51</v>
      </c>
      <c r="AQ789">
        <v>0.11895</v>
      </c>
      <c r="AR789">
        <v>1141.92</v>
      </c>
      <c r="AS789" t="s">
        <v>51</v>
      </c>
      <c r="AT789">
        <v>1141.92</v>
      </c>
      <c r="AU789" t="s">
        <v>415</v>
      </c>
      <c r="AV789" t="s">
        <v>1420</v>
      </c>
      <c r="AW789" t="s">
        <v>2598</v>
      </c>
      <c r="AX789">
        <v>46120</v>
      </c>
      <c r="AY789">
        <v>46169</v>
      </c>
      <c r="AZ789" t="s">
        <v>2664</v>
      </c>
      <c r="BA789" t="s">
        <v>560</v>
      </c>
      <c r="BB789" t="s">
        <v>2665</v>
      </c>
      <c r="BC789">
        <v>320</v>
      </c>
      <c r="BD789" t="s">
        <v>521</v>
      </c>
      <c r="BE789">
        <v>4.202</v>
      </c>
      <c r="BF789">
        <v>3.6320000000000001</v>
      </c>
      <c r="BG789" t="s">
        <v>522</v>
      </c>
      <c r="BH789">
        <v>395</v>
      </c>
      <c r="BI789">
        <v>295</v>
      </c>
      <c r="BJ789">
        <v>255</v>
      </c>
      <c r="BK789">
        <v>30</v>
      </c>
      <c r="BL789" t="s">
        <v>521</v>
      </c>
      <c r="BM789">
        <v>153.06</v>
      </c>
      <c r="BN789">
        <v>108.96</v>
      </c>
      <c r="BO789">
        <v>153.06</v>
      </c>
      <c r="BP789" t="s">
        <v>522</v>
      </c>
      <c r="BQ789">
        <v>1200</v>
      </c>
      <c r="BR789">
        <v>1000</v>
      </c>
      <c r="BS789">
        <v>918</v>
      </c>
      <c r="BT789">
        <v>1</v>
      </c>
      <c r="BU789">
        <v>0</v>
      </c>
      <c r="BV789">
        <v>1</v>
      </c>
      <c r="BW789">
        <v>30</v>
      </c>
      <c r="BX789">
        <v>0</v>
      </c>
      <c r="BY789">
        <v>30</v>
      </c>
      <c r="BZ789">
        <v>9600</v>
      </c>
      <c r="CA789">
        <v>0</v>
      </c>
      <c r="CB789">
        <v>9600</v>
      </c>
      <c r="CC789">
        <v>108.96</v>
      </c>
      <c r="CD789" t="s">
        <v>633</v>
      </c>
      <c r="CE789" t="s">
        <v>836</v>
      </c>
      <c r="CG789" t="s">
        <v>421</v>
      </c>
      <c r="CN789" t="str">
        <v>M01</v>
      </c>
      <c r="CO789" t="str">
        <v>1301-1030476EN</v>
      </c>
      <c r="CP789" t="str">
        <v>OOLU9820013</v>
      </c>
      <c r="CQ789" s="23">
        <v>1474.88</v>
      </c>
      <c r="CR789" s="25">
        <f t="shared" si="33"/>
        <v>0.12773535385313756</v>
      </c>
      <c r="CS789" s="21">
        <f t="shared" si="34"/>
        <v>319.33838463284388</v>
      </c>
    </row>
    <row r="790" spans="2:97" x14ac:dyDescent="0.35">
      <c r="B790" s="34" t="s">
        <v>297</v>
      </c>
      <c r="C790" t="s">
        <v>921</v>
      </c>
      <c r="D790" t="s">
        <v>549</v>
      </c>
      <c r="E790" t="s">
        <v>395</v>
      </c>
      <c r="F790" t="s">
        <v>396</v>
      </c>
      <c r="G790" t="s">
        <v>397</v>
      </c>
      <c r="H790" t="s">
        <v>398</v>
      </c>
      <c r="I790" t="s">
        <v>399</v>
      </c>
      <c r="J790" t="s">
        <v>749</v>
      </c>
      <c r="K790" t="s">
        <v>922</v>
      </c>
      <c r="L790" t="s">
        <v>766</v>
      </c>
      <c r="M790" t="s">
        <v>403</v>
      </c>
      <c r="N790">
        <v>9</v>
      </c>
      <c r="O790">
        <v>1</v>
      </c>
      <c r="P790" t="s">
        <v>923</v>
      </c>
      <c r="Q790" t="s">
        <v>645</v>
      </c>
      <c r="R790" t="s">
        <v>924</v>
      </c>
      <c r="S790" t="s">
        <v>925</v>
      </c>
      <c r="T790" t="s">
        <v>408</v>
      </c>
      <c r="U790">
        <v>50950080751</v>
      </c>
      <c r="W790">
        <v>11520</v>
      </c>
      <c r="X790" t="s">
        <v>409</v>
      </c>
      <c r="Y790" t="s">
        <v>410</v>
      </c>
      <c r="Z790" t="s">
        <v>410</v>
      </c>
      <c r="AA790" t="s">
        <v>411</v>
      </c>
      <c r="AB790" t="s">
        <v>554</v>
      </c>
      <c r="AC790" t="s">
        <v>411</v>
      </c>
      <c r="AD790">
        <v>46111</v>
      </c>
      <c r="AE790">
        <v>46153</v>
      </c>
      <c r="AF790">
        <v>46120</v>
      </c>
      <c r="AG790" t="s">
        <v>926</v>
      </c>
      <c r="AH790">
        <v>6168339</v>
      </c>
      <c r="AI790">
        <v>46112</v>
      </c>
      <c r="AJ790">
        <v>46113</v>
      </c>
      <c r="AK790">
        <v>11520</v>
      </c>
      <c r="AL790" t="s">
        <v>396</v>
      </c>
      <c r="AM790" t="s">
        <v>2678</v>
      </c>
      <c r="AN790">
        <v>46113</v>
      </c>
      <c r="AO790">
        <v>46113.420972222222</v>
      </c>
      <c r="AP790" t="s">
        <v>51</v>
      </c>
      <c r="AQ790">
        <v>0.62368999999999997</v>
      </c>
      <c r="AR790">
        <v>7184.91</v>
      </c>
      <c r="AS790" t="s">
        <v>51</v>
      </c>
      <c r="AT790">
        <v>7184.91</v>
      </c>
      <c r="AU790" t="s">
        <v>415</v>
      </c>
      <c r="AV790" t="s">
        <v>1420</v>
      </c>
      <c r="AW790" t="s">
        <v>2598</v>
      </c>
      <c r="AX790">
        <v>46120</v>
      </c>
      <c r="AY790">
        <v>46169</v>
      </c>
      <c r="AZ790" t="s">
        <v>2679</v>
      </c>
      <c r="BA790" t="s">
        <v>560</v>
      </c>
      <c r="BB790" t="s">
        <v>2680</v>
      </c>
      <c r="BC790">
        <v>288</v>
      </c>
      <c r="BD790" t="s">
        <v>521</v>
      </c>
      <c r="BE790">
        <v>9.8219999999999992</v>
      </c>
      <c r="BF790">
        <v>8.3520000000000003</v>
      </c>
      <c r="BG790" t="s">
        <v>522</v>
      </c>
      <c r="BH790">
        <v>400</v>
      </c>
      <c r="BI790">
        <v>300</v>
      </c>
      <c r="BJ790">
        <v>160</v>
      </c>
      <c r="BK790">
        <v>40</v>
      </c>
      <c r="BL790" t="s">
        <v>521</v>
      </c>
      <c r="BM790">
        <v>417.88</v>
      </c>
      <c r="BN790">
        <v>334.08</v>
      </c>
      <c r="BO790">
        <v>417.88</v>
      </c>
      <c r="BP790" t="s">
        <v>522</v>
      </c>
      <c r="BQ790">
        <v>1200</v>
      </c>
      <c r="BR790">
        <v>800</v>
      </c>
      <c r="BS790">
        <v>970</v>
      </c>
      <c r="BT790">
        <v>1</v>
      </c>
      <c r="BU790">
        <v>0</v>
      </c>
      <c r="BV790">
        <v>1</v>
      </c>
      <c r="BW790">
        <v>40</v>
      </c>
      <c r="BX790">
        <v>0</v>
      </c>
      <c r="BY790">
        <v>40</v>
      </c>
      <c r="BZ790">
        <v>11520</v>
      </c>
      <c r="CA790">
        <v>0</v>
      </c>
      <c r="CB790">
        <v>11520</v>
      </c>
      <c r="CC790">
        <v>334.08</v>
      </c>
      <c r="CD790" t="s">
        <v>930</v>
      </c>
      <c r="CE790" t="s">
        <v>931</v>
      </c>
      <c r="CG790" t="s">
        <v>421</v>
      </c>
      <c r="CN790" t="str">
        <v>M45</v>
      </c>
      <c r="CO790" t="str">
        <v>1484-12C0010EN</v>
      </c>
      <c r="CP790" t="str">
        <v>OOLU9820013</v>
      </c>
      <c r="CQ790" s="23">
        <v>203.7</v>
      </c>
      <c r="CR790" s="25">
        <f t="shared" si="33"/>
        <v>1.76419041412753E-2</v>
      </c>
      <c r="CS790" s="21">
        <f t="shared" si="34"/>
        <v>44.104760353188254</v>
      </c>
    </row>
    <row r="791" spans="2:97" x14ac:dyDescent="0.35">
      <c r="B791" s="34" t="s">
        <v>297</v>
      </c>
      <c r="C791" t="s">
        <v>921</v>
      </c>
      <c r="D791" t="s">
        <v>549</v>
      </c>
      <c r="E791" t="s">
        <v>395</v>
      </c>
      <c r="F791" t="s">
        <v>396</v>
      </c>
      <c r="G791" t="s">
        <v>397</v>
      </c>
      <c r="H791" t="s">
        <v>398</v>
      </c>
      <c r="I791" t="s">
        <v>399</v>
      </c>
      <c r="J791" t="s">
        <v>749</v>
      </c>
      <c r="K791" t="s">
        <v>922</v>
      </c>
      <c r="L791" t="s">
        <v>766</v>
      </c>
      <c r="M791" t="s">
        <v>403</v>
      </c>
      <c r="N791">
        <v>3</v>
      </c>
      <c r="O791">
        <v>1</v>
      </c>
      <c r="P791" t="s">
        <v>923</v>
      </c>
      <c r="Q791" t="s">
        <v>645</v>
      </c>
      <c r="R791" t="s">
        <v>924</v>
      </c>
      <c r="S791" t="s">
        <v>925</v>
      </c>
      <c r="T791" t="s">
        <v>408</v>
      </c>
      <c r="U791">
        <v>50950080751</v>
      </c>
      <c r="W791">
        <v>11520</v>
      </c>
      <c r="X791" t="s">
        <v>409</v>
      </c>
      <c r="Y791" t="s">
        <v>410</v>
      </c>
      <c r="Z791" t="s">
        <v>410</v>
      </c>
      <c r="AA791" t="s">
        <v>411</v>
      </c>
      <c r="AB791" t="s">
        <v>554</v>
      </c>
      <c r="AC791" t="s">
        <v>411</v>
      </c>
      <c r="AD791">
        <v>46111</v>
      </c>
      <c r="AE791">
        <v>46160</v>
      </c>
      <c r="AF791">
        <v>46120</v>
      </c>
      <c r="AG791" t="s">
        <v>926</v>
      </c>
      <c r="AH791">
        <v>6168339</v>
      </c>
      <c r="AI791">
        <v>46112</v>
      </c>
      <c r="AJ791">
        <v>46113</v>
      </c>
      <c r="AK791">
        <v>11520</v>
      </c>
      <c r="AL791" t="s">
        <v>396</v>
      </c>
      <c r="AM791" t="s">
        <v>2678</v>
      </c>
      <c r="AN791">
        <v>46113</v>
      </c>
      <c r="AO791">
        <v>46113.420972222222</v>
      </c>
      <c r="AP791" t="s">
        <v>51</v>
      </c>
      <c r="AQ791">
        <v>0.62368999999999997</v>
      </c>
      <c r="AR791">
        <v>7184.9</v>
      </c>
      <c r="AS791" t="s">
        <v>51</v>
      </c>
      <c r="AT791">
        <v>7184.9</v>
      </c>
      <c r="AU791" t="s">
        <v>415</v>
      </c>
      <c r="AV791" t="s">
        <v>1420</v>
      </c>
      <c r="AW791" t="s">
        <v>2598</v>
      </c>
      <c r="AX791">
        <v>46120</v>
      </c>
      <c r="AY791">
        <v>46169</v>
      </c>
      <c r="AZ791" t="s">
        <v>2679</v>
      </c>
      <c r="BA791" t="s">
        <v>560</v>
      </c>
      <c r="BB791" t="s">
        <v>2680</v>
      </c>
      <c r="BC791">
        <v>288</v>
      </c>
      <c r="BD791" t="s">
        <v>521</v>
      </c>
      <c r="BE791">
        <v>9.8219999999999992</v>
      </c>
      <c r="BF791">
        <v>8.3520000000000003</v>
      </c>
      <c r="BG791" t="s">
        <v>522</v>
      </c>
      <c r="BH791">
        <v>400</v>
      </c>
      <c r="BI791">
        <v>300</v>
      </c>
      <c r="BJ791">
        <v>160</v>
      </c>
      <c r="BK791">
        <v>40</v>
      </c>
      <c r="BL791" t="s">
        <v>521</v>
      </c>
      <c r="BM791">
        <v>417.88</v>
      </c>
      <c r="BN791">
        <v>334.08</v>
      </c>
      <c r="BO791">
        <v>417.88</v>
      </c>
      <c r="BP791" t="s">
        <v>522</v>
      </c>
      <c r="BQ791">
        <v>1200</v>
      </c>
      <c r="BR791">
        <v>800</v>
      </c>
      <c r="BS791">
        <v>970</v>
      </c>
      <c r="BT791">
        <v>1</v>
      </c>
      <c r="BU791">
        <v>0</v>
      </c>
      <c r="BV791">
        <v>1</v>
      </c>
      <c r="BW791">
        <v>40</v>
      </c>
      <c r="BX791">
        <v>0</v>
      </c>
      <c r="BY791">
        <v>40</v>
      </c>
      <c r="BZ791">
        <v>11520</v>
      </c>
      <c r="CA791">
        <v>0</v>
      </c>
      <c r="CB791">
        <v>11520</v>
      </c>
      <c r="CC791">
        <v>334.08</v>
      </c>
      <c r="CD791" t="s">
        <v>930</v>
      </c>
      <c r="CE791" t="s">
        <v>931</v>
      </c>
      <c r="CG791" t="s">
        <v>421</v>
      </c>
      <c r="CN791" t="str">
        <v>M01</v>
      </c>
      <c r="CO791" t="str">
        <v>0060-1050290-YEN</v>
      </c>
      <c r="CP791" t="str">
        <v>SEGU9929834</v>
      </c>
      <c r="CQ791" s="23">
        <v>1496.5997040400557</v>
      </c>
      <c r="CR791" s="25">
        <f t="shared" si="33"/>
        <v>7.6548610962759514E-2</v>
      </c>
      <c r="CS791" s="21">
        <f t="shared" si="34"/>
        <v>191.37152740689879</v>
      </c>
    </row>
    <row r="792" spans="2:97" x14ac:dyDescent="0.35">
      <c r="B792" t="s">
        <v>297</v>
      </c>
      <c r="C792" t="s">
        <v>2381</v>
      </c>
      <c r="D792" t="s">
        <v>549</v>
      </c>
      <c r="E792" t="s">
        <v>395</v>
      </c>
      <c r="F792" t="s">
        <v>396</v>
      </c>
      <c r="G792" t="s">
        <v>397</v>
      </c>
      <c r="H792" t="s">
        <v>398</v>
      </c>
      <c r="I792" t="s">
        <v>399</v>
      </c>
      <c r="J792" t="s">
        <v>749</v>
      </c>
      <c r="K792" t="s">
        <v>401</v>
      </c>
      <c r="L792" t="s">
        <v>766</v>
      </c>
      <c r="M792" t="s">
        <v>403</v>
      </c>
      <c r="N792">
        <v>2</v>
      </c>
      <c r="O792">
        <v>3</v>
      </c>
      <c r="P792" t="s">
        <v>767</v>
      </c>
      <c r="Q792" t="s">
        <v>424</v>
      </c>
      <c r="R792" t="s">
        <v>552</v>
      </c>
      <c r="S792" t="s">
        <v>768</v>
      </c>
      <c r="T792" t="s">
        <v>408</v>
      </c>
      <c r="U792">
        <v>50950081498</v>
      </c>
      <c r="W792">
        <v>46080</v>
      </c>
      <c r="X792" t="s">
        <v>409</v>
      </c>
      <c r="Y792" t="s">
        <v>410</v>
      </c>
      <c r="Z792" t="s">
        <v>410</v>
      </c>
      <c r="AA792" t="s">
        <v>411</v>
      </c>
      <c r="AB792" t="s">
        <v>554</v>
      </c>
      <c r="AC792" t="s">
        <v>411</v>
      </c>
      <c r="AD792">
        <v>46109</v>
      </c>
      <c r="AE792">
        <v>46167</v>
      </c>
      <c r="AF792">
        <v>46120</v>
      </c>
      <c r="AG792" t="s">
        <v>770</v>
      </c>
      <c r="AH792">
        <v>6168340</v>
      </c>
      <c r="AI792">
        <v>46112</v>
      </c>
      <c r="AJ792">
        <v>46113</v>
      </c>
      <c r="AK792">
        <v>46080</v>
      </c>
      <c r="AL792" t="s">
        <v>396</v>
      </c>
      <c r="AM792" t="s">
        <v>2681</v>
      </c>
      <c r="AN792">
        <v>46113</v>
      </c>
      <c r="AO792">
        <v>46113.420972222222</v>
      </c>
      <c r="AP792" t="s">
        <v>51</v>
      </c>
      <c r="AQ792">
        <v>0.20744000000000001</v>
      </c>
      <c r="AR792">
        <v>9558.84</v>
      </c>
      <c r="AS792" t="s">
        <v>51</v>
      </c>
      <c r="AT792">
        <v>9558.84</v>
      </c>
      <c r="AU792" t="s">
        <v>415</v>
      </c>
      <c r="AV792" t="s">
        <v>1420</v>
      </c>
      <c r="AW792" t="s">
        <v>2598</v>
      </c>
      <c r="AX792">
        <v>46120</v>
      </c>
      <c r="AY792">
        <v>46169</v>
      </c>
      <c r="AZ792" t="s">
        <v>2679</v>
      </c>
      <c r="BA792" t="s">
        <v>560</v>
      </c>
      <c r="BB792" t="s">
        <v>2680</v>
      </c>
      <c r="BC792">
        <v>240</v>
      </c>
      <c r="BD792" t="s">
        <v>521</v>
      </c>
      <c r="BE792">
        <v>2.5634000000000001</v>
      </c>
      <c r="BF792">
        <v>1.2864</v>
      </c>
      <c r="BG792" t="s">
        <v>522</v>
      </c>
      <c r="BH792">
        <v>340</v>
      </c>
      <c r="BI792">
        <v>250</v>
      </c>
      <c r="BJ792">
        <v>230</v>
      </c>
      <c r="BK792">
        <v>48</v>
      </c>
      <c r="BL792" t="s">
        <v>521</v>
      </c>
      <c r="BM792">
        <v>144.04320000000001</v>
      </c>
      <c r="BN792">
        <v>61.747199999999999</v>
      </c>
      <c r="BO792">
        <v>576.17280000000005</v>
      </c>
      <c r="BP792" t="s">
        <v>522</v>
      </c>
      <c r="BQ792">
        <v>1066</v>
      </c>
      <c r="BR792">
        <v>1066</v>
      </c>
      <c r="BS792">
        <v>1080</v>
      </c>
      <c r="BT792">
        <v>4</v>
      </c>
      <c r="BU792">
        <v>0</v>
      </c>
      <c r="BV792">
        <v>4</v>
      </c>
      <c r="BW792">
        <v>192</v>
      </c>
      <c r="BX792">
        <v>0</v>
      </c>
      <c r="BY792">
        <v>192</v>
      </c>
      <c r="BZ792">
        <v>46080</v>
      </c>
      <c r="CA792">
        <v>0</v>
      </c>
      <c r="CB792">
        <v>46080</v>
      </c>
      <c r="CC792">
        <v>246.9888</v>
      </c>
      <c r="CD792" t="s">
        <v>562</v>
      </c>
      <c r="CE792" t="s">
        <v>563</v>
      </c>
      <c r="CG792" t="s">
        <v>421</v>
      </c>
      <c r="CN792" t="str">
        <v>M01</v>
      </c>
      <c r="CO792" t="str">
        <v>CPPMSF3253/7EN</v>
      </c>
      <c r="CP792" t="str">
        <v>SEGU9929834</v>
      </c>
      <c r="CQ792" s="23">
        <v>1500</v>
      </c>
      <c r="CR792" s="25">
        <f t="shared" si="33"/>
        <v>7.6722530503097103E-2</v>
      </c>
      <c r="CS792" s="21">
        <f t="shared" si="34"/>
        <v>191.80632625774277</v>
      </c>
    </row>
    <row r="793" spans="2:97" x14ac:dyDescent="0.35">
      <c r="B793" t="s">
        <v>299</v>
      </c>
      <c r="C793" t="s">
        <v>2682</v>
      </c>
      <c r="D793" t="s">
        <v>395</v>
      </c>
      <c r="E793" t="s">
        <v>395</v>
      </c>
      <c r="F793" t="s">
        <v>396</v>
      </c>
      <c r="G793" t="s">
        <v>397</v>
      </c>
      <c r="H793" t="s">
        <v>398</v>
      </c>
      <c r="I793" t="s">
        <v>399</v>
      </c>
      <c r="J793" t="s">
        <v>749</v>
      </c>
      <c r="K793" t="s">
        <v>777</v>
      </c>
      <c r="L793" t="s">
        <v>778</v>
      </c>
      <c r="M793" t="s">
        <v>403</v>
      </c>
      <c r="N793">
        <v>1</v>
      </c>
      <c r="O793">
        <v>1</v>
      </c>
      <c r="P793" t="s">
        <v>779</v>
      </c>
      <c r="Q793" t="s">
        <v>587</v>
      </c>
      <c r="R793" t="s">
        <v>536</v>
      </c>
      <c r="S793" t="s">
        <v>780</v>
      </c>
      <c r="T793" t="s">
        <v>408</v>
      </c>
      <c r="U793">
        <v>50950077715</v>
      </c>
      <c r="W793">
        <v>3024</v>
      </c>
      <c r="X793" t="s">
        <v>409</v>
      </c>
      <c r="Y793" t="s">
        <v>410</v>
      </c>
      <c r="Z793" t="s">
        <v>410</v>
      </c>
      <c r="AA793" t="s">
        <v>411</v>
      </c>
      <c r="AB793" t="s">
        <v>554</v>
      </c>
      <c r="AC793" t="s">
        <v>411</v>
      </c>
      <c r="AD793">
        <v>46118</v>
      </c>
      <c r="AE793">
        <v>46174</v>
      </c>
      <c r="AF793">
        <v>46120</v>
      </c>
      <c r="AG793" t="s">
        <v>781</v>
      </c>
      <c r="AH793">
        <v>6168341</v>
      </c>
      <c r="AI793">
        <v>46112</v>
      </c>
      <c r="AJ793">
        <v>46113</v>
      </c>
      <c r="AK793">
        <v>3024</v>
      </c>
      <c r="AL793" t="s">
        <v>396</v>
      </c>
      <c r="AM793" t="s">
        <v>2683</v>
      </c>
      <c r="AN793">
        <v>46113</v>
      </c>
      <c r="AO793">
        <v>46113.420972222222</v>
      </c>
      <c r="AP793" t="s">
        <v>51</v>
      </c>
      <c r="AQ793">
        <v>2.4077199999999999</v>
      </c>
      <c r="AR793">
        <v>7280.94</v>
      </c>
      <c r="AS793" t="s">
        <v>51</v>
      </c>
      <c r="AT793">
        <v>7280.94</v>
      </c>
      <c r="AU793" t="s">
        <v>415</v>
      </c>
      <c r="AV793" t="s">
        <v>1420</v>
      </c>
      <c r="AW793" t="s">
        <v>2598</v>
      </c>
      <c r="AX793">
        <v>46120</v>
      </c>
      <c r="AY793">
        <v>46169</v>
      </c>
      <c r="AZ793" t="s">
        <v>2679</v>
      </c>
      <c r="BA793" t="s">
        <v>560</v>
      </c>
      <c r="BB793" t="s">
        <v>2680</v>
      </c>
      <c r="BC793">
        <v>28</v>
      </c>
      <c r="BD793" t="s">
        <v>521</v>
      </c>
      <c r="BE793">
        <v>4.1197999999999997</v>
      </c>
      <c r="BF793">
        <v>2.2568000000000001</v>
      </c>
      <c r="BG793" t="s">
        <v>522</v>
      </c>
      <c r="BH793">
        <v>795</v>
      </c>
      <c r="BI793">
        <v>395</v>
      </c>
      <c r="BJ793">
        <v>145</v>
      </c>
      <c r="BK793">
        <v>18</v>
      </c>
      <c r="BL793" t="s">
        <v>521</v>
      </c>
      <c r="BM793">
        <v>99.156400000000005</v>
      </c>
      <c r="BN793">
        <v>40.622399999999999</v>
      </c>
      <c r="BO793">
        <v>594.9384</v>
      </c>
      <c r="BP793" t="s">
        <v>522</v>
      </c>
      <c r="BQ793">
        <v>1200</v>
      </c>
      <c r="BR793">
        <v>800</v>
      </c>
      <c r="BS793">
        <v>1030</v>
      </c>
      <c r="BT793">
        <v>6</v>
      </c>
      <c r="BU793">
        <v>0</v>
      </c>
      <c r="BV793">
        <v>6</v>
      </c>
      <c r="BW793">
        <v>108</v>
      </c>
      <c r="BX793">
        <v>0</v>
      </c>
      <c r="BY793">
        <v>108</v>
      </c>
      <c r="BZ793">
        <v>3024</v>
      </c>
      <c r="CA793">
        <v>0</v>
      </c>
      <c r="CB793">
        <v>3024</v>
      </c>
      <c r="CC793">
        <v>243.73439999999999</v>
      </c>
      <c r="CD793" t="s">
        <v>783</v>
      </c>
      <c r="CE793" t="s">
        <v>784</v>
      </c>
      <c r="CG793" t="s">
        <v>421</v>
      </c>
      <c r="CN793" t="str">
        <v>M01</v>
      </c>
      <c r="CO793" t="str">
        <v>1307-1030122EN</v>
      </c>
      <c r="CP793" t="str">
        <v>SEGU9929834</v>
      </c>
      <c r="CQ793" s="23">
        <v>1500</v>
      </c>
      <c r="CR793" s="25">
        <f t="shared" si="33"/>
        <v>7.6722530503097103E-2</v>
      </c>
      <c r="CS793" s="21">
        <f t="shared" si="34"/>
        <v>191.80632625774277</v>
      </c>
    </row>
    <row r="794" spans="2:97" x14ac:dyDescent="0.35">
      <c r="B794" t="s">
        <v>299</v>
      </c>
      <c r="C794" t="s">
        <v>2684</v>
      </c>
      <c r="D794" t="s">
        <v>395</v>
      </c>
      <c r="E794" t="s">
        <v>395</v>
      </c>
      <c r="F794" t="s">
        <v>396</v>
      </c>
      <c r="G794" t="s">
        <v>397</v>
      </c>
      <c r="H794" t="s">
        <v>398</v>
      </c>
      <c r="I794" t="s">
        <v>399</v>
      </c>
      <c r="J794" t="s">
        <v>749</v>
      </c>
      <c r="K794" t="s">
        <v>777</v>
      </c>
      <c r="L794" t="s">
        <v>778</v>
      </c>
      <c r="M794" t="s">
        <v>403</v>
      </c>
      <c r="N794">
        <v>1</v>
      </c>
      <c r="O794">
        <v>1</v>
      </c>
      <c r="P794" t="s">
        <v>2055</v>
      </c>
      <c r="Q794" t="s">
        <v>645</v>
      </c>
      <c r="R794" t="s">
        <v>536</v>
      </c>
      <c r="S794" t="s">
        <v>2056</v>
      </c>
      <c r="T794" t="s">
        <v>408</v>
      </c>
      <c r="U794">
        <v>50950078354</v>
      </c>
      <c r="W794">
        <v>2016</v>
      </c>
      <c r="X794" t="s">
        <v>409</v>
      </c>
      <c r="Y794" t="s">
        <v>410</v>
      </c>
      <c r="Z794" t="s">
        <v>410</v>
      </c>
      <c r="AA794" t="s">
        <v>411</v>
      </c>
      <c r="AB794" t="s">
        <v>554</v>
      </c>
      <c r="AC794" t="s">
        <v>411</v>
      </c>
      <c r="AD794">
        <v>46109</v>
      </c>
      <c r="AE794">
        <v>46167</v>
      </c>
      <c r="AF794">
        <v>46120</v>
      </c>
      <c r="AG794" t="s">
        <v>781</v>
      </c>
      <c r="AH794">
        <v>6168342</v>
      </c>
      <c r="AI794">
        <v>46112</v>
      </c>
      <c r="AJ794">
        <v>46113</v>
      </c>
      <c r="AK794">
        <v>2016</v>
      </c>
      <c r="AL794" t="s">
        <v>396</v>
      </c>
      <c r="AM794" t="s">
        <v>2685</v>
      </c>
      <c r="AN794">
        <v>46113</v>
      </c>
      <c r="AO794">
        <v>46113.420972222222</v>
      </c>
      <c r="AP794" t="s">
        <v>51</v>
      </c>
      <c r="AQ794">
        <v>3.4422700000000002</v>
      </c>
      <c r="AR794">
        <v>6939.6</v>
      </c>
      <c r="AS794" t="s">
        <v>51</v>
      </c>
      <c r="AT794">
        <v>6939.6</v>
      </c>
      <c r="AU794" t="s">
        <v>415</v>
      </c>
      <c r="AV794" t="s">
        <v>1420</v>
      </c>
      <c r="AW794" t="s">
        <v>2598</v>
      </c>
      <c r="AX794">
        <v>46120</v>
      </c>
      <c r="AY794">
        <v>46169</v>
      </c>
      <c r="AZ794" t="s">
        <v>2679</v>
      </c>
      <c r="BA794" t="s">
        <v>560</v>
      </c>
      <c r="BB794" t="s">
        <v>2680</v>
      </c>
      <c r="BC794">
        <v>14</v>
      </c>
      <c r="BD794" t="s">
        <v>521</v>
      </c>
      <c r="BE794">
        <v>3.4628000000000001</v>
      </c>
      <c r="BF794">
        <v>1.9628000000000001</v>
      </c>
      <c r="BG794" t="s">
        <v>522</v>
      </c>
      <c r="BH794">
        <v>595</v>
      </c>
      <c r="BI794">
        <v>395</v>
      </c>
      <c r="BJ794">
        <v>145</v>
      </c>
      <c r="BK794">
        <v>24</v>
      </c>
      <c r="BL794" t="s">
        <v>521</v>
      </c>
      <c r="BM794">
        <v>108.10720000000001</v>
      </c>
      <c r="BN794">
        <v>47.107199999999999</v>
      </c>
      <c r="BO794">
        <v>648.64319999999998</v>
      </c>
      <c r="BP794" t="s">
        <v>522</v>
      </c>
      <c r="BQ794">
        <v>1200</v>
      </c>
      <c r="BR794">
        <v>800</v>
      </c>
      <c r="BS794">
        <v>1030</v>
      </c>
      <c r="BT794">
        <v>6</v>
      </c>
      <c r="BU794">
        <v>0</v>
      </c>
      <c r="BV794">
        <v>6</v>
      </c>
      <c r="BW794">
        <v>144</v>
      </c>
      <c r="BX794">
        <v>0</v>
      </c>
      <c r="BY794">
        <v>144</v>
      </c>
      <c r="BZ794">
        <v>2016</v>
      </c>
      <c r="CA794">
        <v>0</v>
      </c>
      <c r="CB794">
        <v>2016</v>
      </c>
      <c r="CC794">
        <v>282.64319999999998</v>
      </c>
      <c r="CD794" t="s">
        <v>783</v>
      </c>
      <c r="CE794" t="s">
        <v>1370</v>
      </c>
      <c r="CG794" t="s">
        <v>421</v>
      </c>
      <c r="CN794" t="str">
        <v>M01</v>
      </c>
      <c r="CO794" t="str">
        <v>1307-1030122EN</v>
      </c>
      <c r="CP794" t="str">
        <v>SEGU9929834</v>
      </c>
      <c r="CQ794" s="23">
        <v>1500</v>
      </c>
      <c r="CR794" s="25">
        <f t="shared" si="33"/>
        <v>7.6722530503097103E-2</v>
      </c>
      <c r="CS794" s="21">
        <f t="shared" si="34"/>
        <v>191.80632625774277</v>
      </c>
    </row>
    <row r="795" spans="2:97" x14ac:dyDescent="0.35">
      <c r="B795" t="s">
        <v>295</v>
      </c>
      <c r="C795" t="s">
        <v>868</v>
      </c>
      <c r="D795" t="s">
        <v>395</v>
      </c>
      <c r="E795" t="s">
        <v>395</v>
      </c>
      <c r="F795" t="s">
        <v>396</v>
      </c>
      <c r="G795" t="s">
        <v>397</v>
      </c>
      <c r="H795" t="s">
        <v>398</v>
      </c>
      <c r="I795" t="s">
        <v>399</v>
      </c>
      <c r="J795" t="s">
        <v>749</v>
      </c>
      <c r="K795" t="s">
        <v>629</v>
      </c>
      <c r="L795" t="s">
        <v>787</v>
      </c>
      <c r="M795" t="s">
        <v>403</v>
      </c>
      <c r="N795">
        <v>1</v>
      </c>
      <c r="O795">
        <v>6</v>
      </c>
      <c r="P795" t="s">
        <v>869</v>
      </c>
      <c r="Q795" t="s">
        <v>637</v>
      </c>
      <c r="R795" t="s">
        <v>870</v>
      </c>
      <c r="S795" t="s">
        <v>871</v>
      </c>
      <c r="T795" t="s">
        <v>408</v>
      </c>
      <c r="U795">
        <v>50950076250</v>
      </c>
      <c r="W795">
        <v>2400</v>
      </c>
      <c r="X795" t="s">
        <v>409</v>
      </c>
      <c r="Y795" t="s">
        <v>410</v>
      </c>
      <c r="Z795" t="s">
        <v>410</v>
      </c>
      <c r="AA795" t="s">
        <v>411</v>
      </c>
      <c r="AB795" t="s">
        <v>554</v>
      </c>
      <c r="AC795" t="s">
        <v>411</v>
      </c>
      <c r="AD795">
        <v>46118</v>
      </c>
      <c r="AE795">
        <v>46118</v>
      </c>
      <c r="AF795">
        <v>46120</v>
      </c>
      <c r="AG795" t="s">
        <v>754</v>
      </c>
      <c r="AH795">
        <v>6168343</v>
      </c>
      <c r="AI795">
        <v>46112</v>
      </c>
      <c r="AJ795">
        <v>46113</v>
      </c>
      <c r="AK795">
        <v>2400</v>
      </c>
      <c r="AL795" t="s">
        <v>396</v>
      </c>
      <c r="AM795" t="s">
        <v>2686</v>
      </c>
      <c r="AN795">
        <v>46113</v>
      </c>
      <c r="AO795">
        <v>46113.420972222222</v>
      </c>
      <c r="AP795" t="s">
        <v>51</v>
      </c>
      <c r="AQ795">
        <v>1.09693</v>
      </c>
      <c r="AR795">
        <v>2632.64</v>
      </c>
      <c r="AS795" t="s">
        <v>51</v>
      </c>
      <c r="AT795">
        <v>2632.64</v>
      </c>
      <c r="AU795" t="s">
        <v>415</v>
      </c>
      <c r="AV795" t="s">
        <v>1420</v>
      </c>
      <c r="AW795" t="s">
        <v>2598</v>
      </c>
      <c r="AX795">
        <v>46120</v>
      </c>
      <c r="AY795">
        <v>46169</v>
      </c>
      <c r="AZ795" t="s">
        <v>2679</v>
      </c>
      <c r="BA795" t="s">
        <v>560</v>
      </c>
      <c r="BB795" t="s">
        <v>2680</v>
      </c>
      <c r="BC795">
        <v>40</v>
      </c>
      <c r="BD795" t="s">
        <v>521</v>
      </c>
      <c r="BE795">
        <v>4.4851000000000001</v>
      </c>
      <c r="BF795">
        <v>3.3351000000000002</v>
      </c>
      <c r="BG795" t="s">
        <v>522</v>
      </c>
      <c r="BH795">
        <v>495</v>
      </c>
      <c r="BI795">
        <v>395</v>
      </c>
      <c r="BJ795">
        <v>1800</v>
      </c>
      <c r="BK795">
        <v>30</v>
      </c>
      <c r="BL795" t="s">
        <v>521</v>
      </c>
      <c r="BM795">
        <v>161.553</v>
      </c>
      <c r="BN795">
        <v>100.053</v>
      </c>
      <c r="BO795">
        <v>323.10719999999998</v>
      </c>
      <c r="BP795" t="s">
        <v>522</v>
      </c>
      <c r="BQ795">
        <v>1200</v>
      </c>
      <c r="BR795">
        <v>1000</v>
      </c>
      <c r="BS795">
        <v>1058</v>
      </c>
      <c r="BT795">
        <v>2</v>
      </c>
      <c r="BU795">
        <v>0</v>
      </c>
      <c r="BV795">
        <v>2</v>
      </c>
      <c r="BW795">
        <v>60</v>
      </c>
      <c r="BX795">
        <v>0</v>
      </c>
      <c r="BY795">
        <v>60</v>
      </c>
      <c r="BZ795">
        <v>2400</v>
      </c>
      <c r="CA795">
        <v>0</v>
      </c>
      <c r="CB795">
        <v>2400</v>
      </c>
      <c r="CC795">
        <v>200.10720000000001</v>
      </c>
      <c r="CD795" t="s">
        <v>799</v>
      </c>
      <c r="CE795" t="s">
        <v>873</v>
      </c>
      <c r="CG795" t="s">
        <v>421</v>
      </c>
      <c r="CN795" t="str">
        <v>M01</v>
      </c>
      <c r="CO795" t="str">
        <v>1318-1030054EN</v>
      </c>
      <c r="CP795" t="str">
        <v>SEGU9929834</v>
      </c>
      <c r="CQ795" s="23">
        <v>10</v>
      </c>
      <c r="CR795" s="25">
        <f t="shared" si="33"/>
        <v>5.1148353668731402E-4</v>
      </c>
      <c r="CS795" s="21">
        <f t="shared" si="34"/>
        <v>1.278708841718285</v>
      </c>
    </row>
    <row r="796" spans="2:97" x14ac:dyDescent="0.35">
      <c r="B796" t="s">
        <v>296</v>
      </c>
      <c r="C796" t="s">
        <v>2687</v>
      </c>
      <c r="D796" t="s">
        <v>395</v>
      </c>
      <c r="E796" t="s">
        <v>395</v>
      </c>
      <c r="F796" t="s">
        <v>396</v>
      </c>
      <c r="G796" t="s">
        <v>397</v>
      </c>
      <c r="H796" t="s">
        <v>398</v>
      </c>
      <c r="I796" t="s">
        <v>399</v>
      </c>
      <c r="J796" t="s">
        <v>749</v>
      </c>
      <c r="K796" t="s">
        <v>629</v>
      </c>
      <c r="L796" t="s">
        <v>787</v>
      </c>
      <c r="M796" t="s">
        <v>403</v>
      </c>
      <c r="N796">
        <v>1</v>
      </c>
      <c r="O796">
        <v>1</v>
      </c>
      <c r="P796" t="s">
        <v>875</v>
      </c>
      <c r="Q796" t="s">
        <v>430</v>
      </c>
      <c r="R796" t="s">
        <v>876</v>
      </c>
      <c r="S796" t="s">
        <v>877</v>
      </c>
      <c r="T796" t="s">
        <v>408</v>
      </c>
      <c r="U796">
        <v>50950078932</v>
      </c>
      <c r="W796">
        <v>6400</v>
      </c>
      <c r="X796" t="s">
        <v>409</v>
      </c>
      <c r="Y796" t="s">
        <v>410</v>
      </c>
      <c r="Z796" t="s">
        <v>410</v>
      </c>
      <c r="AA796" t="s">
        <v>411</v>
      </c>
      <c r="AB796" t="s">
        <v>554</v>
      </c>
      <c r="AC796" t="s">
        <v>411</v>
      </c>
      <c r="AD796">
        <v>46118</v>
      </c>
      <c r="AE796">
        <v>46153</v>
      </c>
      <c r="AF796">
        <v>46120</v>
      </c>
      <c r="AG796" t="s">
        <v>754</v>
      </c>
      <c r="AH796">
        <v>6168344</v>
      </c>
      <c r="AI796">
        <v>46112</v>
      </c>
      <c r="AJ796">
        <v>46113</v>
      </c>
      <c r="AK796">
        <v>6400</v>
      </c>
      <c r="AL796" t="s">
        <v>396</v>
      </c>
      <c r="AM796" t="s">
        <v>2688</v>
      </c>
      <c r="AN796">
        <v>46113</v>
      </c>
      <c r="AO796">
        <v>46113.420972222222</v>
      </c>
      <c r="AP796" t="s">
        <v>51</v>
      </c>
      <c r="AQ796">
        <v>0.12105</v>
      </c>
      <c r="AR796">
        <v>774.72</v>
      </c>
      <c r="AS796" t="s">
        <v>51</v>
      </c>
      <c r="AT796">
        <v>774.72</v>
      </c>
      <c r="AU796" t="s">
        <v>415</v>
      </c>
      <c r="AV796" t="s">
        <v>1420</v>
      </c>
      <c r="AW796" t="s">
        <v>2598</v>
      </c>
      <c r="AX796">
        <v>46120</v>
      </c>
      <c r="AY796">
        <v>46169</v>
      </c>
      <c r="AZ796" t="s">
        <v>2679</v>
      </c>
      <c r="BA796" t="s">
        <v>560</v>
      </c>
      <c r="BB796" t="s">
        <v>2680</v>
      </c>
      <c r="BC796">
        <v>160</v>
      </c>
      <c r="BD796" t="s">
        <v>521</v>
      </c>
      <c r="BE796">
        <v>6.3452000000000002</v>
      </c>
      <c r="BF796">
        <v>4.7952000000000004</v>
      </c>
      <c r="BG796" t="s">
        <v>522</v>
      </c>
      <c r="BH796">
        <v>595</v>
      </c>
      <c r="BI796">
        <v>495</v>
      </c>
      <c r="BJ796">
        <v>190</v>
      </c>
      <c r="BK796">
        <v>20</v>
      </c>
      <c r="BL796" t="s">
        <v>521</v>
      </c>
      <c r="BM796">
        <v>153.904</v>
      </c>
      <c r="BN796">
        <v>95.903999999999996</v>
      </c>
      <c r="BO796">
        <v>307.80799999999999</v>
      </c>
      <c r="BP796" t="s">
        <v>522</v>
      </c>
      <c r="BQ796">
        <v>1200</v>
      </c>
      <c r="BR796">
        <v>1000</v>
      </c>
      <c r="BS796">
        <v>1110</v>
      </c>
      <c r="BT796">
        <v>2</v>
      </c>
      <c r="BU796">
        <v>0</v>
      </c>
      <c r="BV796">
        <v>2</v>
      </c>
      <c r="BW796">
        <v>40</v>
      </c>
      <c r="BX796">
        <v>0</v>
      </c>
      <c r="BY796">
        <v>40</v>
      </c>
      <c r="BZ796">
        <v>6400</v>
      </c>
      <c r="CA796">
        <v>0</v>
      </c>
      <c r="CB796">
        <v>6400</v>
      </c>
      <c r="CC796">
        <v>191.80799999999999</v>
      </c>
      <c r="CD796" t="s">
        <v>592</v>
      </c>
      <c r="CE796" t="s">
        <v>879</v>
      </c>
      <c r="CG796" t="s">
        <v>421</v>
      </c>
      <c r="CN796" t="str">
        <v>M01</v>
      </c>
      <c r="CO796" t="str">
        <v>1318-1030054EN</v>
      </c>
      <c r="CP796" t="str">
        <v>SEGU9929834</v>
      </c>
      <c r="CQ796" s="23">
        <v>10</v>
      </c>
      <c r="CR796" s="25">
        <f t="shared" si="33"/>
        <v>5.1148353668731402E-4</v>
      </c>
      <c r="CS796" s="21">
        <f t="shared" si="34"/>
        <v>1.278708841718285</v>
      </c>
    </row>
    <row r="797" spans="2:97" x14ac:dyDescent="0.35">
      <c r="B797" t="s">
        <v>299</v>
      </c>
      <c r="C797" t="s">
        <v>2689</v>
      </c>
      <c r="D797" t="s">
        <v>395</v>
      </c>
      <c r="E797" t="s">
        <v>395</v>
      </c>
      <c r="F797" t="s">
        <v>396</v>
      </c>
      <c r="G797" t="s">
        <v>397</v>
      </c>
      <c r="H797" t="s">
        <v>398</v>
      </c>
      <c r="I797" t="s">
        <v>399</v>
      </c>
      <c r="J797" t="s">
        <v>749</v>
      </c>
      <c r="K797" t="s">
        <v>629</v>
      </c>
      <c r="L797" t="s">
        <v>787</v>
      </c>
      <c r="M797" t="s">
        <v>403</v>
      </c>
      <c r="N797">
        <v>1</v>
      </c>
      <c r="O797">
        <v>1</v>
      </c>
      <c r="P797" t="s">
        <v>1177</v>
      </c>
      <c r="Q797" t="s">
        <v>637</v>
      </c>
      <c r="R797" t="s">
        <v>1128</v>
      </c>
      <c r="S797" t="s">
        <v>1178</v>
      </c>
      <c r="T797" t="s">
        <v>408</v>
      </c>
      <c r="U797">
        <v>50950079274</v>
      </c>
      <c r="W797">
        <v>12000</v>
      </c>
      <c r="X797" t="s">
        <v>409</v>
      </c>
      <c r="Y797" t="s">
        <v>410</v>
      </c>
      <c r="Z797" t="s">
        <v>410</v>
      </c>
      <c r="AA797" t="s">
        <v>411</v>
      </c>
      <c r="AB797" t="s">
        <v>554</v>
      </c>
      <c r="AC797" t="s">
        <v>411</v>
      </c>
      <c r="AD797">
        <v>46118</v>
      </c>
      <c r="AE797">
        <v>46160</v>
      </c>
      <c r="AF797">
        <v>46120</v>
      </c>
      <c r="AG797" t="s">
        <v>754</v>
      </c>
      <c r="AH797">
        <v>6168345</v>
      </c>
      <c r="AI797">
        <v>46112</v>
      </c>
      <c r="AJ797">
        <v>46113</v>
      </c>
      <c r="AK797">
        <v>12000</v>
      </c>
      <c r="AL797" t="s">
        <v>396</v>
      </c>
      <c r="AM797" t="s">
        <v>2690</v>
      </c>
      <c r="AN797">
        <v>46113</v>
      </c>
      <c r="AO797">
        <v>46113.420972222222</v>
      </c>
      <c r="AP797" t="s">
        <v>51</v>
      </c>
      <c r="AQ797">
        <v>1.0866</v>
      </c>
      <c r="AR797">
        <v>13039.2</v>
      </c>
      <c r="AS797" t="s">
        <v>51</v>
      </c>
      <c r="AT797">
        <v>13039.2</v>
      </c>
      <c r="AU797" t="s">
        <v>415</v>
      </c>
      <c r="AV797" t="s">
        <v>1420</v>
      </c>
      <c r="AW797" t="s">
        <v>2598</v>
      </c>
      <c r="AX797">
        <v>46120</v>
      </c>
      <c r="AY797">
        <v>46169</v>
      </c>
      <c r="AZ797" t="s">
        <v>2679</v>
      </c>
      <c r="BA797" t="s">
        <v>560</v>
      </c>
      <c r="BB797" t="s">
        <v>2680</v>
      </c>
      <c r="BC797">
        <v>80</v>
      </c>
      <c r="BD797" t="s">
        <v>521</v>
      </c>
      <c r="BE797">
        <v>6.9805999999999999</v>
      </c>
      <c r="BF797">
        <v>3.0506000000000002</v>
      </c>
      <c r="BG797" t="s">
        <v>522</v>
      </c>
      <c r="BH797">
        <v>520</v>
      </c>
      <c r="BI797">
        <v>330</v>
      </c>
      <c r="BJ797">
        <v>190</v>
      </c>
      <c r="BK797">
        <v>30</v>
      </c>
      <c r="BL797" t="s">
        <v>521</v>
      </c>
      <c r="BM797">
        <v>235.41800000000001</v>
      </c>
      <c r="BN797">
        <v>91.518000000000001</v>
      </c>
      <c r="BO797">
        <v>1177.096</v>
      </c>
      <c r="BP797" t="s">
        <v>522</v>
      </c>
      <c r="BQ797">
        <v>1066</v>
      </c>
      <c r="BR797">
        <v>1066</v>
      </c>
      <c r="BS797">
        <v>1100</v>
      </c>
      <c r="BT797">
        <v>5</v>
      </c>
      <c r="BU797">
        <v>0</v>
      </c>
      <c r="BV797">
        <v>5</v>
      </c>
      <c r="BW797">
        <v>150</v>
      </c>
      <c r="BX797">
        <v>0</v>
      </c>
      <c r="BY797">
        <v>150</v>
      </c>
      <c r="BZ797">
        <v>12000</v>
      </c>
      <c r="CA797">
        <v>0</v>
      </c>
      <c r="CB797">
        <v>12000</v>
      </c>
      <c r="CC797">
        <v>457.596</v>
      </c>
      <c r="CD797" t="s">
        <v>1131</v>
      </c>
      <c r="CE797" t="s">
        <v>1132</v>
      </c>
      <c r="CG797" t="s">
        <v>421</v>
      </c>
      <c r="CN797" t="str">
        <v>M01</v>
      </c>
      <c r="CO797" t="str">
        <v>1205-1010104EN</v>
      </c>
      <c r="CP797" t="str">
        <v>SEGU9929834</v>
      </c>
      <c r="CQ797" s="23">
        <v>0.1</v>
      </c>
      <c r="CR797" s="25">
        <f t="shared" si="33"/>
        <v>5.1148353668731405E-6</v>
      </c>
      <c r="CS797" s="21">
        <f t="shared" si="34"/>
        <v>1.2787088417182851E-2</v>
      </c>
    </row>
    <row r="798" spans="2:97" x14ac:dyDescent="0.35">
      <c r="B798" t="s">
        <v>299</v>
      </c>
      <c r="C798" t="s">
        <v>2691</v>
      </c>
      <c r="D798" t="s">
        <v>395</v>
      </c>
      <c r="E798" t="s">
        <v>395</v>
      </c>
      <c r="F798" t="s">
        <v>396</v>
      </c>
      <c r="G798" t="s">
        <v>397</v>
      </c>
      <c r="H798" t="s">
        <v>398</v>
      </c>
      <c r="I798" t="s">
        <v>399</v>
      </c>
      <c r="J798" t="s">
        <v>749</v>
      </c>
      <c r="K798" t="s">
        <v>526</v>
      </c>
      <c r="L798" t="s">
        <v>787</v>
      </c>
      <c r="M798" t="s">
        <v>403</v>
      </c>
      <c r="N798">
        <v>1</v>
      </c>
      <c r="O798">
        <v>1</v>
      </c>
      <c r="P798" t="s">
        <v>958</v>
      </c>
      <c r="Q798" t="s">
        <v>430</v>
      </c>
      <c r="R798" t="s">
        <v>959</v>
      </c>
      <c r="S798" t="s">
        <v>960</v>
      </c>
      <c r="T798" t="s">
        <v>408</v>
      </c>
      <c r="U798">
        <v>50950079467</v>
      </c>
      <c r="W798">
        <v>62208</v>
      </c>
      <c r="X798" t="s">
        <v>409</v>
      </c>
      <c r="Y798" t="s">
        <v>410</v>
      </c>
      <c r="Z798" t="s">
        <v>410</v>
      </c>
      <c r="AA798" t="s">
        <v>411</v>
      </c>
      <c r="AB798" t="s">
        <v>554</v>
      </c>
      <c r="AC798" t="s">
        <v>411</v>
      </c>
      <c r="AD798">
        <v>46104</v>
      </c>
      <c r="AE798">
        <v>46125</v>
      </c>
      <c r="AF798">
        <v>46120</v>
      </c>
      <c r="AG798" t="s">
        <v>754</v>
      </c>
      <c r="AH798">
        <v>6168346</v>
      </c>
      <c r="AI798">
        <v>46112</v>
      </c>
      <c r="AJ798">
        <v>46113</v>
      </c>
      <c r="AK798">
        <v>62208</v>
      </c>
      <c r="AL798" t="s">
        <v>396</v>
      </c>
      <c r="AM798" t="s">
        <v>2692</v>
      </c>
      <c r="AN798">
        <v>46113</v>
      </c>
      <c r="AO798">
        <v>46113.420972222222</v>
      </c>
      <c r="AP798" t="s">
        <v>51</v>
      </c>
      <c r="AQ798">
        <v>5.9060000000000001E-2</v>
      </c>
      <c r="AR798">
        <v>3674</v>
      </c>
      <c r="AS798" t="s">
        <v>51</v>
      </c>
      <c r="AT798">
        <v>3674</v>
      </c>
      <c r="AU798" t="s">
        <v>415</v>
      </c>
      <c r="AV798" t="s">
        <v>1420</v>
      </c>
      <c r="AW798" t="s">
        <v>2598</v>
      </c>
      <c r="AX798">
        <v>46120</v>
      </c>
      <c r="AY798">
        <v>46169</v>
      </c>
      <c r="AZ798" t="s">
        <v>2679</v>
      </c>
      <c r="BA798" t="s">
        <v>560</v>
      </c>
      <c r="BB798" t="s">
        <v>2680</v>
      </c>
      <c r="BC798">
        <v>576</v>
      </c>
      <c r="BD798" t="s">
        <v>521</v>
      </c>
      <c r="BE798">
        <v>8.5412999999999997</v>
      </c>
      <c r="BF798">
        <v>8.2673000000000005</v>
      </c>
      <c r="BG798" t="s">
        <v>522</v>
      </c>
      <c r="BH798">
        <v>320</v>
      </c>
      <c r="BI798">
        <v>190</v>
      </c>
      <c r="BJ798">
        <v>65</v>
      </c>
      <c r="BK798">
        <v>54</v>
      </c>
      <c r="BL798" t="s">
        <v>521</v>
      </c>
      <c r="BM798">
        <v>488.23020000000002</v>
      </c>
      <c r="BN798">
        <v>446.43419999999998</v>
      </c>
      <c r="BO798">
        <v>976.46342400000003</v>
      </c>
      <c r="BP798" t="s">
        <v>522</v>
      </c>
      <c r="BQ798">
        <v>1200</v>
      </c>
      <c r="BR798">
        <v>1000</v>
      </c>
      <c r="BS798">
        <v>355</v>
      </c>
      <c r="BT798">
        <v>2</v>
      </c>
      <c r="BU798">
        <v>0</v>
      </c>
      <c r="BV798">
        <v>2</v>
      </c>
      <c r="BW798">
        <v>108</v>
      </c>
      <c r="BX798">
        <v>0</v>
      </c>
      <c r="BY798">
        <v>108</v>
      </c>
      <c r="BZ798">
        <v>62208</v>
      </c>
      <c r="CA798">
        <v>0</v>
      </c>
      <c r="CB798">
        <v>62208</v>
      </c>
      <c r="CC798">
        <v>892.87142400000005</v>
      </c>
      <c r="CD798" t="s">
        <v>962</v>
      </c>
      <c r="CE798" t="s">
        <v>963</v>
      </c>
      <c r="CG798" t="s">
        <v>421</v>
      </c>
      <c r="CN798" t="str">
        <v>M01</v>
      </c>
      <c r="CO798" t="str">
        <v>1205-1010103EN</v>
      </c>
      <c r="CP798" t="str">
        <v>SEGU9929834</v>
      </c>
      <c r="CQ798" s="23">
        <v>0.1</v>
      </c>
      <c r="CR798" s="25">
        <f t="shared" si="33"/>
        <v>5.1148353668731405E-6</v>
      </c>
      <c r="CS798" s="21">
        <f t="shared" si="34"/>
        <v>1.2787088417182851E-2</v>
      </c>
    </row>
    <row r="799" spans="2:97" x14ac:dyDescent="0.35">
      <c r="B799" t="s">
        <v>299</v>
      </c>
      <c r="C799" t="s">
        <v>1380</v>
      </c>
      <c r="D799" t="s">
        <v>965</v>
      </c>
      <c r="E799" t="s">
        <v>395</v>
      </c>
      <c r="F799" t="s">
        <v>396</v>
      </c>
      <c r="G799" t="s">
        <v>397</v>
      </c>
      <c r="H799" t="s">
        <v>398</v>
      </c>
      <c r="I799" t="s">
        <v>399</v>
      </c>
      <c r="J799" t="s">
        <v>749</v>
      </c>
      <c r="K799" t="s">
        <v>809</v>
      </c>
      <c r="L799" t="s">
        <v>787</v>
      </c>
      <c r="M799" t="s">
        <v>403</v>
      </c>
      <c r="N799">
        <v>1</v>
      </c>
      <c r="O799">
        <v>18</v>
      </c>
      <c r="P799" t="s">
        <v>810</v>
      </c>
      <c r="Q799" t="s">
        <v>405</v>
      </c>
      <c r="R799" t="s">
        <v>811</v>
      </c>
      <c r="S799" t="s">
        <v>812</v>
      </c>
      <c r="T799" t="s">
        <v>408</v>
      </c>
      <c r="U799">
        <v>50950080270</v>
      </c>
      <c r="W799">
        <v>1440</v>
      </c>
      <c r="X799" t="s">
        <v>409</v>
      </c>
      <c r="Y799" t="s">
        <v>410</v>
      </c>
      <c r="Z799" t="s">
        <v>410</v>
      </c>
      <c r="AA799" t="s">
        <v>411</v>
      </c>
      <c r="AB799" t="s">
        <v>554</v>
      </c>
      <c r="AC799" t="s">
        <v>411</v>
      </c>
      <c r="AD799">
        <v>46109</v>
      </c>
      <c r="AE799">
        <v>46125</v>
      </c>
      <c r="AF799">
        <v>46120</v>
      </c>
      <c r="AG799" t="s">
        <v>754</v>
      </c>
      <c r="AH799">
        <v>6168347</v>
      </c>
      <c r="AI799">
        <v>46112</v>
      </c>
      <c r="AJ799">
        <v>46113</v>
      </c>
      <c r="AK799">
        <v>1440</v>
      </c>
      <c r="AL799" t="s">
        <v>396</v>
      </c>
      <c r="AM799" t="s">
        <v>2693</v>
      </c>
      <c r="AN799">
        <v>46113</v>
      </c>
      <c r="AO799">
        <v>46113.420972222222</v>
      </c>
      <c r="AP799" t="s">
        <v>51</v>
      </c>
      <c r="AQ799">
        <v>2.0436299999999998</v>
      </c>
      <c r="AR799">
        <v>2942.82</v>
      </c>
      <c r="AS799" t="s">
        <v>51</v>
      </c>
      <c r="AT799">
        <v>2942.82</v>
      </c>
      <c r="AU799" t="s">
        <v>415</v>
      </c>
      <c r="AV799" t="s">
        <v>1420</v>
      </c>
      <c r="AW799" t="s">
        <v>2598</v>
      </c>
      <c r="AX799">
        <v>46120</v>
      </c>
      <c r="AY799">
        <v>46169</v>
      </c>
      <c r="AZ799" t="s">
        <v>2679</v>
      </c>
      <c r="BA799" t="s">
        <v>560</v>
      </c>
      <c r="BB799" t="s">
        <v>2680</v>
      </c>
      <c r="BC799">
        <v>16</v>
      </c>
      <c r="BD799" t="s">
        <v>521</v>
      </c>
      <c r="BE799">
        <v>4.9545000000000003</v>
      </c>
      <c r="BF799">
        <v>3.7555000000000001</v>
      </c>
      <c r="BG799" t="s">
        <v>522</v>
      </c>
      <c r="BH799">
        <v>495</v>
      </c>
      <c r="BI799">
        <v>395</v>
      </c>
      <c r="BJ799">
        <v>190</v>
      </c>
      <c r="BK799">
        <v>30</v>
      </c>
      <c r="BL799" t="s">
        <v>521</v>
      </c>
      <c r="BM799">
        <v>175.63499999999999</v>
      </c>
      <c r="BN799">
        <v>112.66500000000001</v>
      </c>
      <c r="BO799">
        <v>526.90679999999998</v>
      </c>
      <c r="BP799" t="s">
        <v>522</v>
      </c>
      <c r="BQ799">
        <v>1200</v>
      </c>
      <c r="BR799">
        <v>1000</v>
      </c>
      <c r="BS799">
        <v>1120</v>
      </c>
      <c r="BT799">
        <v>3</v>
      </c>
      <c r="BU799">
        <v>0</v>
      </c>
      <c r="BV799">
        <v>3</v>
      </c>
      <c r="BW799">
        <v>90</v>
      </c>
      <c r="BX799">
        <v>0</v>
      </c>
      <c r="BY799">
        <v>90</v>
      </c>
      <c r="BZ799">
        <v>1440</v>
      </c>
      <c r="CA799">
        <v>0</v>
      </c>
      <c r="CB799">
        <v>1440</v>
      </c>
      <c r="CC799">
        <v>337.99680000000001</v>
      </c>
      <c r="CD799" t="s">
        <v>806</v>
      </c>
      <c r="CE799" t="s">
        <v>816</v>
      </c>
      <c r="CG799" t="s">
        <v>421</v>
      </c>
      <c r="CN799" t="str">
        <v>M23</v>
      </c>
      <c r="CO799" t="str">
        <v>1110-1030087EN</v>
      </c>
      <c r="CP799" t="str">
        <v>SEGU9929834</v>
      </c>
      <c r="CQ799" s="23">
        <v>0.1</v>
      </c>
      <c r="CR799" s="25">
        <f t="shared" si="33"/>
        <v>5.1148353668731405E-6</v>
      </c>
      <c r="CS799" s="21">
        <f t="shared" si="34"/>
        <v>1.2787088417182851E-2</v>
      </c>
    </row>
    <row r="800" spans="2:97" x14ac:dyDescent="0.35">
      <c r="B800" t="s">
        <v>297</v>
      </c>
      <c r="C800" t="s">
        <v>831</v>
      </c>
      <c r="D800" t="s">
        <v>395</v>
      </c>
      <c r="E800" t="s">
        <v>395</v>
      </c>
      <c r="F800" t="s">
        <v>396</v>
      </c>
      <c r="G800" t="s">
        <v>397</v>
      </c>
      <c r="H800" t="s">
        <v>398</v>
      </c>
      <c r="I800" t="s">
        <v>399</v>
      </c>
      <c r="J800" t="s">
        <v>749</v>
      </c>
      <c r="K800" t="s">
        <v>629</v>
      </c>
      <c r="L800" t="s">
        <v>787</v>
      </c>
      <c r="M800" t="s">
        <v>403</v>
      </c>
      <c r="N800">
        <v>3</v>
      </c>
      <c r="O800">
        <v>1</v>
      </c>
      <c r="P800" t="s">
        <v>832</v>
      </c>
      <c r="Q800" t="s">
        <v>645</v>
      </c>
      <c r="R800" t="s">
        <v>833</v>
      </c>
      <c r="S800" t="s">
        <v>834</v>
      </c>
      <c r="T800" t="s">
        <v>408</v>
      </c>
      <c r="U800">
        <v>50950080792</v>
      </c>
      <c r="W800">
        <v>9600</v>
      </c>
      <c r="X800" t="s">
        <v>409</v>
      </c>
      <c r="Y800" t="s">
        <v>410</v>
      </c>
      <c r="Z800" t="s">
        <v>410</v>
      </c>
      <c r="AA800" t="s">
        <v>411</v>
      </c>
      <c r="AB800" t="s">
        <v>554</v>
      </c>
      <c r="AC800" t="s">
        <v>411</v>
      </c>
      <c r="AD800">
        <v>46109</v>
      </c>
      <c r="AE800">
        <v>46153</v>
      </c>
      <c r="AF800">
        <v>46120</v>
      </c>
      <c r="AG800" t="s">
        <v>754</v>
      </c>
      <c r="AH800">
        <v>6168348</v>
      </c>
      <c r="AI800">
        <v>46112</v>
      </c>
      <c r="AJ800">
        <v>46113</v>
      </c>
      <c r="AK800">
        <v>9600</v>
      </c>
      <c r="AL800" t="s">
        <v>396</v>
      </c>
      <c r="AM800" t="s">
        <v>2694</v>
      </c>
      <c r="AN800">
        <v>46113</v>
      </c>
      <c r="AO800">
        <v>46113.420972222222</v>
      </c>
      <c r="AP800" t="s">
        <v>51</v>
      </c>
      <c r="AQ800">
        <v>0.13306999999999999</v>
      </c>
      <c r="AR800">
        <v>1277.47</v>
      </c>
      <c r="AS800" t="s">
        <v>51</v>
      </c>
      <c r="AT800">
        <v>1277.47</v>
      </c>
      <c r="AU800" t="s">
        <v>415</v>
      </c>
      <c r="AV800" t="s">
        <v>1420</v>
      </c>
      <c r="AW800" t="s">
        <v>2598</v>
      </c>
      <c r="AX800">
        <v>46120</v>
      </c>
      <c r="AY800">
        <v>46169</v>
      </c>
      <c r="AZ800" t="s">
        <v>2679</v>
      </c>
      <c r="BA800" t="s">
        <v>560</v>
      </c>
      <c r="BB800" t="s">
        <v>2680</v>
      </c>
      <c r="BC800">
        <v>320</v>
      </c>
      <c r="BD800" t="s">
        <v>521</v>
      </c>
      <c r="BE800">
        <v>4.1859999999999999</v>
      </c>
      <c r="BF800">
        <v>3.6160000000000001</v>
      </c>
      <c r="BG800" t="s">
        <v>522</v>
      </c>
      <c r="BH800">
        <v>395</v>
      </c>
      <c r="BI800">
        <v>295</v>
      </c>
      <c r="BJ800">
        <v>255</v>
      </c>
      <c r="BK800">
        <v>30</v>
      </c>
      <c r="BL800" t="s">
        <v>521</v>
      </c>
      <c r="BM800">
        <v>152.58000000000001</v>
      </c>
      <c r="BN800">
        <v>108.48</v>
      </c>
      <c r="BO800">
        <v>152.58000000000001</v>
      </c>
      <c r="BP800" t="s">
        <v>522</v>
      </c>
      <c r="BQ800">
        <v>1200</v>
      </c>
      <c r="BR800">
        <v>1000</v>
      </c>
      <c r="BS800">
        <v>918</v>
      </c>
      <c r="BT800">
        <v>1</v>
      </c>
      <c r="BU800">
        <v>0</v>
      </c>
      <c r="BV800">
        <v>1</v>
      </c>
      <c r="BW800">
        <v>30</v>
      </c>
      <c r="BX800">
        <v>0</v>
      </c>
      <c r="BY800">
        <v>30</v>
      </c>
      <c r="BZ800">
        <v>9600</v>
      </c>
      <c r="CA800">
        <v>0</v>
      </c>
      <c r="CB800">
        <v>9600</v>
      </c>
      <c r="CC800">
        <v>108.48</v>
      </c>
      <c r="CD800" t="s">
        <v>633</v>
      </c>
      <c r="CE800" t="s">
        <v>836</v>
      </c>
      <c r="CG800" t="s">
        <v>421</v>
      </c>
      <c r="CN800" t="str">
        <v>M45</v>
      </c>
      <c r="CO800" t="str">
        <v>0060-G680340EN</v>
      </c>
      <c r="CP800" t="str">
        <v>SEGU9929834</v>
      </c>
      <c r="CQ800" s="23">
        <v>2028.3902226949519</v>
      </c>
      <c r="CR800" s="25">
        <f t="shared" si="33"/>
        <v>0.10374882048859825</v>
      </c>
      <c r="CS800" s="21">
        <f t="shared" si="34"/>
        <v>259.37205122149561</v>
      </c>
    </row>
    <row r="801" spans="2:97" x14ac:dyDescent="0.35">
      <c r="B801" t="s">
        <v>299</v>
      </c>
      <c r="C801" t="s">
        <v>2695</v>
      </c>
      <c r="D801" t="s">
        <v>395</v>
      </c>
      <c r="E801" t="s">
        <v>395</v>
      </c>
      <c r="F801" t="s">
        <v>396</v>
      </c>
      <c r="G801" t="s">
        <v>397</v>
      </c>
      <c r="H801" t="s">
        <v>398</v>
      </c>
      <c r="I801" t="s">
        <v>399</v>
      </c>
      <c r="J801" t="s">
        <v>749</v>
      </c>
      <c r="K801" t="s">
        <v>809</v>
      </c>
      <c r="L801" t="s">
        <v>787</v>
      </c>
      <c r="M801" t="s">
        <v>403</v>
      </c>
      <c r="N801">
        <v>1</v>
      </c>
      <c r="O801">
        <v>1</v>
      </c>
      <c r="P801" t="s">
        <v>892</v>
      </c>
      <c r="Q801" t="s">
        <v>424</v>
      </c>
      <c r="R801" t="s">
        <v>811</v>
      </c>
      <c r="S801" t="s">
        <v>893</v>
      </c>
      <c r="T801" t="s">
        <v>408</v>
      </c>
      <c r="U801">
        <v>50950081256</v>
      </c>
      <c r="W801">
        <v>1440</v>
      </c>
      <c r="X801" t="s">
        <v>409</v>
      </c>
      <c r="Y801" t="s">
        <v>410</v>
      </c>
      <c r="Z801" t="s">
        <v>410</v>
      </c>
      <c r="AA801" t="s">
        <v>411</v>
      </c>
      <c r="AB801" t="s">
        <v>554</v>
      </c>
      <c r="AC801" t="s">
        <v>411</v>
      </c>
      <c r="AD801">
        <v>46109</v>
      </c>
      <c r="AE801">
        <v>46167</v>
      </c>
      <c r="AF801">
        <v>46120</v>
      </c>
      <c r="AG801" t="s">
        <v>754</v>
      </c>
      <c r="AH801">
        <v>6168349</v>
      </c>
      <c r="AI801">
        <v>46112</v>
      </c>
      <c r="AJ801">
        <v>46113</v>
      </c>
      <c r="AK801">
        <v>1440</v>
      </c>
      <c r="AL801" t="s">
        <v>396</v>
      </c>
      <c r="AM801" t="s">
        <v>2696</v>
      </c>
      <c r="AN801">
        <v>46113</v>
      </c>
      <c r="AO801">
        <v>46113.420972222222</v>
      </c>
      <c r="AP801" t="s">
        <v>51</v>
      </c>
      <c r="AQ801">
        <v>1.15625</v>
      </c>
      <c r="AR801">
        <v>1665</v>
      </c>
      <c r="AS801" t="s">
        <v>51</v>
      </c>
      <c r="AT801">
        <v>1665</v>
      </c>
      <c r="AU801" t="s">
        <v>415</v>
      </c>
      <c r="AV801" t="s">
        <v>1420</v>
      </c>
      <c r="AW801" t="s">
        <v>2598</v>
      </c>
      <c r="AX801">
        <v>46120</v>
      </c>
      <c r="AY801">
        <v>46169</v>
      </c>
      <c r="AZ801" t="s">
        <v>2679</v>
      </c>
      <c r="BA801" t="s">
        <v>560</v>
      </c>
      <c r="BB801" t="s">
        <v>2680</v>
      </c>
      <c r="BC801">
        <v>48</v>
      </c>
      <c r="BD801" t="s">
        <v>521</v>
      </c>
      <c r="BE801">
        <v>7.6664000000000003</v>
      </c>
      <c r="BF801">
        <v>6.2064000000000004</v>
      </c>
      <c r="BG801" t="s">
        <v>522</v>
      </c>
      <c r="BH801">
        <v>495</v>
      </c>
      <c r="BI801">
        <v>395</v>
      </c>
      <c r="BJ801">
        <v>190</v>
      </c>
      <c r="BK801">
        <v>30</v>
      </c>
      <c r="BL801" t="s">
        <v>521</v>
      </c>
      <c r="BM801">
        <v>256.99200000000002</v>
      </c>
      <c r="BN801">
        <v>186.19200000000001</v>
      </c>
      <c r="BO801">
        <v>256.99200000000002</v>
      </c>
      <c r="BP801" t="s">
        <v>522</v>
      </c>
      <c r="BQ801">
        <v>1200</v>
      </c>
      <c r="BR801">
        <v>1000</v>
      </c>
      <c r="BS801">
        <v>1120</v>
      </c>
      <c r="BT801">
        <v>1</v>
      </c>
      <c r="BU801">
        <v>0</v>
      </c>
      <c r="BV801">
        <v>1</v>
      </c>
      <c r="BW801">
        <v>30</v>
      </c>
      <c r="BX801">
        <v>0</v>
      </c>
      <c r="BY801">
        <v>30</v>
      </c>
      <c r="BZ801">
        <v>1440</v>
      </c>
      <c r="CA801">
        <v>0</v>
      </c>
      <c r="CB801">
        <v>1440</v>
      </c>
      <c r="CC801">
        <v>186.19200000000001</v>
      </c>
      <c r="CD801" t="s">
        <v>806</v>
      </c>
      <c r="CE801" t="s">
        <v>821</v>
      </c>
      <c r="CG801" t="s">
        <v>421</v>
      </c>
      <c r="CN801" t="str">
        <v>M45</v>
      </c>
      <c r="CO801" t="str">
        <v>0060-G600320EN</v>
      </c>
      <c r="CP801" t="str">
        <v>SEGU9929834</v>
      </c>
      <c r="CQ801" s="23">
        <v>987.2193054703913</v>
      </c>
      <c r="CR801" s="25">
        <f t="shared" si="33"/>
        <v>5.0494642184798953E-2</v>
      </c>
      <c r="CS801" s="21">
        <f t="shared" si="34"/>
        <v>126.23660546199739</v>
      </c>
    </row>
    <row r="802" spans="2:97" x14ac:dyDescent="0.35">
      <c r="B802" t="s">
        <v>299</v>
      </c>
      <c r="C802" t="s">
        <v>2671</v>
      </c>
      <c r="D802" t="s">
        <v>395</v>
      </c>
      <c r="E802" t="s">
        <v>395</v>
      </c>
      <c r="F802" t="s">
        <v>396</v>
      </c>
      <c r="G802" t="s">
        <v>397</v>
      </c>
      <c r="H802" t="s">
        <v>398</v>
      </c>
      <c r="I802" t="s">
        <v>399</v>
      </c>
      <c r="J802" t="s">
        <v>749</v>
      </c>
      <c r="K802" t="s">
        <v>809</v>
      </c>
      <c r="L802" t="s">
        <v>787</v>
      </c>
      <c r="M802" t="s">
        <v>403</v>
      </c>
      <c r="N802">
        <v>1</v>
      </c>
      <c r="O802">
        <v>2</v>
      </c>
      <c r="P802" t="s">
        <v>828</v>
      </c>
      <c r="Q802" t="s">
        <v>587</v>
      </c>
      <c r="R802" t="s">
        <v>811</v>
      </c>
      <c r="S802" t="s">
        <v>829</v>
      </c>
      <c r="T802" t="s">
        <v>408</v>
      </c>
      <c r="U802">
        <v>50950081266</v>
      </c>
      <c r="W802">
        <v>960</v>
      </c>
      <c r="X802" t="s">
        <v>409</v>
      </c>
      <c r="Y802" t="s">
        <v>410</v>
      </c>
      <c r="Z802" t="s">
        <v>410</v>
      </c>
      <c r="AA802" t="s">
        <v>411</v>
      </c>
      <c r="AB802" t="s">
        <v>554</v>
      </c>
      <c r="AC802" t="s">
        <v>411</v>
      </c>
      <c r="AD802">
        <v>46119</v>
      </c>
      <c r="AE802">
        <v>46174</v>
      </c>
      <c r="AF802">
        <v>46120</v>
      </c>
      <c r="AG802" t="s">
        <v>754</v>
      </c>
      <c r="AH802">
        <v>6168350</v>
      </c>
      <c r="AI802">
        <v>46112</v>
      </c>
      <c r="AJ802">
        <v>46113</v>
      </c>
      <c r="AK802">
        <v>960</v>
      </c>
      <c r="AL802" t="s">
        <v>396</v>
      </c>
      <c r="AM802" t="s">
        <v>2697</v>
      </c>
      <c r="AN802">
        <v>46113</v>
      </c>
      <c r="AO802">
        <v>46113.420972222222</v>
      </c>
      <c r="AP802" t="s">
        <v>51</v>
      </c>
      <c r="AQ802">
        <v>1.98325</v>
      </c>
      <c r="AR802">
        <v>1903.92</v>
      </c>
      <c r="AS802" t="s">
        <v>51</v>
      </c>
      <c r="AT802">
        <v>1903.92</v>
      </c>
      <c r="AU802" t="s">
        <v>415</v>
      </c>
      <c r="AV802" t="s">
        <v>1420</v>
      </c>
      <c r="AW802" t="s">
        <v>2598</v>
      </c>
      <c r="AX802">
        <v>46120</v>
      </c>
      <c r="AY802">
        <v>46169</v>
      </c>
      <c r="AZ802" t="s">
        <v>2679</v>
      </c>
      <c r="BA802" t="s">
        <v>560</v>
      </c>
      <c r="BB802" t="s">
        <v>2680</v>
      </c>
      <c r="BC802">
        <v>16</v>
      </c>
      <c r="BD802" t="s">
        <v>521</v>
      </c>
      <c r="BE802">
        <v>4.9409000000000001</v>
      </c>
      <c r="BF802">
        <v>3.7418999999999998</v>
      </c>
      <c r="BG802" t="s">
        <v>522</v>
      </c>
      <c r="BH802">
        <v>495</v>
      </c>
      <c r="BI802">
        <v>395</v>
      </c>
      <c r="BJ802">
        <v>190</v>
      </c>
      <c r="BK802">
        <v>30</v>
      </c>
      <c r="BL802" t="s">
        <v>521</v>
      </c>
      <c r="BM802">
        <v>175.227</v>
      </c>
      <c r="BN802">
        <v>112.25700000000001</v>
      </c>
      <c r="BO802">
        <v>350.45519999999999</v>
      </c>
      <c r="BP802" t="s">
        <v>522</v>
      </c>
      <c r="BQ802">
        <v>1200</v>
      </c>
      <c r="BR802">
        <v>1000</v>
      </c>
      <c r="BS802">
        <v>1120</v>
      </c>
      <c r="BT802">
        <v>2</v>
      </c>
      <c r="BU802">
        <v>0</v>
      </c>
      <c r="BV802">
        <v>2</v>
      </c>
      <c r="BW802">
        <v>60</v>
      </c>
      <c r="BX802">
        <v>0</v>
      </c>
      <c r="BY802">
        <v>60</v>
      </c>
      <c r="BZ802">
        <v>960</v>
      </c>
      <c r="CA802">
        <v>0</v>
      </c>
      <c r="CB802">
        <v>960</v>
      </c>
      <c r="CC802">
        <v>224.51519999999999</v>
      </c>
      <c r="CD802" t="s">
        <v>806</v>
      </c>
      <c r="CE802" t="s">
        <v>816</v>
      </c>
      <c r="CG802" t="s">
        <v>421</v>
      </c>
      <c r="CN802" t="str">
        <v>M45</v>
      </c>
      <c r="CO802" t="str">
        <v>0060-G680340EN</v>
      </c>
      <c r="CP802" t="str">
        <v>SEGU9929834</v>
      </c>
      <c r="CQ802" s="23">
        <v>2015.1794588549578</v>
      </c>
      <c r="CR802" s="25">
        <f t="shared" si="33"/>
        <v>0.10307311166747614</v>
      </c>
      <c r="CS802" s="21">
        <f t="shared" si="34"/>
        <v>257.68277916869033</v>
      </c>
    </row>
    <row r="803" spans="2:97" x14ac:dyDescent="0.35">
      <c r="B803" t="s">
        <v>299</v>
      </c>
      <c r="C803" t="s">
        <v>2698</v>
      </c>
      <c r="D803" t="s">
        <v>395</v>
      </c>
      <c r="E803" t="s">
        <v>823</v>
      </c>
      <c r="F803" t="s">
        <v>396</v>
      </c>
      <c r="G803" t="s">
        <v>397</v>
      </c>
      <c r="H803" t="s">
        <v>398</v>
      </c>
      <c r="I803" t="s">
        <v>399</v>
      </c>
      <c r="J803" t="s">
        <v>749</v>
      </c>
      <c r="K803" t="s">
        <v>809</v>
      </c>
      <c r="L803" t="s">
        <v>787</v>
      </c>
      <c r="M803" t="s">
        <v>403</v>
      </c>
      <c r="N803">
        <v>1</v>
      </c>
      <c r="O803">
        <v>1</v>
      </c>
      <c r="P803" t="s">
        <v>824</v>
      </c>
      <c r="Q803" t="s">
        <v>424</v>
      </c>
      <c r="R803" t="s">
        <v>811</v>
      </c>
      <c r="S803" t="s">
        <v>825</v>
      </c>
      <c r="T803" t="s">
        <v>408</v>
      </c>
      <c r="U803">
        <v>50950081268</v>
      </c>
      <c r="W803">
        <v>1440</v>
      </c>
      <c r="X803" t="s">
        <v>409</v>
      </c>
      <c r="Y803" t="s">
        <v>410</v>
      </c>
      <c r="Z803" t="s">
        <v>410</v>
      </c>
      <c r="AA803" t="s">
        <v>411</v>
      </c>
      <c r="AB803" t="s">
        <v>554</v>
      </c>
      <c r="AC803" t="s">
        <v>411</v>
      </c>
      <c r="AD803">
        <v>46102</v>
      </c>
      <c r="AE803">
        <v>46160</v>
      </c>
      <c r="AF803">
        <v>46120</v>
      </c>
      <c r="AG803" t="s">
        <v>754</v>
      </c>
      <c r="AH803">
        <v>6168351</v>
      </c>
      <c r="AI803">
        <v>46112</v>
      </c>
      <c r="AJ803">
        <v>46113</v>
      </c>
      <c r="AK803">
        <v>1440</v>
      </c>
      <c r="AL803" t="s">
        <v>396</v>
      </c>
      <c r="AM803" t="s">
        <v>2699</v>
      </c>
      <c r="AN803">
        <v>46113</v>
      </c>
      <c r="AO803">
        <v>46113.420972222222</v>
      </c>
      <c r="AP803" t="s">
        <v>51</v>
      </c>
      <c r="AQ803">
        <v>1.3411999999999999</v>
      </c>
      <c r="AR803">
        <v>1931.33</v>
      </c>
      <c r="AS803" t="s">
        <v>51</v>
      </c>
      <c r="AT803">
        <v>1931.33</v>
      </c>
      <c r="AU803" t="s">
        <v>415</v>
      </c>
      <c r="AV803" t="s">
        <v>1420</v>
      </c>
      <c r="AW803" t="s">
        <v>2598</v>
      </c>
      <c r="AX803">
        <v>46120</v>
      </c>
      <c r="AY803">
        <v>46169</v>
      </c>
      <c r="AZ803" t="s">
        <v>2679</v>
      </c>
      <c r="BA803" t="s">
        <v>560</v>
      </c>
      <c r="BB803" t="s">
        <v>2680</v>
      </c>
      <c r="BC803">
        <v>48</v>
      </c>
      <c r="BD803" t="s">
        <v>521</v>
      </c>
      <c r="BE803">
        <v>8.2250999999999994</v>
      </c>
      <c r="BF803">
        <v>6.7651000000000003</v>
      </c>
      <c r="BG803" t="s">
        <v>522</v>
      </c>
      <c r="BH803">
        <v>495</v>
      </c>
      <c r="BI803">
        <v>395</v>
      </c>
      <c r="BJ803">
        <v>190</v>
      </c>
      <c r="BK803">
        <v>30</v>
      </c>
      <c r="BL803" t="s">
        <v>521</v>
      </c>
      <c r="BM803">
        <v>273.75360000000001</v>
      </c>
      <c r="BN803">
        <v>202.95359999999999</v>
      </c>
      <c r="BO803">
        <v>273.75360000000001</v>
      </c>
      <c r="BP803" t="s">
        <v>522</v>
      </c>
      <c r="BQ803">
        <v>1200</v>
      </c>
      <c r="BR803">
        <v>1000</v>
      </c>
      <c r="BS803">
        <v>1120</v>
      </c>
      <c r="BT803">
        <v>1</v>
      </c>
      <c r="BU803">
        <v>0</v>
      </c>
      <c r="BV803">
        <v>1</v>
      </c>
      <c r="BW803">
        <v>30</v>
      </c>
      <c r="BX803">
        <v>0</v>
      </c>
      <c r="BY803">
        <v>30</v>
      </c>
      <c r="BZ803">
        <v>1440</v>
      </c>
      <c r="CA803">
        <v>0</v>
      </c>
      <c r="CB803">
        <v>1440</v>
      </c>
      <c r="CC803">
        <v>202.95359999999999</v>
      </c>
      <c r="CD803" t="s">
        <v>806</v>
      </c>
      <c r="CE803" t="s">
        <v>821</v>
      </c>
      <c r="CG803" t="s">
        <v>421</v>
      </c>
      <c r="CN803" t="str">
        <v>M45</v>
      </c>
      <c r="CO803" t="str">
        <v>0062-G070080EN</v>
      </c>
      <c r="CP803" t="str">
        <v>SEGU9929834</v>
      </c>
      <c r="CQ803" s="23">
        <v>20.000035384284033</v>
      </c>
      <c r="CR803" s="25">
        <f t="shared" si="33"/>
        <v>1.022968883222502E-3</v>
      </c>
      <c r="CS803" s="21">
        <f t="shared" si="34"/>
        <v>2.5574222080562552</v>
      </c>
    </row>
    <row r="804" spans="2:97" x14ac:dyDescent="0.35">
      <c r="B804" t="s">
        <v>299</v>
      </c>
      <c r="C804" t="s">
        <v>2394</v>
      </c>
      <c r="D804" t="s">
        <v>395</v>
      </c>
      <c r="E804" t="s">
        <v>395</v>
      </c>
      <c r="F804" t="s">
        <v>396</v>
      </c>
      <c r="G804" t="s">
        <v>397</v>
      </c>
      <c r="H804" t="s">
        <v>398</v>
      </c>
      <c r="I804" t="s">
        <v>399</v>
      </c>
      <c r="J804" t="s">
        <v>749</v>
      </c>
      <c r="K804" t="s">
        <v>809</v>
      </c>
      <c r="L804" t="s">
        <v>787</v>
      </c>
      <c r="M804" t="s">
        <v>403</v>
      </c>
      <c r="N804">
        <v>1</v>
      </c>
      <c r="O804">
        <v>5</v>
      </c>
      <c r="P804" t="s">
        <v>818</v>
      </c>
      <c r="Q804" t="s">
        <v>430</v>
      </c>
      <c r="R804" t="s">
        <v>811</v>
      </c>
      <c r="S804" t="s">
        <v>819</v>
      </c>
      <c r="T804" t="s">
        <v>408</v>
      </c>
      <c r="U804">
        <v>50950081244</v>
      </c>
      <c r="W804">
        <v>1440</v>
      </c>
      <c r="X804" t="s">
        <v>409</v>
      </c>
      <c r="Y804" t="s">
        <v>410</v>
      </c>
      <c r="Z804" t="s">
        <v>410</v>
      </c>
      <c r="AA804" t="s">
        <v>411</v>
      </c>
      <c r="AB804" t="s">
        <v>554</v>
      </c>
      <c r="AC804" t="s">
        <v>411</v>
      </c>
      <c r="AD804">
        <v>46119</v>
      </c>
      <c r="AE804">
        <v>46167</v>
      </c>
      <c r="AF804">
        <v>46120</v>
      </c>
      <c r="AG804" t="s">
        <v>754</v>
      </c>
      <c r="AH804">
        <v>6168352</v>
      </c>
      <c r="AI804">
        <v>46112</v>
      </c>
      <c r="AJ804">
        <v>46113</v>
      </c>
      <c r="AK804">
        <v>1440</v>
      </c>
      <c r="AL804" t="s">
        <v>396</v>
      </c>
      <c r="AM804" t="s">
        <v>2700</v>
      </c>
      <c r="AN804">
        <v>46113</v>
      </c>
      <c r="AO804">
        <v>46113.420972222222</v>
      </c>
      <c r="AP804" t="s">
        <v>51</v>
      </c>
      <c r="AQ804">
        <v>1.27105</v>
      </c>
      <c r="AR804">
        <v>1830.31</v>
      </c>
      <c r="AS804" t="s">
        <v>51</v>
      </c>
      <c r="AT804">
        <v>1830.31</v>
      </c>
      <c r="AU804" t="s">
        <v>415</v>
      </c>
      <c r="AV804" t="s">
        <v>1420</v>
      </c>
      <c r="AW804" t="s">
        <v>2598</v>
      </c>
      <c r="AX804">
        <v>46120</v>
      </c>
      <c r="AY804">
        <v>46169</v>
      </c>
      <c r="AZ804" t="s">
        <v>2679</v>
      </c>
      <c r="BA804" t="s">
        <v>560</v>
      </c>
      <c r="BB804" t="s">
        <v>2680</v>
      </c>
      <c r="BC804">
        <v>48</v>
      </c>
      <c r="BD804" t="s">
        <v>521</v>
      </c>
      <c r="BE804">
        <v>7.6898999999999997</v>
      </c>
      <c r="BF804">
        <v>6.2298999999999998</v>
      </c>
      <c r="BG804" t="s">
        <v>522</v>
      </c>
      <c r="BH804">
        <v>495</v>
      </c>
      <c r="BI804">
        <v>395</v>
      </c>
      <c r="BJ804">
        <v>190</v>
      </c>
      <c r="BK804">
        <v>30</v>
      </c>
      <c r="BL804" t="s">
        <v>521</v>
      </c>
      <c r="BM804">
        <v>257.69760000000002</v>
      </c>
      <c r="BN804">
        <v>186.89760000000001</v>
      </c>
      <c r="BO804">
        <v>257.69760000000002</v>
      </c>
      <c r="BP804" t="s">
        <v>522</v>
      </c>
      <c r="BQ804">
        <v>1200</v>
      </c>
      <c r="BR804">
        <v>1000</v>
      </c>
      <c r="BS804">
        <v>1120</v>
      </c>
      <c r="BT804">
        <v>1</v>
      </c>
      <c r="BU804">
        <v>0</v>
      </c>
      <c r="BV804">
        <v>1</v>
      </c>
      <c r="BW804">
        <v>30</v>
      </c>
      <c r="BX804">
        <v>0</v>
      </c>
      <c r="BY804">
        <v>30</v>
      </c>
      <c r="BZ804">
        <v>1440</v>
      </c>
      <c r="CA804">
        <v>0</v>
      </c>
      <c r="CB804">
        <v>1440</v>
      </c>
      <c r="CC804">
        <v>186.89760000000001</v>
      </c>
      <c r="CD804" t="s">
        <v>806</v>
      </c>
      <c r="CE804" t="s">
        <v>821</v>
      </c>
      <c r="CG804" t="s">
        <v>421</v>
      </c>
      <c r="CN804" t="str">
        <v>M45</v>
      </c>
      <c r="CO804" t="str">
        <v>1204-V0C0008EN</v>
      </c>
      <c r="CP804" t="str">
        <v>SEGU9929834</v>
      </c>
      <c r="CQ804" s="23">
        <v>0.1</v>
      </c>
      <c r="CR804" s="25">
        <f t="shared" si="33"/>
        <v>5.1148353668731405E-6</v>
      </c>
      <c r="CS804" s="21">
        <f t="shared" si="34"/>
        <v>1.2787088417182851E-2</v>
      </c>
    </row>
    <row r="805" spans="2:97" x14ac:dyDescent="0.35">
      <c r="B805" t="s">
        <v>297</v>
      </c>
      <c r="C805" t="s">
        <v>2357</v>
      </c>
      <c r="D805" t="s">
        <v>395</v>
      </c>
      <c r="E805" t="s">
        <v>395</v>
      </c>
      <c r="F805" t="s">
        <v>396</v>
      </c>
      <c r="G805" t="s">
        <v>397</v>
      </c>
      <c r="H805" t="s">
        <v>398</v>
      </c>
      <c r="I805" t="s">
        <v>399</v>
      </c>
      <c r="J805" t="s">
        <v>749</v>
      </c>
      <c r="K805" t="s">
        <v>629</v>
      </c>
      <c r="L805" t="s">
        <v>787</v>
      </c>
      <c r="M805" t="s">
        <v>403</v>
      </c>
      <c r="N805">
        <v>3</v>
      </c>
      <c r="O805">
        <v>1</v>
      </c>
      <c r="P805" t="s">
        <v>896</v>
      </c>
      <c r="Q805" t="s">
        <v>424</v>
      </c>
      <c r="R805" t="s">
        <v>833</v>
      </c>
      <c r="S805" t="s">
        <v>834</v>
      </c>
      <c r="T805" t="s">
        <v>408</v>
      </c>
      <c r="U805">
        <v>50950081500</v>
      </c>
      <c r="W805">
        <v>7000</v>
      </c>
      <c r="X805" t="s">
        <v>409</v>
      </c>
      <c r="Y805" t="s">
        <v>410</v>
      </c>
      <c r="Z805" t="s">
        <v>410</v>
      </c>
      <c r="AA805" t="s">
        <v>411</v>
      </c>
      <c r="AB805" t="s">
        <v>554</v>
      </c>
      <c r="AC805" t="s">
        <v>411</v>
      </c>
      <c r="AD805">
        <v>46109</v>
      </c>
      <c r="AE805">
        <v>46167</v>
      </c>
      <c r="AF805">
        <v>46120</v>
      </c>
      <c r="AG805" t="s">
        <v>754</v>
      </c>
      <c r="AH805">
        <v>6168353</v>
      </c>
      <c r="AI805">
        <v>46112</v>
      </c>
      <c r="AJ805">
        <v>46113</v>
      </c>
      <c r="AK805">
        <v>7000</v>
      </c>
      <c r="AL805" t="s">
        <v>396</v>
      </c>
      <c r="AM805" t="s">
        <v>2701</v>
      </c>
      <c r="AN805">
        <v>46113</v>
      </c>
      <c r="AO805">
        <v>46113.420972222222</v>
      </c>
      <c r="AP805" t="s">
        <v>51</v>
      </c>
      <c r="AQ805">
        <v>0.12942000000000001</v>
      </c>
      <c r="AR805">
        <v>905.94</v>
      </c>
      <c r="AS805" t="s">
        <v>51</v>
      </c>
      <c r="AT805">
        <v>905.94</v>
      </c>
      <c r="AU805" t="s">
        <v>415</v>
      </c>
      <c r="AV805" t="s">
        <v>1420</v>
      </c>
      <c r="AW805" t="s">
        <v>2598</v>
      </c>
      <c r="AX805">
        <v>46120</v>
      </c>
      <c r="AY805">
        <v>46169</v>
      </c>
      <c r="AZ805" t="s">
        <v>2679</v>
      </c>
      <c r="BA805" t="s">
        <v>560</v>
      </c>
      <c r="BB805" t="s">
        <v>2680</v>
      </c>
      <c r="BC805">
        <v>1400</v>
      </c>
      <c r="BD805" t="s">
        <v>521</v>
      </c>
      <c r="BE805">
        <v>10.201000000000001</v>
      </c>
      <c r="BF805">
        <v>9.3309999999999995</v>
      </c>
      <c r="BG805" t="s">
        <v>522</v>
      </c>
      <c r="BH805">
        <v>595</v>
      </c>
      <c r="BI805">
        <v>395</v>
      </c>
      <c r="BJ805">
        <v>190</v>
      </c>
      <c r="BK805">
        <v>25</v>
      </c>
      <c r="BL805" t="s">
        <v>521</v>
      </c>
      <c r="BM805">
        <v>78.004999999999995</v>
      </c>
      <c r="BN805">
        <v>46.655000000000001</v>
      </c>
      <c r="BO805">
        <v>78.004999999999995</v>
      </c>
      <c r="BP805" t="s">
        <v>522</v>
      </c>
      <c r="BQ805">
        <v>1200</v>
      </c>
      <c r="BR805">
        <v>1000</v>
      </c>
      <c r="BS805">
        <v>1088</v>
      </c>
      <c r="BT805">
        <v>0</v>
      </c>
      <c r="BU805">
        <v>1</v>
      </c>
      <c r="BV805">
        <v>1</v>
      </c>
      <c r="BW805">
        <v>5</v>
      </c>
      <c r="BX805">
        <v>0</v>
      </c>
      <c r="BY805">
        <v>5</v>
      </c>
      <c r="BZ805">
        <v>0</v>
      </c>
      <c r="CA805">
        <v>7000</v>
      </c>
      <c r="CB805">
        <v>7000</v>
      </c>
      <c r="CC805">
        <v>46.655000000000001</v>
      </c>
      <c r="CD805" t="s">
        <v>842</v>
      </c>
      <c r="CE805" t="s">
        <v>898</v>
      </c>
      <c r="CG805" t="s">
        <v>421</v>
      </c>
      <c r="CN805" t="str">
        <v>M45</v>
      </c>
      <c r="CO805" t="str">
        <v>1110-V0C0021EN</v>
      </c>
      <c r="CP805" t="str">
        <v>SEGU9929834</v>
      </c>
      <c r="CQ805" s="23">
        <v>0.1</v>
      </c>
      <c r="CR805" s="25">
        <f t="shared" si="33"/>
        <v>5.1148353668731405E-6</v>
      </c>
      <c r="CS805" s="21">
        <f t="shared" si="34"/>
        <v>1.2787088417182851E-2</v>
      </c>
    </row>
    <row r="806" spans="2:97" x14ac:dyDescent="0.35">
      <c r="B806" t="s">
        <v>297</v>
      </c>
      <c r="C806" t="s">
        <v>2702</v>
      </c>
      <c r="D806" t="s">
        <v>395</v>
      </c>
      <c r="E806" t="s">
        <v>395</v>
      </c>
      <c r="F806" t="s">
        <v>396</v>
      </c>
      <c r="G806" t="s">
        <v>397</v>
      </c>
      <c r="H806" t="s">
        <v>398</v>
      </c>
      <c r="I806" t="s">
        <v>399</v>
      </c>
      <c r="J806" t="s">
        <v>749</v>
      </c>
      <c r="K806" t="s">
        <v>629</v>
      </c>
      <c r="L806" t="s">
        <v>787</v>
      </c>
      <c r="M806" t="s">
        <v>403</v>
      </c>
      <c r="N806">
        <v>1</v>
      </c>
      <c r="O806">
        <v>1</v>
      </c>
      <c r="P806" t="s">
        <v>1589</v>
      </c>
      <c r="Q806" t="s">
        <v>637</v>
      </c>
      <c r="R806" t="s">
        <v>1483</v>
      </c>
      <c r="S806" t="s">
        <v>1484</v>
      </c>
      <c r="T806" t="s">
        <v>408</v>
      </c>
      <c r="U806">
        <v>50950081504</v>
      </c>
      <c r="W806">
        <v>36000</v>
      </c>
      <c r="X806" t="s">
        <v>409</v>
      </c>
      <c r="Y806" t="s">
        <v>410</v>
      </c>
      <c r="Z806" t="s">
        <v>410</v>
      </c>
      <c r="AA806" t="s">
        <v>411</v>
      </c>
      <c r="AB806" t="s">
        <v>554</v>
      </c>
      <c r="AC806" t="s">
        <v>411</v>
      </c>
      <c r="AD806">
        <v>46116</v>
      </c>
      <c r="AE806">
        <v>46174</v>
      </c>
      <c r="AF806">
        <v>46120</v>
      </c>
      <c r="AG806" t="s">
        <v>754</v>
      </c>
      <c r="AH806">
        <v>6168354</v>
      </c>
      <c r="AI806">
        <v>46112</v>
      </c>
      <c r="AJ806">
        <v>46113</v>
      </c>
      <c r="AK806">
        <v>36000</v>
      </c>
      <c r="AL806" t="s">
        <v>396</v>
      </c>
      <c r="AM806" t="s">
        <v>2703</v>
      </c>
      <c r="AN806">
        <v>46113</v>
      </c>
      <c r="AO806">
        <v>46113.420972222222</v>
      </c>
      <c r="AP806" t="s">
        <v>51</v>
      </c>
      <c r="AQ806">
        <v>4.3720000000000002E-2</v>
      </c>
      <c r="AR806">
        <v>1573.92</v>
      </c>
      <c r="AS806" t="s">
        <v>51</v>
      </c>
      <c r="AT806">
        <v>1573.92</v>
      </c>
      <c r="AU806" t="s">
        <v>415</v>
      </c>
      <c r="AV806" t="s">
        <v>1420</v>
      </c>
      <c r="AW806" t="s">
        <v>2598</v>
      </c>
      <c r="AX806">
        <v>46120</v>
      </c>
      <c r="AY806">
        <v>46169</v>
      </c>
      <c r="AZ806" t="s">
        <v>2679</v>
      </c>
      <c r="BA806" t="s">
        <v>560</v>
      </c>
      <c r="BB806" t="s">
        <v>2680</v>
      </c>
      <c r="BC806">
        <v>900</v>
      </c>
      <c r="BD806" t="s">
        <v>521</v>
      </c>
      <c r="BE806">
        <v>4.2458</v>
      </c>
      <c r="BF806">
        <v>3.5388000000000002</v>
      </c>
      <c r="BG806" t="s">
        <v>522</v>
      </c>
      <c r="BH806">
        <v>395</v>
      </c>
      <c r="BI806">
        <v>295</v>
      </c>
      <c r="BJ806">
        <v>150</v>
      </c>
      <c r="BK806">
        <v>60</v>
      </c>
      <c r="BL806" t="s">
        <v>521</v>
      </c>
      <c r="BM806">
        <v>196.83199999999999</v>
      </c>
      <c r="BN806">
        <v>141.55199999999999</v>
      </c>
      <c r="BO806">
        <v>196.83199999999999</v>
      </c>
      <c r="BP806" t="s">
        <v>522</v>
      </c>
      <c r="BQ806">
        <v>1200</v>
      </c>
      <c r="BR806">
        <v>1000</v>
      </c>
      <c r="BS806">
        <v>1058</v>
      </c>
      <c r="BT806">
        <v>0</v>
      </c>
      <c r="BU806">
        <v>1</v>
      </c>
      <c r="BV806">
        <v>1</v>
      </c>
      <c r="BW806">
        <v>40</v>
      </c>
      <c r="BX806">
        <v>0</v>
      </c>
      <c r="BY806">
        <v>40</v>
      </c>
      <c r="BZ806">
        <v>0</v>
      </c>
      <c r="CA806">
        <v>36000</v>
      </c>
      <c r="CB806">
        <v>36000</v>
      </c>
      <c r="CC806">
        <v>141.55199999999999</v>
      </c>
      <c r="CD806" t="s">
        <v>799</v>
      </c>
      <c r="CE806" t="s">
        <v>1591</v>
      </c>
      <c r="CG806" t="s">
        <v>421</v>
      </c>
      <c r="CN806" t="str">
        <v>M45</v>
      </c>
      <c r="CO806" t="str">
        <v>1204-V0C0010EN</v>
      </c>
      <c r="CP806" t="str">
        <v>SEGU9929834</v>
      </c>
      <c r="CQ806" s="23">
        <v>0.1</v>
      </c>
      <c r="CR806" s="25">
        <f t="shared" si="33"/>
        <v>5.1148353668731405E-6</v>
      </c>
      <c r="CS806" s="21">
        <f t="shared" si="34"/>
        <v>1.2787088417182851E-2</v>
      </c>
    </row>
    <row r="807" spans="2:97" x14ac:dyDescent="0.35">
      <c r="B807" t="s">
        <v>297</v>
      </c>
      <c r="C807" t="s">
        <v>2704</v>
      </c>
      <c r="D807" t="s">
        <v>395</v>
      </c>
      <c r="E807" t="s">
        <v>395</v>
      </c>
      <c r="F807" t="s">
        <v>396</v>
      </c>
      <c r="G807" t="s">
        <v>397</v>
      </c>
      <c r="H807" t="s">
        <v>398</v>
      </c>
      <c r="I807" t="s">
        <v>399</v>
      </c>
      <c r="J807" t="s">
        <v>749</v>
      </c>
      <c r="K807" t="s">
        <v>629</v>
      </c>
      <c r="L807" t="s">
        <v>787</v>
      </c>
      <c r="M807" t="s">
        <v>403</v>
      </c>
      <c r="N807">
        <v>1</v>
      </c>
      <c r="O807">
        <v>1</v>
      </c>
      <c r="P807" t="s">
        <v>1951</v>
      </c>
      <c r="Q807" t="s">
        <v>430</v>
      </c>
      <c r="R807" t="s">
        <v>905</v>
      </c>
      <c r="S807" t="s">
        <v>906</v>
      </c>
      <c r="T807" t="s">
        <v>408</v>
      </c>
      <c r="U807">
        <v>50950081507</v>
      </c>
      <c r="W807">
        <v>9000</v>
      </c>
      <c r="X807" t="s">
        <v>409</v>
      </c>
      <c r="Y807" t="s">
        <v>410</v>
      </c>
      <c r="Z807" t="s">
        <v>410</v>
      </c>
      <c r="AA807" t="s">
        <v>411</v>
      </c>
      <c r="AB807" t="s">
        <v>554</v>
      </c>
      <c r="AC807" t="s">
        <v>411</v>
      </c>
      <c r="AD807">
        <v>46116</v>
      </c>
      <c r="AE807">
        <v>46174</v>
      </c>
      <c r="AF807">
        <v>46120</v>
      </c>
      <c r="AG807" t="s">
        <v>754</v>
      </c>
      <c r="AH807">
        <v>6168355</v>
      </c>
      <c r="AI807">
        <v>46112</v>
      </c>
      <c r="AJ807">
        <v>46113</v>
      </c>
      <c r="AK807">
        <v>9000</v>
      </c>
      <c r="AL807" t="s">
        <v>396</v>
      </c>
      <c r="AM807" t="s">
        <v>2705</v>
      </c>
      <c r="AN807">
        <v>46113</v>
      </c>
      <c r="AO807">
        <v>46113.420972222222</v>
      </c>
      <c r="AP807" t="s">
        <v>51</v>
      </c>
      <c r="AQ807">
        <v>0.12801999999999999</v>
      </c>
      <c r="AR807">
        <v>1152.18</v>
      </c>
      <c r="AS807" t="s">
        <v>51</v>
      </c>
      <c r="AT807">
        <v>1152.18</v>
      </c>
      <c r="AU807" t="s">
        <v>415</v>
      </c>
      <c r="AV807" t="s">
        <v>1420</v>
      </c>
      <c r="AW807" t="s">
        <v>2598</v>
      </c>
      <c r="AX807">
        <v>46120</v>
      </c>
      <c r="AY807">
        <v>46169</v>
      </c>
      <c r="AZ807" t="s">
        <v>2679</v>
      </c>
      <c r="BA807" t="s">
        <v>560</v>
      </c>
      <c r="BB807" t="s">
        <v>2680</v>
      </c>
      <c r="BC807">
        <v>900</v>
      </c>
      <c r="BD807" t="s">
        <v>521</v>
      </c>
      <c r="BE807">
        <v>7.319</v>
      </c>
      <c r="BF807">
        <v>6.4080000000000004</v>
      </c>
      <c r="BG807" t="s">
        <v>522</v>
      </c>
      <c r="BH807">
        <v>395</v>
      </c>
      <c r="BI807">
        <v>295</v>
      </c>
      <c r="BJ807">
        <v>270</v>
      </c>
      <c r="BK807">
        <v>30</v>
      </c>
      <c r="BL807" t="s">
        <v>521</v>
      </c>
      <c r="BM807">
        <v>100.19</v>
      </c>
      <c r="BN807">
        <v>64.08</v>
      </c>
      <c r="BO807">
        <v>100.19</v>
      </c>
      <c r="BP807" t="s">
        <v>522</v>
      </c>
      <c r="BQ807">
        <v>1200</v>
      </c>
      <c r="BR807">
        <v>1000</v>
      </c>
      <c r="BS807">
        <v>984</v>
      </c>
      <c r="BT807">
        <v>0</v>
      </c>
      <c r="BU807">
        <v>1</v>
      </c>
      <c r="BV807">
        <v>1</v>
      </c>
      <c r="BW807">
        <v>10</v>
      </c>
      <c r="BX807">
        <v>0</v>
      </c>
      <c r="BY807">
        <v>10</v>
      </c>
      <c r="BZ807">
        <v>0</v>
      </c>
      <c r="CA807">
        <v>9000</v>
      </c>
      <c r="CB807">
        <v>9000</v>
      </c>
      <c r="CC807">
        <v>64.08</v>
      </c>
      <c r="CD807" t="s">
        <v>908</v>
      </c>
      <c r="CE807" t="s">
        <v>909</v>
      </c>
      <c r="CG807" t="s">
        <v>421</v>
      </c>
      <c r="CN807" t="str">
        <v>M45</v>
      </c>
      <c r="CO807" t="str">
        <v>0059-V040400EN</v>
      </c>
      <c r="CP807" t="str">
        <v>SEGU9929834</v>
      </c>
      <c r="CQ807" s="23">
        <v>1656.2907117959717</v>
      </c>
      <c r="CR807" s="25">
        <f t="shared" si="33"/>
        <v>8.4716543105175235E-2</v>
      </c>
      <c r="CS807" s="21">
        <f t="shared" si="34"/>
        <v>211.79135776293808</v>
      </c>
    </row>
    <row r="808" spans="2:97" x14ac:dyDescent="0.35">
      <c r="B808" t="s">
        <v>297</v>
      </c>
      <c r="C808" t="s">
        <v>2704</v>
      </c>
      <c r="D808" t="s">
        <v>395</v>
      </c>
      <c r="E808" t="s">
        <v>395</v>
      </c>
      <c r="F808" t="s">
        <v>396</v>
      </c>
      <c r="G808" t="s">
        <v>397</v>
      </c>
      <c r="H808" t="s">
        <v>398</v>
      </c>
      <c r="I808" t="s">
        <v>399</v>
      </c>
      <c r="J808" t="s">
        <v>749</v>
      </c>
      <c r="K808" t="s">
        <v>629</v>
      </c>
      <c r="L808" t="s">
        <v>787</v>
      </c>
      <c r="M808" t="s">
        <v>403</v>
      </c>
      <c r="N808">
        <v>2</v>
      </c>
      <c r="O808">
        <v>1</v>
      </c>
      <c r="P808" t="s">
        <v>1951</v>
      </c>
      <c r="Q808" t="s">
        <v>430</v>
      </c>
      <c r="R808" t="s">
        <v>905</v>
      </c>
      <c r="S808" t="s">
        <v>906</v>
      </c>
      <c r="T808" t="s">
        <v>408</v>
      </c>
      <c r="U808">
        <v>50950081507</v>
      </c>
      <c r="W808">
        <v>9000</v>
      </c>
      <c r="X808" t="s">
        <v>409</v>
      </c>
      <c r="Y808" t="s">
        <v>410</v>
      </c>
      <c r="Z808" t="s">
        <v>410</v>
      </c>
      <c r="AA808" t="s">
        <v>411</v>
      </c>
      <c r="AB808" t="s">
        <v>554</v>
      </c>
      <c r="AC808" t="s">
        <v>411</v>
      </c>
      <c r="AD808">
        <v>46109</v>
      </c>
      <c r="AE808">
        <v>46181</v>
      </c>
      <c r="AF808">
        <v>46120</v>
      </c>
      <c r="AG808" t="s">
        <v>754</v>
      </c>
      <c r="AH808">
        <v>6168355</v>
      </c>
      <c r="AI808">
        <v>46112</v>
      </c>
      <c r="AJ808">
        <v>46113</v>
      </c>
      <c r="AK808">
        <v>9000</v>
      </c>
      <c r="AL808" t="s">
        <v>396</v>
      </c>
      <c r="AM808" t="s">
        <v>2705</v>
      </c>
      <c r="AN808">
        <v>46113</v>
      </c>
      <c r="AO808">
        <v>46113.420972222222</v>
      </c>
      <c r="AP808" t="s">
        <v>51</v>
      </c>
      <c r="AQ808">
        <v>0.12801999999999999</v>
      </c>
      <c r="AR808">
        <v>1152.18</v>
      </c>
      <c r="AS808" t="s">
        <v>51</v>
      </c>
      <c r="AT808">
        <v>1152.18</v>
      </c>
      <c r="AU808" t="s">
        <v>415</v>
      </c>
      <c r="AV808" t="s">
        <v>1420</v>
      </c>
      <c r="AW808" t="s">
        <v>2598</v>
      </c>
      <c r="AX808">
        <v>46120</v>
      </c>
      <c r="AY808">
        <v>46169</v>
      </c>
      <c r="AZ808" t="s">
        <v>2679</v>
      </c>
      <c r="BA808" t="s">
        <v>560</v>
      </c>
      <c r="BB808" t="s">
        <v>2680</v>
      </c>
      <c r="BC808">
        <v>900</v>
      </c>
      <c r="BD808" t="s">
        <v>521</v>
      </c>
      <c r="BE808">
        <v>7.319</v>
      </c>
      <c r="BF808">
        <v>6.4080000000000004</v>
      </c>
      <c r="BG808" t="s">
        <v>522</v>
      </c>
      <c r="BH808">
        <v>395</v>
      </c>
      <c r="BI808">
        <v>295</v>
      </c>
      <c r="BJ808">
        <v>270</v>
      </c>
      <c r="BK808">
        <v>30</v>
      </c>
      <c r="BL808" t="s">
        <v>521</v>
      </c>
      <c r="BM808">
        <v>100.19</v>
      </c>
      <c r="BN808">
        <v>64.08</v>
      </c>
      <c r="BO808">
        <v>100.19</v>
      </c>
      <c r="BP808" t="s">
        <v>522</v>
      </c>
      <c r="BQ808">
        <v>1200</v>
      </c>
      <c r="BR808">
        <v>1000</v>
      </c>
      <c r="BS808">
        <v>984</v>
      </c>
      <c r="BT808">
        <v>0</v>
      </c>
      <c r="BU808">
        <v>1</v>
      </c>
      <c r="BV808">
        <v>1</v>
      </c>
      <c r="BW808">
        <v>10</v>
      </c>
      <c r="BX808">
        <v>0</v>
      </c>
      <c r="BY808">
        <v>10</v>
      </c>
      <c r="BZ808">
        <v>0</v>
      </c>
      <c r="CA808">
        <v>9000</v>
      </c>
      <c r="CB808">
        <v>9000</v>
      </c>
      <c r="CC808">
        <v>64.08</v>
      </c>
      <c r="CD808" t="s">
        <v>908</v>
      </c>
      <c r="CE808" t="s">
        <v>909</v>
      </c>
      <c r="CG808" t="s">
        <v>421</v>
      </c>
      <c r="CN808" t="str">
        <v>M23</v>
      </c>
      <c r="CO808" t="str">
        <v>CPSPBR396X580EN</v>
      </c>
      <c r="CP808" t="str">
        <v>SEGU9929834</v>
      </c>
      <c r="CQ808" s="23">
        <v>50</v>
      </c>
      <c r="CR808" s="25">
        <f t="shared" si="33"/>
        <v>2.5574176834365701E-3</v>
      </c>
      <c r="CS808" s="21">
        <f t="shared" si="34"/>
        <v>6.3935442085914254</v>
      </c>
    </row>
    <row r="809" spans="2:97" x14ac:dyDescent="0.35">
      <c r="B809" t="s">
        <v>297</v>
      </c>
      <c r="C809" t="s">
        <v>2706</v>
      </c>
      <c r="D809" t="s">
        <v>395</v>
      </c>
      <c r="E809" t="s">
        <v>395</v>
      </c>
      <c r="F809" t="s">
        <v>396</v>
      </c>
      <c r="G809" t="s">
        <v>397</v>
      </c>
      <c r="H809" t="s">
        <v>398</v>
      </c>
      <c r="I809" t="s">
        <v>399</v>
      </c>
      <c r="J809" t="s">
        <v>749</v>
      </c>
      <c r="K809" t="s">
        <v>1142</v>
      </c>
      <c r="L809" t="s">
        <v>787</v>
      </c>
      <c r="M809" t="s">
        <v>403</v>
      </c>
      <c r="N809">
        <v>1</v>
      </c>
      <c r="O809">
        <v>1</v>
      </c>
      <c r="P809" t="s">
        <v>1383</v>
      </c>
      <c r="Q809" t="s">
        <v>430</v>
      </c>
      <c r="R809" t="s">
        <v>1384</v>
      </c>
      <c r="S809" t="s">
        <v>1385</v>
      </c>
      <c r="T809" t="s">
        <v>408</v>
      </c>
      <c r="U809">
        <v>50950081597</v>
      </c>
      <c r="W809">
        <v>1520000</v>
      </c>
      <c r="X809" t="s">
        <v>448</v>
      </c>
      <c r="Y809" t="s">
        <v>410</v>
      </c>
      <c r="Z809" t="s">
        <v>410</v>
      </c>
      <c r="AA809" t="s">
        <v>411</v>
      </c>
      <c r="AB809" t="s">
        <v>412</v>
      </c>
      <c r="AC809" t="s">
        <v>411</v>
      </c>
      <c r="AD809">
        <v>46112</v>
      </c>
      <c r="AE809">
        <v>46132</v>
      </c>
      <c r="AF809">
        <v>46113</v>
      </c>
      <c r="AG809" t="s">
        <v>754</v>
      </c>
      <c r="AH809">
        <v>6168590</v>
      </c>
      <c r="AI809">
        <v>46112</v>
      </c>
      <c r="AJ809">
        <v>46113</v>
      </c>
      <c r="AK809">
        <v>1520000</v>
      </c>
      <c r="AL809" t="s">
        <v>396</v>
      </c>
      <c r="AM809" t="s">
        <v>2707</v>
      </c>
      <c r="AN809">
        <v>46113</v>
      </c>
      <c r="AO809">
        <v>46113.472534722219</v>
      </c>
      <c r="AP809" t="s">
        <v>51</v>
      </c>
      <c r="AQ809">
        <v>1.1100000000000001E-3</v>
      </c>
      <c r="AR809">
        <v>1687.2</v>
      </c>
      <c r="AS809" t="s">
        <v>51</v>
      </c>
      <c r="AT809">
        <v>1687.2</v>
      </c>
      <c r="AU809" t="s">
        <v>450</v>
      </c>
      <c r="AV809" t="s">
        <v>1597</v>
      </c>
      <c r="AW809" t="s">
        <v>2661</v>
      </c>
      <c r="AX809">
        <v>46116</v>
      </c>
      <c r="AY809">
        <v>46120</v>
      </c>
      <c r="BA809" t="s">
        <v>448</v>
      </c>
      <c r="BB809" t="s">
        <v>2708</v>
      </c>
      <c r="BC809">
        <v>760000</v>
      </c>
      <c r="BD809" t="s">
        <v>521</v>
      </c>
      <c r="BE809">
        <v>382.68</v>
      </c>
      <c r="BF809">
        <v>317.68</v>
      </c>
      <c r="BG809" t="s">
        <v>522</v>
      </c>
      <c r="BH809">
        <v>1050</v>
      </c>
      <c r="BI809">
        <v>480</v>
      </c>
      <c r="BJ809">
        <v>460</v>
      </c>
      <c r="BK809">
        <v>1</v>
      </c>
      <c r="BL809" t="s">
        <v>521</v>
      </c>
      <c r="BM809">
        <v>399.08</v>
      </c>
      <c r="BN809">
        <v>317.68</v>
      </c>
      <c r="BO809">
        <v>798.16</v>
      </c>
      <c r="BP809" t="s">
        <v>522</v>
      </c>
      <c r="BQ809">
        <v>1050</v>
      </c>
      <c r="BR809">
        <v>480</v>
      </c>
      <c r="BS809">
        <v>480</v>
      </c>
      <c r="BT809">
        <v>2</v>
      </c>
      <c r="BU809">
        <v>0</v>
      </c>
      <c r="BV809">
        <v>2</v>
      </c>
      <c r="BW809">
        <v>2</v>
      </c>
      <c r="BX809">
        <v>0</v>
      </c>
      <c r="BY809">
        <v>2</v>
      </c>
      <c r="BZ809">
        <v>1520000</v>
      </c>
      <c r="CA809">
        <v>0</v>
      </c>
      <c r="CB809">
        <v>1520000</v>
      </c>
      <c r="CC809">
        <v>635.36</v>
      </c>
      <c r="CD809" t="s">
        <v>1387</v>
      </c>
      <c r="CE809" t="s">
        <v>1388</v>
      </c>
      <c r="CG809" t="s">
        <v>421</v>
      </c>
      <c r="CN809" t="str">
        <v>M45</v>
      </c>
      <c r="CO809" t="str">
        <v>0060-G600574EN</v>
      </c>
      <c r="CP809" t="str">
        <v>SEGU9929834</v>
      </c>
      <c r="CQ809" s="23">
        <v>2446.4999669510921</v>
      </c>
      <c r="CR809" s="25">
        <f t="shared" si="33"/>
        <v>0.12513444556015416</v>
      </c>
      <c r="CS809" s="21">
        <f t="shared" si="34"/>
        <v>312.83611390038539</v>
      </c>
    </row>
    <row r="810" spans="2:97" x14ac:dyDescent="0.35">
      <c r="B810" t="s">
        <v>295</v>
      </c>
      <c r="C810" t="s">
        <v>2709</v>
      </c>
      <c r="D810" t="s">
        <v>395</v>
      </c>
      <c r="E810" t="s">
        <v>395</v>
      </c>
      <c r="F810" t="s">
        <v>396</v>
      </c>
      <c r="G810" t="s">
        <v>397</v>
      </c>
      <c r="H810" t="s">
        <v>398</v>
      </c>
      <c r="I810" t="s">
        <v>399</v>
      </c>
      <c r="J810" t="s">
        <v>749</v>
      </c>
      <c r="K810" t="s">
        <v>526</v>
      </c>
      <c r="L810" t="s">
        <v>787</v>
      </c>
      <c r="M810" t="s">
        <v>403</v>
      </c>
      <c r="N810">
        <v>1</v>
      </c>
      <c r="O810">
        <v>1</v>
      </c>
      <c r="P810" t="s">
        <v>1041</v>
      </c>
      <c r="Q810" t="s">
        <v>430</v>
      </c>
      <c r="R810" t="s">
        <v>1042</v>
      </c>
      <c r="S810" t="s">
        <v>440</v>
      </c>
      <c r="T810" t="s">
        <v>408</v>
      </c>
      <c r="U810">
        <v>50950081626</v>
      </c>
      <c r="W810">
        <v>24640</v>
      </c>
      <c r="X810" t="s">
        <v>409</v>
      </c>
      <c r="Y810" t="s">
        <v>410</v>
      </c>
      <c r="Z810" t="s">
        <v>410</v>
      </c>
      <c r="AA810" t="s">
        <v>411</v>
      </c>
      <c r="AB810" t="s">
        <v>554</v>
      </c>
      <c r="AC810" t="s">
        <v>411</v>
      </c>
      <c r="AD810">
        <v>46109</v>
      </c>
      <c r="AE810">
        <v>46167</v>
      </c>
      <c r="AF810">
        <v>46120</v>
      </c>
      <c r="AG810" t="s">
        <v>754</v>
      </c>
      <c r="AH810">
        <v>6168356</v>
      </c>
      <c r="AI810">
        <v>46112</v>
      </c>
      <c r="AJ810">
        <v>46113</v>
      </c>
      <c r="AK810">
        <v>24640</v>
      </c>
      <c r="AL810" t="s">
        <v>396</v>
      </c>
      <c r="AM810" t="s">
        <v>2710</v>
      </c>
      <c r="AN810">
        <v>46113</v>
      </c>
      <c r="AO810">
        <v>46113.420972222222</v>
      </c>
      <c r="AP810" t="s">
        <v>51</v>
      </c>
      <c r="AQ810">
        <v>4.7809999999999998E-2</v>
      </c>
      <c r="AR810">
        <v>1178.04</v>
      </c>
      <c r="AS810" t="s">
        <v>51</v>
      </c>
      <c r="AT810">
        <v>1178.04</v>
      </c>
      <c r="AU810" t="s">
        <v>415</v>
      </c>
      <c r="AV810" t="s">
        <v>1420</v>
      </c>
      <c r="AW810" t="s">
        <v>2598</v>
      </c>
      <c r="AX810">
        <v>46120</v>
      </c>
      <c r="AY810">
        <v>46169</v>
      </c>
      <c r="AZ810" t="s">
        <v>2679</v>
      </c>
      <c r="BA810" t="s">
        <v>560</v>
      </c>
      <c r="BB810" t="s">
        <v>2680</v>
      </c>
      <c r="BC810">
        <v>308</v>
      </c>
      <c r="BD810" t="s">
        <v>521</v>
      </c>
      <c r="BE810">
        <v>9.3520000000000003</v>
      </c>
      <c r="BF810">
        <v>9.0489999999999995</v>
      </c>
      <c r="BG810" t="s">
        <v>522</v>
      </c>
      <c r="BH810">
        <v>286</v>
      </c>
      <c r="BI810">
        <v>192</v>
      </c>
      <c r="BJ810">
        <v>87</v>
      </c>
      <c r="BK810">
        <v>80</v>
      </c>
      <c r="BL810" t="s">
        <v>521</v>
      </c>
      <c r="BM810">
        <v>776.16319999999996</v>
      </c>
      <c r="BN810">
        <v>723.92319999999995</v>
      </c>
      <c r="BO810">
        <v>776.16319999999996</v>
      </c>
      <c r="BP810" t="s">
        <v>522</v>
      </c>
      <c r="BQ810">
        <v>1200</v>
      </c>
      <c r="BR810">
        <v>1000</v>
      </c>
      <c r="BS810">
        <v>510</v>
      </c>
      <c r="BT810">
        <v>1</v>
      </c>
      <c r="BU810">
        <v>0</v>
      </c>
      <c r="BV810">
        <v>1</v>
      </c>
      <c r="BW810">
        <v>80</v>
      </c>
      <c r="BX810">
        <v>0</v>
      </c>
      <c r="BY810">
        <v>80</v>
      </c>
      <c r="BZ810">
        <v>24640</v>
      </c>
      <c r="CA810">
        <v>0</v>
      </c>
      <c r="CB810">
        <v>24640</v>
      </c>
      <c r="CC810">
        <v>723.92319999999995</v>
      </c>
      <c r="CD810" t="s">
        <v>1044</v>
      </c>
      <c r="CE810" t="s">
        <v>1045</v>
      </c>
      <c r="CG810" t="s">
        <v>421</v>
      </c>
      <c r="CN810" t="str">
        <v>M23</v>
      </c>
      <c r="CO810" t="str">
        <v>0081-5000001EN</v>
      </c>
      <c r="CP810" t="str">
        <v>SEGU9929834</v>
      </c>
      <c r="CQ810" s="23">
        <v>3330.192</v>
      </c>
      <c r="CR810" s="25">
        <f t="shared" si="33"/>
        <v>0.17033383820077996</v>
      </c>
      <c r="CS810" s="21">
        <f t="shared" si="34"/>
        <v>425.83459550194993</v>
      </c>
    </row>
    <row r="811" spans="2:97" x14ac:dyDescent="0.35">
      <c r="B811" t="s">
        <v>297</v>
      </c>
      <c r="C811" t="s">
        <v>2711</v>
      </c>
      <c r="D811" t="s">
        <v>395</v>
      </c>
      <c r="E811" t="s">
        <v>395</v>
      </c>
      <c r="F811" t="s">
        <v>396</v>
      </c>
      <c r="G811" t="s">
        <v>397</v>
      </c>
      <c r="H811" t="s">
        <v>398</v>
      </c>
      <c r="I811" t="s">
        <v>399</v>
      </c>
      <c r="J811" t="s">
        <v>749</v>
      </c>
      <c r="K811" t="s">
        <v>629</v>
      </c>
      <c r="L811" t="s">
        <v>787</v>
      </c>
      <c r="M811" t="s">
        <v>403</v>
      </c>
      <c r="N811">
        <v>2</v>
      </c>
      <c r="O811">
        <v>1</v>
      </c>
      <c r="P811" t="s">
        <v>1944</v>
      </c>
      <c r="Q811" t="s">
        <v>424</v>
      </c>
      <c r="R811" t="s">
        <v>1112</v>
      </c>
      <c r="S811" t="s">
        <v>1113</v>
      </c>
      <c r="T811" t="s">
        <v>408</v>
      </c>
      <c r="U811">
        <v>50950081751</v>
      </c>
      <c r="W811">
        <v>9600</v>
      </c>
      <c r="X811" t="s">
        <v>409</v>
      </c>
      <c r="Y811" t="s">
        <v>410</v>
      </c>
      <c r="Z811" t="s">
        <v>410</v>
      </c>
      <c r="AA811" t="s">
        <v>411</v>
      </c>
      <c r="AB811" t="s">
        <v>554</v>
      </c>
      <c r="AC811" t="s">
        <v>411</v>
      </c>
      <c r="AD811">
        <v>46109</v>
      </c>
      <c r="AE811">
        <v>46153</v>
      </c>
      <c r="AF811">
        <v>46120</v>
      </c>
      <c r="AG811" t="s">
        <v>754</v>
      </c>
      <c r="AH811">
        <v>6168357</v>
      </c>
      <c r="AI811">
        <v>46112</v>
      </c>
      <c r="AJ811">
        <v>46113</v>
      </c>
      <c r="AK811">
        <v>9600</v>
      </c>
      <c r="AL811" t="s">
        <v>396</v>
      </c>
      <c r="AM811" t="s">
        <v>2712</v>
      </c>
      <c r="AN811">
        <v>46113</v>
      </c>
      <c r="AO811">
        <v>46113.420972222222</v>
      </c>
      <c r="AP811" t="s">
        <v>51</v>
      </c>
      <c r="AQ811">
        <v>0.13721</v>
      </c>
      <c r="AR811">
        <v>1317.22</v>
      </c>
      <c r="AS811" t="s">
        <v>51</v>
      </c>
      <c r="AT811">
        <v>1317.22</v>
      </c>
      <c r="AU811" t="s">
        <v>415</v>
      </c>
      <c r="AV811" t="s">
        <v>1420</v>
      </c>
      <c r="AW811" t="s">
        <v>2598</v>
      </c>
      <c r="AX811">
        <v>46120</v>
      </c>
      <c r="AY811">
        <v>46169</v>
      </c>
      <c r="AZ811" t="s">
        <v>2679</v>
      </c>
      <c r="BA811" t="s">
        <v>560</v>
      </c>
      <c r="BB811" t="s">
        <v>2680</v>
      </c>
      <c r="BC811">
        <v>160</v>
      </c>
      <c r="BD811" t="s">
        <v>521</v>
      </c>
      <c r="BE811">
        <v>4.3602999999999996</v>
      </c>
      <c r="BF811">
        <v>3.4533</v>
      </c>
      <c r="BG811" t="s">
        <v>522</v>
      </c>
      <c r="BH811">
        <v>395</v>
      </c>
      <c r="BI811">
        <v>295</v>
      </c>
      <c r="BJ811">
        <v>270</v>
      </c>
      <c r="BK811">
        <v>30</v>
      </c>
      <c r="BL811" t="s">
        <v>521</v>
      </c>
      <c r="BM811">
        <v>157.809</v>
      </c>
      <c r="BN811">
        <v>103.599</v>
      </c>
      <c r="BO811">
        <v>315.61680000000001</v>
      </c>
      <c r="BP811" t="s">
        <v>522</v>
      </c>
      <c r="BQ811">
        <v>1200</v>
      </c>
      <c r="BR811">
        <v>1000</v>
      </c>
      <c r="BS811">
        <v>918</v>
      </c>
      <c r="BT811">
        <v>2</v>
      </c>
      <c r="BU811">
        <v>0</v>
      </c>
      <c r="BV811">
        <v>2</v>
      </c>
      <c r="BW811">
        <v>60</v>
      </c>
      <c r="BX811">
        <v>0</v>
      </c>
      <c r="BY811">
        <v>60</v>
      </c>
      <c r="BZ811">
        <v>9600</v>
      </c>
      <c r="CA811">
        <v>0</v>
      </c>
      <c r="CB811">
        <v>9600</v>
      </c>
      <c r="CC811">
        <v>207.1968</v>
      </c>
      <c r="CD811" t="s">
        <v>633</v>
      </c>
      <c r="CE811" t="s">
        <v>634</v>
      </c>
      <c r="CG811" t="s">
        <v>421</v>
      </c>
      <c r="CN811" t="str">
        <v>MCS</v>
      </c>
      <c r="CO811" t="str">
        <v>0070-G130008EN</v>
      </c>
      <c r="CP811" t="str">
        <v>SEGU9929834</v>
      </c>
      <c r="CQ811" s="23">
        <v>1000.0000000000001</v>
      </c>
      <c r="CR811" s="25">
        <f t="shared" si="33"/>
        <v>5.1148353668731411E-2</v>
      </c>
      <c r="CS811" s="21">
        <f t="shared" si="34"/>
        <v>127.87088417182852</v>
      </c>
    </row>
    <row r="812" spans="2:97" x14ac:dyDescent="0.35">
      <c r="B812" t="s">
        <v>297</v>
      </c>
      <c r="C812" t="s">
        <v>2711</v>
      </c>
      <c r="D812" t="s">
        <v>395</v>
      </c>
      <c r="E812" t="s">
        <v>395</v>
      </c>
      <c r="F812" t="s">
        <v>396</v>
      </c>
      <c r="G812" t="s">
        <v>397</v>
      </c>
      <c r="H812" t="s">
        <v>398</v>
      </c>
      <c r="I812" t="s">
        <v>399</v>
      </c>
      <c r="J812" t="s">
        <v>749</v>
      </c>
      <c r="K812" t="s">
        <v>629</v>
      </c>
      <c r="L812" t="s">
        <v>787</v>
      </c>
      <c r="M812" t="s">
        <v>403</v>
      </c>
      <c r="N812">
        <v>3</v>
      </c>
      <c r="O812">
        <v>1</v>
      </c>
      <c r="P812" t="s">
        <v>1944</v>
      </c>
      <c r="Q812" t="s">
        <v>424</v>
      </c>
      <c r="R812" t="s">
        <v>1112</v>
      </c>
      <c r="S812" t="s">
        <v>1113</v>
      </c>
      <c r="T812" t="s">
        <v>408</v>
      </c>
      <c r="U812">
        <v>50950081751</v>
      </c>
      <c r="W812">
        <v>4800</v>
      </c>
      <c r="X812" t="s">
        <v>409</v>
      </c>
      <c r="Y812" t="s">
        <v>410</v>
      </c>
      <c r="Z812" t="s">
        <v>410</v>
      </c>
      <c r="AA812" t="s">
        <v>411</v>
      </c>
      <c r="AB812" t="s">
        <v>554</v>
      </c>
      <c r="AC812" t="s">
        <v>411</v>
      </c>
      <c r="AD812">
        <v>46116</v>
      </c>
      <c r="AE812">
        <v>46174</v>
      </c>
      <c r="AF812">
        <v>46120</v>
      </c>
      <c r="AG812" t="s">
        <v>754</v>
      </c>
      <c r="AH812">
        <v>6168357</v>
      </c>
      <c r="AI812">
        <v>46112</v>
      </c>
      <c r="AJ812">
        <v>46113</v>
      </c>
      <c r="AK812">
        <v>4800</v>
      </c>
      <c r="AL812" t="s">
        <v>396</v>
      </c>
      <c r="AM812" t="s">
        <v>2712</v>
      </c>
      <c r="AN812">
        <v>46113</v>
      </c>
      <c r="AO812">
        <v>46113.420972222222</v>
      </c>
      <c r="AP812" t="s">
        <v>51</v>
      </c>
      <c r="AQ812">
        <v>0.13721</v>
      </c>
      <c r="AR812">
        <v>658.61</v>
      </c>
      <c r="AS812" t="s">
        <v>51</v>
      </c>
      <c r="AT812">
        <v>658.61</v>
      </c>
      <c r="AU812" t="s">
        <v>415</v>
      </c>
      <c r="AV812" t="s">
        <v>1420</v>
      </c>
      <c r="AW812" t="s">
        <v>2598</v>
      </c>
      <c r="AX812">
        <v>46120</v>
      </c>
      <c r="AY812">
        <v>46169</v>
      </c>
      <c r="AZ812" t="s">
        <v>2679</v>
      </c>
      <c r="BA812" t="s">
        <v>560</v>
      </c>
      <c r="BB812" t="s">
        <v>2680</v>
      </c>
      <c r="BC812">
        <v>160</v>
      </c>
      <c r="BD812" t="s">
        <v>521</v>
      </c>
      <c r="BE812">
        <v>4.3602999999999996</v>
      </c>
      <c r="BF812">
        <v>3.4533</v>
      </c>
      <c r="BG812" t="s">
        <v>522</v>
      </c>
      <c r="BH812">
        <v>395</v>
      </c>
      <c r="BI812">
        <v>295</v>
      </c>
      <c r="BJ812">
        <v>270</v>
      </c>
      <c r="BK812">
        <v>30</v>
      </c>
      <c r="BL812" t="s">
        <v>521</v>
      </c>
      <c r="BM812">
        <v>157.80840000000001</v>
      </c>
      <c r="BN812">
        <v>103.5984</v>
      </c>
      <c r="BO812">
        <v>157.80840000000001</v>
      </c>
      <c r="BP812" t="s">
        <v>522</v>
      </c>
      <c r="BQ812">
        <v>1200</v>
      </c>
      <c r="BR812">
        <v>1000</v>
      </c>
      <c r="BS812">
        <v>918</v>
      </c>
      <c r="BT812">
        <v>1</v>
      </c>
      <c r="BU812">
        <v>0</v>
      </c>
      <c r="BV812">
        <v>1</v>
      </c>
      <c r="BW812">
        <v>30</v>
      </c>
      <c r="BX812">
        <v>0</v>
      </c>
      <c r="BY812">
        <v>30</v>
      </c>
      <c r="BZ812">
        <v>4800</v>
      </c>
      <c r="CA812">
        <v>0</v>
      </c>
      <c r="CB812">
        <v>4800</v>
      </c>
      <c r="CC812">
        <v>103.5984</v>
      </c>
      <c r="CD812" t="s">
        <v>633</v>
      </c>
      <c r="CE812" t="s">
        <v>634</v>
      </c>
      <c r="CG812" t="s">
        <v>421</v>
      </c>
      <c r="CN812" t="str">
        <v>M01</v>
      </c>
      <c r="CO812" t="str">
        <v>1104-1030078EN</v>
      </c>
      <c r="CP812" t="str">
        <v>SEGU9932801</v>
      </c>
      <c r="CQ812" s="23">
        <v>20.159996717005907</v>
      </c>
      <c r="CR812" s="25">
        <f t="shared" si="33"/>
        <v>1.0580872627273198E-3</v>
      </c>
      <c r="CS812" s="21">
        <f t="shared" si="34"/>
        <v>2.6452181568182995</v>
      </c>
    </row>
    <row r="813" spans="2:97" x14ac:dyDescent="0.35">
      <c r="B813" t="s">
        <v>296</v>
      </c>
      <c r="C813" t="s">
        <v>2713</v>
      </c>
      <c r="D813" t="s">
        <v>395</v>
      </c>
      <c r="E813" t="s">
        <v>395</v>
      </c>
      <c r="F813" t="s">
        <v>396</v>
      </c>
      <c r="G813" t="s">
        <v>397</v>
      </c>
      <c r="H813" t="s">
        <v>398</v>
      </c>
      <c r="I813" t="s">
        <v>399</v>
      </c>
      <c r="J813" t="s">
        <v>749</v>
      </c>
      <c r="K813" t="s">
        <v>1142</v>
      </c>
      <c r="L813" t="s">
        <v>787</v>
      </c>
      <c r="M813" t="s">
        <v>403</v>
      </c>
      <c r="N813">
        <v>1</v>
      </c>
      <c r="O813">
        <v>1</v>
      </c>
      <c r="P813" t="s">
        <v>1163</v>
      </c>
      <c r="Q813" t="s">
        <v>430</v>
      </c>
      <c r="R813" t="s">
        <v>1164</v>
      </c>
      <c r="S813" t="s">
        <v>1165</v>
      </c>
      <c r="T813" t="s">
        <v>408</v>
      </c>
      <c r="U813">
        <v>50950081874</v>
      </c>
      <c r="W813">
        <v>45360</v>
      </c>
      <c r="X813" t="s">
        <v>409</v>
      </c>
      <c r="Y813" t="s">
        <v>410</v>
      </c>
      <c r="Z813" t="s">
        <v>410</v>
      </c>
      <c r="AA813" t="s">
        <v>411</v>
      </c>
      <c r="AB813" t="s">
        <v>554</v>
      </c>
      <c r="AC813" t="s">
        <v>411</v>
      </c>
      <c r="AD813">
        <v>46116</v>
      </c>
      <c r="AE813">
        <v>46188</v>
      </c>
      <c r="AF813">
        <v>46120</v>
      </c>
      <c r="AG813" t="s">
        <v>754</v>
      </c>
      <c r="AH813">
        <v>6168358</v>
      </c>
      <c r="AI813">
        <v>46112</v>
      </c>
      <c r="AJ813">
        <v>46113</v>
      </c>
      <c r="AK813">
        <v>45360</v>
      </c>
      <c r="AL813" t="s">
        <v>396</v>
      </c>
      <c r="AM813" t="s">
        <v>2714</v>
      </c>
      <c r="AN813">
        <v>46113</v>
      </c>
      <c r="AO813">
        <v>46113.420972222222</v>
      </c>
      <c r="AP813" t="s">
        <v>51</v>
      </c>
      <c r="AQ813">
        <v>0.11777</v>
      </c>
      <c r="AR813">
        <v>5342.04</v>
      </c>
      <c r="AS813" t="s">
        <v>51</v>
      </c>
      <c r="AT813">
        <v>5342.04</v>
      </c>
      <c r="AU813" t="s">
        <v>415</v>
      </c>
      <c r="AV813" t="s">
        <v>1420</v>
      </c>
      <c r="AW813" t="s">
        <v>2598</v>
      </c>
      <c r="AX813">
        <v>46120</v>
      </c>
      <c r="AY813">
        <v>46169</v>
      </c>
      <c r="AZ813" t="s">
        <v>2679</v>
      </c>
      <c r="BA813" t="s">
        <v>560</v>
      </c>
      <c r="BB813" t="s">
        <v>2680</v>
      </c>
      <c r="BC813">
        <v>7560</v>
      </c>
      <c r="BD813" t="s">
        <v>521</v>
      </c>
      <c r="BE813">
        <v>637.24480000000005</v>
      </c>
      <c r="BF813">
        <v>616.74480000000005</v>
      </c>
      <c r="BG813" t="s">
        <v>522</v>
      </c>
      <c r="BH813">
        <v>1050</v>
      </c>
      <c r="BI813">
        <v>480</v>
      </c>
      <c r="BJ813">
        <v>460</v>
      </c>
      <c r="BK813">
        <v>1</v>
      </c>
      <c r="BL813" t="s">
        <v>521</v>
      </c>
      <c r="BM813">
        <v>637.24490000000003</v>
      </c>
      <c r="BN813">
        <v>616.74480000000005</v>
      </c>
      <c r="BO813">
        <v>3823.4694</v>
      </c>
      <c r="BP813" t="s">
        <v>522</v>
      </c>
      <c r="BQ813">
        <v>1050</v>
      </c>
      <c r="BR813">
        <v>480</v>
      </c>
      <c r="BS813">
        <v>480</v>
      </c>
      <c r="BT813">
        <v>6</v>
      </c>
      <c r="BU813">
        <v>0</v>
      </c>
      <c r="BV813">
        <v>6</v>
      </c>
      <c r="BW813">
        <v>6</v>
      </c>
      <c r="BX813">
        <v>0</v>
      </c>
      <c r="BY813">
        <v>6</v>
      </c>
      <c r="BZ813">
        <v>45360</v>
      </c>
      <c r="CA813">
        <v>0</v>
      </c>
      <c r="CB813">
        <v>45360</v>
      </c>
      <c r="CC813">
        <v>3700.4688000000001</v>
      </c>
      <c r="CD813" t="s">
        <v>641</v>
      </c>
      <c r="CE813" t="s">
        <v>1147</v>
      </c>
      <c r="CG813" t="s">
        <v>421</v>
      </c>
      <c r="CN813" t="str">
        <v>M01</v>
      </c>
      <c r="CO813" t="str">
        <v>1318-1030030EN</v>
      </c>
      <c r="CP813" t="str">
        <v>SEGU9932801</v>
      </c>
      <c r="CQ813" s="23">
        <v>20</v>
      </c>
      <c r="CR813" s="25">
        <f t="shared" si="33"/>
        <v>1.049689915707946E-3</v>
      </c>
      <c r="CS813" s="21">
        <f t="shared" si="34"/>
        <v>2.6242247892698649</v>
      </c>
    </row>
    <row r="814" spans="2:97" x14ac:dyDescent="0.35">
      <c r="B814" t="s">
        <v>296</v>
      </c>
      <c r="C814" t="s">
        <v>2715</v>
      </c>
      <c r="D814" t="s">
        <v>395</v>
      </c>
      <c r="E814" t="s">
        <v>395</v>
      </c>
      <c r="F814" t="s">
        <v>396</v>
      </c>
      <c r="G814" t="s">
        <v>397</v>
      </c>
      <c r="H814" t="s">
        <v>398</v>
      </c>
      <c r="I814" t="s">
        <v>399</v>
      </c>
      <c r="J814" t="s">
        <v>749</v>
      </c>
      <c r="K814" t="s">
        <v>1142</v>
      </c>
      <c r="L814" t="s">
        <v>787</v>
      </c>
      <c r="M814" t="s">
        <v>403</v>
      </c>
      <c r="N814">
        <v>1</v>
      </c>
      <c r="O814">
        <v>1</v>
      </c>
      <c r="P814" t="s">
        <v>1168</v>
      </c>
      <c r="Q814" t="s">
        <v>430</v>
      </c>
      <c r="R814" t="s">
        <v>1164</v>
      </c>
      <c r="S814" t="s">
        <v>1165</v>
      </c>
      <c r="T814" t="s">
        <v>408</v>
      </c>
      <c r="U814">
        <v>50950081875</v>
      </c>
      <c r="W814">
        <v>45360</v>
      </c>
      <c r="X814" t="s">
        <v>409</v>
      </c>
      <c r="Y814" t="s">
        <v>410</v>
      </c>
      <c r="Z814" t="s">
        <v>410</v>
      </c>
      <c r="AA814" t="s">
        <v>411</v>
      </c>
      <c r="AB814" t="s">
        <v>554</v>
      </c>
      <c r="AC814" t="s">
        <v>411</v>
      </c>
      <c r="AD814">
        <v>46116</v>
      </c>
      <c r="AE814">
        <v>46188</v>
      </c>
      <c r="AF814">
        <v>46120</v>
      </c>
      <c r="AG814" t="s">
        <v>754</v>
      </c>
      <c r="AH814">
        <v>6168359</v>
      </c>
      <c r="AI814">
        <v>46112</v>
      </c>
      <c r="AJ814">
        <v>46113</v>
      </c>
      <c r="AK814">
        <v>45360</v>
      </c>
      <c r="AL814" t="s">
        <v>396</v>
      </c>
      <c r="AM814" t="s">
        <v>2716</v>
      </c>
      <c r="AN814">
        <v>46113</v>
      </c>
      <c r="AO814">
        <v>46113.420972222222</v>
      </c>
      <c r="AP814" t="s">
        <v>51</v>
      </c>
      <c r="AQ814">
        <v>0.11794</v>
      </c>
      <c r="AR814">
        <v>5349.78</v>
      </c>
      <c r="AS814" t="s">
        <v>51</v>
      </c>
      <c r="AT814">
        <v>5349.78</v>
      </c>
      <c r="AU814" t="s">
        <v>415</v>
      </c>
      <c r="AV814" t="s">
        <v>1420</v>
      </c>
      <c r="AW814" t="s">
        <v>2598</v>
      </c>
      <c r="AX814">
        <v>46120</v>
      </c>
      <c r="AY814">
        <v>46169</v>
      </c>
      <c r="AZ814" t="s">
        <v>2679</v>
      </c>
      <c r="BA814" t="s">
        <v>560</v>
      </c>
      <c r="BB814" t="s">
        <v>2680</v>
      </c>
      <c r="BC814">
        <v>7560</v>
      </c>
      <c r="BD814" t="s">
        <v>521</v>
      </c>
      <c r="BE814">
        <v>638.45439999999996</v>
      </c>
      <c r="BF814">
        <v>617.95439999999996</v>
      </c>
      <c r="BG814" t="s">
        <v>522</v>
      </c>
      <c r="BH814">
        <v>1050</v>
      </c>
      <c r="BI814">
        <v>480</v>
      </c>
      <c r="BJ814">
        <v>460</v>
      </c>
      <c r="BK814">
        <v>1</v>
      </c>
      <c r="BL814" t="s">
        <v>521</v>
      </c>
      <c r="BM814">
        <v>638.45450000000005</v>
      </c>
      <c r="BN814">
        <v>617.95439999999996</v>
      </c>
      <c r="BO814">
        <v>3830.7269999999999</v>
      </c>
      <c r="BP814" t="s">
        <v>522</v>
      </c>
      <c r="BQ814">
        <v>1050</v>
      </c>
      <c r="BR814">
        <v>480</v>
      </c>
      <c r="BS814">
        <v>480</v>
      </c>
      <c r="BT814">
        <v>6</v>
      </c>
      <c r="BU814">
        <v>0</v>
      </c>
      <c r="BV814">
        <v>6</v>
      </c>
      <c r="BW814">
        <v>6</v>
      </c>
      <c r="BX814">
        <v>0</v>
      </c>
      <c r="BY814">
        <v>6</v>
      </c>
      <c r="BZ814">
        <v>45360</v>
      </c>
      <c r="CA814">
        <v>0</v>
      </c>
      <c r="CB814">
        <v>45360</v>
      </c>
      <c r="CC814">
        <v>3707.7264</v>
      </c>
      <c r="CD814" t="s">
        <v>641</v>
      </c>
      <c r="CE814" t="s">
        <v>1147</v>
      </c>
      <c r="CG814" t="s">
        <v>421</v>
      </c>
      <c r="CN814" t="str">
        <v>M01</v>
      </c>
      <c r="CO814" t="str">
        <v>CPPMSF305/7AN</v>
      </c>
      <c r="CP814" t="str">
        <v>SEGU9932801</v>
      </c>
      <c r="CQ814" s="23">
        <v>1500</v>
      </c>
      <c r="CR814" s="25">
        <f t="shared" si="33"/>
        <v>7.8726743678095942E-2</v>
      </c>
      <c r="CS814" s="21">
        <f t="shared" si="34"/>
        <v>196.81685919523986</v>
      </c>
    </row>
    <row r="815" spans="2:97" x14ac:dyDescent="0.35">
      <c r="B815" t="s">
        <v>297</v>
      </c>
      <c r="C815" t="s">
        <v>2210</v>
      </c>
      <c r="D815" t="s">
        <v>395</v>
      </c>
      <c r="E815" t="s">
        <v>395</v>
      </c>
      <c r="F815" t="s">
        <v>396</v>
      </c>
      <c r="G815" t="s">
        <v>397</v>
      </c>
      <c r="H815" t="s">
        <v>398</v>
      </c>
      <c r="I815" t="s">
        <v>399</v>
      </c>
      <c r="J815" t="s">
        <v>749</v>
      </c>
      <c r="K815" t="s">
        <v>629</v>
      </c>
      <c r="L815" t="s">
        <v>787</v>
      </c>
      <c r="M815" t="s">
        <v>403</v>
      </c>
      <c r="N815">
        <v>1</v>
      </c>
      <c r="O815">
        <v>1</v>
      </c>
      <c r="P815" t="s">
        <v>1149</v>
      </c>
      <c r="Q815" t="s">
        <v>430</v>
      </c>
      <c r="R815" t="s">
        <v>1112</v>
      </c>
      <c r="S815" t="s">
        <v>1113</v>
      </c>
      <c r="T815" t="s">
        <v>408</v>
      </c>
      <c r="U815">
        <v>50950082376</v>
      </c>
      <c r="W815">
        <v>9600</v>
      </c>
      <c r="X815" t="s">
        <v>409</v>
      </c>
      <c r="Y815" t="s">
        <v>410</v>
      </c>
      <c r="Z815" t="s">
        <v>410</v>
      </c>
      <c r="AA815" t="s">
        <v>411</v>
      </c>
      <c r="AB815" t="s">
        <v>554</v>
      </c>
      <c r="AC815" t="s">
        <v>411</v>
      </c>
      <c r="AD815">
        <v>46109</v>
      </c>
      <c r="AE815">
        <v>46167</v>
      </c>
      <c r="AF815">
        <v>46120</v>
      </c>
      <c r="AG815" t="s">
        <v>754</v>
      </c>
      <c r="AH815">
        <v>6168360</v>
      </c>
      <c r="AI815">
        <v>46112</v>
      </c>
      <c r="AJ815">
        <v>46113</v>
      </c>
      <c r="AK815">
        <v>9600</v>
      </c>
      <c r="AL815" t="s">
        <v>396</v>
      </c>
      <c r="AM815" t="s">
        <v>2717</v>
      </c>
      <c r="AN815">
        <v>46113</v>
      </c>
      <c r="AO815">
        <v>46113.420972222222</v>
      </c>
      <c r="AP815" t="s">
        <v>51</v>
      </c>
      <c r="AQ815">
        <v>0.13643</v>
      </c>
      <c r="AR815">
        <v>1309.73</v>
      </c>
      <c r="AS815" t="s">
        <v>51</v>
      </c>
      <c r="AT815">
        <v>1309.73</v>
      </c>
      <c r="AU815" t="s">
        <v>415</v>
      </c>
      <c r="AV815" t="s">
        <v>1420</v>
      </c>
      <c r="AW815" t="s">
        <v>2598</v>
      </c>
      <c r="AX815">
        <v>46120</v>
      </c>
      <c r="AY815">
        <v>46169</v>
      </c>
      <c r="AZ815" t="s">
        <v>2679</v>
      </c>
      <c r="BA815" t="s">
        <v>560</v>
      </c>
      <c r="BB815" t="s">
        <v>2680</v>
      </c>
      <c r="BC815">
        <v>160</v>
      </c>
      <c r="BD815" t="s">
        <v>521</v>
      </c>
      <c r="BE815">
        <v>4.2907000000000002</v>
      </c>
      <c r="BF815">
        <v>3.3837000000000002</v>
      </c>
      <c r="BG815" t="s">
        <v>522</v>
      </c>
      <c r="BH815">
        <v>395</v>
      </c>
      <c r="BI815">
        <v>295</v>
      </c>
      <c r="BJ815">
        <v>270</v>
      </c>
      <c r="BK815">
        <v>30</v>
      </c>
      <c r="BL815" t="s">
        <v>521</v>
      </c>
      <c r="BM815">
        <v>155.721</v>
      </c>
      <c r="BN815">
        <v>101.511</v>
      </c>
      <c r="BO815">
        <v>311.44080000000002</v>
      </c>
      <c r="BP815" t="s">
        <v>522</v>
      </c>
      <c r="BQ815">
        <v>1200</v>
      </c>
      <c r="BR815">
        <v>1000</v>
      </c>
      <c r="BS815">
        <v>968</v>
      </c>
      <c r="BT815">
        <v>2</v>
      </c>
      <c r="BU815">
        <v>0</v>
      </c>
      <c r="BV815">
        <v>2</v>
      </c>
      <c r="BW815">
        <v>60</v>
      </c>
      <c r="BX815">
        <v>0</v>
      </c>
      <c r="BY815">
        <v>60</v>
      </c>
      <c r="BZ815">
        <v>9600</v>
      </c>
      <c r="CA815">
        <v>0</v>
      </c>
      <c r="CB815">
        <v>9600</v>
      </c>
      <c r="CC815">
        <v>203.02080000000001</v>
      </c>
      <c r="CD815" t="s">
        <v>1151</v>
      </c>
      <c r="CE815" t="s">
        <v>634</v>
      </c>
      <c r="CG815" t="s">
        <v>421</v>
      </c>
      <c r="CN815" t="str">
        <v>M01</v>
      </c>
      <c r="CO815" t="str">
        <v>1318-1030054EN</v>
      </c>
      <c r="CP815" t="str">
        <v>SEGU9932801</v>
      </c>
      <c r="CQ815" s="23">
        <v>10</v>
      </c>
      <c r="CR815" s="25">
        <f t="shared" si="33"/>
        <v>5.2484495785397301E-4</v>
      </c>
      <c r="CS815" s="21">
        <f t="shared" si="34"/>
        <v>1.3121123946349325</v>
      </c>
    </row>
    <row r="816" spans="2:97" x14ac:dyDescent="0.35">
      <c r="B816" s="34" t="s">
        <v>297</v>
      </c>
      <c r="C816" t="s">
        <v>2718</v>
      </c>
      <c r="D816" t="s">
        <v>395</v>
      </c>
      <c r="E816" t="s">
        <v>395</v>
      </c>
      <c r="F816" t="s">
        <v>396</v>
      </c>
      <c r="G816" t="s">
        <v>397</v>
      </c>
      <c r="H816" t="s">
        <v>398</v>
      </c>
      <c r="I816" t="s">
        <v>399</v>
      </c>
      <c r="J816" t="s">
        <v>749</v>
      </c>
      <c r="K816" t="s">
        <v>629</v>
      </c>
      <c r="L816" t="s">
        <v>750</v>
      </c>
      <c r="M816" t="s">
        <v>751</v>
      </c>
      <c r="N816">
        <v>1</v>
      </c>
      <c r="O816">
        <v>1</v>
      </c>
      <c r="P816" t="s">
        <v>2719</v>
      </c>
      <c r="Q816" t="s">
        <v>424</v>
      </c>
      <c r="R816" t="s">
        <v>753</v>
      </c>
      <c r="S816" t="s">
        <v>2720</v>
      </c>
      <c r="T816" t="s">
        <v>408</v>
      </c>
      <c r="U816">
        <v>50950082292</v>
      </c>
      <c r="W816">
        <v>8000</v>
      </c>
      <c r="X816" t="s">
        <v>448</v>
      </c>
      <c r="Y816" t="s">
        <v>410</v>
      </c>
      <c r="Z816" t="s">
        <v>410</v>
      </c>
      <c r="AA816" t="s">
        <v>411</v>
      </c>
      <c r="AB816" t="s">
        <v>412</v>
      </c>
      <c r="AC816" t="s">
        <v>411</v>
      </c>
      <c r="AD816">
        <v>46109</v>
      </c>
      <c r="AE816">
        <v>46111</v>
      </c>
      <c r="AF816">
        <v>46113</v>
      </c>
      <c r="AG816" t="s">
        <v>754</v>
      </c>
      <c r="AH816">
        <v>6167753</v>
      </c>
      <c r="AI816">
        <v>46112</v>
      </c>
      <c r="AJ816">
        <v>46113</v>
      </c>
      <c r="AK816">
        <v>8000</v>
      </c>
      <c r="AL816" t="s">
        <v>396</v>
      </c>
      <c r="AM816" t="s">
        <v>2721</v>
      </c>
      <c r="AN816">
        <v>46113</v>
      </c>
      <c r="AO816">
        <v>46113.472534722219</v>
      </c>
      <c r="AP816" t="s">
        <v>51</v>
      </c>
      <c r="AQ816">
        <v>2.01E-2</v>
      </c>
      <c r="AR816">
        <v>160.80000000000001</v>
      </c>
      <c r="AS816" t="s">
        <v>51</v>
      </c>
      <c r="AT816">
        <v>160.80000000000001</v>
      </c>
      <c r="AU816" t="s">
        <v>450</v>
      </c>
      <c r="AV816" t="s">
        <v>1597</v>
      </c>
      <c r="AW816" t="s">
        <v>2661</v>
      </c>
      <c r="AX816">
        <v>46116</v>
      </c>
      <c r="AY816">
        <v>46120</v>
      </c>
      <c r="BA816" t="s">
        <v>448</v>
      </c>
      <c r="BB816" t="s">
        <v>2708</v>
      </c>
      <c r="BC816">
        <v>8000</v>
      </c>
      <c r="BD816" t="s">
        <v>521</v>
      </c>
      <c r="BE816">
        <v>3.16</v>
      </c>
      <c r="BF816">
        <v>2.36</v>
      </c>
      <c r="BG816" t="s">
        <v>522</v>
      </c>
      <c r="BH816">
        <v>395</v>
      </c>
      <c r="BI816">
        <v>295</v>
      </c>
      <c r="BJ816">
        <v>210</v>
      </c>
      <c r="BK816">
        <v>6</v>
      </c>
      <c r="BL816" t="s">
        <v>521</v>
      </c>
      <c r="BM816">
        <v>11.16</v>
      </c>
      <c r="BN816">
        <v>2.36</v>
      </c>
      <c r="BO816">
        <v>11.16</v>
      </c>
      <c r="BP816" t="s">
        <v>522</v>
      </c>
      <c r="BQ816">
        <v>800</v>
      </c>
      <c r="BR816">
        <v>300</v>
      </c>
      <c r="BS816">
        <v>790</v>
      </c>
      <c r="BT816">
        <v>0</v>
      </c>
      <c r="BU816">
        <v>1</v>
      </c>
      <c r="BV816">
        <v>1</v>
      </c>
      <c r="BW816">
        <v>1</v>
      </c>
      <c r="BX816">
        <v>0</v>
      </c>
      <c r="BY816">
        <v>1</v>
      </c>
      <c r="BZ816">
        <v>0</v>
      </c>
      <c r="CA816">
        <v>8000</v>
      </c>
      <c r="CB816">
        <v>8000</v>
      </c>
      <c r="CC816">
        <v>2.36</v>
      </c>
      <c r="CD816" t="s">
        <v>626</v>
      </c>
      <c r="CE816" t="s">
        <v>760</v>
      </c>
      <c r="CG816" t="s">
        <v>421</v>
      </c>
      <c r="CN816" t="str">
        <v>M01</v>
      </c>
      <c r="CO816" t="str">
        <v>1307-1030122EN</v>
      </c>
      <c r="CP816" t="str">
        <v>SEGU9932801</v>
      </c>
      <c r="CQ816" s="23">
        <v>1500</v>
      </c>
      <c r="CR816" s="25">
        <f t="shared" si="33"/>
        <v>7.8726743678095942E-2</v>
      </c>
      <c r="CS816" s="21">
        <f t="shared" si="34"/>
        <v>196.81685919523986</v>
      </c>
    </row>
    <row r="817" spans="2:97" x14ac:dyDescent="0.35">
      <c r="B817" t="s">
        <v>297</v>
      </c>
      <c r="C817" t="s">
        <v>2381</v>
      </c>
      <c r="D817" t="s">
        <v>549</v>
      </c>
      <c r="E817" t="s">
        <v>395</v>
      </c>
      <c r="F817" t="s">
        <v>396</v>
      </c>
      <c r="G817" t="s">
        <v>397</v>
      </c>
      <c r="H817" t="s">
        <v>398</v>
      </c>
      <c r="I817" t="s">
        <v>399</v>
      </c>
      <c r="J817" t="s">
        <v>749</v>
      </c>
      <c r="K817" t="s">
        <v>401</v>
      </c>
      <c r="L817" t="s">
        <v>766</v>
      </c>
      <c r="M817" t="s">
        <v>403</v>
      </c>
      <c r="N817">
        <v>2</v>
      </c>
      <c r="O817">
        <v>4</v>
      </c>
      <c r="P817" t="s">
        <v>767</v>
      </c>
      <c r="Q817" t="s">
        <v>424</v>
      </c>
      <c r="R817" t="s">
        <v>552</v>
      </c>
      <c r="S817" t="s">
        <v>768</v>
      </c>
      <c r="T817" t="s">
        <v>408</v>
      </c>
      <c r="U817">
        <v>50950081498</v>
      </c>
      <c r="W817">
        <v>23040</v>
      </c>
      <c r="X817" t="s">
        <v>409</v>
      </c>
      <c r="Y817" t="s">
        <v>410</v>
      </c>
      <c r="Z817" t="s">
        <v>410</v>
      </c>
      <c r="AA817" t="s">
        <v>411</v>
      </c>
      <c r="AB817" t="s">
        <v>554</v>
      </c>
      <c r="AC817" t="s">
        <v>411</v>
      </c>
      <c r="AD817">
        <v>46109</v>
      </c>
      <c r="AE817">
        <v>46167</v>
      </c>
      <c r="AF817">
        <v>46120</v>
      </c>
      <c r="AG817" t="s">
        <v>770</v>
      </c>
      <c r="AH817">
        <v>6170616</v>
      </c>
      <c r="AI817">
        <v>46113</v>
      </c>
      <c r="AJ817">
        <v>46114</v>
      </c>
      <c r="AK817">
        <v>23040</v>
      </c>
      <c r="AL817" t="s">
        <v>396</v>
      </c>
      <c r="AM817" t="s">
        <v>2722</v>
      </c>
      <c r="AN817">
        <v>46114</v>
      </c>
      <c r="AO817">
        <v>46114.583287037036</v>
      </c>
      <c r="AP817" t="s">
        <v>51</v>
      </c>
      <c r="AQ817">
        <v>0.20744000000000001</v>
      </c>
      <c r="AR817">
        <v>4779.42</v>
      </c>
      <c r="AS817" t="s">
        <v>51</v>
      </c>
      <c r="AT817">
        <v>4779.42</v>
      </c>
      <c r="AU817" t="s">
        <v>415</v>
      </c>
      <c r="AV817" t="s">
        <v>1420</v>
      </c>
      <c r="AW817" t="s">
        <v>2598</v>
      </c>
      <c r="AX817">
        <v>46120</v>
      </c>
      <c r="AY817">
        <v>46169</v>
      </c>
      <c r="AZ817" t="s">
        <v>2599</v>
      </c>
      <c r="BA817" t="s">
        <v>560</v>
      </c>
      <c r="BB817" t="s">
        <v>2600</v>
      </c>
      <c r="BC817">
        <v>240</v>
      </c>
      <c r="BD817" t="s">
        <v>521</v>
      </c>
      <c r="BE817">
        <v>2.5634000000000001</v>
      </c>
      <c r="BF817">
        <v>1.2864</v>
      </c>
      <c r="BG817" t="s">
        <v>522</v>
      </c>
      <c r="BH817">
        <v>340</v>
      </c>
      <c r="BI817">
        <v>250</v>
      </c>
      <c r="BJ817">
        <v>230</v>
      </c>
      <c r="BK817">
        <v>48</v>
      </c>
      <c r="BL817" t="s">
        <v>521</v>
      </c>
      <c r="BM817">
        <v>144.04320000000001</v>
      </c>
      <c r="BN817">
        <v>61.747199999999999</v>
      </c>
      <c r="BO817">
        <v>288.08640000000003</v>
      </c>
      <c r="BP817" t="s">
        <v>522</v>
      </c>
      <c r="BQ817">
        <v>1066</v>
      </c>
      <c r="BR817">
        <v>1066</v>
      </c>
      <c r="BS817">
        <v>1080</v>
      </c>
      <c r="BT817">
        <v>2</v>
      </c>
      <c r="BU817">
        <v>0</v>
      </c>
      <c r="BV817">
        <v>2</v>
      </c>
      <c r="BW817">
        <v>96</v>
      </c>
      <c r="BX817">
        <v>0</v>
      </c>
      <c r="BY817">
        <v>96</v>
      </c>
      <c r="BZ817">
        <v>23040</v>
      </c>
      <c r="CA817">
        <v>0</v>
      </c>
      <c r="CB817">
        <v>23040</v>
      </c>
      <c r="CC817">
        <v>123.4944</v>
      </c>
      <c r="CD817" t="s">
        <v>562</v>
      </c>
      <c r="CE817" t="s">
        <v>563</v>
      </c>
      <c r="CG817" t="s">
        <v>421</v>
      </c>
      <c r="CN817" t="str">
        <v>M01</v>
      </c>
      <c r="CO817" t="str">
        <v>1318-1030079EN</v>
      </c>
      <c r="CP817" t="str">
        <v>SEGU9932801</v>
      </c>
      <c r="CQ817" s="23">
        <v>10</v>
      </c>
      <c r="CR817" s="25">
        <f t="shared" si="33"/>
        <v>5.2484495785397301E-4</v>
      </c>
      <c r="CS817" s="21">
        <f t="shared" si="34"/>
        <v>1.3121123946349325</v>
      </c>
    </row>
    <row r="818" spans="2:97" x14ac:dyDescent="0.35">
      <c r="B818" t="s">
        <v>299</v>
      </c>
      <c r="C818" t="s">
        <v>2682</v>
      </c>
      <c r="D818" t="s">
        <v>395</v>
      </c>
      <c r="E818" t="s">
        <v>395</v>
      </c>
      <c r="F818" t="s">
        <v>396</v>
      </c>
      <c r="G818" t="s">
        <v>397</v>
      </c>
      <c r="H818" t="s">
        <v>398</v>
      </c>
      <c r="I818" t="s">
        <v>399</v>
      </c>
      <c r="J818" t="s">
        <v>749</v>
      </c>
      <c r="K818" t="s">
        <v>777</v>
      </c>
      <c r="L818" t="s">
        <v>778</v>
      </c>
      <c r="M818" t="s">
        <v>403</v>
      </c>
      <c r="N818">
        <v>1</v>
      </c>
      <c r="O818">
        <v>2</v>
      </c>
      <c r="P818" t="s">
        <v>779</v>
      </c>
      <c r="Q818" t="s">
        <v>587</v>
      </c>
      <c r="R818" t="s">
        <v>536</v>
      </c>
      <c r="S818" t="s">
        <v>780</v>
      </c>
      <c r="T818" t="s">
        <v>408</v>
      </c>
      <c r="U818">
        <v>50950077715</v>
      </c>
      <c r="W818">
        <v>1512</v>
      </c>
      <c r="X818" t="s">
        <v>409</v>
      </c>
      <c r="Y818" t="s">
        <v>410</v>
      </c>
      <c r="Z818" t="s">
        <v>410</v>
      </c>
      <c r="AA818" t="s">
        <v>411</v>
      </c>
      <c r="AB818" t="s">
        <v>554</v>
      </c>
      <c r="AC818" t="s">
        <v>411</v>
      </c>
      <c r="AD818">
        <v>46118</v>
      </c>
      <c r="AE818">
        <v>46174</v>
      </c>
      <c r="AF818">
        <v>46120</v>
      </c>
      <c r="AG818" t="s">
        <v>781</v>
      </c>
      <c r="AH818">
        <v>6170617</v>
      </c>
      <c r="AI818">
        <v>46113</v>
      </c>
      <c r="AJ818">
        <v>46114</v>
      </c>
      <c r="AK818">
        <v>1512</v>
      </c>
      <c r="AL818" t="s">
        <v>396</v>
      </c>
      <c r="AM818" t="s">
        <v>2723</v>
      </c>
      <c r="AN818">
        <v>46114</v>
      </c>
      <c r="AO818">
        <v>46114.583287037036</v>
      </c>
      <c r="AP818" t="s">
        <v>51</v>
      </c>
      <c r="AQ818">
        <v>2.4077199999999999</v>
      </c>
      <c r="AR818">
        <v>3640.47</v>
      </c>
      <c r="AS818" t="s">
        <v>51</v>
      </c>
      <c r="AT818">
        <v>3640.47</v>
      </c>
      <c r="AU818" t="s">
        <v>415</v>
      </c>
      <c r="AV818" t="s">
        <v>1420</v>
      </c>
      <c r="AW818" t="s">
        <v>2598</v>
      </c>
      <c r="AX818">
        <v>46120</v>
      </c>
      <c r="AY818">
        <v>46169</v>
      </c>
      <c r="AZ818" t="s">
        <v>2599</v>
      </c>
      <c r="BA818" t="s">
        <v>560</v>
      </c>
      <c r="BB818" t="s">
        <v>2600</v>
      </c>
      <c r="BC818">
        <v>28</v>
      </c>
      <c r="BD818" t="s">
        <v>521</v>
      </c>
      <c r="BE818">
        <v>4.1197999999999997</v>
      </c>
      <c r="BF818">
        <v>2.2568000000000001</v>
      </c>
      <c r="BG818" t="s">
        <v>522</v>
      </c>
      <c r="BH818">
        <v>795</v>
      </c>
      <c r="BI818">
        <v>395</v>
      </c>
      <c r="BJ818">
        <v>145</v>
      </c>
      <c r="BK818">
        <v>18</v>
      </c>
      <c r="BL818" t="s">
        <v>521</v>
      </c>
      <c r="BM818">
        <v>99.156400000000005</v>
      </c>
      <c r="BN818">
        <v>40.622399999999999</v>
      </c>
      <c r="BO818">
        <v>297.4692</v>
      </c>
      <c r="BP818" t="s">
        <v>522</v>
      </c>
      <c r="BQ818">
        <v>1200</v>
      </c>
      <c r="BR818">
        <v>800</v>
      </c>
      <c r="BS818">
        <v>1030</v>
      </c>
      <c r="BT818">
        <v>3</v>
      </c>
      <c r="BU818">
        <v>0</v>
      </c>
      <c r="BV818">
        <v>3</v>
      </c>
      <c r="BW818">
        <v>54</v>
      </c>
      <c r="BX818">
        <v>0</v>
      </c>
      <c r="BY818">
        <v>54</v>
      </c>
      <c r="BZ818">
        <v>1512</v>
      </c>
      <c r="CA818">
        <v>0</v>
      </c>
      <c r="CB818">
        <v>1512</v>
      </c>
      <c r="CC818">
        <v>121.8672</v>
      </c>
      <c r="CD818" t="s">
        <v>783</v>
      </c>
      <c r="CE818" t="s">
        <v>784</v>
      </c>
      <c r="CG818" t="s">
        <v>421</v>
      </c>
      <c r="CN818" t="str">
        <v>M01</v>
      </c>
      <c r="CO818" t="str">
        <v>1318-1030079EN</v>
      </c>
      <c r="CP818" t="str">
        <v>SEGU9932801</v>
      </c>
      <c r="CQ818" s="23">
        <v>10</v>
      </c>
      <c r="CR818" s="25">
        <f t="shared" si="33"/>
        <v>5.2484495785397301E-4</v>
      </c>
      <c r="CS818" s="21">
        <f t="shared" si="34"/>
        <v>1.3121123946349325</v>
      </c>
    </row>
    <row r="819" spans="2:97" x14ac:dyDescent="0.35">
      <c r="B819" t="s">
        <v>298</v>
      </c>
      <c r="C819" t="s">
        <v>2724</v>
      </c>
      <c r="D819" t="s">
        <v>395</v>
      </c>
      <c r="E819" t="s">
        <v>395</v>
      </c>
      <c r="F819" t="s">
        <v>396</v>
      </c>
      <c r="G819" t="s">
        <v>397</v>
      </c>
      <c r="H819" t="s">
        <v>398</v>
      </c>
      <c r="I819" t="s">
        <v>399</v>
      </c>
      <c r="J819" t="s">
        <v>749</v>
      </c>
      <c r="K819" t="s">
        <v>629</v>
      </c>
      <c r="L819" t="s">
        <v>787</v>
      </c>
      <c r="M819" t="s">
        <v>403</v>
      </c>
      <c r="N819">
        <v>1</v>
      </c>
      <c r="O819">
        <v>1</v>
      </c>
      <c r="P819" t="s">
        <v>1432</v>
      </c>
      <c r="Q819" t="s">
        <v>405</v>
      </c>
      <c r="R819" t="s">
        <v>1433</v>
      </c>
      <c r="S819" t="s">
        <v>1434</v>
      </c>
      <c r="T819" t="s">
        <v>408</v>
      </c>
      <c r="U819">
        <v>50950077212</v>
      </c>
      <c r="W819">
        <v>6318</v>
      </c>
      <c r="X819" t="s">
        <v>409</v>
      </c>
      <c r="Y819" t="s">
        <v>410</v>
      </c>
      <c r="Z819" t="s">
        <v>410</v>
      </c>
      <c r="AA819" t="s">
        <v>411</v>
      </c>
      <c r="AB819" t="s">
        <v>554</v>
      </c>
      <c r="AC819" t="s">
        <v>411</v>
      </c>
      <c r="AD819">
        <v>46111</v>
      </c>
      <c r="AE819">
        <v>46202</v>
      </c>
      <c r="AF819">
        <v>46120</v>
      </c>
      <c r="AG819" t="s">
        <v>754</v>
      </c>
      <c r="AH819">
        <v>6170618</v>
      </c>
      <c r="AI819">
        <v>46113</v>
      </c>
      <c r="AJ819">
        <v>46114</v>
      </c>
      <c r="AK819">
        <v>6318</v>
      </c>
      <c r="AL819" t="s">
        <v>396</v>
      </c>
      <c r="AM819" t="s">
        <v>2725</v>
      </c>
      <c r="AN819">
        <v>46114</v>
      </c>
      <c r="AO819">
        <v>46114.583287037036</v>
      </c>
      <c r="AP819" t="s">
        <v>51</v>
      </c>
      <c r="AQ819">
        <v>0.99585000000000001</v>
      </c>
      <c r="AR819">
        <v>6291.78</v>
      </c>
      <c r="AS819" t="s">
        <v>51</v>
      </c>
      <c r="AT819">
        <v>6291.78</v>
      </c>
      <c r="AU819" t="s">
        <v>415</v>
      </c>
      <c r="AV819" t="s">
        <v>1420</v>
      </c>
      <c r="AW819" t="s">
        <v>2598</v>
      </c>
      <c r="AX819">
        <v>46120</v>
      </c>
      <c r="AY819">
        <v>46169</v>
      </c>
      <c r="AZ819" t="s">
        <v>2599</v>
      </c>
      <c r="BA819" t="s">
        <v>560</v>
      </c>
      <c r="BB819" t="s">
        <v>2600</v>
      </c>
      <c r="BC819">
        <v>351</v>
      </c>
      <c r="BD819" t="s">
        <v>521</v>
      </c>
      <c r="BE819">
        <v>16.555700000000002</v>
      </c>
      <c r="BF819">
        <v>13.855700000000001</v>
      </c>
      <c r="BG819" t="s">
        <v>522</v>
      </c>
      <c r="BH819">
        <v>495</v>
      </c>
      <c r="BI819">
        <v>395</v>
      </c>
      <c r="BJ819">
        <v>240</v>
      </c>
      <c r="BK819">
        <v>24</v>
      </c>
      <c r="BL819" t="s">
        <v>521</v>
      </c>
      <c r="BM819">
        <v>325.00304999999997</v>
      </c>
      <c r="BN819">
        <v>249.40305000000001</v>
      </c>
      <c r="BO819">
        <v>325.00304999999997</v>
      </c>
      <c r="BP819" t="s">
        <v>522</v>
      </c>
      <c r="BQ819">
        <v>1200</v>
      </c>
      <c r="BR819">
        <v>1000</v>
      </c>
      <c r="BS819">
        <v>1120</v>
      </c>
      <c r="BT819">
        <v>0</v>
      </c>
      <c r="BU819">
        <v>1</v>
      </c>
      <c r="BV819">
        <v>1</v>
      </c>
      <c r="BW819">
        <v>18</v>
      </c>
      <c r="BX819">
        <v>0</v>
      </c>
      <c r="BY819">
        <v>18</v>
      </c>
      <c r="BZ819">
        <v>0</v>
      </c>
      <c r="CA819">
        <v>6318</v>
      </c>
      <c r="CB819">
        <v>6318</v>
      </c>
      <c r="CC819">
        <v>249.40305000000001</v>
      </c>
      <c r="CD819" t="s">
        <v>806</v>
      </c>
      <c r="CE819" t="s">
        <v>1436</v>
      </c>
      <c r="CG819" t="s">
        <v>421</v>
      </c>
      <c r="CN819" t="str">
        <v>M01</v>
      </c>
      <c r="CO819" t="str">
        <v>1318-1030018EN</v>
      </c>
      <c r="CP819" t="str">
        <v>SEGU9932801</v>
      </c>
      <c r="CQ819" s="23">
        <v>10</v>
      </c>
      <c r="CR819" s="25">
        <f t="shared" si="33"/>
        <v>5.2484495785397301E-4</v>
      </c>
      <c r="CS819" s="21">
        <f t="shared" si="34"/>
        <v>1.3121123946349325</v>
      </c>
    </row>
    <row r="820" spans="2:97" x14ac:dyDescent="0.35">
      <c r="B820" t="s">
        <v>296</v>
      </c>
      <c r="C820" t="s">
        <v>2687</v>
      </c>
      <c r="D820" t="s">
        <v>395</v>
      </c>
      <c r="E820" t="s">
        <v>395</v>
      </c>
      <c r="F820" t="s">
        <v>396</v>
      </c>
      <c r="G820" t="s">
        <v>397</v>
      </c>
      <c r="H820" t="s">
        <v>398</v>
      </c>
      <c r="I820" t="s">
        <v>399</v>
      </c>
      <c r="J820" t="s">
        <v>749</v>
      </c>
      <c r="K820" t="s">
        <v>629</v>
      </c>
      <c r="L820" t="s">
        <v>787</v>
      </c>
      <c r="M820" t="s">
        <v>403</v>
      </c>
      <c r="N820">
        <v>1</v>
      </c>
      <c r="O820">
        <v>2</v>
      </c>
      <c r="P820" t="s">
        <v>875</v>
      </c>
      <c r="Q820" t="s">
        <v>430</v>
      </c>
      <c r="R820" t="s">
        <v>876</v>
      </c>
      <c r="S820" t="s">
        <v>877</v>
      </c>
      <c r="T820" t="s">
        <v>408</v>
      </c>
      <c r="U820">
        <v>50950078932</v>
      </c>
      <c r="W820">
        <v>25600</v>
      </c>
      <c r="X820" t="s">
        <v>409</v>
      </c>
      <c r="Y820" t="s">
        <v>410</v>
      </c>
      <c r="Z820" t="s">
        <v>410</v>
      </c>
      <c r="AA820" t="s">
        <v>411</v>
      </c>
      <c r="AB820" t="s">
        <v>554</v>
      </c>
      <c r="AC820" t="s">
        <v>411</v>
      </c>
      <c r="AD820">
        <v>46118</v>
      </c>
      <c r="AE820">
        <v>46153</v>
      </c>
      <c r="AF820">
        <v>46120</v>
      </c>
      <c r="AG820" t="s">
        <v>754</v>
      </c>
      <c r="AH820">
        <v>6170619</v>
      </c>
      <c r="AI820">
        <v>46113</v>
      </c>
      <c r="AJ820">
        <v>46114</v>
      </c>
      <c r="AK820">
        <v>25600</v>
      </c>
      <c r="AL820" t="s">
        <v>396</v>
      </c>
      <c r="AM820" t="s">
        <v>2726</v>
      </c>
      <c r="AN820">
        <v>46114</v>
      </c>
      <c r="AO820">
        <v>46114.583287037036</v>
      </c>
      <c r="AP820" t="s">
        <v>51</v>
      </c>
      <c r="AQ820">
        <v>0.12105</v>
      </c>
      <c r="AR820">
        <v>3098.88</v>
      </c>
      <c r="AS820" t="s">
        <v>51</v>
      </c>
      <c r="AT820">
        <v>3098.88</v>
      </c>
      <c r="AU820" t="s">
        <v>415</v>
      </c>
      <c r="AV820" t="s">
        <v>1420</v>
      </c>
      <c r="AW820" t="s">
        <v>2598</v>
      </c>
      <c r="AX820">
        <v>46120</v>
      </c>
      <c r="AY820">
        <v>46169</v>
      </c>
      <c r="AZ820" t="s">
        <v>2599</v>
      </c>
      <c r="BA820" t="s">
        <v>560</v>
      </c>
      <c r="BB820" t="s">
        <v>2600</v>
      </c>
      <c r="BC820">
        <v>160</v>
      </c>
      <c r="BD820" t="s">
        <v>521</v>
      </c>
      <c r="BE820">
        <v>6.3452000000000002</v>
      </c>
      <c r="BF820">
        <v>4.7952000000000004</v>
      </c>
      <c r="BG820" t="s">
        <v>522</v>
      </c>
      <c r="BH820">
        <v>595</v>
      </c>
      <c r="BI820">
        <v>495</v>
      </c>
      <c r="BJ820">
        <v>190</v>
      </c>
      <c r="BK820">
        <v>20</v>
      </c>
      <c r="BL820" t="s">
        <v>521</v>
      </c>
      <c r="BM820">
        <v>153.904</v>
      </c>
      <c r="BN820">
        <v>95.903999999999996</v>
      </c>
      <c r="BO820">
        <v>1231.232</v>
      </c>
      <c r="BP820" t="s">
        <v>522</v>
      </c>
      <c r="BQ820">
        <v>1200</v>
      </c>
      <c r="BR820">
        <v>1000</v>
      </c>
      <c r="BS820">
        <v>1110</v>
      </c>
      <c r="BT820">
        <v>8</v>
      </c>
      <c r="BU820">
        <v>0</v>
      </c>
      <c r="BV820">
        <v>8</v>
      </c>
      <c r="BW820">
        <v>160</v>
      </c>
      <c r="BX820">
        <v>0</v>
      </c>
      <c r="BY820">
        <v>160</v>
      </c>
      <c r="BZ820">
        <v>25600</v>
      </c>
      <c r="CA820">
        <v>0</v>
      </c>
      <c r="CB820">
        <v>25600</v>
      </c>
      <c r="CC820">
        <v>767.23199999999997</v>
      </c>
      <c r="CD820" t="s">
        <v>592</v>
      </c>
      <c r="CE820" t="s">
        <v>879</v>
      </c>
      <c r="CG820" t="s">
        <v>421</v>
      </c>
      <c r="CN820" t="str">
        <v>M19</v>
      </c>
      <c r="CO820" t="str">
        <v>1616-5YY3184-MTEN</v>
      </c>
      <c r="CP820" t="str">
        <v>SEGU9932801</v>
      </c>
      <c r="CQ820" s="23">
        <v>100</v>
      </c>
      <c r="CR820" s="25">
        <f t="shared" si="33"/>
        <v>5.2484495785397297E-3</v>
      </c>
      <c r="CS820" s="21">
        <f t="shared" si="34"/>
        <v>13.121123946349325</v>
      </c>
    </row>
    <row r="821" spans="2:97" x14ac:dyDescent="0.35">
      <c r="B821" t="s">
        <v>299</v>
      </c>
      <c r="C821" t="s">
        <v>2463</v>
      </c>
      <c r="D821" t="s">
        <v>395</v>
      </c>
      <c r="E821" t="s">
        <v>395</v>
      </c>
      <c r="F821" t="s">
        <v>396</v>
      </c>
      <c r="G821" t="s">
        <v>397</v>
      </c>
      <c r="H821" t="s">
        <v>398</v>
      </c>
      <c r="I821" t="s">
        <v>399</v>
      </c>
      <c r="J821" t="s">
        <v>749</v>
      </c>
      <c r="K821" t="s">
        <v>526</v>
      </c>
      <c r="L821" t="s">
        <v>787</v>
      </c>
      <c r="M821" t="s">
        <v>403</v>
      </c>
      <c r="N821">
        <v>1</v>
      </c>
      <c r="O821">
        <v>2</v>
      </c>
      <c r="P821" t="s">
        <v>966</v>
      </c>
      <c r="Q821" t="s">
        <v>424</v>
      </c>
      <c r="R821" t="s">
        <v>959</v>
      </c>
      <c r="S821" t="s">
        <v>967</v>
      </c>
      <c r="T821" t="s">
        <v>408</v>
      </c>
      <c r="U821">
        <v>50950079531</v>
      </c>
      <c r="W821">
        <v>199584</v>
      </c>
      <c r="X821" t="s">
        <v>409</v>
      </c>
      <c r="Y821" t="s">
        <v>410</v>
      </c>
      <c r="Z821" t="s">
        <v>410</v>
      </c>
      <c r="AA821" t="s">
        <v>411</v>
      </c>
      <c r="AB821" t="s">
        <v>554</v>
      </c>
      <c r="AC821" t="s">
        <v>411</v>
      </c>
      <c r="AD821">
        <v>46109</v>
      </c>
      <c r="AE821">
        <v>46118</v>
      </c>
      <c r="AF821">
        <v>46120</v>
      </c>
      <c r="AG821" t="s">
        <v>754</v>
      </c>
      <c r="AH821">
        <v>6170620</v>
      </c>
      <c r="AI821">
        <v>46113</v>
      </c>
      <c r="AJ821">
        <v>46114</v>
      </c>
      <c r="AK821">
        <v>199584</v>
      </c>
      <c r="AL821" t="s">
        <v>396</v>
      </c>
      <c r="AM821" t="s">
        <v>2727</v>
      </c>
      <c r="AN821">
        <v>46114</v>
      </c>
      <c r="AO821">
        <v>46114.583287037036</v>
      </c>
      <c r="AP821" t="s">
        <v>51</v>
      </c>
      <c r="AQ821">
        <v>5.3010000000000002E-2</v>
      </c>
      <c r="AR821">
        <v>10579.94</v>
      </c>
      <c r="AS821" t="s">
        <v>51</v>
      </c>
      <c r="AT821">
        <v>10579.94</v>
      </c>
      <c r="AU821" t="s">
        <v>415</v>
      </c>
      <c r="AV821" t="s">
        <v>1420</v>
      </c>
      <c r="AW821" t="s">
        <v>2598</v>
      </c>
      <c r="AX821">
        <v>46120</v>
      </c>
      <c r="AY821">
        <v>46169</v>
      </c>
      <c r="AZ821" t="s">
        <v>2599</v>
      </c>
      <c r="BA821" t="s">
        <v>560</v>
      </c>
      <c r="BB821" t="s">
        <v>2600</v>
      </c>
      <c r="BC821">
        <v>594</v>
      </c>
      <c r="BD821" t="s">
        <v>521</v>
      </c>
      <c r="BE821">
        <v>8.2226999999999997</v>
      </c>
      <c r="BF821">
        <v>7.9726999999999997</v>
      </c>
      <c r="BG821" t="s">
        <v>522</v>
      </c>
      <c r="BH821">
        <v>286</v>
      </c>
      <c r="BI821">
        <v>190</v>
      </c>
      <c r="BJ821">
        <v>72</v>
      </c>
      <c r="BK821">
        <v>48</v>
      </c>
      <c r="BL821" t="s">
        <v>521</v>
      </c>
      <c r="BM821">
        <v>419.68959999999998</v>
      </c>
      <c r="BN821">
        <v>382.68959999999998</v>
      </c>
      <c r="BO821">
        <v>2937.816448</v>
      </c>
      <c r="BP821" t="s">
        <v>522</v>
      </c>
      <c r="BQ821">
        <v>1200</v>
      </c>
      <c r="BR821">
        <v>800</v>
      </c>
      <c r="BS821">
        <v>378</v>
      </c>
      <c r="BT821">
        <v>7</v>
      </c>
      <c r="BU821">
        <v>0</v>
      </c>
      <c r="BV821">
        <v>7</v>
      </c>
      <c r="BW821">
        <v>336</v>
      </c>
      <c r="BX821">
        <v>0</v>
      </c>
      <c r="BY821">
        <v>336</v>
      </c>
      <c r="BZ821">
        <v>199584</v>
      </c>
      <c r="CA821">
        <v>0</v>
      </c>
      <c r="CB821">
        <v>199584</v>
      </c>
      <c r="CC821">
        <v>2678.816448</v>
      </c>
      <c r="CD821" t="s">
        <v>969</v>
      </c>
      <c r="CE821" t="s">
        <v>970</v>
      </c>
      <c r="CG821" t="s">
        <v>421</v>
      </c>
      <c r="CN821" t="str">
        <v>M19</v>
      </c>
      <c r="CO821" t="str">
        <v>1307-5YY0222EN</v>
      </c>
      <c r="CP821" t="str">
        <v>SEGU9932801</v>
      </c>
      <c r="CQ821" s="23">
        <v>1500</v>
      </c>
      <c r="CR821" s="25">
        <f t="shared" si="33"/>
        <v>7.8726743678095942E-2</v>
      </c>
      <c r="CS821" s="21">
        <f t="shared" si="34"/>
        <v>196.81685919523986</v>
      </c>
    </row>
    <row r="822" spans="2:97" x14ac:dyDescent="0.35">
      <c r="B822" t="s">
        <v>299</v>
      </c>
      <c r="C822" t="s">
        <v>1380</v>
      </c>
      <c r="D822" t="s">
        <v>965</v>
      </c>
      <c r="E822" t="s">
        <v>395</v>
      </c>
      <c r="F822" t="s">
        <v>396</v>
      </c>
      <c r="G822" t="s">
        <v>397</v>
      </c>
      <c r="H822" t="s">
        <v>398</v>
      </c>
      <c r="I822" t="s">
        <v>399</v>
      </c>
      <c r="J822" t="s">
        <v>749</v>
      </c>
      <c r="K822" t="s">
        <v>809</v>
      </c>
      <c r="L822" t="s">
        <v>787</v>
      </c>
      <c r="M822" t="s">
        <v>403</v>
      </c>
      <c r="N822">
        <v>1</v>
      </c>
      <c r="O822">
        <v>19</v>
      </c>
      <c r="P822" t="s">
        <v>810</v>
      </c>
      <c r="Q822" t="s">
        <v>405</v>
      </c>
      <c r="R822" t="s">
        <v>811</v>
      </c>
      <c r="S822" t="s">
        <v>812</v>
      </c>
      <c r="T822" t="s">
        <v>408</v>
      </c>
      <c r="U822">
        <v>50950080270</v>
      </c>
      <c r="W822">
        <v>4320</v>
      </c>
      <c r="X822" t="s">
        <v>409</v>
      </c>
      <c r="Y822" t="s">
        <v>410</v>
      </c>
      <c r="Z822" t="s">
        <v>410</v>
      </c>
      <c r="AA822" t="s">
        <v>411</v>
      </c>
      <c r="AB822" t="s">
        <v>554</v>
      </c>
      <c r="AC822" t="s">
        <v>411</v>
      </c>
      <c r="AD822">
        <v>46109</v>
      </c>
      <c r="AE822">
        <v>46125</v>
      </c>
      <c r="AF822">
        <v>46120</v>
      </c>
      <c r="AG822" t="s">
        <v>754</v>
      </c>
      <c r="AH822">
        <v>6170621</v>
      </c>
      <c r="AI822">
        <v>46113</v>
      </c>
      <c r="AJ822">
        <v>46114</v>
      </c>
      <c r="AK822">
        <v>4320</v>
      </c>
      <c r="AL822" t="s">
        <v>396</v>
      </c>
      <c r="AM822" t="s">
        <v>2728</v>
      </c>
      <c r="AN822">
        <v>46114</v>
      </c>
      <c r="AO822">
        <v>46114.583287037036</v>
      </c>
      <c r="AP822" t="s">
        <v>51</v>
      </c>
      <c r="AQ822">
        <v>2.0436299999999998</v>
      </c>
      <c r="AR822">
        <v>8828.4599999999991</v>
      </c>
      <c r="AS822" t="s">
        <v>51</v>
      </c>
      <c r="AT822">
        <v>8828.4599999999991</v>
      </c>
      <c r="AU822" t="s">
        <v>415</v>
      </c>
      <c r="AV822" t="s">
        <v>1420</v>
      </c>
      <c r="AW822" t="s">
        <v>2598</v>
      </c>
      <c r="AX822">
        <v>46120</v>
      </c>
      <c r="AY822">
        <v>46169</v>
      </c>
      <c r="AZ822" t="s">
        <v>2599</v>
      </c>
      <c r="BA822" t="s">
        <v>560</v>
      </c>
      <c r="BB822" t="s">
        <v>2600</v>
      </c>
      <c r="BC822">
        <v>16</v>
      </c>
      <c r="BD822" t="s">
        <v>521</v>
      </c>
      <c r="BE822">
        <v>4.9545000000000003</v>
      </c>
      <c r="BF822">
        <v>3.7555000000000001</v>
      </c>
      <c r="BG822" t="s">
        <v>522</v>
      </c>
      <c r="BH822">
        <v>495</v>
      </c>
      <c r="BI822">
        <v>395</v>
      </c>
      <c r="BJ822">
        <v>190</v>
      </c>
      <c r="BK822">
        <v>30</v>
      </c>
      <c r="BL822" t="s">
        <v>521</v>
      </c>
      <c r="BM822">
        <v>175.63499999999999</v>
      </c>
      <c r="BN822">
        <v>112.66500000000001</v>
      </c>
      <c r="BO822">
        <v>1580.7203999999999</v>
      </c>
      <c r="BP822" t="s">
        <v>522</v>
      </c>
      <c r="BQ822">
        <v>1200</v>
      </c>
      <c r="BR822">
        <v>1000</v>
      </c>
      <c r="BS822">
        <v>1120</v>
      </c>
      <c r="BT822">
        <v>9</v>
      </c>
      <c r="BU822">
        <v>0</v>
      </c>
      <c r="BV822">
        <v>9</v>
      </c>
      <c r="BW822">
        <v>270</v>
      </c>
      <c r="BX822">
        <v>0</v>
      </c>
      <c r="BY822">
        <v>270</v>
      </c>
      <c r="BZ822">
        <v>4320</v>
      </c>
      <c r="CA822">
        <v>0</v>
      </c>
      <c r="CB822">
        <v>4320</v>
      </c>
      <c r="CC822">
        <v>1013.9904</v>
      </c>
      <c r="CD822" t="s">
        <v>806</v>
      </c>
      <c r="CE822" t="s">
        <v>816</v>
      </c>
      <c r="CG822" t="s">
        <v>421</v>
      </c>
      <c r="CN822" t="str">
        <v>M19</v>
      </c>
      <c r="CO822" t="str">
        <v>1318-5YY0073EN</v>
      </c>
      <c r="CP822" t="str">
        <v>SEGU9932801</v>
      </c>
      <c r="CQ822" s="23">
        <v>50</v>
      </c>
      <c r="CR822" s="25">
        <f t="shared" si="33"/>
        <v>2.6242247892698648E-3</v>
      </c>
      <c r="CS822" s="21">
        <f t="shared" si="34"/>
        <v>6.5605619731746625</v>
      </c>
    </row>
    <row r="823" spans="2:97" x14ac:dyDescent="0.35">
      <c r="B823" t="s">
        <v>297</v>
      </c>
      <c r="C823" t="s">
        <v>831</v>
      </c>
      <c r="D823" t="s">
        <v>395</v>
      </c>
      <c r="E823" t="s">
        <v>395</v>
      </c>
      <c r="F823" t="s">
        <v>396</v>
      </c>
      <c r="G823" t="s">
        <v>397</v>
      </c>
      <c r="H823" t="s">
        <v>398</v>
      </c>
      <c r="I823" t="s">
        <v>399</v>
      </c>
      <c r="J823" t="s">
        <v>749</v>
      </c>
      <c r="K823" t="s">
        <v>629</v>
      </c>
      <c r="L823" t="s">
        <v>787</v>
      </c>
      <c r="M823" t="s">
        <v>403</v>
      </c>
      <c r="N823">
        <v>3</v>
      </c>
      <c r="O823">
        <v>2</v>
      </c>
      <c r="P823" t="s">
        <v>832</v>
      </c>
      <c r="Q823" t="s">
        <v>645</v>
      </c>
      <c r="R823" t="s">
        <v>833</v>
      </c>
      <c r="S823" t="s">
        <v>834</v>
      </c>
      <c r="T823" t="s">
        <v>408</v>
      </c>
      <c r="U823">
        <v>50950080792</v>
      </c>
      <c r="W823">
        <v>9600</v>
      </c>
      <c r="X823" t="s">
        <v>409</v>
      </c>
      <c r="Y823" t="s">
        <v>410</v>
      </c>
      <c r="Z823" t="s">
        <v>410</v>
      </c>
      <c r="AA823" t="s">
        <v>411</v>
      </c>
      <c r="AB823" t="s">
        <v>554</v>
      </c>
      <c r="AC823" t="s">
        <v>411</v>
      </c>
      <c r="AD823">
        <v>46109</v>
      </c>
      <c r="AE823">
        <v>46153</v>
      </c>
      <c r="AF823">
        <v>46120</v>
      </c>
      <c r="AG823" t="s">
        <v>754</v>
      </c>
      <c r="AH823">
        <v>6170622</v>
      </c>
      <c r="AI823">
        <v>46113</v>
      </c>
      <c r="AJ823">
        <v>46114</v>
      </c>
      <c r="AK823">
        <v>9600</v>
      </c>
      <c r="AL823" t="s">
        <v>396</v>
      </c>
      <c r="AM823" t="s">
        <v>2729</v>
      </c>
      <c r="AN823">
        <v>46114</v>
      </c>
      <c r="AO823">
        <v>46114.583287037036</v>
      </c>
      <c r="AP823" t="s">
        <v>51</v>
      </c>
      <c r="AQ823">
        <v>0.13306999999999999</v>
      </c>
      <c r="AR823">
        <v>1277.47</v>
      </c>
      <c r="AS823" t="s">
        <v>51</v>
      </c>
      <c r="AT823">
        <v>1277.47</v>
      </c>
      <c r="AU823" t="s">
        <v>415</v>
      </c>
      <c r="AV823" t="s">
        <v>1420</v>
      </c>
      <c r="AW823" t="s">
        <v>2598</v>
      </c>
      <c r="AX823">
        <v>46120</v>
      </c>
      <c r="AY823">
        <v>46169</v>
      </c>
      <c r="AZ823" t="s">
        <v>2599</v>
      </c>
      <c r="BA823" t="s">
        <v>560</v>
      </c>
      <c r="BB823" t="s">
        <v>2600</v>
      </c>
      <c r="BC823">
        <v>320</v>
      </c>
      <c r="BD823" t="s">
        <v>521</v>
      </c>
      <c r="BE823">
        <v>4.1859999999999999</v>
      </c>
      <c r="BF823">
        <v>3.6160000000000001</v>
      </c>
      <c r="BG823" t="s">
        <v>522</v>
      </c>
      <c r="BH823">
        <v>395</v>
      </c>
      <c r="BI823">
        <v>295</v>
      </c>
      <c r="BJ823">
        <v>255</v>
      </c>
      <c r="BK823">
        <v>30</v>
      </c>
      <c r="BL823" t="s">
        <v>521</v>
      </c>
      <c r="BM823">
        <v>152.58000000000001</v>
      </c>
      <c r="BN823">
        <v>108.48</v>
      </c>
      <c r="BO823">
        <v>152.58000000000001</v>
      </c>
      <c r="BP823" t="s">
        <v>522</v>
      </c>
      <c r="BQ823">
        <v>1200</v>
      </c>
      <c r="BR823">
        <v>1000</v>
      </c>
      <c r="BS823">
        <v>918</v>
      </c>
      <c r="BT823">
        <v>1</v>
      </c>
      <c r="BU823">
        <v>0</v>
      </c>
      <c r="BV823">
        <v>1</v>
      </c>
      <c r="BW823">
        <v>30</v>
      </c>
      <c r="BX823">
        <v>0</v>
      </c>
      <c r="BY823">
        <v>30</v>
      </c>
      <c r="BZ823">
        <v>9600</v>
      </c>
      <c r="CA823">
        <v>0</v>
      </c>
      <c r="CB823">
        <v>9600</v>
      </c>
      <c r="CC823">
        <v>108.48</v>
      </c>
      <c r="CD823" t="s">
        <v>633</v>
      </c>
      <c r="CE823" t="s">
        <v>836</v>
      </c>
      <c r="CG823" t="s">
        <v>421</v>
      </c>
      <c r="CN823" t="str">
        <v>M19</v>
      </c>
      <c r="CO823" t="str">
        <v>1318-5YY0073EN</v>
      </c>
      <c r="CP823" t="str">
        <v>SEGU9932801</v>
      </c>
      <c r="CQ823" s="23">
        <v>50</v>
      </c>
      <c r="CR823" s="25">
        <f t="shared" si="33"/>
        <v>2.6242247892698648E-3</v>
      </c>
      <c r="CS823" s="21">
        <f t="shared" si="34"/>
        <v>6.5605619731746625</v>
      </c>
    </row>
    <row r="824" spans="2:97" x14ac:dyDescent="0.35">
      <c r="B824" t="s">
        <v>299</v>
      </c>
      <c r="C824" t="s">
        <v>2730</v>
      </c>
      <c r="D824" t="s">
        <v>395</v>
      </c>
      <c r="E824" t="s">
        <v>395</v>
      </c>
      <c r="F824" t="s">
        <v>396</v>
      </c>
      <c r="G824" t="s">
        <v>397</v>
      </c>
      <c r="H824" t="s">
        <v>398</v>
      </c>
      <c r="I824" t="s">
        <v>399</v>
      </c>
      <c r="J824" t="s">
        <v>749</v>
      </c>
      <c r="K824" t="s">
        <v>526</v>
      </c>
      <c r="L824" t="s">
        <v>787</v>
      </c>
      <c r="M824" t="s">
        <v>403</v>
      </c>
      <c r="N824">
        <v>1</v>
      </c>
      <c r="O824">
        <v>1</v>
      </c>
      <c r="P824" t="s">
        <v>1065</v>
      </c>
      <c r="Q824" t="s">
        <v>430</v>
      </c>
      <c r="R824" t="s">
        <v>959</v>
      </c>
      <c r="S824" t="s">
        <v>1066</v>
      </c>
      <c r="T824" t="s">
        <v>408</v>
      </c>
      <c r="U824">
        <v>50950081011</v>
      </c>
      <c r="W824">
        <v>24000</v>
      </c>
      <c r="X824" t="s">
        <v>409</v>
      </c>
      <c r="Y824" t="s">
        <v>410</v>
      </c>
      <c r="Z824" t="s">
        <v>410</v>
      </c>
      <c r="AA824" t="s">
        <v>411</v>
      </c>
      <c r="AB824" t="s">
        <v>554</v>
      </c>
      <c r="AC824" t="s">
        <v>411</v>
      </c>
      <c r="AD824">
        <v>46102</v>
      </c>
      <c r="AE824">
        <v>46153</v>
      </c>
      <c r="AF824">
        <v>46120</v>
      </c>
      <c r="AG824" t="s">
        <v>754</v>
      </c>
      <c r="AH824">
        <v>6170623</v>
      </c>
      <c r="AI824">
        <v>46113</v>
      </c>
      <c r="AJ824">
        <v>46114</v>
      </c>
      <c r="AK824">
        <v>24000</v>
      </c>
      <c r="AL824" t="s">
        <v>396</v>
      </c>
      <c r="AM824" t="s">
        <v>2731</v>
      </c>
      <c r="AN824">
        <v>46114</v>
      </c>
      <c r="AO824">
        <v>46114.583287037036</v>
      </c>
      <c r="AP824" t="s">
        <v>51</v>
      </c>
      <c r="AQ824">
        <v>0.11276</v>
      </c>
      <c r="AR824">
        <v>2706.24</v>
      </c>
      <c r="AS824" t="s">
        <v>51</v>
      </c>
      <c r="AT824">
        <v>2706.24</v>
      </c>
      <c r="AU824" t="s">
        <v>415</v>
      </c>
      <c r="AV824" t="s">
        <v>1420</v>
      </c>
      <c r="AW824" t="s">
        <v>2598</v>
      </c>
      <c r="AX824">
        <v>46120</v>
      </c>
      <c r="AY824">
        <v>46169</v>
      </c>
      <c r="AZ824" t="s">
        <v>2599</v>
      </c>
      <c r="BA824" t="s">
        <v>560</v>
      </c>
      <c r="BB824" t="s">
        <v>2600</v>
      </c>
      <c r="BC824">
        <v>250</v>
      </c>
      <c r="BD824" t="s">
        <v>521</v>
      </c>
      <c r="BE824">
        <v>7.8822999999999999</v>
      </c>
      <c r="BF824">
        <v>7.6322999999999999</v>
      </c>
      <c r="BG824" t="s">
        <v>522</v>
      </c>
      <c r="BH824">
        <v>286</v>
      </c>
      <c r="BI824">
        <v>190</v>
      </c>
      <c r="BJ824">
        <v>72</v>
      </c>
      <c r="BK824">
        <v>48</v>
      </c>
      <c r="BL824" t="s">
        <v>521</v>
      </c>
      <c r="BM824">
        <v>403.35039999999998</v>
      </c>
      <c r="BN824">
        <v>366.35039999999998</v>
      </c>
      <c r="BO824">
        <v>806.69600000000003</v>
      </c>
      <c r="BP824" t="s">
        <v>522</v>
      </c>
      <c r="BQ824">
        <v>1200</v>
      </c>
      <c r="BR824">
        <v>800</v>
      </c>
      <c r="BS824">
        <v>378</v>
      </c>
      <c r="BT824">
        <v>2</v>
      </c>
      <c r="BU824">
        <v>0</v>
      </c>
      <c r="BV824">
        <v>2</v>
      </c>
      <c r="BW824">
        <v>96</v>
      </c>
      <c r="BX824">
        <v>0</v>
      </c>
      <c r="BY824">
        <v>96</v>
      </c>
      <c r="BZ824">
        <v>24000</v>
      </c>
      <c r="CA824">
        <v>0</v>
      </c>
      <c r="CB824">
        <v>24000</v>
      </c>
      <c r="CC824">
        <v>732.69600000000003</v>
      </c>
      <c r="CD824" t="s">
        <v>969</v>
      </c>
      <c r="CE824" t="s">
        <v>970</v>
      </c>
      <c r="CG824" t="s">
        <v>421</v>
      </c>
      <c r="CN824" t="str">
        <v>M19</v>
      </c>
      <c r="CO824" t="str">
        <v>1318-5YY0073EN</v>
      </c>
      <c r="CP824" t="str">
        <v>SEGU9932801</v>
      </c>
      <c r="CQ824" s="23">
        <v>50</v>
      </c>
      <c r="CR824" s="25">
        <f t="shared" si="33"/>
        <v>2.6242247892698648E-3</v>
      </c>
      <c r="CS824" s="21">
        <f t="shared" si="34"/>
        <v>6.5605619731746625</v>
      </c>
    </row>
    <row r="825" spans="2:97" x14ac:dyDescent="0.35">
      <c r="B825" t="s">
        <v>299</v>
      </c>
      <c r="C825" t="s">
        <v>2669</v>
      </c>
      <c r="D825" t="s">
        <v>395</v>
      </c>
      <c r="E825" t="s">
        <v>395</v>
      </c>
      <c r="F825" t="s">
        <v>396</v>
      </c>
      <c r="G825" t="s">
        <v>397</v>
      </c>
      <c r="H825" t="s">
        <v>398</v>
      </c>
      <c r="I825" t="s">
        <v>399</v>
      </c>
      <c r="J825" t="s">
        <v>749</v>
      </c>
      <c r="K825" t="s">
        <v>809</v>
      </c>
      <c r="L825" t="s">
        <v>787</v>
      </c>
      <c r="M825" t="s">
        <v>403</v>
      </c>
      <c r="N825">
        <v>1</v>
      </c>
      <c r="O825">
        <v>2</v>
      </c>
      <c r="P825" t="s">
        <v>1069</v>
      </c>
      <c r="Q825" t="s">
        <v>424</v>
      </c>
      <c r="R825" t="s">
        <v>811</v>
      </c>
      <c r="S825" t="s">
        <v>1070</v>
      </c>
      <c r="T825" t="s">
        <v>408</v>
      </c>
      <c r="U825">
        <v>50950081203</v>
      </c>
      <c r="W825">
        <v>480</v>
      </c>
      <c r="X825" t="s">
        <v>409</v>
      </c>
      <c r="Y825" t="s">
        <v>410</v>
      </c>
      <c r="Z825" t="s">
        <v>410</v>
      </c>
      <c r="AA825" t="s">
        <v>411</v>
      </c>
      <c r="AB825" t="s">
        <v>554</v>
      </c>
      <c r="AC825" t="s">
        <v>411</v>
      </c>
      <c r="AD825">
        <v>46109</v>
      </c>
      <c r="AE825">
        <v>46160</v>
      </c>
      <c r="AF825">
        <v>46120</v>
      </c>
      <c r="AG825" t="s">
        <v>754</v>
      </c>
      <c r="AH825">
        <v>6170624</v>
      </c>
      <c r="AI825">
        <v>46113</v>
      </c>
      <c r="AJ825">
        <v>46114</v>
      </c>
      <c r="AK825">
        <v>480</v>
      </c>
      <c r="AL825" t="s">
        <v>396</v>
      </c>
      <c r="AM825" t="s">
        <v>2732</v>
      </c>
      <c r="AN825">
        <v>46114</v>
      </c>
      <c r="AO825">
        <v>46114.583287037036</v>
      </c>
      <c r="AP825" t="s">
        <v>51</v>
      </c>
      <c r="AQ825">
        <v>2.4991699999999999</v>
      </c>
      <c r="AR825">
        <v>1199.5999999999999</v>
      </c>
      <c r="AS825" t="s">
        <v>51</v>
      </c>
      <c r="AT825">
        <v>1199.5999999999999</v>
      </c>
      <c r="AU825" t="s">
        <v>415</v>
      </c>
      <c r="AV825" t="s">
        <v>1420</v>
      </c>
      <c r="AW825" t="s">
        <v>2598</v>
      </c>
      <c r="AX825">
        <v>46120</v>
      </c>
      <c r="AY825">
        <v>46169</v>
      </c>
      <c r="AZ825" t="s">
        <v>2599</v>
      </c>
      <c r="BA825" t="s">
        <v>560</v>
      </c>
      <c r="BB825" t="s">
        <v>2600</v>
      </c>
      <c r="BC825">
        <v>16</v>
      </c>
      <c r="BD825" t="s">
        <v>521</v>
      </c>
      <c r="BE825">
        <v>6.3334000000000001</v>
      </c>
      <c r="BF825">
        <v>5.1344000000000003</v>
      </c>
      <c r="BG825" t="s">
        <v>522</v>
      </c>
      <c r="BH825">
        <v>495</v>
      </c>
      <c r="BI825">
        <v>395</v>
      </c>
      <c r="BJ825">
        <v>190</v>
      </c>
      <c r="BK825">
        <v>30</v>
      </c>
      <c r="BL825" t="s">
        <v>521</v>
      </c>
      <c r="BM825">
        <v>217.00200000000001</v>
      </c>
      <c r="BN825">
        <v>154.03200000000001</v>
      </c>
      <c r="BO825">
        <v>217.00200000000001</v>
      </c>
      <c r="BP825" t="s">
        <v>522</v>
      </c>
      <c r="BQ825">
        <v>1200</v>
      </c>
      <c r="BR825">
        <v>1000</v>
      </c>
      <c r="BS825">
        <v>1120</v>
      </c>
      <c r="BT825">
        <v>1</v>
      </c>
      <c r="BU825">
        <v>0</v>
      </c>
      <c r="BV825">
        <v>1</v>
      </c>
      <c r="BW825">
        <v>30</v>
      </c>
      <c r="BX825">
        <v>0</v>
      </c>
      <c r="BY825">
        <v>30</v>
      </c>
      <c r="BZ825">
        <v>480</v>
      </c>
      <c r="CA825">
        <v>0</v>
      </c>
      <c r="CB825">
        <v>480</v>
      </c>
      <c r="CC825">
        <v>154.03200000000001</v>
      </c>
      <c r="CD825" t="s">
        <v>806</v>
      </c>
      <c r="CE825" t="s">
        <v>816</v>
      </c>
      <c r="CG825" t="s">
        <v>421</v>
      </c>
      <c r="CN825" t="str">
        <v>M19</v>
      </c>
      <c r="CO825" t="str">
        <v>1318-5YY0073EN</v>
      </c>
      <c r="CP825" t="str">
        <v>SEGU9932801</v>
      </c>
      <c r="CQ825" s="23">
        <v>50</v>
      </c>
      <c r="CR825" s="25">
        <f t="shared" si="33"/>
        <v>2.6242247892698648E-3</v>
      </c>
      <c r="CS825" s="21">
        <f t="shared" si="34"/>
        <v>6.5605619731746625</v>
      </c>
    </row>
    <row r="826" spans="2:97" x14ac:dyDescent="0.35">
      <c r="B826" t="s">
        <v>299</v>
      </c>
      <c r="C826" t="s">
        <v>2733</v>
      </c>
      <c r="D826" t="s">
        <v>395</v>
      </c>
      <c r="E826" t="s">
        <v>395</v>
      </c>
      <c r="F826" t="s">
        <v>396</v>
      </c>
      <c r="G826" t="s">
        <v>397</v>
      </c>
      <c r="H826" t="s">
        <v>398</v>
      </c>
      <c r="I826" t="s">
        <v>399</v>
      </c>
      <c r="J826" t="s">
        <v>749</v>
      </c>
      <c r="K826" t="s">
        <v>845</v>
      </c>
      <c r="L826" t="s">
        <v>787</v>
      </c>
      <c r="M826" t="s">
        <v>403</v>
      </c>
      <c r="N826">
        <v>1</v>
      </c>
      <c r="O826">
        <v>1</v>
      </c>
      <c r="P826" t="s">
        <v>1395</v>
      </c>
      <c r="Q826" t="s">
        <v>645</v>
      </c>
      <c r="R826" t="s">
        <v>847</v>
      </c>
      <c r="S826" t="s">
        <v>1396</v>
      </c>
      <c r="T826" t="s">
        <v>408</v>
      </c>
      <c r="U826">
        <v>50950081218</v>
      </c>
      <c r="W826">
        <v>1404</v>
      </c>
      <c r="X826" t="s">
        <v>409</v>
      </c>
      <c r="Y826" t="s">
        <v>410</v>
      </c>
      <c r="Z826" t="s">
        <v>410</v>
      </c>
      <c r="AA826" t="s">
        <v>411</v>
      </c>
      <c r="AB826" t="s">
        <v>554</v>
      </c>
      <c r="AC826" t="s">
        <v>411</v>
      </c>
      <c r="AD826">
        <v>46116</v>
      </c>
      <c r="AE826">
        <v>46174</v>
      </c>
      <c r="AF826">
        <v>46120</v>
      </c>
      <c r="AG826" t="s">
        <v>754</v>
      </c>
      <c r="AH826">
        <v>6170625</v>
      </c>
      <c r="AI826">
        <v>46113</v>
      </c>
      <c r="AJ826">
        <v>46114</v>
      </c>
      <c r="AK826">
        <v>1404</v>
      </c>
      <c r="AL826" t="s">
        <v>396</v>
      </c>
      <c r="AM826" t="s">
        <v>2734</v>
      </c>
      <c r="AN826">
        <v>46114</v>
      </c>
      <c r="AO826">
        <v>46114.583287037036</v>
      </c>
      <c r="AP826" t="s">
        <v>51</v>
      </c>
      <c r="AQ826">
        <v>0.70615000000000006</v>
      </c>
      <c r="AR826">
        <v>991.43</v>
      </c>
      <c r="AS826" t="s">
        <v>51</v>
      </c>
      <c r="AT826">
        <v>991.43</v>
      </c>
      <c r="AU826" t="s">
        <v>415</v>
      </c>
      <c r="AV826" t="s">
        <v>1420</v>
      </c>
      <c r="AW826" t="s">
        <v>2598</v>
      </c>
      <c r="AX826">
        <v>46120</v>
      </c>
      <c r="AY826">
        <v>46169</v>
      </c>
      <c r="AZ826" t="s">
        <v>2599</v>
      </c>
      <c r="BA826" t="s">
        <v>560</v>
      </c>
      <c r="BB826" t="s">
        <v>2600</v>
      </c>
      <c r="BC826">
        <v>39</v>
      </c>
      <c r="BD826" t="s">
        <v>521</v>
      </c>
      <c r="BE826">
        <v>13.174200000000001</v>
      </c>
      <c r="BF826">
        <v>12.2242</v>
      </c>
      <c r="BG826" t="s">
        <v>522</v>
      </c>
      <c r="BH826">
        <v>495</v>
      </c>
      <c r="BI826">
        <v>395</v>
      </c>
      <c r="BJ826">
        <v>150</v>
      </c>
      <c r="BK826">
        <v>36</v>
      </c>
      <c r="BL826" t="s">
        <v>521</v>
      </c>
      <c r="BM826">
        <v>501.26976000000002</v>
      </c>
      <c r="BN826">
        <v>440.06975999999997</v>
      </c>
      <c r="BO826">
        <v>501.26976000000002</v>
      </c>
      <c r="BP826" t="s">
        <v>522</v>
      </c>
      <c r="BQ826">
        <v>1200</v>
      </c>
      <c r="BR826">
        <v>1000</v>
      </c>
      <c r="BS826">
        <v>1053</v>
      </c>
      <c r="BT826">
        <v>1</v>
      </c>
      <c r="BU826">
        <v>0</v>
      </c>
      <c r="BV826">
        <v>1</v>
      </c>
      <c r="BW826">
        <v>36</v>
      </c>
      <c r="BX826">
        <v>0</v>
      </c>
      <c r="BY826">
        <v>36</v>
      </c>
      <c r="BZ826">
        <v>1404</v>
      </c>
      <c r="CA826">
        <v>0</v>
      </c>
      <c r="CB826">
        <v>1404</v>
      </c>
      <c r="CC826">
        <v>440.06975999999997</v>
      </c>
      <c r="CD826" t="s">
        <v>856</v>
      </c>
      <c r="CE826" t="s">
        <v>857</v>
      </c>
      <c r="CG826" t="s">
        <v>421</v>
      </c>
      <c r="CN826" t="str">
        <v>M19</v>
      </c>
      <c r="CO826" t="str">
        <v>1318-5YY0073EN</v>
      </c>
      <c r="CP826" t="str">
        <v>SEGU9932801</v>
      </c>
      <c r="CQ826" s="23">
        <v>50</v>
      </c>
      <c r="CR826" s="25">
        <f t="shared" si="33"/>
        <v>2.6242247892698648E-3</v>
      </c>
      <c r="CS826" s="21">
        <f t="shared" si="34"/>
        <v>6.5605619731746625</v>
      </c>
    </row>
    <row r="827" spans="2:97" x14ac:dyDescent="0.35">
      <c r="B827" t="s">
        <v>296</v>
      </c>
      <c r="C827" t="s">
        <v>2735</v>
      </c>
      <c r="D827" t="s">
        <v>395</v>
      </c>
      <c r="E827" t="s">
        <v>395</v>
      </c>
      <c r="F827" t="s">
        <v>396</v>
      </c>
      <c r="G827" t="s">
        <v>397</v>
      </c>
      <c r="H827" t="s">
        <v>398</v>
      </c>
      <c r="I827" t="s">
        <v>399</v>
      </c>
      <c r="J827" t="s">
        <v>749</v>
      </c>
      <c r="K827" t="s">
        <v>629</v>
      </c>
      <c r="L827" t="s">
        <v>787</v>
      </c>
      <c r="M827" t="s">
        <v>403</v>
      </c>
      <c r="N827">
        <v>1</v>
      </c>
      <c r="O827">
        <v>1</v>
      </c>
      <c r="P827" t="s">
        <v>911</v>
      </c>
      <c r="Q827" t="s">
        <v>424</v>
      </c>
      <c r="R827" t="s">
        <v>912</v>
      </c>
      <c r="S827" t="s">
        <v>913</v>
      </c>
      <c r="T827" t="s">
        <v>408</v>
      </c>
      <c r="U827">
        <v>50950081434</v>
      </c>
      <c r="W827">
        <v>60000</v>
      </c>
      <c r="X827" t="s">
        <v>409</v>
      </c>
      <c r="Y827" t="s">
        <v>410</v>
      </c>
      <c r="Z827" t="s">
        <v>410</v>
      </c>
      <c r="AA827" t="s">
        <v>411</v>
      </c>
      <c r="AB827" t="s">
        <v>554</v>
      </c>
      <c r="AC827" t="s">
        <v>411</v>
      </c>
      <c r="AD827">
        <v>46116</v>
      </c>
      <c r="AE827">
        <v>46174</v>
      </c>
      <c r="AF827">
        <v>46120</v>
      </c>
      <c r="AG827" t="s">
        <v>754</v>
      </c>
      <c r="AH827">
        <v>6170626</v>
      </c>
      <c r="AI827">
        <v>46113</v>
      </c>
      <c r="AJ827">
        <v>46114</v>
      </c>
      <c r="AK827">
        <v>60000</v>
      </c>
      <c r="AL827" t="s">
        <v>396</v>
      </c>
      <c r="AM827" t="s">
        <v>2736</v>
      </c>
      <c r="AN827">
        <v>46114</v>
      </c>
      <c r="AO827">
        <v>46114.583287037036</v>
      </c>
      <c r="AP827" t="s">
        <v>51</v>
      </c>
      <c r="AQ827">
        <v>7.1179999999999993E-2</v>
      </c>
      <c r="AR827">
        <v>4270.8</v>
      </c>
      <c r="AS827" t="s">
        <v>51</v>
      </c>
      <c r="AT827">
        <v>4270.8</v>
      </c>
      <c r="AU827" t="s">
        <v>415</v>
      </c>
      <c r="AV827" t="s">
        <v>1420</v>
      </c>
      <c r="AW827" t="s">
        <v>2598</v>
      </c>
      <c r="AX827">
        <v>46120</v>
      </c>
      <c r="AY827">
        <v>46169</v>
      </c>
      <c r="AZ827" t="s">
        <v>2599</v>
      </c>
      <c r="BA827" t="s">
        <v>560</v>
      </c>
      <c r="BB827" t="s">
        <v>2600</v>
      </c>
      <c r="BC827">
        <v>1200</v>
      </c>
      <c r="BD827" t="s">
        <v>521</v>
      </c>
      <c r="BE827">
        <v>7.0679999999999996</v>
      </c>
      <c r="BF827">
        <v>6.1980000000000004</v>
      </c>
      <c r="BG827" t="s">
        <v>522</v>
      </c>
      <c r="BH827">
        <v>595</v>
      </c>
      <c r="BI827">
        <v>395</v>
      </c>
      <c r="BJ827">
        <v>190</v>
      </c>
      <c r="BK827">
        <v>25</v>
      </c>
      <c r="BL827" t="s">
        <v>521</v>
      </c>
      <c r="BM827">
        <v>203.7</v>
      </c>
      <c r="BN827">
        <v>154.94999999999999</v>
      </c>
      <c r="BO827">
        <v>407.4</v>
      </c>
      <c r="BP827" t="s">
        <v>522</v>
      </c>
      <c r="BQ827">
        <v>1200</v>
      </c>
      <c r="BR827">
        <v>1000</v>
      </c>
      <c r="BS827">
        <v>1088</v>
      </c>
      <c r="BT827">
        <v>2</v>
      </c>
      <c r="BU827">
        <v>0</v>
      </c>
      <c r="BV827">
        <v>2</v>
      </c>
      <c r="BW827">
        <v>50</v>
      </c>
      <c r="BX827">
        <v>0</v>
      </c>
      <c r="BY827">
        <v>50</v>
      </c>
      <c r="BZ827">
        <v>60000</v>
      </c>
      <c r="CA827">
        <v>0</v>
      </c>
      <c r="CB827">
        <v>60000</v>
      </c>
      <c r="CC827">
        <v>309.89999999999998</v>
      </c>
      <c r="CD827" t="s">
        <v>842</v>
      </c>
      <c r="CE827" t="s">
        <v>898</v>
      </c>
      <c r="CG827" t="s">
        <v>421</v>
      </c>
      <c r="CN827" t="str">
        <v>M19</v>
      </c>
      <c r="CO827" t="str">
        <v>1318-5YY0073EN</v>
      </c>
      <c r="CP827" t="str">
        <v>SEGU9932801</v>
      </c>
      <c r="CQ827" s="23">
        <v>50</v>
      </c>
      <c r="CR827" s="25">
        <f t="shared" si="33"/>
        <v>2.6242247892698648E-3</v>
      </c>
      <c r="CS827" s="21">
        <f t="shared" si="34"/>
        <v>6.5605619731746625</v>
      </c>
    </row>
    <row r="828" spans="2:97" x14ac:dyDescent="0.35">
      <c r="B828" t="s">
        <v>297</v>
      </c>
      <c r="C828" t="s">
        <v>2081</v>
      </c>
      <c r="D828" t="s">
        <v>395</v>
      </c>
      <c r="E828" t="s">
        <v>395</v>
      </c>
      <c r="F828" t="s">
        <v>396</v>
      </c>
      <c r="G828" t="s">
        <v>397</v>
      </c>
      <c r="H828" t="s">
        <v>398</v>
      </c>
      <c r="I828" t="s">
        <v>399</v>
      </c>
      <c r="J828" t="s">
        <v>749</v>
      </c>
      <c r="K828" t="s">
        <v>845</v>
      </c>
      <c r="L828" t="s">
        <v>787</v>
      </c>
      <c r="M828" t="s">
        <v>403</v>
      </c>
      <c r="N828">
        <v>2</v>
      </c>
      <c r="O828">
        <v>1</v>
      </c>
      <c r="P828" t="s">
        <v>1416</v>
      </c>
      <c r="Q828" t="s">
        <v>424</v>
      </c>
      <c r="R828" t="s">
        <v>1031</v>
      </c>
      <c r="S828" t="s">
        <v>1417</v>
      </c>
      <c r="T828" t="s">
        <v>408</v>
      </c>
      <c r="U828">
        <v>50950081503</v>
      </c>
      <c r="W828">
        <v>80000</v>
      </c>
      <c r="X828" t="s">
        <v>409</v>
      </c>
      <c r="Y828" t="s">
        <v>410</v>
      </c>
      <c r="Z828" t="s">
        <v>410</v>
      </c>
      <c r="AA828" t="s">
        <v>411</v>
      </c>
      <c r="AB828" t="s">
        <v>554</v>
      </c>
      <c r="AC828" t="s">
        <v>411</v>
      </c>
      <c r="AD828">
        <v>46111</v>
      </c>
      <c r="AE828">
        <v>46153</v>
      </c>
      <c r="AF828">
        <v>46120</v>
      </c>
      <c r="AG828" t="s">
        <v>754</v>
      </c>
      <c r="AH828">
        <v>6170627</v>
      </c>
      <c r="AI828">
        <v>46113</v>
      </c>
      <c r="AJ828">
        <v>46114</v>
      </c>
      <c r="AK828">
        <v>80000</v>
      </c>
      <c r="AL828" t="s">
        <v>396</v>
      </c>
      <c r="AM828" t="s">
        <v>2737</v>
      </c>
      <c r="AN828">
        <v>46114</v>
      </c>
      <c r="AO828">
        <v>46114.583287037036</v>
      </c>
      <c r="AP828" t="s">
        <v>51</v>
      </c>
      <c r="AQ828">
        <v>3.3090000000000001E-2</v>
      </c>
      <c r="AR828">
        <v>2647.2</v>
      </c>
      <c r="AS828" t="s">
        <v>51</v>
      </c>
      <c r="AT828">
        <v>2647.2</v>
      </c>
      <c r="AU828" t="s">
        <v>415</v>
      </c>
      <c r="AV828" t="s">
        <v>1420</v>
      </c>
      <c r="AW828" t="s">
        <v>2598</v>
      </c>
      <c r="AX828">
        <v>46120</v>
      </c>
      <c r="AY828">
        <v>46169</v>
      </c>
      <c r="AZ828" t="s">
        <v>2599</v>
      </c>
      <c r="BA828" t="s">
        <v>560</v>
      </c>
      <c r="BB828" t="s">
        <v>2600</v>
      </c>
      <c r="BC828">
        <v>500</v>
      </c>
      <c r="BD828" t="s">
        <v>521</v>
      </c>
      <c r="BE828">
        <v>8.5429999999999993</v>
      </c>
      <c r="BF828">
        <v>7.62</v>
      </c>
      <c r="BG828" t="s">
        <v>522</v>
      </c>
      <c r="BH828">
        <v>395</v>
      </c>
      <c r="BI828">
        <v>295</v>
      </c>
      <c r="BJ828">
        <v>220</v>
      </c>
      <c r="BK828">
        <v>40</v>
      </c>
      <c r="BL828" t="s">
        <v>521</v>
      </c>
      <c r="BM828">
        <v>368.72</v>
      </c>
      <c r="BN828">
        <v>304.8</v>
      </c>
      <c r="BO828">
        <v>1474.88</v>
      </c>
      <c r="BP828" t="s">
        <v>522</v>
      </c>
      <c r="BQ828">
        <v>1200</v>
      </c>
      <c r="BR828">
        <v>1000</v>
      </c>
      <c r="BS828">
        <v>1053</v>
      </c>
      <c r="BT828">
        <v>4</v>
      </c>
      <c r="BU828">
        <v>0</v>
      </c>
      <c r="BV828">
        <v>4</v>
      </c>
      <c r="BW828">
        <v>160</v>
      </c>
      <c r="BX828">
        <v>0</v>
      </c>
      <c r="BY828">
        <v>160</v>
      </c>
      <c r="BZ828">
        <v>80000</v>
      </c>
      <c r="CA828">
        <v>0</v>
      </c>
      <c r="CB828">
        <v>80000</v>
      </c>
      <c r="CC828">
        <v>1219.2</v>
      </c>
      <c r="CD828" t="s">
        <v>856</v>
      </c>
      <c r="CE828" t="s">
        <v>1034</v>
      </c>
      <c r="CG828" t="s">
        <v>421</v>
      </c>
      <c r="CN828" t="str">
        <v>M23</v>
      </c>
      <c r="CO828" t="str">
        <v>1415-1060678EN</v>
      </c>
      <c r="CP828" t="str">
        <v>SEGU9932801</v>
      </c>
      <c r="CQ828" s="23">
        <v>50</v>
      </c>
      <c r="CR828" s="25">
        <f t="shared" si="33"/>
        <v>2.6242247892698648E-3</v>
      </c>
      <c r="CS828" s="21">
        <f t="shared" si="34"/>
        <v>6.5605619731746625</v>
      </c>
    </row>
    <row r="829" spans="2:97" x14ac:dyDescent="0.35">
      <c r="B829" t="s">
        <v>297</v>
      </c>
      <c r="C829" t="s">
        <v>2081</v>
      </c>
      <c r="D829" t="s">
        <v>395</v>
      </c>
      <c r="E829" t="s">
        <v>395</v>
      </c>
      <c r="F829" t="s">
        <v>396</v>
      </c>
      <c r="G829" t="s">
        <v>397</v>
      </c>
      <c r="H829" t="s">
        <v>398</v>
      </c>
      <c r="I829" t="s">
        <v>399</v>
      </c>
      <c r="J829" t="s">
        <v>749</v>
      </c>
      <c r="K829" t="s">
        <v>845</v>
      </c>
      <c r="L829" t="s">
        <v>787</v>
      </c>
      <c r="M829" t="s">
        <v>403</v>
      </c>
      <c r="N829">
        <v>2</v>
      </c>
      <c r="O829">
        <v>2</v>
      </c>
      <c r="P829" t="s">
        <v>1416</v>
      </c>
      <c r="Q829" t="s">
        <v>424</v>
      </c>
      <c r="R829" t="s">
        <v>1031</v>
      </c>
      <c r="S829" t="s">
        <v>1417</v>
      </c>
      <c r="T829" t="s">
        <v>408</v>
      </c>
      <c r="U829">
        <v>50950081503</v>
      </c>
      <c r="W829">
        <v>40000</v>
      </c>
      <c r="X829" t="s">
        <v>409</v>
      </c>
      <c r="Y829" t="s">
        <v>410</v>
      </c>
      <c r="Z829" t="s">
        <v>410</v>
      </c>
      <c r="AA829" t="s">
        <v>411</v>
      </c>
      <c r="AB829" t="s">
        <v>554</v>
      </c>
      <c r="AC829" t="s">
        <v>411</v>
      </c>
      <c r="AD829">
        <v>46118</v>
      </c>
      <c r="AE829">
        <v>46153</v>
      </c>
      <c r="AF829">
        <v>46120</v>
      </c>
      <c r="AG829" t="s">
        <v>754</v>
      </c>
      <c r="AH829">
        <v>6170627</v>
      </c>
      <c r="AI829">
        <v>46113</v>
      </c>
      <c r="AJ829">
        <v>46114</v>
      </c>
      <c r="AK829">
        <v>40000</v>
      </c>
      <c r="AL829" t="s">
        <v>396</v>
      </c>
      <c r="AM829" t="s">
        <v>2737</v>
      </c>
      <c r="AN829">
        <v>46114</v>
      </c>
      <c r="AO829">
        <v>46114.583287037036</v>
      </c>
      <c r="AP829" t="s">
        <v>51</v>
      </c>
      <c r="AQ829">
        <v>3.3090000000000001E-2</v>
      </c>
      <c r="AR829">
        <v>1323.6</v>
      </c>
      <c r="AS829" t="s">
        <v>51</v>
      </c>
      <c r="AT829">
        <v>1323.6</v>
      </c>
      <c r="AU829" t="s">
        <v>415</v>
      </c>
      <c r="AV829" t="s">
        <v>1420</v>
      </c>
      <c r="AW829" t="s">
        <v>2598</v>
      </c>
      <c r="AX829">
        <v>46120</v>
      </c>
      <c r="AY829">
        <v>46169</v>
      </c>
      <c r="AZ829" t="s">
        <v>2599</v>
      </c>
      <c r="BA829" t="s">
        <v>560</v>
      </c>
      <c r="BB829" t="s">
        <v>2600</v>
      </c>
      <c r="BC829">
        <v>500</v>
      </c>
      <c r="BD829" t="s">
        <v>521</v>
      </c>
      <c r="BE829">
        <v>8.5429999999999993</v>
      </c>
      <c r="BF829">
        <v>7.62</v>
      </c>
      <c r="BG829" t="s">
        <v>522</v>
      </c>
      <c r="BH829">
        <v>395</v>
      </c>
      <c r="BI829">
        <v>295</v>
      </c>
      <c r="BJ829">
        <v>220</v>
      </c>
      <c r="BK829">
        <v>40</v>
      </c>
      <c r="BL829" t="s">
        <v>521</v>
      </c>
      <c r="BM829">
        <v>368.72</v>
      </c>
      <c r="BN829">
        <v>304.8</v>
      </c>
      <c r="BO829">
        <v>737.44</v>
      </c>
      <c r="BP829" t="s">
        <v>522</v>
      </c>
      <c r="BQ829">
        <v>1200</v>
      </c>
      <c r="BR829">
        <v>1000</v>
      </c>
      <c r="BS829">
        <v>1053</v>
      </c>
      <c r="BT829">
        <v>2</v>
      </c>
      <c r="BU829">
        <v>0</v>
      </c>
      <c r="BV829">
        <v>2</v>
      </c>
      <c r="BW829">
        <v>80</v>
      </c>
      <c r="BX829">
        <v>0</v>
      </c>
      <c r="BY829">
        <v>80</v>
      </c>
      <c r="BZ829">
        <v>40000</v>
      </c>
      <c r="CA829">
        <v>0</v>
      </c>
      <c r="CB829">
        <v>40000</v>
      </c>
      <c r="CC829">
        <v>609.6</v>
      </c>
      <c r="CD829" t="s">
        <v>856</v>
      </c>
      <c r="CE829" t="s">
        <v>1034</v>
      </c>
      <c r="CG829" t="s">
        <v>421</v>
      </c>
      <c r="CN829" t="str">
        <v>MCS</v>
      </c>
      <c r="CO829" t="str">
        <v>RMACDR25D</v>
      </c>
      <c r="CP829" t="str">
        <v>SEGU9932801</v>
      </c>
      <c r="CQ829" s="23">
        <v>749.99939581858121</v>
      </c>
      <c r="CR829" s="25">
        <f t="shared" si="33"/>
        <v>3.9363340128890846E-2</v>
      </c>
      <c r="CS829" s="21">
        <f t="shared" si="34"/>
        <v>98.408350322227122</v>
      </c>
    </row>
    <row r="830" spans="2:97" x14ac:dyDescent="0.35">
      <c r="B830" t="s">
        <v>295</v>
      </c>
      <c r="C830" t="s">
        <v>2480</v>
      </c>
      <c r="D830" t="s">
        <v>395</v>
      </c>
      <c r="E830" t="s">
        <v>395</v>
      </c>
      <c r="F830" t="s">
        <v>396</v>
      </c>
      <c r="G830" t="s">
        <v>397</v>
      </c>
      <c r="H830" t="s">
        <v>398</v>
      </c>
      <c r="I830" t="s">
        <v>399</v>
      </c>
      <c r="J830" t="s">
        <v>749</v>
      </c>
      <c r="K830" t="s">
        <v>845</v>
      </c>
      <c r="L830" t="s">
        <v>787</v>
      </c>
      <c r="M830" t="s">
        <v>403</v>
      </c>
      <c r="N830">
        <v>1</v>
      </c>
      <c r="O830">
        <v>2</v>
      </c>
      <c r="P830" t="s">
        <v>1575</v>
      </c>
      <c r="Q830" t="s">
        <v>645</v>
      </c>
      <c r="R830" t="s">
        <v>1121</v>
      </c>
      <c r="S830" t="s">
        <v>1122</v>
      </c>
      <c r="T830" t="s">
        <v>408</v>
      </c>
      <c r="U830">
        <v>50950081552</v>
      </c>
      <c r="W830">
        <v>10000</v>
      </c>
      <c r="X830" t="s">
        <v>409</v>
      </c>
      <c r="Y830" t="s">
        <v>410</v>
      </c>
      <c r="Z830" t="s">
        <v>410</v>
      </c>
      <c r="AA830" t="s">
        <v>411</v>
      </c>
      <c r="AB830" t="s">
        <v>554</v>
      </c>
      <c r="AC830" t="s">
        <v>411</v>
      </c>
      <c r="AD830">
        <v>46112</v>
      </c>
      <c r="AE830">
        <v>46160</v>
      </c>
      <c r="AF830">
        <v>46120</v>
      </c>
      <c r="AG830" t="s">
        <v>754</v>
      </c>
      <c r="AH830">
        <v>6170628</v>
      </c>
      <c r="AI830">
        <v>46113</v>
      </c>
      <c r="AJ830">
        <v>46114</v>
      </c>
      <c r="AK830">
        <v>10000</v>
      </c>
      <c r="AL830" t="s">
        <v>396</v>
      </c>
      <c r="AM830" t="s">
        <v>2738</v>
      </c>
      <c r="AN830">
        <v>46114</v>
      </c>
      <c r="AO830">
        <v>46114.583287037036</v>
      </c>
      <c r="AP830" t="s">
        <v>51</v>
      </c>
      <c r="AQ830">
        <v>5.4640000000000001E-2</v>
      </c>
      <c r="AR830">
        <v>546.4</v>
      </c>
      <c r="AS830" t="s">
        <v>51</v>
      </c>
      <c r="AT830">
        <v>546.4</v>
      </c>
      <c r="AU830" t="s">
        <v>415</v>
      </c>
      <c r="AV830" t="s">
        <v>1420</v>
      </c>
      <c r="AW830" t="s">
        <v>2598</v>
      </c>
      <c r="AX830">
        <v>46120</v>
      </c>
      <c r="AY830">
        <v>46169</v>
      </c>
      <c r="AZ830" t="s">
        <v>2599</v>
      </c>
      <c r="BA830" t="s">
        <v>560</v>
      </c>
      <c r="BB830" t="s">
        <v>2600</v>
      </c>
      <c r="BC830">
        <v>500</v>
      </c>
      <c r="BD830" t="s">
        <v>521</v>
      </c>
      <c r="BE830">
        <v>9.4039999999999999</v>
      </c>
      <c r="BF830">
        <v>8.8439999999999994</v>
      </c>
      <c r="BG830" t="s">
        <v>522</v>
      </c>
      <c r="BH830">
        <v>295</v>
      </c>
      <c r="BI830">
        <v>195</v>
      </c>
      <c r="BJ830">
        <v>138</v>
      </c>
      <c r="BK830">
        <v>100</v>
      </c>
      <c r="BL830" t="s">
        <v>521</v>
      </c>
      <c r="BM830">
        <v>215.08</v>
      </c>
      <c r="BN830">
        <v>176.88</v>
      </c>
      <c r="BO830">
        <v>215.08</v>
      </c>
      <c r="BP830" t="s">
        <v>522</v>
      </c>
      <c r="BQ830">
        <v>1200</v>
      </c>
      <c r="BR830">
        <v>1000</v>
      </c>
      <c r="BS830">
        <v>850</v>
      </c>
      <c r="BT830">
        <v>0</v>
      </c>
      <c r="BU830">
        <v>1</v>
      </c>
      <c r="BV830">
        <v>1</v>
      </c>
      <c r="BW830">
        <v>20</v>
      </c>
      <c r="BX830">
        <v>0</v>
      </c>
      <c r="BY830">
        <v>20</v>
      </c>
      <c r="BZ830">
        <v>0</v>
      </c>
      <c r="CA830">
        <v>10000</v>
      </c>
      <c r="CB830">
        <v>10000</v>
      </c>
      <c r="CC830">
        <v>176.88</v>
      </c>
      <c r="CD830" t="s">
        <v>1124</v>
      </c>
      <c r="CE830" t="s">
        <v>1125</v>
      </c>
      <c r="CG830" t="s">
        <v>421</v>
      </c>
      <c r="CN830" t="str">
        <v>MCS</v>
      </c>
      <c r="CO830" t="str">
        <v>0070-5050006</v>
      </c>
      <c r="CP830" t="str">
        <v>SEGU9932801</v>
      </c>
      <c r="CQ830" s="23">
        <v>1500</v>
      </c>
      <c r="CR830" s="25">
        <f t="shared" si="33"/>
        <v>7.8726743678095942E-2</v>
      </c>
      <c r="CS830" s="21">
        <f t="shared" si="34"/>
        <v>196.81685919523986</v>
      </c>
    </row>
    <row r="831" spans="2:97" x14ac:dyDescent="0.35">
      <c r="B831" t="s">
        <v>297</v>
      </c>
      <c r="C831" t="s">
        <v>2706</v>
      </c>
      <c r="D831" t="s">
        <v>395</v>
      </c>
      <c r="E831" t="s">
        <v>395</v>
      </c>
      <c r="F831" t="s">
        <v>396</v>
      </c>
      <c r="G831" t="s">
        <v>397</v>
      </c>
      <c r="H831" t="s">
        <v>398</v>
      </c>
      <c r="I831" t="s">
        <v>399</v>
      </c>
      <c r="J831" t="s">
        <v>749</v>
      </c>
      <c r="K831" t="s">
        <v>1142</v>
      </c>
      <c r="L831" t="s">
        <v>787</v>
      </c>
      <c r="M831" t="s">
        <v>403</v>
      </c>
      <c r="N831">
        <v>2</v>
      </c>
      <c r="O831">
        <v>1</v>
      </c>
      <c r="P831" t="s">
        <v>1383</v>
      </c>
      <c r="Q831" t="s">
        <v>430</v>
      </c>
      <c r="R831" t="s">
        <v>1384</v>
      </c>
      <c r="S831" t="s">
        <v>1385</v>
      </c>
      <c r="T831" t="s">
        <v>408</v>
      </c>
      <c r="U831">
        <v>50950081597</v>
      </c>
      <c r="W831">
        <v>2280000</v>
      </c>
      <c r="X831" t="s">
        <v>409</v>
      </c>
      <c r="Y831" t="s">
        <v>410</v>
      </c>
      <c r="Z831" t="s">
        <v>410</v>
      </c>
      <c r="AA831" t="s">
        <v>411</v>
      </c>
      <c r="AB831" t="s">
        <v>554</v>
      </c>
      <c r="AC831" t="s">
        <v>411</v>
      </c>
      <c r="AD831">
        <v>46112</v>
      </c>
      <c r="AE831">
        <v>46146</v>
      </c>
      <c r="AF831">
        <v>46120</v>
      </c>
      <c r="AG831" t="s">
        <v>754</v>
      </c>
      <c r="AH831">
        <v>6170629</v>
      </c>
      <c r="AI831">
        <v>46113</v>
      </c>
      <c r="AJ831">
        <v>46114</v>
      </c>
      <c r="AK831">
        <v>2280000</v>
      </c>
      <c r="AL831" t="s">
        <v>396</v>
      </c>
      <c r="AM831" t="s">
        <v>2739</v>
      </c>
      <c r="AN831">
        <v>46114</v>
      </c>
      <c r="AO831">
        <v>46114.583287037036</v>
      </c>
      <c r="AP831" t="s">
        <v>51</v>
      </c>
      <c r="AQ831">
        <v>1.1100000000000001E-3</v>
      </c>
      <c r="AR831">
        <v>2530.8000000000002</v>
      </c>
      <c r="AS831" t="s">
        <v>51</v>
      </c>
      <c r="AT831">
        <v>2530.8000000000002</v>
      </c>
      <c r="AU831" t="s">
        <v>415</v>
      </c>
      <c r="AV831" t="s">
        <v>1420</v>
      </c>
      <c r="AW831" t="s">
        <v>2598</v>
      </c>
      <c r="AX831">
        <v>46120</v>
      </c>
      <c r="AY831">
        <v>46169</v>
      </c>
      <c r="AZ831" t="s">
        <v>2599</v>
      </c>
      <c r="BA831" t="s">
        <v>560</v>
      </c>
      <c r="BB831" t="s">
        <v>2600</v>
      </c>
      <c r="BC831">
        <v>760000</v>
      </c>
      <c r="BD831" t="s">
        <v>521</v>
      </c>
      <c r="BE831">
        <v>382.68</v>
      </c>
      <c r="BF831">
        <v>317.68</v>
      </c>
      <c r="BG831" t="s">
        <v>522</v>
      </c>
      <c r="BH831">
        <v>1050</v>
      </c>
      <c r="BI831">
        <v>480</v>
      </c>
      <c r="BJ831">
        <v>460</v>
      </c>
      <c r="BK831">
        <v>1</v>
      </c>
      <c r="BL831" t="s">
        <v>521</v>
      </c>
      <c r="BM831">
        <v>399.08</v>
      </c>
      <c r="BN831">
        <v>317.68</v>
      </c>
      <c r="BO831">
        <v>1197.24</v>
      </c>
      <c r="BP831" t="s">
        <v>522</v>
      </c>
      <c r="BQ831">
        <v>1050</v>
      </c>
      <c r="BR831">
        <v>480</v>
      </c>
      <c r="BS831">
        <v>480</v>
      </c>
      <c r="BT831">
        <v>3</v>
      </c>
      <c r="BU831">
        <v>0</v>
      </c>
      <c r="BV831">
        <v>3</v>
      </c>
      <c r="BW831">
        <v>3</v>
      </c>
      <c r="BX831">
        <v>0</v>
      </c>
      <c r="BY831">
        <v>3</v>
      </c>
      <c r="BZ831">
        <v>2280000</v>
      </c>
      <c r="CA831">
        <v>0</v>
      </c>
      <c r="CB831">
        <v>2280000</v>
      </c>
      <c r="CC831">
        <v>953.04</v>
      </c>
      <c r="CD831" t="s">
        <v>1387</v>
      </c>
      <c r="CE831" t="s">
        <v>1388</v>
      </c>
      <c r="CG831" t="s">
        <v>421</v>
      </c>
      <c r="CN831" t="str">
        <v>MCS</v>
      </c>
      <c r="CO831" t="str">
        <v>0070-1100029</v>
      </c>
      <c r="CP831" t="str">
        <v>SEGU9932801</v>
      </c>
      <c r="CQ831" s="23">
        <v>1500</v>
      </c>
      <c r="CR831" s="25">
        <f t="shared" si="33"/>
        <v>7.8726743678095942E-2</v>
      </c>
      <c r="CS831" s="21">
        <f t="shared" si="34"/>
        <v>196.81685919523986</v>
      </c>
    </row>
    <row r="832" spans="2:97" x14ac:dyDescent="0.35">
      <c r="B832" t="s">
        <v>297</v>
      </c>
      <c r="C832" t="s">
        <v>2706</v>
      </c>
      <c r="D832" t="s">
        <v>395</v>
      </c>
      <c r="E832" t="s">
        <v>395</v>
      </c>
      <c r="F832" t="s">
        <v>396</v>
      </c>
      <c r="G832" t="s">
        <v>397</v>
      </c>
      <c r="H832" t="s">
        <v>398</v>
      </c>
      <c r="I832" t="s">
        <v>399</v>
      </c>
      <c r="J832" t="s">
        <v>749</v>
      </c>
      <c r="K832" t="s">
        <v>1142</v>
      </c>
      <c r="L832" t="s">
        <v>787</v>
      </c>
      <c r="M832" t="s">
        <v>403</v>
      </c>
      <c r="N832">
        <v>1</v>
      </c>
      <c r="O832">
        <v>2</v>
      </c>
      <c r="P832" t="s">
        <v>1383</v>
      </c>
      <c r="Q832" t="s">
        <v>430</v>
      </c>
      <c r="R832" t="s">
        <v>1384</v>
      </c>
      <c r="S832" t="s">
        <v>1385</v>
      </c>
      <c r="T832" t="s">
        <v>408</v>
      </c>
      <c r="U832">
        <v>50950081597</v>
      </c>
      <c r="W832">
        <v>760000</v>
      </c>
      <c r="X832" t="s">
        <v>409</v>
      </c>
      <c r="Y832" t="s">
        <v>410</v>
      </c>
      <c r="Z832" t="s">
        <v>410</v>
      </c>
      <c r="AA832" t="s">
        <v>411</v>
      </c>
      <c r="AB832" t="s">
        <v>554</v>
      </c>
      <c r="AC832" t="s">
        <v>411</v>
      </c>
      <c r="AD832">
        <v>46112</v>
      </c>
      <c r="AE832">
        <v>46132</v>
      </c>
      <c r="AF832">
        <v>46120</v>
      </c>
      <c r="AG832" t="s">
        <v>754</v>
      </c>
      <c r="AH832">
        <v>6170629</v>
      </c>
      <c r="AI832">
        <v>46113</v>
      </c>
      <c r="AJ832">
        <v>46114</v>
      </c>
      <c r="AK832">
        <v>760000</v>
      </c>
      <c r="AL832" t="s">
        <v>396</v>
      </c>
      <c r="AM832" t="s">
        <v>2739</v>
      </c>
      <c r="AN832">
        <v>46114</v>
      </c>
      <c r="AO832">
        <v>46114.583287037036</v>
      </c>
      <c r="AP832" t="s">
        <v>51</v>
      </c>
      <c r="AQ832">
        <v>1.1100000000000001E-3</v>
      </c>
      <c r="AR832">
        <v>843.6</v>
      </c>
      <c r="AS832" t="s">
        <v>51</v>
      </c>
      <c r="AT832">
        <v>843.6</v>
      </c>
      <c r="AU832" t="s">
        <v>415</v>
      </c>
      <c r="AV832" t="s">
        <v>1420</v>
      </c>
      <c r="AW832" t="s">
        <v>2598</v>
      </c>
      <c r="AX832">
        <v>46120</v>
      </c>
      <c r="AY832">
        <v>46169</v>
      </c>
      <c r="AZ832" t="s">
        <v>2599</v>
      </c>
      <c r="BA832" t="s">
        <v>560</v>
      </c>
      <c r="BB832" t="s">
        <v>2600</v>
      </c>
      <c r="BC832">
        <v>760000</v>
      </c>
      <c r="BD832" t="s">
        <v>521</v>
      </c>
      <c r="BE832">
        <v>382.68</v>
      </c>
      <c r="BF832">
        <v>317.68</v>
      </c>
      <c r="BG832" t="s">
        <v>522</v>
      </c>
      <c r="BH832">
        <v>1050</v>
      </c>
      <c r="BI832">
        <v>480</v>
      </c>
      <c r="BJ832">
        <v>460</v>
      </c>
      <c r="BK832">
        <v>1</v>
      </c>
      <c r="BL832" t="s">
        <v>521</v>
      </c>
      <c r="BM832">
        <v>399.08</v>
      </c>
      <c r="BN832">
        <v>317.68</v>
      </c>
      <c r="BO832">
        <v>399.08</v>
      </c>
      <c r="BP832" t="s">
        <v>522</v>
      </c>
      <c r="BQ832">
        <v>1050</v>
      </c>
      <c r="BR832">
        <v>480</v>
      </c>
      <c r="BS832">
        <v>480</v>
      </c>
      <c r="BT832">
        <v>1</v>
      </c>
      <c r="BU832">
        <v>0</v>
      </c>
      <c r="BV832">
        <v>1</v>
      </c>
      <c r="BW832">
        <v>1</v>
      </c>
      <c r="BX832">
        <v>0</v>
      </c>
      <c r="BY832">
        <v>1</v>
      </c>
      <c r="BZ832">
        <v>760000</v>
      </c>
      <c r="CA832">
        <v>0</v>
      </c>
      <c r="CB832">
        <v>760000</v>
      </c>
      <c r="CC832">
        <v>317.68</v>
      </c>
      <c r="CD832" t="s">
        <v>1387</v>
      </c>
      <c r="CE832" t="s">
        <v>1388</v>
      </c>
      <c r="CG832" t="s">
        <v>421</v>
      </c>
      <c r="CN832" t="str">
        <v>MCS</v>
      </c>
      <c r="CO832" t="str">
        <v>0070-G130008EN</v>
      </c>
      <c r="CP832" t="str">
        <v>SEGU9932801</v>
      </c>
      <c r="CQ832" s="23">
        <v>1000.0000000000001</v>
      </c>
      <c r="CR832" s="25">
        <f t="shared" si="33"/>
        <v>5.2484495785397302E-2</v>
      </c>
      <c r="CS832" s="21">
        <f t="shared" si="34"/>
        <v>131.21123946349326</v>
      </c>
    </row>
    <row r="833" spans="2:97" x14ac:dyDescent="0.35">
      <c r="B833" t="s">
        <v>296</v>
      </c>
      <c r="C833" t="s">
        <v>2740</v>
      </c>
      <c r="D833" t="s">
        <v>395</v>
      </c>
      <c r="E833" t="s">
        <v>395</v>
      </c>
      <c r="F833" t="s">
        <v>396</v>
      </c>
      <c r="G833" t="s">
        <v>397</v>
      </c>
      <c r="H833" t="s">
        <v>398</v>
      </c>
      <c r="I833" t="s">
        <v>399</v>
      </c>
      <c r="J833" t="s">
        <v>749</v>
      </c>
      <c r="K833" t="s">
        <v>629</v>
      </c>
      <c r="L833" t="s">
        <v>787</v>
      </c>
      <c r="M833" t="s">
        <v>403</v>
      </c>
      <c r="N833">
        <v>1</v>
      </c>
      <c r="O833">
        <v>1</v>
      </c>
      <c r="P833" t="s">
        <v>2186</v>
      </c>
      <c r="Q833" t="s">
        <v>405</v>
      </c>
      <c r="R833" t="s">
        <v>2187</v>
      </c>
      <c r="S833" t="s">
        <v>2188</v>
      </c>
      <c r="T833" t="s">
        <v>408</v>
      </c>
      <c r="U833">
        <v>50950081832</v>
      </c>
      <c r="W833">
        <v>90000</v>
      </c>
      <c r="X833" t="s">
        <v>409</v>
      </c>
      <c r="Y833" t="s">
        <v>410</v>
      </c>
      <c r="Z833" t="s">
        <v>410</v>
      </c>
      <c r="AA833" t="s">
        <v>411</v>
      </c>
      <c r="AB833" t="s">
        <v>554</v>
      </c>
      <c r="AC833" t="s">
        <v>411</v>
      </c>
      <c r="AD833">
        <v>46116</v>
      </c>
      <c r="AE833">
        <v>46174</v>
      </c>
      <c r="AF833">
        <v>46120</v>
      </c>
      <c r="AG833" t="s">
        <v>754</v>
      </c>
      <c r="AH833">
        <v>6170630</v>
      </c>
      <c r="AI833">
        <v>46113</v>
      </c>
      <c r="AJ833">
        <v>46114</v>
      </c>
      <c r="AK833">
        <v>90000</v>
      </c>
      <c r="AL833" t="s">
        <v>396</v>
      </c>
      <c r="AM833" t="s">
        <v>2741</v>
      </c>
      <c r="AN833">
        <v>46114</v>
      </c>
      <c r="AO833">
        <v>46114.583287037036</v>
      </c>
      <c r="AP833" t="s">
        <v>51</v>
      </c>
      <c r="AQ833">
        <v>1.6459999999999999E-2</v>
      </c>
      <c r="AR833">
        <v>1481.4</v>
      </c>
      <c r="AS833" t="s">
        <v>51</v>
      </c>
      <c r="AT833">
        <v>1481.4</v>
      </c>
      <c r="AU833" t="s">
        <v>415</v>
      </c>
      <c r="AV833" t="s">
        <v>1420</v>
      </c>
      <c r="AW833" t="s">
        <v>2598</v>
      </c>
      <c r="AX833">
        <v>46120</v>
      </c>
      <c r="AY833">
        <v>46169</v>
      </c>
      <c r="AZ833" t="s">
        <v>2599</v>
      </c>
      <c r="BA833" t="s">
        <v>560</v>
      </c>
      <c r="BB833" t="s">
        <v>2600</v>
      </c>
      <c r="BC833">
        <v>3600</v>
      </c>
      <c r="BD833" t="s">
        <v>521</v>
      </c>
      <c r="BE833">
        <v>9.8339999999999996</v>
      </c>
      <c r="BF833">
        <v>8.9640000000000004</v>
      </c>
      <c r="BG833" t="s">
        <v>522</v>
      </c>
      <c r="BH833">
        <v>595</v>
      </c>
      <c r="BI833">
        <v>395</v>
      </c>
      <c r="BJ833">
        <v>190</v>
      </c>
      <c r="BK833">
        <v>25</v>
      </c>
      <c r="BL833" t="s">
        <v>521</v>
      </c>
      <c r="BM833">
        <v>272.85000000000002</v>
      </c>
      <c r="BN833">
        <v>224.1</v>
      </c>
      <c r="BO833">
        <v>272.85000000000002</v>
      </c>
      <c r="BP833" t="s">
        <v>522</v>
      </c>
      <c r="BQ833">
        <v>1200</v>
      </c>
      <c r="BR833">
        <v>1000</v>
      </c>
      <c r="BS833">
        <v>1088</v>
      </c>
      <c r="BT833">
        <v>1</v>
      </c>
      <c r="BU833">
        <v>0</v>
      </c>
      <c r="BV833">
        <v>1</v>
      </c>
      <c r="BW833">
        <v>25</v>
      </c>
      <c r="BX833">
        <v>0</v>
      </c>
      <c r="BY833">
        <v>25</v>
      </c>
      <c r="BZ833">
        <v>90000</v>
      </c>
      <c r="CA833">
        <v>0</v>
      </c>
      <c r="CB833">
        <v>90000</v>
      </c>
      <c r="CC833">
        <v>224.1</v>
      </c>
      <c r="CD833" t="s">
        <v>842</v>
      </c>
      <c r="CE833" t="s">
        <v>898</v>
      </c>
      <c r="CG833" t="s">
        <v>421</v>
      </c>
      <c r="CN833" t="str">
        <v>M45</v>
      </c>
      <c r="CO833" t="str">
        <v>CPSP61C01032EN</v>
      </c>
      <c r="CP833" t="str">
        <v>SEGU9932801</v>
      </c>
      <c r="CQ833" s="23">
        <v>200</v>
      </c>
      <c r="CR833" s="25">
        <f t="shared" si="33"/>
        <v>1.0496899157079459E-2</v>
      </c>
      <c r="CS833" s="21">
        <f t="shared" si="34"/>
        <v>26.24224789269865</v>
      </c>
    </row>
    <row r="834" spans="2:97" x14ac:dyDescent="0.35">
      <c r="B834" t="s">
        <v>297</v>
      </c>
      <c r="C834" t="s">
        <v>2742</v>
      </c>
      <c r="D834" t="s">
        <v>395</v>
      </c>
      <c r="E834" t="s">
        <v>395</v>
      </c>
      <c r="F834" t="s">
        <v>396</v>
      </c>
      <c r="G834" t="s">
        <v>397</v>
      </c>
      <c r="H834" t="s">
        <v>398</v>
      </c>
      <c r="I834" t="s">
        <v>399</v>
      </c>
      <c r="J834" t="s">
        <v>749</v>
      </c>
      <c r="K834" t="s">
        <v>1142</v>
      </c>
      <c r="L834" t="s">
        <v>787</v>
      </c>
      <c r="M834" t="s">
        <v>403</v>
      </c>
      <c r="N834">
        <v>3</v>
      </c>
      <c r="O834">
        <v>1</v>
      </c>
      <c r="P834" t="s">
        <v>1383</v>
      </c>
      <c r="Q834" t="s">
        <v>430</v>
      </c>
      <c r="R834" t="s">
        <v>1384</v>
      </c>
      <c r="S834" t="s">
        <v>1385</v>
      </c>
      <c r="T834" t="s">
        <v>408</v>
      </c>
      <c r="U834">
        <v>50950082203</v>
      </c>
      <c r="W834">
        <v>6080000</v>
      </c>
      <c r="X834" t="s">
        <v>409</v>
      </c>
      <c r="Y834" t="s">
        <v>410</v>
      </c>
      <c r="Z834" t="s">
        <v>410</v>
      </c>
      <c r="AA834" t="s">
        <v>411</v>
      </c>
      <c r="AB834" t="s">
        <v>554</v>
      </c>
      <c r="AC834" t="s">
        <v>411</v>
      </c>
      <c r="AD834">
        <v>46112</v>
      </c>
      <c r="AE834">
        <v>46070</v>
      </c>
      <c r="AF834">
        <v>46120</v>
      </c>
      <c r="AG834" t="s">
        <v>754</v>
      </c>
      <c r="AH834">
        <v>6170631</v>
      </c>
      <c r="AI834">
        <v>46113</v>
      </c>
      <c r="AJ834">
        <v>46114</v>
      </c>
      <c r="AK834">
        <v>6080000</v>
      </c>
      <c r="AL834" t="s">
        <v>396</v>
      </c>
      <c r="AM834" t="s">
        <v>2743</v>
      </c>
      <c r="AN834">
        <v>46114</v>
      </c>
      <c r="AO834">
        <v>46114.583287037036</v>
      </c>
      <c r="AP834" t="s">
        <v>51</v>
      </c>
      <c r="AQ834">
        <v>1.1100000000000001E-3</v>
      </c>
      <c r="AR834">
        <v>6748.8</v>
      </c>
      <c r="AS834" t="s">
        <v>51</v>
      </c>
      <c r="AT834">
        <v>6748.8</v>
      </c>
      <c r="AU834" t="s">
        <v>415</v>
      </c>
      <c r="AV834" t="s">
        <v>1420</v>
      </c>
      <c r="AW834" t="s">
        <v>2598</v>
      </c>
      <c r="AX834">
        <v>46120</v>
      </c>
      <c r="AY834">
        <v>46169</v>
      </c>
      <c r="AZ834" t="s">
        <v>2599</v>
      </c>
      <c r="BA834" t="s">
        <v>560</v>
      </c>
      <c r="BB834" t="s">
        <v>2600</v>
      </c>
      <c r="BC834">
        <v>760000</v>
      </c>
      <c r="BD834" t="s">
        <v>521</v>
      </c>
      <c r="BE834">
        <v>382.68</v>
      </c>
      <c r="BF834">
        <v>317.68</v>
      </c>
      <c r="BG834" t="s">
        <v>522</v>
      </c>
      <c r="BH834">
        <v>1050</v>
      </c>
      <c r="BI834">
        <v>480</v>
      </c>
      <c r="BJ834">
        <v>460</v>
      </c>
      <c r="BK834">
        <v>1</v>
      </c>
      <c r="BL834" t="s">
        <v>521</v>
      </c>
      <c r="BM834">
        <v>399.08</v>
      </c>
      <c r="BN834">
        <v>317.68</v>
      </c>
      <c r="BO834">
        <v>3192.64</v>
      </c>
      <c r="BP834" t="s">
        <v>522</v>
      </c>
      <c r="BQ834">
        <v>1050</v>
      </c>
      <c r="BR834">
        <v>480</v>
      </c>
      <c r="BS834">
        <v>480</v>
      </c>
      <c r="BT834">
        <v>8</v>
      </c>
      <c r="BU834">
        <v>0</v>
      </c>
      <c r="BV834">
        <v>8</v>
      </c>
      <c r="BW834">
        <v>8</v>
      </c>
      <c r="BX834">
        <v>0</v>
      </c>
      <c r="BY834">
        <v>8</v>
      </c>
      <c r="BZ834">
        <v>6080000</v>
      </c>
      <c r="CA834">
        <v>0</v>
      </c>
      <c r="CB834">
        <v>6080000</v>
      </c>
      <c r="CC834">
        <v>2541.44</v>
      </c>
      <c r="CD834" t="s">
        <v>1387</v>
      </c>
      <c r="CE834" t="s">
        <v>1388</v>
      </c>
      <c r="CG834" t="s">
        <v>421</v>
      </c>
      <c r="CN834" t="str">
        <v>M45</v>
      </c>
      <c r="CO834" t="str">
        <v>CPSP61C01032EN</v>
      </c>
      <c r="CP834" t="str">
        <v>SEGU9932801</v>
      </c>
      <c r="CQ834" s="23">
        <v>200</v>
      </c>
      <c r="CR834" s="25">
        <f t="shared" si="33"/>
        <v>1.0496899157079459E-2</v>
      </c>
      <c r="CS834" s="21">
        <f t="shared" si="34"/>
        <v>26.24224789269865</v>
      </c>
    </row>
    <row r="835" spans="2:97" x14ac:dyDescent="0.35">
      <c r="B835" t="s">
        <v>299</v>
      </c>
      <c r="C835" t="s">
        <v>2463</v>
      </c>
      <c r="D835" t="s">
        <v>395</v>
      </c>
      <c r="E835" t="s">
        <v>395</v>
      </c>
      <c r="F835" t="s">
        <v>396</v>
      </c>
      <c r="G835" t="s">
        <v>397</v>
      </c>
      <c r="H835" t="s">
        <v>398</v>
      </c>
      <c r="I835" t="s">
        <v>399</v>
      </c>
      <c r="J835" t="s">
        <v>749</v>
      </c>
      <c r="K835" t="s">
        <v>526</v>
      </c>
      <c r="L835" t="s">
        <v>787</v>
      </c>
      <c r="M835" t="s">
        <v>403</v>
      </c>
      <c r="N835">
        <v>1</v>
      </c>
      <c r="O835">
        <v>3</v>
      </c>
      <c r="P835" t="s">
        <v>966</v>
      </c>
      <c r="Q835" t="s">
        <v>424</v>
      </c>
      <c r="R835" t="s">
        <v>959</v>
      </c>
      <c r="S835" t="s">
        <v>967</v>
      </c>
      <c r="T835" t="s">
        <v>408</v>
      </c>
      <c r="U835">
        <v>50950079531</v>
      </c>
      <c r="W835">
        <v>28512</v>
      </c>
      <c r="X835" t="s">
        <v>409</v>
      </c>
      <c r="Y835" t="s">
        <v>410</v>
      </c>
      <c r="Z835" t="s">
        <v>410</v>
      </c>
      <c r="AA835" t="s">
        <v>411</v>
      </c>
      <c r="AB835" t="s">
        <v>554</v>
      </c>
      <c r="AC835" t="s">
        <v>411</v>
      </c>
      <c r="AD835">
        <v>46109</v>
      </c>
      <c r="AE835">
        <v>46118</v>
      </c>
      <c r="AF835">
        <v>46120</v>
      </c>
      <c r="AG835" t="s">
        <v>754</v>
      </c>
      <c r="AH835">
        <v>6172194</v>
      </c>
      <c r="AI835">
        <v>46114</v>
      </c>
      <c r="AJ835">
        <v>46115</v>
      </c>
      <c r="AK835">
        <v>28512</v>
      </c>
      <c r="AL835" t="s">
        <v>396</v>
      </c>
      <c r="AM835" t="s">
        <v>2744</v>
      </c>
      <c r="AN835">
        <v>46115</v>
      </c>
      <c r="AO835">
        <v>46115.395891203705</v>
      </c>
      <c r="AP835" t="s">
        <v>51</v>
      </c>
      <c r="AQ835">
        <v>5.3010000000000002E-2</v>
      </c>
      <c r="AR835">
        <v>1511.42</v>
      </c>
      <c r="AS835" t="s">
        <v>51</v>
      </c>
      <c r="AT835">
        <v>1511.42</v>
      </c>
      <c r="AU835" t="s">
        <v>415</v>
      </c>
      <c r="AV835" t="s">
        <v>1420</v>
      </c>
      <c r="AW835" t="s">
        <v>2598</v>
      </c>
      <c r="AX835">
        <v>46120</v>
      </c>
      <c r="AY835">
        <v>46169</v>
      </c>
      <c r="AZ835" t="s">
        <v>2745</v>
      </c>
      <c r="BA835" t="s">
        <v>560</v>
      </c>
      <c r="BB835" t="s">
        <v>2746</v>
      </c>
      <c r="BC835">
        <v>594</v>
      </c>
      <c r="BD835" t="s">
        <v>521</v>
      </c>
      <c r="BE835">
        <v>8.2226999999999997</v>
      </c>
      <c r="BF835">
        <v>7.9726999999999997</v>
      </c>
      <c r="BG835" t="s">
        <v>522</v>
      </c>
      <c r="BH835">
        <v>286</v>
      </c>
      <c r="BI835">
        <v>190</v>
      </c>
      <c r="BJ835">
        <v>72</v>
      </c>
      <c r="BK835">
        <v>48</v>
      </c>
      <c r="BL835" t="s">
        <v>521</v>
      </c>
      <c r="BM835">
        <v>419.688064</v>
      </c>
      <c r="BN835">
        <v>382.688064</v>
      </c>
      <c r="BO835">
        <v>419.688064</v>
      </c>
      <c r="BP835" t="s">
        <v>522</v>
      </c>
      <c r="BQ835">
        <v>1200</v>
      </c>
      <c r="BR835">
        <v>800</v>
      </c>
      <c r="BS835">
        <v>378</v>
      </c>
      <c r="BT835">
        <v>1</v>
      </c>
      <c r="BU835">
        <v>0</v>
      </c>
      <c r="BV835">
        <v>1</v>
      </c>
      <c r="BW835">
        <v>48</v>
      </c>
      <c r="BX835">
        <v>0</v>
      </c>
      <c r="BY835">
        <v>48</v>
      </c>
      <c r="BZ835">
        <v>28512</v>
      </c>
      <c r="CA835">
        <v>0</v>
      </c>
      <c r="CB835">
        <v>28512</v>
      </c>
      <c r="CC835">
        <v>382.688064</v>
      </c>
      <c r="CD835" t="s">
        <v>969</v>
      </c>
      <c r="CE835" t="s">
        <v>970</v>
      </c>
      <c r="CG835" t="s">
        <v>421</v>
      </c>
      <c r="CN835" t="str">
        <v>M46</v>
      </c>
      <c r="CO835" t="str">
        <v>1307-1060378EN</v>
      </c>
      <c r="CP835" t="str">
        <v>SEGU9932801</v>
      </c>
      <c r="CQ835" s="23">
        <v>3000</v>
      </c>
      <c r="CR835" s="25">
        <f t="shared" si="33"/>
        <v>0.15745348735619188</v>
      </c>
      <c r="CS835" s="21">
        <f t="shared" si="34"/>
        <v>393.63371839047971</v>
      </c>
    </row>
    <row r="836" spans="2:97" x14ac:dyDescent="0.35">
      <c r="B836" t="s">
        <v>296</v>
      </c>
      <c r="C836" t="s">
        <v>2747</v>
      </c>
      <c r="D836" t="s">
        <v>395</v>
      </c>
      <c r="E836" t="s">
        <v>395</v>
      </c>
      <c r="F836" t="s">
        <v>396</v>
      </c>
      <c r="G836" t="s">
        <v>397</v>
      </c>
      <c r="H836" t="s">
        <v>398</v>
      </c>
      <c r="I836" t="s">
        <v>399</v>
      </c>
      <c r="J836" t="s">
        <v>749</v>
      </c>
      <c r="K836" t="s">
        <v>629</v>
      </c>
      <c r="L836" t="s">
        <v>787</v>
      </c>
      <c r="M836" t="s">
        <v>403</v>
      </c>
      <c r="N836">
        <v>1</v>
      </c>
      <c r="O836">
        <v>1</v>
      </c>
      <c r="P836" t="s">
        <v>802</v>
      </c>
      <c r="Q836" t="s">
        <v>405</v>
      </c>
      <c r="R836" t="s">
        <v>803</v>
      </c>
      <c r="S836" t="s">
        <v>804</v>
      </c>
      <c r="T836" t="s">
        <v>408</v>
      </c>
      <c r="U836">
        <v>50950079979</v>
      </c>
      <c r="W836">
        <v>34560</v>
      </c>
      <c r="X836" t="s">
        <v>409</v>
      </c>
      <c r="Y836" t="s">
        <v>410</v>
      </c>
      <c r="Z836" t="s">
        <v>410</v>
      </c>
      <c r="AA836" t="s">
        <v>411</v>
      </c>
      <c r="AB836" t="s">
        <v>554</v>
      </c>
      <c r="AC836" t="s">
        <v>411</v>
      </c>
      <c r="AD836">
        <v>46118</v>
      </c>
      <c r="AE836">
        <v>46167</v>
      </c>
      <c r="AF836">
        <v>46120</v>
      </c>
      <c r="AG836" t="s">
        <v>754</v>
      </c>
      <c r="AH836">
        <v>6172195</v>
      </c>
      <c r="AI836">
        <v>46114</v>
      </c>
      <c r="AJ836">
        <v>46115</v>
      </c>
      <c r="AK836">
        <v>34560</v>
      </c>
      <c r="AL836" t="s">
        <v>396</v>
      </c>
      <c r="AM836" t="s">
        <v>2748</v>
      </c>
      <c r="AN836">
        <v>46115</v>
      </c>
      <c r="AO836">
        <v>46115.395891203705</v>
      </c>
      <c r="AP836" t="s">
        <v>51</v>
      </c>
      <c r="AQ836">
        <v>0.31907000000000002</v>
      </c>
      <c r="AR836">
        <v>11027.06</v>
      </c>
      <c r="AS836" t="s">
        <v>51</v>
      </c>
      <c r="AT836">
        <v>11027.06</v>
      </c>
      <c r="AU836" t="s">
        <v>415</v>
      </c>
      <c r="AV836" t="s">
        <v>1420</v>
      </c>
      <c r="AW836" t="s">
        <v>2598</v>
      </c>
      <c r="AX836">
        <v>46120</v>
      </c>
      <c r="AY836">
        <v>46169</v>
      </c>
      <c r="AZ836" t="s">
        <v>2745</v>
      </c>
      <c r="BA836" t="s">
        <v>560</v>
      </c>
      <c r="BB836" t="s">
        <v>2746</v>
      </c>
      <c r="BC836">
        <v>288</v>
      </c>
      <c r="BD836" t="s">
        <v>521</v>
      </c>
      <c r="BE836">
        <v>13.2311</v>
      </c>
      <c r="BF836">
        <v>11.8161</v>
      </c>
      <c r="BG836" t="s">
        <v>522</v>
      </c>
      <c r="BH836">
        <v>395</v>
      </c>
      <c r="BI836">
        <v>295</v>
      </c>
      <c r="BJ836">
        <v>160</v>
      </c>
      <c r="BK836">
        <v>60</v>
      </c>
      <c r="BL836" t="s">
        <v>521</v>
      </c>
      <c r="BM836">
        <v>820.86599999999999</v>
      </c>
      <c r="BN836">
        <v>708.96600000000001</v>
      </c>
      <c r="BO836">
        <v>1641.72768</v>
      </c>
      <c r="BP836" t="s">
        <v>522</v>
      </c>
      <c r="BQ836">
        <v>1200</v>
      </c>
      <c r="BR836">
        <v>1000</v>
      </c>
      <c r="BS836">
        <v>1120</v>
      </c>
      <c r="BT836">
        <v>2</v>
      </c>
      <c r="BU836">
        <v>0</v>
      </c>
      <c r="BV836">
        <v>2</v>
      </c>
      <c r="BW836">
        <v>120</v>
      </c>
      <c r="BX836">
        <v>0</v>
      </c>
      <c r="BY836">
        <v>120</v>
      </c>
      <c r="BZ836">
        <v>34560</v>
      </c>
      <c r="CA836">
        <v>0</v>
      </c>
      <c r="CB836">
        <v>34560</v>
      </c>
      <c r="CC836">
        <v>1417.92768</v>
      </c>
      <c r="CD836" t="s">
        <v>806</v>
      </c>
      <c r="CE836" t="s">
        <v>807</v>
      </c>
      <c r="CG836" t="s">
        <v>421</v>
      </c>
      <c r="CN836" t="str">
        <v>M45</v>
      </c>
      <c r="CO836" t="str">
        <v>0062-G070080EN</v>
      </c>
      <c r="CP836" t="str">
        <v>SEGU9932801</v>
      </c>
      <c r="CQ836" s="23">
        <v>20.000035384284033</v>
      </c>
      <c r="CR836" s="25">
        <f t="shared" si="33"/>
        <v>1.0496917728342521E-3</v>
      </c>
      <c r="CS836" s="21">
        <f t="shared" si="34"/>
        <v>2.6242294320856301</v>
      </c>
    </row>
    <row r="837" spans="2:97" x14ac:dyDescent="0.35">
      <c r="B837" t="s">
        <v>299</v>
      </c>
      <c r="C837" t="s">
        <v>1380</v>
      </c>
      <c r="D837" t="s">
        <v>965</v>
      </c>
      <c r="E837" t="s">
        <v>395</v>
      </c>
      <c r="F837" t="s">
        <v>396</v>
      </c>
      <c r="G837" t="s">
        <v>397</v>
      </c>
      <c r="H837" t="s">
        <v>398</v>
      </c>
      <c r="I837" t="s">
        <v>399</v>
      </c>
      <c r="J837" t="s">
        <v>749</v>
      </c>
      <c r="K837" t="s">
        <v>809</v>
      </c>
      <c r="L837" t="s">
        <v>787</v>
      </c>
      <c r="M837" t="s">
        <v>403</v>
      </c>
      <c r="N837">
        <v>1</v>
      </c>
      <c r="O837">
        <v>20</v>
      </c>
      <c r="P837" t="s">
        <v>810</v>
      </c>
      <c r="Q837" t="s">
        <v>405</v>
      </c>
      <c r="R837" t="s">
        <v>811</v>
      </c>
      <c r="S837" t="s">
        <v>812</v>
      </c>
      <c r="T837" t="s">
        <v>408</v>
      </c>
      <c r="U837">
        <v>50950080270</v>
      </c>
      <c r="W837">
        <v>960</v>
      </c>
      <c r="X837" t="s">
        <v>409</v>
      </c>
      <c r="Y837" t="s">
        <v>410</v>
      </c>
      <c r="Z837" t="s">
        <v>410</v>
      </c>
      <c r="AA837" t="s">
        <v>411</v>
      </c>
      <c r="AB837" t="s">
        <v>554</v>
      </c>
      <c r="AC837" t="s">
        <v>411</v>
      </c>
      <c r="AD837">
        <v>46109</v>
      </c>
      <c r="AE837">
        <v>46125</v>
      </c>
      <c r="AF837">
        <v>46120</v>
      </c>
      <c r="AG837" t="s">
        <v>754</v>
      </c>
      <c r="AH837">
        <v>6172196</v>
      </c>
      <c r="AI837">
        <v>46114</v>
      </c>
      <c r="AJ837">
        <v>46115</v>
      </c>
      <c r="AK837">
        <v>960</v>
      </c>
      <c r="AL837" t="s">
        <v>396</v>
      </c>
      <c r="AM837" t="s">
        <v>2749</v>
      </c>
      <c r="AN837">
        <v>46115</v>
      </c>
      <c r="AO837">
        <v>46115.395891203705</v>
      </c>
      <c r="AP837" t="s">
        <v>51</v>
      </c>
      <c r="AQ837">
        <v>2.0436299999999998</v>
      </c>
      <c r="AR837">
        <v>1961.88</v>
      </c>
      <c r="AS837" t="s">
        <v>51</v>
      </c>
      <c r="AT837">
        <v>1961.88</v>
      </c>
      <c r="AU837" t="s">
        <v>415</v>
      </c>
      <c r="AV837" t="s">
        <v>1420</v>
      </c>
      <c r="AW837" t="s">
        <v>2598</v>
      </c>
      <c r="AX837">
        <v>46120</v>
      </c>
      <c r="AY837">
        <v>46169</v>
      </c>
      <c r="AZ837" t="s">
        <v>2745</v>
      </c>
      <c r="BA837" t="s">
        <v>560</v>
      </c>
      <c r="BB837" t="s">
        <v>2746</v>
      </c>
      <c r="BC837">
        <v>16</v>
      </c>
      <c r="BD837" t="s">
        <v>521</v>
      </c>
      <c r="BE837">
        <v>4.9545000000000003</v>
      </c>
      <c r="BF837">
        <v>3.7555000000000001</v>
      </c>
      <c r="BG837" t="s">
        <v>522</v>
      </c>
      <c r="BH837">
        <v>495</v>
      </c>
      <c r="BI837">
        <v>395</v>
      </c>
      <c r="BJ837">
        <v>190</v>
      </c>
      <c r="BK837">
        <v>30</v>
      </c>
      <c r="BL837" t="s">
        <v>521</v>
      </c>
      <c r="BM837">
        <v>175.63499999999999</v>
      </c>
      <c r="BN837">
        <v>112.66500000000001</v>
      </c>
      <c r="BO837">
        <v>351.27120000000002</v>
      </c>
      <c r="BP837" t="s">
        <v>522</v>
      </c>
      <c r="BQ837">
        <v>1200</v>
      </c>
      <c r="BR837">
        <v>1000</v>
      </c>
      <c r="BS837">
        <v>1120</v>
      </c>
      <c r="BT837">
        <v>2</v>
      </c>
      <c r="BU837">
        <v>0</v>
      </c>
      <c r="BV837">
        <v>2</v>
      </c>
      <c r="BW837">
        <v>60</v>
      </c>
      <c r="BX837">
        <v>0</v>
      </c>
      <c r="BY837">
        <v>60</v>
      </c>
      <c r="BZ837">
        <v>960</v>
      </c>
      <c r="CA837">
        <v>0</v>
      </c>
      <c r="CB837">
        <v>960</v>
      </c>
      <c r="CC837">
        <v>225.3312</v>
      </c>
      <c r="CD837" t="s">
        <v>806</v>
      </c>
      <c r="CE837" t="s">
        <v>816</v>
      </c>
      <c r="CG837" t="s">
        <v>421</v>
      </c>
      <c r="CN837" t="str">
        <v>M45</v>
      </c>
      <c r="CO837" t="str">
        <v>1318-12B0005EN</v>
      </c>
      <c r="CP837" t="str">
        <v>SEGU9932801</v>
      </c>
      <c r="CQ837" s="23">
        <v>50</v>
      </c>
      <c r="CR837" s="25">
        <f t="shared" si="33"/>
        <v>2.6242247892698648E-3</v>
      </c>
      <c r="CS837" s="21">
        <f t="shared" si="34"/>
        <v>6.5605619731746625</v>
      </c>
    </row>
    <row r="838" spans="2:97" x14ac:dyDescent="0.35">
      <c r="B838" t="s">
        <v>296</v>
      </c>
      <c r="C838" t="s">
        <v>2750</v>
      </c>
      <c r="D838" t="s">
        <v>395</v>
      </c>
      <c r="E838" t="s">
        <v>395</v>
      </c>
      <c r="F838" t="s">
        <v>396</v>
      </c>
      <c r="G838" t="s">
        <v>397</v>
      </c>
      <c r="H838" t="s">
        <v>398</v>
      </c>
      <c r="I838" t="s">
        <v>399</v>
      </c>
      <c r="J838" t="s">
        <v>749</v>
      </c>
      <c r="K838" t="s">
        <v>515</v>
      </c>
      <c r="L838" t="s">
        <v>787</v>
      </c>
      <c r="M838" t="s">
        <v>403</v>
      </c>
      <c r="N838">
        <v>1</v>
      </c>
      <c r="O838">
        <v>1</v>
      </c>
      <c r="P838" t="s">
        <v>996</v>
      </c>
      <c r="Q838" t="s">
        <v>424</v>
      </c>
      <c r="R838" t="s">
        <v>997</v>
      </c>
      <c r="S838" t="s">
        <v>998</v>
      </c>
      <c r="T838" t="s">
        <v>408</v>
      </c>
      <c r="U838">
        <v>50950080424</v>
      </c>
      <c r="W838">
        <v>23000</v>
      </c>
      <c r="X838" t="s">
        <v>409</v>
      </c>
      <c r="Y838" t="s">
        <v>410</v>
      </c>
      <c r="Z838" t="s">
        <v>410</v>
      </c>
      <c r="AA838" t="s">
        <v>411</v>
      </c>
      <c r="AB838" t="s">
        <v>554</v>
      </c>
      <c r="AC838" t="s">
        <v>411</v>
      </c>
      <c r="AD838">
        <v>46108</v>
      </c>
      <c r="AE838">
        <v>46153</v>
      </c>
      <c r="AF838">
        <v>46120</v>
      </c>
      <c r="AG838" t="s">
        <v>754</v>
      </c>
      <c r="AH838">
        <v>6172197</v>
      </c>
      <c r="AI838">
        <v>46114</v>
      </c>
      <c r="AJ838">
        <v>46115</v>
      </c>
      <c r="AK838">
        <v>23000</v>
      </c>
      <c r="AL838" t="s">
        <v>396</v>
      </c>
      <c r="AM838" t="s">
        <v>2751</v>
      </c>
      <c r="AN838">
        <v>46115</v>
      </c>
      <c r="AO838">
        <v>46115.395891203705</v>
      </c>
      <c r="AP838" t="s">
        <v>51</v>
      </c>
      <c r="AQ838">
        <v>0.25383</v>
      </c>
      <c r="AR838">
        <v>5838.09</v>
      </c>
      <c r="AS838" t="s">
        <v>51</v>
      </c>
      <c r="AT838">
        <v>5838.09</v>
      </c>
      <c r="AU838" t="s">
        <v>415</v>
      </c>
      <c r="AV838" t="s">
        <v>1420</v>
      </c>
      <c r="AW838" t="s">
        <v>2598</v>
      </c>
      <c r="AX838">
        <v>46120</v>
      </c>
      <c r="AY838">
        <v>46169</v>
      </c>
      <c r="AZ838" t="s">
        <v>2745</v>
      </c>
      <c r="BA838" t="s">
        <v>560</v>
      </c>
      <c r="BB838" t="s">
        <v>2746</v>
      </c>
      <c r="BC838">
        <v>1000</v>
      </c>
      <c r="BD838" t="s">
        <v>521</v>
      </c>
      <c r="BE838">
        <v>11.22</v>
      </c>
      <c r="BF838">
        <v>10.5</v>
      </c>
      <c r="BG838" t="s">
        <v>522</v>
      </c>
      <c r="BH838">
        <v>395</v>
      </c>
      <c r="BI838">
        <v>295</v>
      </c>
      <c r="BJ838">
        <v>220</v>
      </c>
      <c r="BK838">
        <v>32</v>
      </c>
      <c r="BL838" t="s">
        <v>521</v>
      </c>
      <c r="BM838">
        <v>283.06</v>
      </c>
      <c r="BN838">
        <v>241.5</v>
      </c>
      <c r="BO838">
        <v>283.06</v>
      </c>
      <c r="BP838" t="s">
        <v>522</v>
      </c>
      <c r="BQ838">
        <v>1200</v>
      </c>
      <c r="BR838">
        <v>800</v>
      </c>
      <c r="BS838">
        <v>1040</v>
      </c>
      <c r="BT838">
        <v>0</v>
      </c>
      <c r="BU838">
        <v>1</v>
      </c>
      <c r="BV838">
        <v>1</v>
      </c>
      <c r="BW838">
        <v>23</v>
      </c>
      <c r="BX838">
        <v>0</v>
      </c>
      <c r="BY838">
        <v>23</v>
      </c>
      <c r="BZ838">
        <v>0</v>
      </c>
      <c r="CA838">
        <v>23000</v>
      </c>
      <c r="CB838">
        <v>23000</v>
      </c>
      <c r="CC838">
        <v>241.5</v>
      </c>
      <c r="CD838" t="s">
        <v>1000</v>
      </c>
      <c r="CE838" t="s">
        <v>620</v>
      </c>
      <c r="CG838" t="s">
        <v>421</v>
      </c>
      <c r="CN838" t="str">
        <v>M45</v>
      </c>
      <c r="CO838" t="str">
        <v>1318-12B0009EN</v>
      </c>
      <c r="CP838" t="str">
        <v>SEGU9932801</v>
      </c>
      <c r="CQ838" s="23">
        <v>50</v>
      </c>
      <c r="CR838" s="25">
        <f t="shared" ref="CR838:CR901" si="35">IFERROR(CQ838/(SUMIFS(CQ:CQ,CP:CP,CP838)),100%)</f>
        <v>2.6242247892698648E-3</v>
      </c>
      <c r="CS838" s="21">
        <f t="shared" si="34"/>
        <v>6.5605619731746625</v>
      </c>
    </row>
    <row r="839" spans="2:97" x14ac:dyDescent="0.35">
      <c r="B839" t="s">
        <v>296</v>
      </c>
      <c r="C839" t="s">
        <v>2752</v>
      </c>
      <c r="D839" t="s">
        <v>395</v>
      </c>
      <c r="E839" t="s">
        <v>395</v>
      </c>
      <c r="F839" t="s">
        <v>396</v>
      </c>
      <c r="G839" t="s">
        <v>397</v>
      </c>
      <c r="H839" t="s">
        <v>398</v>
      </c>
      <c r="I839" t="s">
        <v>399</v>
      </c>
      <c r="J839" t="s">
        <v>749</v>
      </c>
      <c r="K839" t="s">
        <v>515</v>
      </c>
      <c r="L839" t="s">
        <v>787</v>
      </c>
      <c r="M839" t="s">
        <v>403</v>
      </c>
      <c r="N839">
        <v>1</v>
      </c>
      <c r="O839">
        <v>1</v>
      </c>
      <c r="P839" t="s">
        <v>978</v>
      </c>
      <c r="Q839" t="s">
        <v>430</v>
      </c>
      <c r="R839" t="s">
        <v>691</v>
      </c>
      <c r="S839" t="s">
        <v>979</v>
      </c>
      <c r="T839" t="s">
        <v>408</v>
      </c>
      <c r="U839">
        <v>50950080950</v>
      </c>
      <c r="W839">
        <v>48000</v>
      </c>
      <c r="X839" t="s">
        <v>409</v>
      </c>
      <c r="Y839" t="s">
        <v>410</v>
      </c>
      <c r="Z839" t="s">
        <v>410</v>
      </c>
      <c r="AA839" t="s">
        <v>411</v>
      </c>
      <c r="AB839" t="s">
        <v>554</v>
      </c>
      <c r="AC839" t="s">
        <v>411</v>
      </c>
      <c r="AD839">
        <v>46109</v>
      </c>
      <c r="AE839">
        <v>46167</v>
      </c>
      <c r="AF839">
        <v>46120</v>
      </c>
      <c r="AG839" t="s">
        <v>754</v>
      </c>
      <c r="AH839">
        <v>6172198</v>
      </c>
      <c r="AI839">
        <v>46114</v>
      </c>
      <c r="AJ839">
        <v>46115</v>
      </c>
      <c r="AK839">
        <v>48000</v>
      </c>
      <c r="AL839" t="s">
        <v>396</v>
      </c>
      <c r="AM839" t="s">
        <v>2753</v>
      </c>
      <c r="AN839">
        <v>46115</v>
      </c>
      <c r="AO839">
        <v>46115.395891203705</v>
      </c>
      <c r="AP839" t="s">
        <v>51</v>
      </c>
      <c r="AQ839">
        <v>2.7890000000000002E-2</v>
      </c>
      <c r="AR839">
        <v>1338.72</v>
      </c>
      <c r="AS839" t="s">
        <v>51</v>
      </c>
      <c r="AT839">
        <v>1338.72</v>
      </c>
      <c r="AU839" t="s">
        <v>415</v>
      </c>
      <c r="AV839" t="s">
        <v>1420</v>
      </c>
      <c r="AW839" t="s">
        <v>2598</v>
      </c>
      <c r="AX839">
        <v>46120</v>
      </c>
      <c r="AY839">
        <v>46169</v>
      </c>
      <c r="AZ839" t="s">
        <v>2745</v>
      </c>
      <c r="BA839" t="s">
        <v>560</v>
      </c>
      <c r="BB839" t="s">
        <v>2746</v>
      </c>
      <c r="BC839">
        <v>16000</v>
      </c>
      <c r="BD839" t="s">
        <v>521</v>
      </c>
      <c r="BE839">
        <v>8.9338499999999996</v>
      </c>
      <c r="BF839">
        <v>8</v>
      </c>
      <c r="BG839" t="s">
        <v>522</v>
      </c>
      <c r="BH839">
        <v>398</v>
      </c>
      <c r="BI839">
        <v>298</v>
      </c>
      <c r="BJ839">
        <v>155</v>
      </c>
      <c r="BK839">
        <v>6</v>
      </c>
      <c r="BL839" t="s">
        <v>521</v>
      </c>
      <c r="BM839">
        <v>34.801549999999999</v>
      </c>
      <c r="BN839">
        <v>24</v>
      </c>
      <c r="BO839">
        <v>34.801549999999999</v>
      </c>
      <c r="BP839" t="s">
        <v>522</v>
      </c>
      <c r="BQ839">
        <v>800</v>
      </c>
      <c r="BR839">
        <v>300</v>
      </c>
      <c r="BS839">
        <v>608</v>
      </c>
      <c r="BT839">
        <v>0</v>
      </c>
      <c r="BU839">
        <v>1</v>
      </c>
      <c r="BV839">
        <v>1</v>
      </c>
      <c r="BW839">
        <v>3</v>
      </c>
      <c r="BX839">
        <v>0</v>
      </c>
      <c r="BY839">
        <v>3</v>
      </c>
      <c r="BZ839">
        <v>0</v>
      </c>
      <c r="CA839">
        <v>48000</v>
      </c>
      <c r="CB839">
        <v>48000</v>
      </c>
      <c r="CC839">
        <v>24</v>
      </c>
      <c r="CD839" t="s">
        <v>523</v>
      </c>
      <c r="CE839" t="s">
        <v>981</v>
      </c>
      <c r="CG839" t="s">
        <v>421</v>
      </c>
      <c r="CN839" t="str">
        <v>M45</v>
      </c>
      <c r="CO839" t="str">
        <v>1318-12B0009EN</v>
      </c>
      <c r="CP839" t="str">
        <v>SEGU9932801</v>
      </c>
      <c r="CQ839" s="23">
        <v>50</v>
      </c>
      <c r="CR839" s="25">
        <f t="shared" si="35"/>
        <v>2.6242247892698648E-3</v>
      </c>
      <c r="CS839" s="21">
        <f t="shared" ref="CS839:CS902" si="36">CR839*$CS$2</f>
        <v>6.5605619731746625</v>
      </c>
    </row>
    <row r="840" spans="2:97" x14ac:dyDescent="0.35">
      <c r="B840" t="s">
        <v>296</v>
      </c>
      <c r="C840" t="s">
        <v>2754</v>
      </c>
      <c r="D840" t="s">
        <v>395</v>
      </c>
      <c r="E840" t="s">
        <v>395</v>
      </c>
      <c r="F840" t="s">
        <v>396</v>
      </c>
      <c r="G840" t="s">
        <v>397</v>
      </c>
      <c r="H840" t="s">
        <v>398</v>
      </c>
      <c r="I840" t="s">
        <v>399</v>
      </c>
      <c r="J840" t="s">
        <v>749</v>
      </c>
      <c r="K840" t="s">
        <v>515</v>
      </c>
      <c r="L840" t="s">
        <v>787</v>
      </c>
      <c r="M840" t="s">
        <v>403</v>
      </c>
      <c r="N840">
        <v>1</v>
      </c>
      <c r="O840">
        <v>1</v>
      </c>
      <c r="P840" t="s">
        <v>987</v>
      </c>
      <c r="Q840" t="s">
        <v>405</v>
      </c>
      <c r="R840" t="s">
        <v>691</v>
      </c>
      <c r="S840" t="s">
        <v>988</v>
      </c>
      <c r="T840" t="s">
        <v>408</v>
      </c>
      <c r="U840">
        <v>50950080906</v>
      </c>
      <c r="W840">
        <v>48000</v>
      </c>
      <c r="X840" t="s">
        <v>409</v>
      </c>
      <c r="Y840" t="s">
        <v>410</v>
      </c>
      <c r="Z840" t="s">
        <v>410</v>
      </c>
      <c r="AA840" t="s">
        <v>411</v>
      </c>
      <c r="AB840" t="s">
        <v>554</v>
      </c>
      <c r="AC840" t="s">
        <v>411</v>
      </c>
      <c r="AD840">
        <v>46109</v>
      </c>
      <c r="AE840">
        <v>46167</v>
      </c>
      <c r="AF840">
        <v>46120</v>
      </c>
      <c r="AG840" t="s">
        <v>754</v>
      </c>
      <c r="AH840">
        <v>6172199</v>
      </c>
      <c r="AI840">
        <v>46114</v>
      </c>
      <c r="AJ840">
        <v>46115</v>
      </c>
      <c r="AK840">
        <v>48000</v>
      </c>
      <c r="AL840" t="s">
        <v>396</v>
      </c>
      <c r="AM840" t="s">
        <v>2755</v>
      </c>
      <c r="AN840">
        <v>46115</v>
      </c>
      <c r="AO840">
        <v>46115.395891203705</v>
      </c>
      <c r="AP840" t="s">
        <v>51</v>
      </c>
      <c r="AQ840">
        <v>1.3939999999999999E-2</v>
      </c>
      <c r="AR840">
        <v>669.12</v>
      </c>
      <c r="AS840" t="s">
        <v>51</v>
      </c>
      <c r="AT840">
        <v>669.12</v>
      </c>
      <c r="AU840" t="s">
        <v>415</v>
      </c>
      <c r="AV840" t="s">
        <v>1420</v>
      </c>
      <c r="AW840" t="s">
        <v>2598</v>
      </c>
      <c r="AX840">
        <v>46120</v>
      </c>
      <c r="AY840">
        <v>46169</v>
      </c>
      <c r="AZ840" t="s">
        <v>2745</v>
      </c>
      <c r="BA840" t="s">
        <v>560</v>
      </c>
      <c r="BB840" t="s">
        <v>2746</v>
      </c>
      <c r="BC840">
        <v>24000</v>
      </c>
      <c r="BD840" t="s">
        <v>521</v>
      </c>
      <c r="BE840">
        <v>11.613849999999999</v>
      </c>
      <c r="BF840">
        <v>10.68</v>
      </c>
      <c r="BG840" t="s">
        <v>522</v>
      </c>
      <c r="BH840">
        <v>398</v>
      </c>
      <c r="BI840">
        <v>298</v>
      </c>
      <c r="BJ840">
        <v>155</v>
      </c>
      <c r="BK840">
        <v>6</v>
      </c>
      <c r="BL840" t="s">
        <v>521</v>
      </c>
      <c r="BM840">
        <v>31.227699999999999</v>
      </c>
      <c r="BN840">
        <v>21.36</v>
      </c>
      <c r="BO840">
        <v>31.227699999999999</v>
      </c>
      <c r="BP840" t="s">
        <v>522</v>
      </c>
      <c r="BQ840">
        <v>800</v>
      </c>
      <c r="BR840">
        <v>300</v>
      </c>
      <c r="BS840">
        <v>608</v>
      </c>
      <c r="BT840">
        <v>0</v>
      </c>
      <c r="BU840">
        <v>1</v>
      </c>
      <c r="BV840">
        <v>1</v>
      </c>
      <c r="BW840">
        <v>2</v>
      </c>
      <c r="BX840">
        <v>0</v>
      </c>
      <c r="BY840">
        <v>2</v>
      </c>
      <c r="BZ840">
        <v>0</v>
      </c>
      <c r="CA840">
        <v>48000</v>
      </c>
      <c r="CB840">
        <v>48000</v>
      </c>
      <c r="CC840">
        <v>21.36</v>
      </c>
      <c r="CD840" t="s">
        <v>523</v>
      </c>
      <c r="CE840" t="s">
        <v>981</v>
      </c>
      <c r="CG840" t="s">
        <v>421</v>
      </c>
      <c r="CN840" t="str">
        <v>M45</v>
      </c>
      <c r="CO840" t="str">
        <v>1318-12B0005EN</v>
      </c>
      <c r="CP840" t="str">
        <v>SEGU9932801</v>
      </c>
      <c r="CQ840" s="23">
        <v>50</v>
      </c>
      <c r="CR840" s="25">
        <f t="shared" si="35"/>
        <v>2.6242247892698648E-3</v>
      </c>
      <c r="CS840" s="21">
        <f t="shared" si="36"/>
        <v>6.5605619731746625</v>
      </c>
    </row>
    <row r="841" spans="2:97" x14ac:dyDescent="0.35">
      <c r="B841" t="s">
        <v>296</v>
      </c>
      <c r="C841" t="s">
        <v>2756</v>
      </c>
      <c r="D841" t="s">
        <v>395</v>
      </c>
      <c r="E841" t="s">
        <v>395</v>
      </c>
      <c r="F841" t="s">
        <v>396</v>
      </c>
      <c r="G841" t="s">
        <v>397</v>
      </c>
      <c r="H841" t="s">
        <v>398</v>
      </c>
      <c r="I841" t="s">
        <v>399</v>
      </c>
      <c r="J841" t="s">
        <v>749</v>
      </c>
      <c r="K841" t="s">
        <v>515</v>
      </c>
      <c r="L841" t="s">
        <v>787</v>
      </c>
      <c r="M841" t="s">
        <v>403</v>
      </c>
      <c r="N841">
        <v>1</v>
      </c>
      <c r="O841">
        <v>1</v>
      </c>
      <c r="P841" t="s">
        <v>1513</v>
      </c>
      <c r="Q841" t="s">
        <v>430</v>
      </c>
      <c r="R841" t="s">
        <v>691</v>
      </c>
      <c r="S841" t="s">
        <v>1514</v>
      </c>
      <c r="T841" t="s">
        <v>408</v>
      </c>
      <c r="U841">
        <v>50950080917</v>
      </c>
      <c r="W841">
        <v>48000</v>
      </c>
      <c r="X841" t="s">
        <v>409</v>
      </c>
      <c r="Y841" t="s">
        <v>410</v>
      </c>
      <c r="Z841" t="s">
        <v>410</v>
      </c>
      <c r="AA841" t="s">
        <v>411</v>
      </c>
      <c r="AB841" t="s">
        <v>554</v>
      </c>
      <c r="AC841" t="s">
        <v>411</v>
      </c>
      <c r="AD841">
        <v>46109</v>
      </c>
      <c r="AE841">
        <v>46167</v>
      </c>
      <c r="AF841">
        <v>46120</v>
      </c>
      <c r="AG841" t="s">
        <v>754</v>
      </c>
      <c r="AH841">
        <v>6172200</v>
      </c>
      <c r="AI841">
        <v>46114</v>
      </c>
      <c r="AJ841">
        <v>46115</v>
      </c>
      <c r="AK841">
        <v>48000</v>
      </c>
      <c r="AL841" t="s">
        <v>396</v>
      </c>
      <c r="AM841" t="s">
        <v>2757</v>
      </c>
      <c r="AN841">
        <v>46115</v>
      </c>
      <c r="AO841">
        <v>46115.395891203705</v>
      </c>
      <c r="AP841" t="s">
        <v>51</v>
      </c>
      <c r="AQ841">
        <v>3.243E-2</v>
      </c>
      <c r="AR841">
        <v>1556.64</v>
      </c>
      <c r="AS841" t="s">
        <v>51</v>
      </c>
      <c r="AT841">
        <v>1556.64</v>
      </c>
      <c r="AU841" t="s">
        <v>415</v>
      </c>
      <c r="AV841" t="s">
        <v>1420</v>
      </c>
      <c r="AW841" t="s">
        <v>2598</v>
      </c>
      <c r="AX841">
        <v>46120</v>
      </c>
      <c r="AY841">
        <v>46169</v>
      </c>
      <c r="AZ841" t="s">
        <v>2745</v>
      </c>
      <c r="BA841" t="s">
        <v>560</v>
      </c>
      <c r="BB841" t="s">
        <v>2746</v>
      </c>
      <c r="BC841">
        <v>12000</v>
      </c>
      <c r="BD841" t="s">
        <v>521</v>
      </c>
      <c r="BE841">
        <v>10.519</v>
      </c>
      <c r="BF841">
        <v>9.84</v>
      </c>
      <c r="BG841" t="s">
        <v>522</v>
      </c>
      <c r="BH841">
        <v>395</v>
      </c>
      <c r="BI841">
        <v>295</v>
      </c>
      <c r="BJ841">
        <v>174</v>
      </c>
      <c r="BK841">
        <v>6</v>
      </c>
      <c r="BL841" t="s">
        <v>521</v>
      </c>
      <c r="BM841">
        <v>50.076000000000001</v>
      </c>
      <c r="BN841">
        <v>39.36</v>
      </c>
      <c r="BO841">
        <v>50.076000000000001</v>
      </c>
      <c r="BP841" t="s">
        <v>522</v>
      </c>
      <c r="BQ841">
        <v>800</v>
      </c>
      <c r="BR841">
        <v>300</v>
      </c>
      <c r="BS841">
        <v>698</v>
      </c>
      <c r="BT841">
        <v>0</v>
      </c>
      <c r="BU841">
        <v>1</v>
      </c>
      <c r="BV841">
        <v>1</v>
      </c>
      <c r="BW841">
        <v>4</v>
      </c>
      <c r="BX841">
        <v>0</v>
      </c>
      <c r="BY841">
        <v>4</v>
      </c>
      <c r="BZ841">
        <v>0</v>
      </c>
      <c r="CA841">
        <v>48000</v>
      </c>
      <c r="CB841">
        <v>48000</v>
      </c>
      <c r="CC841">
        <v>39.36</v>
      </c>
      <c r="CD841" t="s">
        <v>659</v>
      </c>
      <c r="CE841" t="s">
        <v>1006</v>
      </c>
      <c r="CG841" t="s">
        <v>421</v>
      </c>
      <c r="CN841" t="str">
        <v>M45</v>
      </c>
      <c r="CO841" t="str">
        <v>1438-12B0006EN</v>
      </c>
      <c r="CP841" t="str">
        <v>SEGU9932801</v>
      </c>
      <c r="CQ841" s="23">
        <v>50</v>
      </c>
      <c r="CR841" s="25">
        <f t="shared" si="35"/>
        <v>2.6242247892698648E-3</v>
      </c>
      <c r="CS841" s="21">
        <f t="shared" si="36"/>
        <v>6.5605619731746625</v>
      </c>
    </row>
    <row r="842" spans="2:97" x14ac:dyDescent="0.35">
      <c r="B842" t="s">
        <v>299</v>
      </c>
      <c r="C842" t="s">
        <v>2758</v>
      </c>
      <c r="D842" t="s">
        <v>395</v>
      </c>
      <c r="E842" t="s">
        <v>395</v>
      </c>
      <c r="F842" t="s">
        <v>396</v>
      </c>
      <c r="G842" t="s">
        <v>397</v>
      </c>
      <c r="H842" t="s">
        <v>398</v>
      </c>
      <c r="I842" t="s">
        <v>399</v>
      </c>
      <c r="J842" t="s">
        <v>749</v>
      </c>
      <c r="K842" t="s">
        <v>526</v>
      </c>
      <c r="L842" t="s">
        <v>787</v>
      </c>
      <c r="M842" t="s">
        <v>403</v>
      </c>
      <c r="N842">
        <v>1</v>
      </c>
      <c r="O842">
        <v>1</v>
      </c>
      <c r="P842" t="s">
        <v>1065</v>
      </c>
      <c r="Q842" t="s">
        <v>430</v>
      </c>
      <c r="R842" t="s">
        <v>959</v>
      </c>
      <c r="S842" t="s">
        <v>1066</v>
      </c>
      <c r="T842" t="s">
        <v>408</v>
      </c>
      <c r="U842">
        <v>50950080997</v>
      </c>
      <c r="W842">
        <v>12000</v>
      </c>
      <c r="X842" t="s">
        <v>409</v>
      </c>
      <c r="Y842" t="s">
        <v>410</v>
      </c>
      <c r="Z842" t="s">
        <v>410</v>
      </c>
      <c r="AA842" t="s">
        <v>411</v>
      </c>
      <c r="AB842" t="s">
        <v>554</v>
      </c>
      <c r="AC842" t="s">
        <v>411</v>
      </c>
      <c r="AD842">
        <v>46109</v>
      </c>
      <c r="AE842">
        <v>46167</v>
      </c>
      <c r="AF842">
        <v>46120</v>
      </c>
      <c r="AG842" t="s">
        <v>754</v>
      </c>
      <c r="AH842">
        <v>6172201</v>
      </c>
      <c r="AI842">
        <v>46114</v>
      </c>
      <c r="AJ842">
        <v>46115</v>
      </c>
      <c r="AK842">
        <v>12000</v>
      </c>
      <c r="AL842" t="s">
        <v>396</v>
      </c>
      <c r="AM842" t="s">
        <v>2759</v>
      </c>
      <c r="AN842">
        <v>46115</v>
      </c>
      <c r="AO842">
        <v>46115.395891203705</v>
      </c>
      <c r="AP842" t="s">
        <v>51</v>
      </c>
      <c r="AQ842">
        <v>0.11276</v>
      </c>
      <c r="AR842">
        <v>1353.12</v>
      </c>
      <c r="AS842" t="s">
        <v>51</v>
      </c>
      <c r="AT842">
        <v>1353.12</v>
      </c>
      <c r="AU842" t="s">
        <v>415</v>
      </c>
      <c r="AV842" t="s">
        <v>1420</v>
      </c>
      <c r="AW842" t="s">
        <v>2598</v>
      </c>
      <c r="AX842">
        <v>46120</v>
      </c>
      <c r="AY842">
        <v>46169</v>
      </c>
      <c r="AZ842" t="s">
        <v>2745</v>
      </c>
      <c r="BA842" t="s">
        <v>560</v>
      </c>
      <c r="BB842" t="s">
        <v>2746</v>
      </c>
      <c r="BC842">
        <v>250</v>
      </c>
      <c r="BD842" t="s">
        <v>521</v>
      </c>
      <c r="BE842">
        <v>7.8822999999999999</v>
      </c>
      <c r="BF842">
        <v>7.6322999999999999</v>
      </c>
      <c r="BG842" t="s">
        <v>522</v>
      </c>
      <c r="BH842">
        <v>286</v>
      </c>
      <c r="BI842">
        <v>190</v>
      </c>
      <c r="BJ842">
        <v>72</v>
      </c>
      <c r="BK842">
        <v>48</v>
      </c>
      <c r="BL842" t="s">
        <v>521</v>
      </c>
      <c r="BM842">
        <v>403.34800000000001</v>
      </c>
      <c r="BN842">
        <v>366.34800000000001</v>
      </c>
      <c r="BO842">
        <v>403.34800000000001</v>
      </c>
      <c r="BP842" t="s">
        <v>522</v>
      </c>
      <c r="BQ842">
        <v>1200</v>
      </c>
      <c r="BR842">
        <v>800</v>
      </c>
      <c r="BS842">
        <v>378</v>
      </c>
      <c r="BT842">
        <v>1</v>
      </c>
      <c r="BU842">
        <v>0</v>
      </c>
      <c r="BV842">
        <v>1</v>
      </c>
      <c r="BW842">
        <v>48</v>
      </c>
      <c r="BX842">
        <v>0</v>
      </c>
      <c r="BY842">
        <v>48</v>
      </c>
      <c r="BZ842">
        <v>12000</v>
      </c>
      <c r="CA842">
        <v>0</v>
      </c>
      <c r="CB842">
        <v>12000</v>
      </c>
      <c r="CC842">
        <v>366.34800000000001</v>
      </c>
      <c r="CD842" t="s">
        <v>969</v>
      </c>
      <c r="CE842" t="s">
        <v>970</v>
      </c>
      <c r="CG842" t="s">
        <v>421</v>
      </c>
      <c r="CN842" t="str">
        <v>M45</v>
      </c>
      <c r="CO842" t="str">
        <v>1101-V0C0204EN</v>
      </c>
      <c r="CP842" t="str">
        <v>SEGU9932801</v>
      </c>
      <c r="CQ842" s="23">
        <v>448</v>
      </c>
      <c r="CR842" s="25">
        <f t="shared" si="35"/>
        <v>2.351305411185799E-2</v>
      </c>
      <c r="CS842" s="21">
        <f t="shared" si="36"/>
        <v>58.782635279644978</v>
      </c>
    </row>
    <row r="843" spans="2:97" x14ac:dyDescent="0.35">
      <c r="B843" t="s">
        <v>299</v>
      </c>
      <c r="C843" t="s">
        <v>2730</v>
      </c>
      <c r="D843" t="s">
        <v>395</v>
      </c>
      <c r="E843" t="s">
        <v>395</v>
      </c>
      <c r="F843" t="s">
        <v>396</v>
      </c>
      <c r="G843" t="s">
        <v>397</v>
      </c>
      <c r="H843" t="s">
        <v>398</v>
      </c>
      <c r="I843" t="s">
        <v>399</v>
      </c>
      <c r="J843" t="s">
        <v>749</v>
      </c>
      <c r="K843" t="s">
        <v>526</v>
      </c>
      <c r="L843" t="s">
        <v>787</v>
      </c>
      <c r="M843" t="s">
        <v>403</v>
      </c>
      <c r="N843">
        <v>1</v>
      </c>
      <c r="O843">
        <v>2</v>
      </c>
      <c r="P843" t="s">
        <v>1065</v>
      </c>
      <c r="Q843" t="s">
        <v>430</v>
      </c>
      <c r="R843" t="s">
        <v>959</v>
      </c>
      <c r="S843" t="s">
        <v>1066</v>
      </c>
      <c r="T843" t="s">
        <v>408</v>
      </c>
      <c r="U843">
        <v>50950081011</v>
      </c>
      <c r="W843">
        <v>24000</v>
      </c>
      <c r="X843" t="s">
        <v>409</v>
      </c>
      <c r="Y843" t="s">
        <v>410</v>
      </c>
      <c r="Z843" t="s">
        <v>410</v>
      </c>
      <c r="AA843" t="s">
        <v>411</v>
      </c>
      <c r="AB843" t="s">
        <v>554</v>
      </c>
      <c r="AC843" t="s">
        <v>411</v>
      </c>
      <c r="AD843">
        <v>46102</v>
      </c>
      <c r="AE843">
        <v>46153</v>
      </c>
      <c r="AF843">
        <v>46120</v>
      </c>
      <c r="AG843" t="s">
        <v>754</v>
      </c>
      <c r="AH843">
        <v>6172202</v>
      </c>
      <c r="AI843">
        <v>46114</v>
      </c>
      <c r="AJ843">
        <v>46115</v>
      </c>
      <c r="AK843">
        <v>24000</v>
      </c>
      <c r="AL843" t="s">
        <v>396</v>
      </c>
      <c r="AM843" t="s">
        <v>2760</v>
      </c>
      <c r="AN843">
        <v>46115</v>
      </c>
      <c r="AO843">
        <v>46115.395891203705</v>
      </c>
      <c r="AP843" t="s">
        <v>51</v>
      </c>
      <c r="AQ843">
        <v>0.11276</v>
      </c>
      <c r="AR843">
        <v>2706.24</v>
      </c>
      <c r="AS843" t="s">
        <v>51</v>
      </c>
      <c r="AT843">
        <v>2706.24</v>
      </c>
      <c r="AU843" t="s">
        <v>415</v>
      </c>
      <c r="AV843" t="s">
        <v>1420</v>
      </c>
      <c r="AW843" t="s">
        <v>2598</v>
      </c>
      <c r="AX843">
        <v>46120</v>
      </c>
      <c r="AY843">
        <v>46169</v>
      </c>
      <c r="AZ843" t="s">
        <v>2745</v>
      </c>
      <c r="BA843" t="s">
        <v>560</v>
      </c>
      <c r="BB843" t="s">
        <v>2746</v>
      </c>
      <c r="BC843">
        <v>250</v>
      </c>
      <c r="BD843" t="s">
        <v>521</v>
      </c>
      <c r="BE843">
        <v>7.8822999999999999</v>
      </c>
      <c r="BF843">
        <v>7.6322999999999999</v>
      </c>
      <c r="BG843" t="s">
        <v>522</v>
      </c>
      <c r="BH843">
        <v>286</v>
      </c>
      <c r="BI843">
        <v>190</v>
      </c>
      <c r="BJ843">
        <v>72</v>
      </c>
      <c r="BK843">
        <v>48</v>
      </c>
      <c r="BL843" t="s">
        <v>521</v>
      </c>
      <c r="BM843">
        <v>403.35039999999998</v>
      </c>
      <c r="BN843">
        <v>366.35039999999998</v>
      </c>
      <c r="BO843">
        <v>806.69600000000003</v>
      </c>
      <c r="BP843" t="s">
        <v>522</v>
      </c>
      <c r="BQ843">
        <v>1200</v>
      </c>
      <c r="BR843">
        <v>800</v>
      </c>
      <c r="BS843">
        <v>378</v>
      </c>
      <c r="BT843">
        <v>2</v>
      </c>
      <c r="BU843">
        <v>0</v>
      </c>
      <c r="BV843">
        <v>2</v>
      </c>
      <c r="BW843">
        <v>96</v>
      </c>
      <c r="BX843">
        <v>0</v>
      </c>
      <c r="BY843">
        <v>96</v>
      </c>
      <c r="BZ843">
        <v>24000</v>
      </c>
      <c r="CA843">
        <v>0</v>
      </c>
      <c r="CB843">
        <v>24000</v>
      </c>
      <c r="CC843">
        <v>732.69600000000003</v>
      </c>
      <c r="CD843" t="s">
        <v>969</v>
      </c>
      <c r="CE843" t="s">
        <v>970</v>
      </c>
      <c r="CG843" t="s">
        <v>421</v>
      </c>
      <c r="CN843" t="str">
        <v>M01</v>
      </c>
      <c r="CO843" t="str">
        <v>1318-1030018EN</v>
      </c>
      <c r="CP843" t="str">
        <v>SEGU9932801</v>
      </c>
      <c r="CQ843" s="23">
        <v>10</v>
      </c>
      <c r="CR843" s="25">
        <f t="shared" si="35"/>
        <v>5.2484495785397301E-4</v>
      </c>
      <c r="CS843" s="21">
        <f t="shared" si="36"/>
        <v>1.3121123946349325</v>
      </c>
    </row>
    <row r="844" spans="2:97" x14ac:dyDescent="0.35">
      <c r="B844" t="s">
        <v>3497</v>
      </c>
      <c r="C844" t="s">
        <v>2761</v>
      </c>
      <c r="D844" t="s">
        <v>395</v>
      </c>
      <c r="E844" t="s">
        <v>395</v>
      </c>
      <c r="F844" t="s">
        <v>396</v>
      </c>
      <c r="G844" t="s">
        <v>397</v>
      </c>
      <c r="H844" t="s">
        <v>398</v>
      </c>
      <c r="I844" t="s">
        <v>399</v>
      </c>
      <c r="J844" t="s">
        <v>749</v>
      </c>
      <c r="K844" t="s">
        <v>515</v>
      </c>
      <c r="L844" t="s">
        <v>787</v>
      </c>
      <c r="M844" t="s">
        <v>403</v>
      </c>
      <c r="N844">
        <v>1</v>
      </c>
      <c r="O844">
        <v>1</v>
      </c>
      <c r="P844" t="s">
        <v>1062</v>
      </c>
      <c r="Q844" t="s">
        <v>405</v>
      </c>
      <c r="R844" t="s">
        <v>691</v>
      </c>
      <c r="S844" t="s">
        <v>1048</v>
      </c>
      <c r="T844" t="s">
        <v>408</v>
      </c>
      <c r="U844">
        <v>50950081144</v>
      </c>
      <c r="W844">
        <v>24000</v>
      </c>
      <c r="X844" t="s">
        <v>409</v>
      </c>
      <c r="Y844" t="s">
        <v>410</v>
      </c>
      <c r="Z844" t="s">
        <v>410</v>
      </c>
      <c r="AA844" t="s">
        <v>411</v>
      </c>
      <c r="AB844" t="s">
        <v>554</v>
      </c>
      <c r="AC844" t="s">
        <v>411</v>
      </c>
      <c r="AD844">
        <v>46109</v>
      </c>
      <c r="AE844">
        <v>46167</v>
      </c>
      <c r="AF844">
        <v>46120</v>
      </c>
      <c r="AG844" t="s">
        <v>754</v>
      </c>
      <c r="AH844">
        <v>6172203</v>
      </c>
      <c r="AI844">
        <v>46114</v>
      </c>
      <c r="AJ844">
        <v>46115</v>
      </c>
      <c r="AK844">
        <v>24000</v>
      </c>
      <c r="AL844" t="s">
        <v>396</v>
      </c>
      <c r="AM844" t="s">
        <v>2762</v>
      </c>
      <c r="AN844">
        <v>46115</v>
      </c>
      <c r="AO844">
        <v>46115.395891203705</v>
      </c>
      <c r="AP844" t="s">
        <v>51</v>
      </c>
      <c r="AQ844">
        <v>3.678E-2</v>
      </c>
      <c r="AR844">
        <v>882.72</v>
      </c>
      <c r="AS844" t="s">
        <v>51</v>
      </c>
      <c r="AT844">
        <v>882.72</v>
      </c>
      <c r="AU844" t="s">
        <v>415</v>
      </c>
      <c r="AV844" t="s">
        <v>1420</v>
      </c>
      <c r="AW844" t="s">
        <v>2598</v>
      </c>
      <c r="AX844">
        <v>46120</v>
      </c>
      <c r="AY844">
        <v>46169</v>
      </c>
      <c r="AZ844" t="s">
        <v>2745</v>
      </c>
      <c r="BA844" t="s">
        <v>560</v>
      </c>
      <c r="BB844" t="s">
        <v>2746</v>
      </c>
      <c r="BC844">
        <v>4000</v>
      </c>
      <c r="BD844" t="s">
        <v>521</v>
      </c>
      <c r="BE844">
        <v>4.4618500000000001</v>
      </c>
      <c r="BF844">
        <v>3.528</v>
      </c>
      <c r="BG844" t="s">
        <v>522</v>
      </c>
      <c r="BH844">
        <v>398</v>
      </c>
      <c r="BI844">
        <v>298</v>
      </c>
      <c r="BJ844">
        <v>155</v>
      </c>
      <c r="BK844">
        <v>6</v>
      </c>
      <c r="BL844" t="s">
        <v>521</v>
      </c>
      <c r="BM844">
        <v>34.771099999999997</v>
      </c>
      <c r="BN844">
        <v>21.167999999999999</v>
      </c>
      <c r="BO844">
        <v>34.771099999999997</v>
      </c>
      <c r="BP844" t="s">
        <v>522</v>
      </c>
      <c r="BQ844">
        <v>800</v>
      </c>
      <c r="BR844">
        <v>300</v>
      </c>
      <c r="BS844">
        <v>608</v>
      </c>
      <c r="BT844">
        <v>1</v>
      </c>
      <c r="BU844">
        <v>0</v>
      </c>
      <c r="BV844">
        <v>1</v>
      </c>
      <c r="BW844">
        <v>6</v>
      </c>
      <c r="BX844">
        <v>0</v>
      </c>
      <c r="BY844">
        <v>6</v>
      </c>
      <c r="BZ844">
        <v>24000</v>
      </c>
      <c r="CA844">
        <v>0</v>
      </c>
      <c r="CB844">
        <v>24000</v>
      </c>
      <c r="CC844">
        <v>21.167999999999999</v>
      </c>
      <c r="CD844" t="s">
        <v>523</v>
      </c>
      <c r="CE844" t="s">
        <v>981</v>
      </c>
      <c r="CG844" t="s">
        <v>421</v>
      </c>
      <c r="CN844" t="str">
        <v>M45</v>
      </c>
      <c r="CO844" t="str">
        <v>1205-10C0010EN</v>
      </c>
      <c r="CP844" t="str">
        <v>SEGU9932801</v>
      </c>
      <c r="CQ844" s="23">
        <v>0.1</v>
      </c>
      <c r="CR844" s="25">
        <f t="shared" si="35"/>
        <v>5.2484495785397299E-6</v>
      </c>
      <c r="CS844" s="21">
        <f t="shared" si="36"/>
        <v>1.3121123946349325E-2</v>
      </c>
    </row>
    <row r="845" spans="2:97" x14ac:dyDescent="0.35">
      <c r="B845" t="s">
        <v>299</v>
      </c>
      <c r="C845" t="s">
        <v>2669</v>
      </c>
      <c r="D845" t="s">
        <v>395</v>
      </c>
      <c r="E845" t="s">
        <v>395</v>
      </c>
      <c r="F845" t="s">
        <v>396</v>
      </c>
      <c r="G845" t="s">
        <v>397</v>
      </c>
      <c r="H845" t="s">
        <v>398</v>
      </c>
      <c r="I845" t="s">
        <v>399</v>
      </c>
      <c r="J845" t="s">
        <v>749</v>
      </c>
      <c r="K845" t="s">
        <v>809</v>
      </c>
      <c r="L845" t="s">
        <v>787</v>
      </c>
      <c r="M845" t="s">
        <v>403</v>
      </c>
      <c r="N845">
        <v>1</v>
      </c>
      <c r="O845">
        <v>3</v>
      </c>
      <c r="P845" t="s">
        <v>1069</v>
      </c>
      <c r="Q845" t="s">
        <v>424</v>
      </c>
      <c r="R845" t="s">
        <v>811</v>
      </c>
      <c r="S845" t="s">
        <v>1070</v>
      </c>
      <c r="T845" t="s">
        <v>408</v>
      </c>
      <c r="U845">
        <v>50950081203</v>
      </c>
      <c r="W845">
        <v>480</v>
      </c>
      <c r="X845" t="s">
        <v>409</v>
      </c>
      <c r="Y845" t="s">
        <v>410</v>
      </c>
      <c r="Z845" t="s">
        <v>410</v>
      </c>
      <c r="AA845" t="s">
        <v>411</v>
      </c>
      <c r="AB845" t="s">
        <v>554</v>
      </c>
      <c r="AC845" t="s">
        <v>411</v>
      </c>
      <c r="AD845">
        <v>46109</v>
      </c>
      <c r="AE845">
        <v>46160</v>
      </c>
      <c r="AF845">
        <v>46120</v>
      </c>
      <c r="AG845" t="s">
        <v>754</v>
      </c>
      <c r="AH845">
        <v>6172204</v>
      </c>
      <c r="AI845">
        <v>46114</v>
      </c>
      <c r="AJ845">
        <v>46115</v>
      </c>
      <c r="AK845">
        <v>480</v>
      </c>
      <c r="AL845" t="s">
        <v>396</v>
      </c>
      <c r="AM845" t="s">
        <v>2763</v>
      </c>
      <c r="AN845">
        <v>46115</v>
      </c>
      <c r="AO845">
        <v>46115.395891203705</v>
      </c>
      <c r="AP845" t="s">
        <v>51</v>
      </c>
      <c r="AQ845">
        <v>2.4991699999999999</v>
      </c>
      <c r="AR845">
        <v>1199.5999999999999</v>
      </c>
      <c r="AS845" t="s">
        <v>51</v>
      </c>
      <c r="AT845">
        <v>1199.5999999999999</v>
      </c>
      <c r="AU845" t="s">
        <v>415</v>
      </c>
      <c r="AV845" t="s">
        <v>1420</v>
      </c>
      <c r="AW845" t="s">
        <v>2598</v>
      </c>
      <c r="AX845">
        <v>46120</v>
      </c>
      <c r="AY845">
        <v>46169</v>
      </c>
      <c r="AZ845" t="s">
        <v>2745</v>
      </c>
      <c r="BA845" t="s">
        <v>560</v>
      </c>
      <c r="BB845" t="s">
        <v>2746</v>
      </c>
      <c r="BC845">
        <v>16</v>
      </c>
      <c r="BD845" t="s">
        <v>521</v>
      </c>
      <c r="BE845">
        <v>6.3334000000000001</v>
      </c>
      <c r="BF845">
        <v>5.1344000000000003</v>
      </c>
      <c r="BG845" t="s">
        <v>522</v>
      </c>
      <c r="BH845">
        <v>495</v>
      </c>
      <c r="BI845">
        <v>395</v>
      </c>
      <c r="BJ845">
        <v>190</v>
      </c>
      <c r="BK845">
        <v>30</v>
      </c>
      <c r="BL845" t="s">
        <v>521</v>
      </c>
      <c r="BM845">
        <v>217.00200000000001</v>
      </c>
      <c r="BN845">
        <v>154.03200000000001</v>
      </c>
      <c r="BO845">
        <v>217.00200000000001</v>
      </c>
      <c r="BP845" t="s">
        <v>522</v>
      </c>
      <c r="BQ845">
        <v>1200</v>
      </c>
      <c r="BR845">
        <v>1000</v>
      </c>
      <c r="BS845">
        <v>1120</v>
      </c>
      <c r="BT845">
        <v>1</v>
      </c>
      <c r="BU845">
        <v>0</v>
      </c>
      <c r="BV845">
        <v>1</v>
      </c>
      <c r="BW845">
        <v>30</v>
      </c>
      <c r="BX845">
        <v>0</v>
      </c>
      <c r="BY845">
        <v>30</v>
      </c>
      <c r="BZ845">
        <v>480</v>
      </c>
      <c r="CA845">
        <v>0</v>
      </c>
      <c r="CB845">
        <v>480</v>
      </c>
      <c r="CC845">
        <v>154.03200000000001</v>
      </c>
      <c r="CD845" t="s">
        <v>806</v>
      </c>
      <c r="CE845" t="s">
        <v>816</v>
      </c>
      <c r="CG845" t="s">
        <v>421</v>
      </c>
      <c r="CN845" t="str">
        <v>M46</v>
      </c>
      <c r="CO845" t="str">
        <v>RMEPPD219</v>
      </c>
      <c r="CP845" t="str">
        <v>SEGU9932801</v>
      </c>
      <c r="CQ845" s="23">
        <v>989.99919326278712</v>
      </c>
      <c r="CR845" s="25">
        <f t="shared" si="35"/>
        <v>5.1959608486347474E-2</v>
      </c>
      <c r="CS845" s="21">
        <f t="shared" si="36"/>
        <v>129.89902121586869</v>
      </c>
    </row>
    <row r="846" spans="2:97" x14ac:dyDescent="0.35">
      <c r="B846" t="s">
        <v>299</v>
      </c>
      <c r="C846" t="s">
        <v>2695</v>
      </c>
      <c r="D846" t="s">
        <v>395</v>
      </c>
      <c r="E846" t="s">
        <v>395</v>
      </c>
      <c r="F846" t="s">
        <v>396</v>
      </c>
      <c r="G846" t="s">
        <v>397</v>
      </c>
      <c r="H846" t="s">
        <v>398</v>
      </c>
      <c r="I846" t="s">
        <v>399</v>
      </c>
      <c r="J846" t="s">
        <v>749</v>
      </c>
      <c r="K846" t="s">
        <v>809</v>
      </c>
      <c r="L846" t="s">
        <v>787</v>
      </c>
      <c r="M846" t="s">
        <v>403</v>
      </c>
      <c r="N846">
        <v>1</v>
      </c>
      <c r="O846">
        <v>2</v>
      </c>
      <c r="P846" t="s">
        <v>892</v>
      </c>
      <c r="Q846" t="s">
        <v>424</v>
      </c>
      <c r="R846" t="s">
        <v>811</v>
      </c>
      <c r="S846" t="s">
        <v>893</v>
      </c>
      <c r="T846" t="s">
        <v>408</v>
      </c>
      <c r="U846">
        <v>50950081256</v>
      </c>
      <c r="W846">
        <v>1440</v>
      </c>
      <c r="X846" t="s">
        <v>409</v>
      </c>
      <c r="Y846" t="s">
        <v>410</v>
      </c>
      <c r="Z846" t="s">
        <v>410</v>
      </c>
      <c r="AA846" t="s">
        <v>411</v>
      </c>
      <c r="AB846" t="s">
        <v>554</v>
      </c>
      <c r="AC846" t="s">
        <v>411</v>
      </c>
      <c r="AD846">
        <v>46109</v>
      </c>
      <c r="AE846">
        <v>46167</v>
      </c>
      <c r="AF846">
        <v>46120</v>
      </c>
      <c r="AG846" t="s">
        <v>754</v>
      </c>
      <c r="AH846">
        <v>6172205</v>
      </c>
      <c r="AI846">
        <v>46114</v>
      </c>
      <c r="AJ846">
        <v>46115</v>
      </c>
      <c r="AK846">
        <v>1440</v>
      </c>
      <c r="AL846" t="s">
        <v>396</v>
      </c>
      <c r="AM846" t="s">
        <v>2764</v>
      </c>
      <c r="AN846">
        <v>46115</v>
      </c>
      <c r="AO846">
        <v>46115.395891203705</v>
      </c>
      <c r="AP846" t="s">
        <v>51</v>
      </c>
      <c r="AQ846">
        <v>1.15625</v>
      </c>
      <c r="AR846">
        <v>1665</v>
      </c>
      <c r="AS846" t="s">
        <v>51</v>
      </c>
      <c r="AT846">
        <v>1665</v>
      </c>
      <c r="AU846" t="s">
        <v>415</v>
      </c>
      <c r="AV846" t="s">
        <v>1420</v>
      </c>
      <c r="AW846" t="s">
        <v>2598</v>
      </c>
      <c r="AX846">
        <v>46120</v>
      </c>
      <c r="AY846">
        <v>46169</v>
      </c>
      <c r="AZ846" t="s">
        <v>2745</v>
      </c>
      <c r="BA846" t="s">
        <v>560</v>
      </c>
      <c r="BB846" t="s">
        <v>2746</v>
      </c>
      <c r="BC846">
        <v>48</v>
      </c>
      <c r="BD846" t="s">
        <v>521</v>
      </c>
      <c r="BE846">
        <v>7.6664000000000003</v>
      </c>
      <c r="BF846">
        <v>6.2064000000000004</v>
      </c>
      <c r="BG846" t="s">
        <v>522</v>
      </c>
      <c r="BH846">
        <v>495</v>
      </c>
      <c r="BI846">
        <v>395</v>
      </c>
      <c r="BJ846">
        <v>190</v>
      </c>
      <c r="BK846">
        <v>30</v>
      </c>
      <c r="BL846" t="s">
        <v>521</v>
      </c>
      <c r="BM846">
        <v>256.99200000000002</v>
      </c>
      <c r="BN846">
        <v>186.19200000000001</v>
      </c>
      <c r="BO846">
        <v>256.99200000000002</v>
      </c>
      <c r="BP846" t="s">
        <v>522</v>
      </c>
      <c r="BQ846">
        <v>1200</v>
      </c>
      <c r="BR846">
        <v>1000</v>
      </c>
      <c r="BS846">
        <v>1120</v>
      </c>
      <c r="BT846">
        <v>1</v>
      </c>
      <c r="BU846">
        <v>0</v>
      </c>
      <c r="BV846">
        <v>1</v>
      </c>
      <c r="BW846">
        <v>30</v>
      </c>
      <c r="BX846">
        <v>0</v>
      </c>
      <c r="BY846">
        <v>30</v>
      </c>
      <c r="BZ846">
        <v>1440</v>
      </c>
      <c r="CA846">
        <v>0</v>
      </c>
      <c r="CB846">
        <v>1440</v>
      </c>
      <c r="CC846">
        <v>186.19200000000001</v>
      </c>
      <c r="CD846" t="s">
        <v>806</v>
      </c>
      <c r="CE846" t="s">
        <v>821</v>
      </c>
      <c r="CG846" t="s">
        <v>421</v>
      </c>
      <c r="CN846" t="str">
        <v>M45</v>
      </c>
      <c r="CO846" t="str">
        <v>1202-12B0005EN</v>
      </c>
      <c r="CP846" t="str">
        <v>SEGU9932801</v>
      </c>
      <c r="CQ846" s="23">
        <v>154.9872</v>
      </c>
      <c r="CR846" s="25">
        <f t="shared" si="35"/>
        <v>8.1344250451905291E-3</v>
      </c>
      <c r="CS846" s="21">
        <f t="shared" si="36"/>
        <v>20.336062612976324</v>
      </c>
    </row>
    <row r="847" spans="2:97" x14ac:dyDescent="0.35">
      <c r="B847" t="s">
        <v>299</v>
      </c>
      <c r="C847" t="s">
        <v>2698</v>
      </c>
      <c r="D847" t="s">
        <v>395</v>
      </c>
      <c r="E847" t="s">
        <v>823</v>
      </c>
      <c r="F847" t="s">
        <v>396</v>
      </c>
      <c r="G847" t="s">
        <v>397</v>
      </c>
      <c r="H847" t="s">
        <v>398</v>
      </c>
      <c r="I847" t="s">
        <v>399</v>
      </c>
      <c r="J847" t="s">
        <v>749</v>
      </c>
      <c r="K847" t="s">
        <v>809</v>
      </c>
      <c r="L847" t="s">
        <v>787</v>
      </c>
      <c r="M847" t="s">
        <v>403</v>
      </c>
      <c r="N847">
        <v>1</v>
      </c>
      <c r="O847">
        <v>2</v>
      </c>
      <c r="P847" t="s">
        <v>824</v>
      </c>
      <c r="Q847" t="s">
        <v>424</v>
      </c>
      <c r="R847" t="s">
        <v>811</v>
      </c>
      <c r="S847" t="s">
        <v>825</v>
      </c>
      <c r="T847" t="s">
        <v>408</v>
      </c>
      <c r="U847">
        <v>50950081268</v>
      </c>
      <c r="W847">
        <v>4320</v>
      </c>
      <c r="X847" t="s">
        <v>409</v>
      </c>
      <c r="Y847" t="s">
        <v>410</v>
      </c>
      <c r="Z847" t="s">
        <v>410</v>
      </c>
      <c r="AA847" t="s">
        <v>411</v>
      </c>
      <c r="AB847" t="s">
        <v>554</v>
      </c>
      <c r="AC847" t="s">
        <v>411</v>
      </c>
      <c r="AD847">
        <v>46102</v>
      </c>
      <c r="AE847">
        <v>46160</v>
      </c>
      <c r="AF847">
        <v>46120</v>
      </c>
      <c r="AG847" t="s">
        <v>754</v>
      </c>
      <c r="AH847">
        <v>6172206</v>
      </c>
      <c r="AI847">
        <v>46114</v>
      </c>
      <c r="AJ847">
        <v>46115</v>
      </c>
      <c r="AK847">
        <v>4320</v>
      </c>
      <c r="AL847" t="s">
        <v>396</v>
      </c>
      <c r="AM847" t="s">
        <v>2765</v>
      </c>
      <c r="AN847">
        <v>46115</v>
      </c>
      <c r="AO847">
        <v>46115.395891203705</v>
      </c>
      <c r="AP847" t="s">
        <v>51</v>
      </c>
      <c r="AQ847">
        <v>1.3411999999999999</v>
      </c>
      <c r="AR847">
        <v>5793.99</v>
      </c>
      <c r="AS847" t="s">
        <v>51</v>
      </c>
      <c r="AT847">
        <v>5793.99</v>
      </c>
      <c r="AU847" t="s">
        <v>415</v>
      </c>
      <c r="AV847" t="s">
        <v>1420</v>
      </c>
      <c r="AW847" t="s">
        <v>2598</v>
      </c>
      <c r="AX847">
        <v>46120</v>
      </c>
      <c r="AY847">
        <v>46169</v>
      </c>
      <c r="AZ847" t="s">
        <v>2745</v>
      </c>
      <c r="BA847" t="s">
        <v>560</v>
      </c>
      <c r="BB847" t="s">
        <v>2746</v>
      </c>
      <c r="BC847">
        <v>48</v>
      </c>
      <c r="BD847" t="s">
        <v>521</v>
      </c>
      <c r="BE847">
        <v>8.2250999999999994</v>
      </c>
      <c r="BF847">
        <v>6.7651000000000003</v>
      </c>
      <c r="BG847" t="s">
        <v>522</v>
      </c>
      <c r="BH847">
        <v>495</v>
      </c>
      <c r="BI847">
        <v>395</v>
      </c>
      <c r="BJ847">
        <v>190</v>
      </c>
      <c r="BK847">
        <v>30</v>
      </c>
      <c r="BL847" t="s">
        <v>521</v>
      </c>
      <c r="BM847">
        <v>273.75299999999999</v>
      </c>
      <c r="BN847">
        <v>202.953</v>
      </c>
      <c r="BO847">
        <v>821.26080000000002</v>
      </c>
      <c r="BP847" t="s">
        <v>522</v>
      </c>
      <c r="BQ847">
        <v>1200</v>
      </c>
      <c r="BR847">
        <v>1000</v>
      </c>
      <c r="BS847">
        <v>1120</v>
      </c>
      <c r="BT847">
        <v>3</v>
      </c>
      <c r="BU847">
        <v>0</v>
      </c>
      <c r="BV847">
        <v>3</v>
      </c>
      <c r="BW847">
        <v>90</v>
      </c>
      <c r="BX847">
        <v>0</v>
      </c>
      <c r="BY847">
        <v>90</v>
      </c>
      <c r="BZ847">
        <v>4320</v>
      </c>
      <c r="CA847">
        <v>0</v>
      </c>
      <c r="CB847">
        <v>4320</v>
      </c>
      <c r="CC847">
        <v>608.86080000000004</v>
      </c>
      <c r="CD847" t="s">
        <v>806</v>
      </c>
      <c r="CE847" t="s">
        <v>821</v>
      </c>
      <c r="CG847" t="s">
        <v>421</v>
      </c>
      <c r="CN847" t="str">
        <v>M19</v>
      </c>
      <c r="CO847" t="str">
        <v>1307-5YY0150EN</v>
      </c>
      <c r="CP847" t="str">
        <v>SEGU9932801</v>
      </c>
      <c r="CQ847" s="23">
        <v>4000</v>
      </c>
      <c r="CR847" s="25">
        <f t="shared" si="35"/>
        <v>0.20993798314158921</v>
      </c>
      <c r="CS847" s="21">
        <f t="shared" si="36"/>
        <v>524.84495785397303</v>
      </c>
    </row>
    <row r="848" spans="2:97" x14ac:dyDescent="0.35">
      <c r="B848" t="s">
        <v>299</v>
      </c>
      <c r="C848" t="s">
        <v>2766</v>
      </c>
      <c r="D848" t="s">
        <v>395</v>
      </c>
      <c r="E848" t="s">
        <v>395</v>
      </c>
      <c r="F848" t="s">
        <v>396</v>
      </c>
      <c r="G848" t="s">
        <v>397</v>
      </c>
      <c r="H848" t="s">
        <v>398</v>
      </c>
      <c r="I848" t="s">
        <v>399</v>
      </c>
      <c r="J848" t="s">
        <v>749</v>
      </c>
      <c r="K848" t="s">
        <v>845</v>
      </c>
      <c r="L848" t="s">
        <v>787</v>
      </c>
      <c r="M848" t="s">
        <v>403</v>
      </c>
      <c r="N848">
        <v>1</v>
      </c>
      <c r="O848">
        <v>1</v>
      </c>
      <c r="P848" t="s">
        <v>853</v>
      </c>
      <c r="Q848" t="s">
        <v>789</v>
      </c>
      <c r="R848" t="s">
        <v>847</v>
      </c>
      <c r="S848" t="s">
        <v>854</v>
      </c>
      <c r="T848" t="s">
        <v>408</v>
      </c>
      <c r="U848">
        <v>50950081281</v>
      </c>
      <c r="W848">
        <v>4752</v>
      </c>
      <c r="X848" t="s">
        <v>409</v>
      </c>
      <c r="Y848" t="s">
        <v>410</v>
      </c>
      <c r="Z848" t="s">
        <v>410</v>
      </c>
      <c r="AA848" t="s">
        <v>411</v>
      </c>
      <c r="AB848" t="s">
        <v>554</v>
      </c>
      <c r="AC848" t="s">
        <v>411</v>
      </c>
      <c r="AD848">
        <v>46109</v>
      </c>
      <c r="AE848">
        <v>46167</v>
      </c>
      <c r="AF848">
        <v>46120</v>
      </c>
      <c r="AG848" t="s">
        <v>754</v>
      </c>
      <c r="AH848">
        <v>6172207</v>
      </c>
      <c r="AI848">
        <v>46114</v>
      </c>
      <c r="AJ848">
        <v>46115</v>
      </c>
      <c r="AK848">
        <v>4752</v>
      </c>
      <c r="AL848" t="s">
        <v>396</v>
      </c>
      <c r="AM848" t="s">
        <v>2767</v>
      </c>
      <c r="AN848">
        <v>46115</v>
      </c>
      <c r="AO848">
        <v>46115.395891203705</v>
      </c>
      <c r="AP848" t="s">
        <v>51</v>
      </c>
      <c r="AQ848">
        <v>0.83796999999999999</v>
      </c>
      <c r="AR848">
        <v>3982.04</v>
      </c>
      <c r="AS848" t="s">
        <v>51</v>
      </c>
      <c r="AT848">
        <v>3982.04</v>
      </c>
      <c r="AU848" t="s">
        <v>415</v>
      </c>
      <c r="AV848" t="s">
        <v>1420</v>
      </c>
      <c r="AW848" t="s">
        <v>2598</v>
      </c>
      <c r="AX848">
        <v>46120</v>
      </c>
      <c r="AY848">
        <v>46169</v>
      </c>
      <c r="AZ848" t="s">
        <v>2745</v>
      </c>
      <c r="BA848" t="s">
        <v>560</v>
      </c>
      <c r="BB848" t="s">
        <v>2746</v>
      </c>
      <c r="BC848">
        <v>33</v>
      </c>
      <c r="BD848" t="s">
        <v>521</v>
      </c>
      <c r="BE848">
        <v>12.9557</v>
      </c>
      <c r="BF848">
        <v>12.005699999999999</v>
      </c>
      <c r="BG848" t="s">
        <v>522</v>
      </c>
      <c r="BH848">
        <v>495</v>
      </c>
      <c r="BI848">
        <v>395</v>
      </c>
      <c r="BJ848">
        <v>150</v>
      </c>
      <c r="BK848">
        <v>36</v>
      </c>
      <c r="BL848" t="s">
        <v>521</v>
      </c>
      <c r="BM848">
        <v>493.40519999999998</v>
      </c>
      <c r="BN848">
        <v>432.20519999999999</v>
      </c>
      <c r="BO848">
        <v>1973.6251199999999</v>
      </c>
      <c r="BP848" t="s">
        <v>522</v>
      </c>
      <c r="BQ848">
        <v>1200</v>
      </c>
      <c r="BR848">
        <v>1000</v>
      </c>
      <c r="BS848">
        <v>1053</v>
      </c>
      <c r="BT848">
        <v>4</v>
      </c>
      <c r="BU848">
        <v>0</v>
      </c>
      <c r="BV848">
        <v>4</v>
      </c>
      <c r="BW848">
        <v>144</v>
      </c>
      <c r="BX848">
        <v>0</v>
      </c>
      <c r="BY848">
        <v>144</v>
      </c>
      <c r="BZ848">
        <v>4752</v>
      </c>
      <c r="CA848">
        <v>0</v>
      </c>
      <c r="CB848">
        <v>4752</v>
      </c>
      <c r="CC848">
        <v>1728.82512</v>
      </c>
      <c r="CD848" t="s">
        <v>856</v>
      </c>
      <c r="CE848" t="s">
        <v>857</v>
      </c>
      <c r="CG848" t="s">
        <v>421</v>
      </c>
      <c r="CN848" t="str">
        <v>M01</v>
      </c>
      <c r="CO848" t="str">
        <v>1999-1031492EN</v>
      </c>
      <c r="CP848" t="str">
        <v>TCKU7387607</v>
      </c>
      <c r="CQ848" s="23">
        <v>518.20000000000005</v>
      </c>
      <c r="CR848" s="25">
        <f t="shared" si="35"/>
        <v>6.9134645616527005E-2</v>
      </c>
      <c r="CS848" s="21">
        <f t="shared" si="36"/>
        <v>172.83661404131752</v>
      </c>
    </row>
    <row r="849" spans="2:97" x14ac:dyDescent="0.35">
      <c r="B849" t="s">
        <v>299</v>
      </c>
      <c r="C849" t="s">
        <v>2392</v>
      </c>
      <c r="D849" t="s">
        <v>395</v>
      </c>
      <c r="E849" t="s">
        <v>395</v>
      </c>
      <c r="F849" t="s">
        <v>396</v>
      </c>
      <c r="G849" t="s">
        <v>397</v>
      </c>
      <c r="H849" t="s">
        <v>398</v>
      </c>
      <c r="I849" t="s">
        <v>399</v>
      </c>
      <c r="J849" t="s">
        <v>749</v>
      </c>
      <c r="K849" t="s">
        <v>845</v>
      </c>
      <c r="L849" t="s">
        <v>787</v>
      </c>
      <c r="M849" t="s">
        <v>403</v>
      </c>
      <c r="N849">
        <v>1</v>
      </c>
      <c r="O849">
        <v>2</v>
      </c>
      <c r="P849" t="s">
        <v>1058</v>
      </c>
      <c r="Q849" t="s">
        <v>430</v>
      </c>
      <c r="R849" t="s">
        <v>847</v>
      </c>
      <c r="S849" t="s">
        <v>1059</v>
      </c>
      <c r="T849" t="s">
        <v>408</v>
      </c>
      <c r="U849">
        <v>50950081282</v>
      </c>
      <c r="W849">
        <v>4860</v>
      </c>
      <c r="X849" t="s">
        <v>409</v>
      </c>
      <c r="Y849" t="s">
        <v>410</v>
      </c>
      <c r="Z849" t="s">
        <v>410</v>
      </c>
      <c r="AA849" t="s">
        <v>411</v>
      </c>
      <c r="AB849" t="s">
        <v>554</v>
      </c>
      <c r="AC849" t="s">
        <v>411</v>
      </c>
      <c r="AD849">
        <v>46109</v>
      </c>
      <c r="AE849">
        <v>46167</v>
      </c>
      <c r="AF849">
        <v>46120</v>
      </c>
      <c r="AG849" t="s">
        <v>754</v>
      </c>
      <c r="AH849">
        <v>6172208</v>
      </c>
      <c r="AI849">
        <v>46114</v>
      </c>
      <c r="AJ849">
        <v>46115</v>
      </c>
      <c r="AK849">
        <v>4860</v>
      </c>
      <c r="AL849" t="s">
        <v>396</v>
      </c>
      <c r="AM849" t="s">
        <v>2768</v>
      </c>
      <c r="AN849">
        <v>46115</v>
      </c>
      <c r="AO849">
        <v>46115.395891203705</v>
      </c>
      <c r="AP849" t="s">
        <v>51</v>
      </c>
      <c r="AQ849">
        <v>1.3774200000000001</v>
      </c>
      <c r="AR849">
        <v>6694.26</v>
      </c>
      <c r="AS849" t="s">
        <v>51</v>
      </c>
      <c r="AT849">
        <v>6694.26</v>
      </c>
      <c r="AU849" t="s">
        <v>415</v>
      </c>
      <c r="AV849" t="s">
        <v>1420</v>
      </c>
      <c r="AW849" t="s">
        <v>2598</v>
      </c>
      <c r="AX849">
        <v>46120</v>
      </c>
      <c r="AY849">
        <v>46169</v>
      </c>
      <c r="AZ849" t="s">
        <v>2745</v>
      </c>
      <c r="BA849" t="s">
        <v>560</v>
      </c>
      <c r="BB849" t="s">
        <v>2746</v>
      </c>
      <c r="BC849">
        <v>27</v>
      </c>
      <c r="BD849" t="s">
        <v>521</v>
      </c>
      <c r="BE849">
        <v>13.9528</v>
      </c>
      <c r="BF849">
        <v>12.7248</v>
      </c>
      <c r="BG849" t="s">
        <v>522</v>
      </c>
      <c r="BH849">
        <v>495</v>
      </c>
      <c r="BI849">
        <v>395</v>
      </c>
      <c r="BJ849">
        <v>170</v>
      </c>
      <c r="BK849">
        <v>30</v>
      </c>
      <c r="BL849" t="s">
        <v>521</v>
      </c>
      <c r="BM849">
        <v>445.584</v>
      </c>
      <c r="BN849">
        <v>381.74400000000003</v>
      </c>
      <c r="BO849">
        <v>2673.5093999999999</v>
      </c>
      <c r="BP849" t="s">
        <v>522</v>
      </c>
      <c r="BQ849">
        <v>1200</v>
      </c>
      <c r="BR849">
        <v>1000</v>
      </c>
      <c r="BS849">
        <v>1000</v>
      </c>
      <c r="BT849">
        <v>6</v>
      </c>
      <c r="BU849">
        <v>0</v>
      </c>
      <c r="BV849">
        <v>6</v>
      </c>
      <c r="BW849">
        <v>180</v>
      </c>
      <c r="BX849">
        <v>0</v>
      </c>
      <c r="BY849">
        <v>180</v>
      </c>
      <c r="BZ849">
        <v>4860</v>
      </c>
      <c r="CA849">
        <v>0</v>
      </c>
      <c r="CB849">
        <v>4860</v>
      </c>
      <c r="CC849">
        <v>2290.4694</v>
      </c>
      <c r="CD849" t="s">
        <v>850</v>
      </c>
      <c r="CE849" t="s">
        <v>851</v>
      </c>
      <c r="CG849" t="s">
        <v>421</v>
      </c>
      <c r="CN849" t="str">
        <v>M01</v>
      </c>
      <c r="CO849" t="str">
        <v>1999-1031491EN</v>
      </c>
      <c r="CP849" t="str">
        <v>TCKU7387607</v>
      </c>
      <c r="CQ849" s="23">
        <v>518.20000000000005</v>
      </c>
      <c r="CR849" s="25">
        <f t="shared" si="35"/>
        <v>6.9134645616527005E-2</v>
      </c>
      <c r="CS849" s="21">
        <f t="shared" si="36"/>
        <v>172.83661404131752</v>
      </c>
    </row>
    <row r="850" spans="2:97" x14ac:dyDescent="0.35">
      <c r="B850" t="s">
        <v>299</v>
      </c>
      <c r="C850" t="s">
        <v>2394</v>
      </c>
      <c r="D850" t="s">
        <v>395</v>
      </c>
      <c r="E850" t="s">
        <v>395</v>
      </c>
      <c r="F850" t="s">
        <v>396</v>
      </c>
      <c r="G850" t="s">
        <v>397</v>
      </c>
      <c r="H850" t="s">
        <v>398</v>
      </c>
      <c r="I850" t="s">
        <v>399</v>
      </c>
      <c r="J850" t="s">
        <v>749</v>
      </c>
      <c r="K850" t="s">
        <v>809</v>
      </c>
      <c r="L850" t="s">
        <v>787</v>
      </c>
      <c r="M850" t="s">
        <v>403</v>
      </c>
      <c r="N850">
        <v>1</v>
      </c>
      <c r="O850">
        <v>6</v>
      </c>
      <c r="P850" t="s">
        <v>818</v>
      </c>
      <c r="Q850" t="s">
        <v>430</v>
      </c>
      <c r="R850" t="s">
        <v>811</v>
      </c>
      <c r="S850" t="s">
        <v>819</v>
      </c>
      <c r="T850" t="s">
        <v>408</v>
      </c>
      <c r="U850">
        <v>50950081244</v>
      </c>
      <c r="W850">
        <v>7200</v>
      </c>
      <c r="X850" t="s">
        <v>409</v>
      </c>
      <c r="Y850" t="s">
        <v>410</v>
      </c>
      <c r="Z850" t="s">
        <v>410</v>
      </c>
      <c r="AA850" t="s">
        <v>411</v>
      </c>
      <c r="AB850" t="s">
        <v>554</v>
      </c>
      <c r="AC850" t="s">
        <v>411</v>
      </c>
      <c r="AD850">
        <v>46119</v>
      </c>
      <c r="AE850">
        <v>46167</v>
      </c>
      <c r="AF850">
        <v>46120</v>
      </c>
      <c r="AG850" t="s">
        <v>754</v>
      </c>
      <c r="AH850">
        <v>6172209</v>
      </c>
      <c r="AI850">
        <v>46114</v>
      </c>
      <c r="AJ850">
        <v>46115</v>
      </c>
      <c r="AK850">
        <v>7200</v>
      </c>
      <c r="AL850" t="s">
        <v>396</v>
      </c>
      <c r="AM850" t="s">
        <v>2769</v>
      </c>
      <c r="AN850">
        <v>46115</v>
      </c>
      <c r="AO850">
        <v>46115.395891203705</v>
      </c>
      <c r="AP850" t="s">
        <v>51</v>
      </c>
      <c r="AQ850">
        <v>1.27105</v>
      </c>
      <c r="AR850">
        <v>9151.5499999999993</v>
      </c>
      <c r="AS850" t="s">
        <v>51</v>
      </c>
      <c r="AT850">
        <v>9151.5499999999993</v>
      </c>
      <c r="AU850" t="s">
        <v>415</v>
      </c>
      <c r="AV850" t="s">
        <v>1420</v>
      </c>
      <c r="AW850" t="s">
        <v>2598</v>
      </c>
      <c r="AX850">
        <v>46120</v>
      </c>
      <c r="AY850">
        <v>46169</v>
      </c>
      <c r="AZ850" t="s">
        <v>2745</v>
      </c>
      <c r="BA850" t="s">
        <v>560</v>
      </c>
      <c r="BB850" t="s">
        <v>2746</v>
      </c>
      <c r="BC850">
        <v>48</v>
      </c>
      <c r="BD850" t="s">
        <v>521</v>
      </c>
      <c r="BE850">
        <v>7.6898999999999997</v>
      </c>
      <c r="BF850">
        <v>6.2298999999999998</v>
      </c>
      <c r="BG850" t="s">
        <v>522</v>
      </c>
      <c r="BH850">
        <v>495</v>
      </c>
      <c r="BI850">
        <v>395</v>
      </c>
      <c r="BJ850">
        <v>190</v>
      </c>
      <c r="BK850">
        <v>30</v>
      </c>
      <c r="BL850" t="s">
        <v>521</v>
      </c>
      <c r="BM850">
        <v>257.697</v>
      </c>
      <c r="BN850">
        <v>186.89699999999999</v>
      </c>
      <c r="BO850">
        <v>1288.4880000000001</v>
      </c>
      <c r="BP850" t="s">
        <v>522</v>
      </c>
      <c r="BQ850">
        <v>1200</v>
      </c>
      <c r="BR850">
        <v>1000</v>
      </c>
      <c r="BS850">
        <v>1120</v>
      </c>
      <c r="BT850">
        <v>5</v>
      </c>
      <c r="BU850">
        <v>0</v>
      </c>
      <c r="BV850">
        <v>5</v>
      </c>
      <c r="BW850">
        <v>150</v>
      </c>
      <c r="BX850">
        <v>0</v>
      </c>
      <c r="BY850">
        <v>150</v>
      </c>
      <c r="BZ850">
        <v>7200</v>
      </c>
      <c r="CA850">
        <v>0</v>
      </c>
      <c r="CB850">
        <v>7200</v>
      </c>
      <c r="CC850">
        <v>934.48800000000006</v>
      </c>
      <c r="CD850" t="s">
        <v>806</v>
      </c>
      <c r="CE850" t="s">
        <v>821</v>
      </c>
      <c r="CG850" t="s">
        <v>421</v>
      </c>
      <c r="CN850" t="str">
        <v>M01</v>
      </c>
      <c r="CO850" t="str">
        <v>1999-1031497EN</v>
      </c>
      <c r="CP850" t="str">
        <v>TCKU7387607</v>
      </c>
      <c r="CQ850" s="23">
        <v>520.79999999999995</v>
      </c>
      <c r="CR850" s="25">
        <f t="shared" si="35"/>
        <v>6.9481519562113583E-2</v>
      </c>
      <c r="CS850" s="21">
        <f t="shared" si="36"/>
        <v>173.70379890528395</v>
      </c>
    </row>
    <row r="851" spans="2:97" x14ac:dyDescent="0.35">
      <c r="B851" t="s">
        <v>3497</v>
      </c>
      <c r="C851" t="s">
        <v>2770</v>
      </c>
      <c r="D851" t="s">
        <v>395</v>
      </c>
      <c r="E851" t="s">
        <v>395</v>
      </c>
      <c r="F851" t="s">
        <v>396</v>
      </c>
      <c r="G851" t="s">
        <v>397</v>
      </c>
      <c r="H851" t="s">
        <v>398</v>
      </c>
      <c r="I851" t="s">
        <v>399</v>
      </c>
      <c r="J851" t="s">
        <v>749</v>
      </c>
      <c r="K851" t="s">
        <v>515</v>
      </c>
      <c r="L851" t="s">
        <v>787</v>
      </c>
      <c r="M851" t="s">
        <v>403</v>
      </c>
      <c r="N851">
        <v>1</v>
      </c>
      <c r="O851">
        <v>1</v>
      </c>
      <c r="P851" t="s">
        <v>2166</v>
      </c>
      <c r="Q851" t="s">
        <v>424</v>
      </c>
      <c r="R851" t="s">
        <v>616</v>
      </c>
      <c r="S851" t="s">
        <v>1540</v>
      </c>
      <c r="T851" t="s">
        <v>408</v>
      </c>
      <c r="U851">
        <v>50950081210</v>
      </c>
      <c r="W851">
        <v>15000</v>
      </c>
      <c r="X851" t="s">
        <v>409</v>
      </c>
      <c r="Y851" t="s">
        <v>410</v>
      </c>
      <c r="Z851" t="s">
        <v>410</v>
      </c>
      <c r="AA851" t="s">
        <v>411</v>
      </c>
      <c r="AB851" t="s">
        <v>554</v>
      </c>
      <c r="AC851" t="s">
        <v>411</v>
      </c>
      <c r="AD851">
        <v>46109</v>
      </c>
      <c r="AE851">
        <v>46167</v>
      </c>
      <c r="AF851">
        <v>46120</v>
      </c>
      <c r="AG851" t="s">
        <v>754</v>
      </c>
      <c r="AH851">
        <v>6172210</v>
      </c>
      <c r="AI851">
        <v>46114</v>
      </c>
      <c r="AJ851">
        <v>46115</v>
      </c>
      <c r="AK851">
        <v>15000</v>
      </c>
      <c r="AL851" t="s">
        <v>396</v>
      </c>
      <c r="AM851" t="s">
        <v>2771</v>
      </c>
      <c r="AN851">
        <v>46115</v>
      </c>
      <c r="AO851">
        <v>46115.395891203705</v>
      </c>
      <c r="AP851" t="s">
        <v>51</v>
      </c>
      <c r="AQ851">
        <v>3.3079999999999998E-2</v>
      </c>
      <c r="AR851">
        <v>496.2</v>
      </c>
      <c r="AS851" t="s">
        <v>51</v>
      </c>
      <c r="AT851">
        <v>496.2</v>
      </c>
      <c r="AU851" t="s">
        <v>415</v>
      </c>
      <c r="AV851" t="s">
        <v>1420</v>
      </c>
      <c r="AW851" t="s">
        <v>2598</v>
      </c>
      <c r="AX851">
        <v>46120</v>
      </c>
      <c r="AY851">
        <v>46169</v>
      </c>
      <c r="AZ851" t="s">
        <v>2745</v>
      </c>
      <c r="BA851" t="s">
        <v>560</v>
      </c>
      <c r="BB851" t="s">
        <v>2746</v>
      </c>
      <c r="BC851">
        <v>5000</v>
      </c>
      <c r="BD851" t="s">
        <v>521</v>
      </c>
      <c r="BE851">
        <v>13.625</v>
      </c>
      <c r="BF851">
        <v>11.795</v>
      </c>
      <c r="BG851" t="s">
        <v>522</v>
      </c>
      <c r="BH851">
        <v>395</v>
      </c>
      <c r="BI851">
        <v>295</v>
      </c>
      <c r="BJ851">
        <v>210</v>
      </c>
      <c r="BK851">
        <v>6</v>
      </c>
      <c r="BL851" t="s">
        <v>521</v>
      </c>
      <c r="BM851">
        <v>48.875</v>
      </c>
      <c r="BN851">
        <v>35.384999999999998</v>
      </c>
      <c r="BO851">
        <v>48.875</v>
      </c>
      <c r="BP851" t="s">
        <v>522</v>
      </c>
      <c r="BQ851">
        <v>800</v>
      </c>
      <c r="BR851">
        <v>300</v>
      </c>
      <c r="BS851">
        <v>790</v>
      </c>
      <c r="BT851">
        <v>0</v>
      </c>
      <c r="BU851">
        <v>1</v>
      </c>
      <c r="BV851">
        <v>1</v>
      </c>
      <c r="BW851">
        <v>3</v>
      </c>
      <c r="BX851">
        <v>0</v>
      </c>
      <c r="BY851">
        <v>3</v>
      </c>
      <c r="BZ851">
        <v>0</v>
      </c>
      <c r="CA851">
        <v>15000</v>
      </c>
      <c r="CB851">
        <v>15000</v>
      </c>
      <c r="CC851">
        <v>35.384999999999998</v>
      </c>
      <c r="CD851" t="s">
        <v>626</v>
      </c>
      <c r="CE851" t="s">
        <v>2168</v>
      </c>
      <c r="CG851" t="s">
        <v>421</v>
      </c>
      <c r="CN851" t="str">
        <v>M01</v>
      </c>
      <c r="CO851" t="str">
        <v>1200-1030990EN0002</v>
      </c>
      <c r="CP851" t="str">
        <v>TCKU7387607</v>
      </c>
      <c r="CQ851" s="23">
        <v>576.17280000000005</v>
      </c>
      <c r="CR851" s="25">
        <f t="shared" si="35"/>
        <v>7.6868974029104767E-2</v>
      </c>
      <c r="CS851" s="21">
        <f t="shared" si="36"/>
        <v>192.17243507276191</v>
      </c>
    </row>
    <row r="852" spans="2:97" x14ac:dyDescent="0.35">
      <c r="B852" t="s">
        <v>3497</v>
      </c>
      <c r="C852" t="s">
        <v>2772</v>
      </c>
      <c r="D852" t="s">
        <v>395</v>
      </c>
      <c r="E852" t="s">
        <v>395</v>
      </c>
      <c r="F852" t="s">
        <v>396</v>
      </c>
      <c r="G852" t="s">
        <v>397</v>
      </c>
      <c r="H852" t="s">
        <v>398</v>
      </c>
      <c r="I852" t="s">
        <v>399</v>
      </c>
      <c r="J852" t="s">
        <v>749</v>
      </c>
      <c r="K852" t="s">
        <v>515</v>
      </c>
      <c r="L852" t="s">
        <v>787</v>
      </c>
      <c r="M852" t="s">
        <v>403</v>
      </c>
      <c r="N852">
        <v>1</v>
      </c>
      <c r="O852">
        <v>1</v>
      </c>
      <c r="P852" t="s">
        <v>1549</v>
      </c>
      <c r="Q852" t="s">
        <v>637</v>
      </c>
      <c r="R852" t="s">
        <v>616</v>
      </c>
      <c r="S852" t="s">
        <v>1540</v>
      </c>
      <c r="T852" t="s">
        <v>408</v>
      </c>
      <c r="U852">
        <v>50950081211</v>
      </c>
      <c r="W852">
        <v>15000</v>
      </c>
      <c r="X852" t="s">
        <v>409</v>
      </c>
      <c r="Y852" t="s">
        <v>410</v>
      </c>
      <c r="Z852" t="s">
        <v>410</v>
      </c>
      <c r="AA852" t="s">
        <v>411</v>
      </c>
      <c r="AB852" t="s">
        <v>554</v>
      </c>
      <c r="AC852" t="s">
        <v>411</v>
      </c>
      <c r="AD852">
        <v>46109</v>
      </c>
      <c r="AE852">
        <v>46167</v>
      </c>
      <c r="AF852">
        <v>46120</v>
      </c>
      <c r="AG852" t="s">
        <v>754</v>
      </c>
      <c r="AH852">
        <v>6172211</v>
      </c>
      <c r="AI852">
        <v>46114</v>
      </c>
      <c r="AJ852">
        <v>46115</v>
      </c>
      <c r="AK852">
        <v>15000</v>
      </c>
      <c r="AL852" t="s">
        <v>396</v>
      </c>
      <c r="AM852" t="s">
        <v>2773</v>
      </c>
      <c r="AN852">
        <v>46115</v>
      </c>
      <c r="AO852">
        <v>46115.395891203705</v>
      </c>
      <c r="AP852" t="s">
        <v>51</v>
      </c>
      <c r="AQ852">
        <v>3.5810000000000002E-2</v>
      </c>
      <c r="AR852">
        <v>537.15</v>
      </c>
      <c r="AS852" t="s">
        <v>51</v>
      </c>
      <c r="AT852">
        <v>537.15</v>
      </c>
      <c r="AU852" t="s">
        <v>415</v>
      </c>
      <c r="AV852" t="s">
        <v>1420</v>
      </c>
      <c r="AW852" t="s">
        <v>2598</v>
      </c>
      <c r="AX852">
        <v>46120</v>
      </c>
      <c r="AY852">
        <v>46169</v>
      </c>
      <c r="AZ852" t="s">
        <v>2745</v>
      </c>
      <c r="BA852" t="s">
        <v>560</v>
      </c>
      <c r="BB852" t="s">
        <v>2746</v>
      </c>
      <c r="BC852">
        <v>2000</v>
      </c>
      <c r="BD852" t="s">
        <v>521</v>
      </c>
      <c r="BE852">
        <v>8.0278500000000008</v>
      </c>
      <c r="BF852">
        <v>7.0940000000000003</v>
      </c>
      <c r="BG852" t="s">
        <v>522</v>
      </c>
      <c r="BH852">
        <v>398</v>
      </c>
      <c r="BI852">
        <v>298</v>
      </c>
      <c r="BJ852">
        <v>155</v>
      </c>
      <c r="BK852">
        <v>6</v>
      </c>
      <c r="BL852" t="s">
        <v>521</v>
      </c>
      <c r="BM852">
        <v>56.167099999999998</v>
      </c>
      <c r="BN852">
        <v>42.564</v>
      </c>
      <c r="BO852">
        <v>76.675799999999995</v>
      </c>
      <c r="BP852" t="s">
        <v>522</v>
      </c>
      <c r="BQ852">
        <v>800</v>
      </c>
      <c r="BR852">
        <v>300</v>
      </c>
      <c r="BS852">
        <v>608</v>
      </c>
      <c r="BT852">
        <v>1</v>
      </c>
      <c r="BU852">
        <v>1</v>
      </c>
      <c r="BV852">
        <v>2</v>
      </c>
      <c r="BW852">
        <v>7</v>
      </c>
      <c r="BX852">
        <v>1</v>
      </c>
      <c r="BY852">
        <v>8</v>
      </c>
      <c r="BZ852">
        <v>12000</v>
      </c>
      <c r="CA852">
        <v>3000</v>
      </c>
      <c r="CB852">
        <v>15000</v>
      </c>
      <c r="CC852">
        <v>53.204999999999998</v>
      </c>
      <c r="CD852" t="s">
        <v>523</v>
      </c>
      <c r="CE852" t="s">
        <v>981</v>
      </c>
      <c r="CG852" t="s">
        <v>421</v>
      </c>
      <c r="CN852" t="str">
        <v>M19</v>
      </c>
      <c r="CO852" t="str">
        <v>1275-5YY0566EN</v>
      </c>
      <c r="CP852" t="str">
        <v>TCKU7387607</v>
      </c>
      <c r="CQ852" s="23">
        <v>432.71199999999999</v>
      </c>
      <c r="CR852" s="25">
        <f t="shared" si="35"/>
        <v>5.7729430285639961E-2</v>
      </c>
      <c r="CS852" s="21">
        <f t="shared" si="36"/>
        <v>144.32357571409992</v>
      </c>
    </row>
    <row r="853" spans="2:97" x14ac:dyDescent="0.35">
      <c r="B853" t="s">
        <v>299</v>
      </c>
      <c r="C853" t="s">
        <v>2774</v>
      </c>
      <c r="D853" t="s">
        <v>395</v>
      </c>
      <c r="E853" t="s">
        <v>395</v>
      </c>
      <c r="F853" t="s">
        <v>396</v>
      </c>
      <c r="G853" t="s">
        <v>397</v>
      </c>
      <c r="H853" t="s">
        <v>398</v>
      </c>
      <c r="I853" t="s">
        <v>399</v>
      </c>
      <c r="J853" t="s">
        <v>749</v>
      </c>
      <c r="K853" t="s">
        <v>809</v>
      </c>
      <c r="L853" t="s">
        <v>787</v>
      </c>
      <c r="M853" t="s">
        <v>403</v>
      </c>
      <c r="N853">
        <v>1</v>
      </c>
      <c r="O853">
        <v>1</v>
      </c>
      <c r="P853" t="s">
        <v>1138</v>
      </c>
      <c r="Q853" t="s">
        <v>943</v>
      </c>
      <c r="R853" t="s">
        <v>811</v>
      </c>
      <c r="S853" t="s">
        <v>1139</v>
      </c>
      <c r="T853" t="s">
        <v>408</v>
      </c>
      <c r="U853">
        <v>50950081212</v>
      </c>
      <c r="W853">
        <v>6720</v>
      </c>
      <c r="X853" t="s">
        <v>409</v>
      </c>
      <c r="Y853" t="s">
        <v>410</v>
      </c>
      <c r="Z853" t="s">
        <v>410</v>
      </c>
      <c r="AA853" t="s">
        <v>411</v>
      </c>
      <c r="AB853" t="s">
        <v>554</v>
      </c>
      <c r="AC853" t="s">
        <v>411</v>
      </c>
      <c r="AD853">
        <v>46125</v>
      </c>
      <c r="AE853">
        <v>46174</v>
      </c>
      <c r="AF853">
        <v>46120</v>
      </c>
      <c r="AG853" t="s">
        <v>754</v>
      </c>
      <c r="AH853">
        <v>6172212</v>
      </c>
      <c r="AI853">
        <v>46114</v>
      </c>
      <c r="AJ853">
        <v>46115</v>
      </c>
      <c r="AK853">
        <v>6720</v>
      </c>
      <c r="AL853" t="s">
        <v>396</v>
      </c>
      <c r="AM853" t="s">
        <v>2775</v>
      </c>
      <c r="AN853">
        <v>46115</v>
      </c>
      <c r="AO853">
        <v>46115.395891203705</v>
      </c>
      <c r="AP853" t="s">
        <v>51</v>
      </c>
      <c r="AQ853">
        <v>1.5686</v>
      </c>
      <c r="AR853">
        <v>10541.02</v>
      </c>
      <c r="AS853" t="s">
        <v>51</v>
      </c>
      <c r="AT853">
        <v>10541.02</v>
      </c>
      <c r="AU853" t="s">
        <v>415</v>
      </c>
      <c r="AV853" t="s">
        <v>1420</v>
      </c>
      <c r="AW853" t="s">
        <v>2598</v>
      </c>
      <c r="AX853">
        <v>46120</v>
      </c>
      <c r="AY853">
        <v>46169</v>
      </c>
      <c r="AZ853" t="s">
        <v>2745</v>
      </c>
      <c r="BA853" t="s">
        <v>560</v>
      </c>
      <c r="BB853" t="s">
        <v>2746</v>
      </c>
      <c r="BC853">
        <v>16</v>
      </c>
      <c r="BD853" t="s">
        <v>521</v>
      </c>
      <c r="BE853">
        <v>4.0369000000000002</v>
      </c>
      <c r="BF853">
        <v>2.8378999999999999</v>
      </c>
      <c r="BG853" t="s">
        <v>522</v>
      </c>
      <c r="BH853">
        <v>495</v>
      </c>
      <c r="BI853">
        <v>395</v>
      </c>
      <c r="BJ853">
        <v>190</v>
      </c>
      <c r="BK853">
        <v>30</v>
      </c>
      <c r="BL853" t="s">
        <v>521</v>
      </c>
      <c r="BM853">
        <v>148.107</v>
      </c>
      <c r="BN853">
        <v>85.137</v>
      </c>
      <c r="BO853">
        <v>2073.4795199999999</v>
      </c>
      <c r="BP853" t="s">
        <v>522</v>
      </c>
      <c r="BQ853">
        <v>1200</v>
      </c>
      <c r="BR853">
        <v>1000</v>
      </c>
      <c r="BS853">
        <v>1120</v>
      </c>
      <c r="BT853">
        <v>14</v>
      </c>
      <c r="BU853">
        <v>0</v>
      </c>
      <c r="BV853">
        <v>14</v>
      </c>
      <c r="BW853">
        <v>420</v>
      </c>
      <c r="BX853">
        <v>0</v>
      </c>
      <c r="BY853">
        <v>420</v>
      </c>
      <c r="BZ853">
        <v>6720</v>
      </c>
      <c r="CA853">
        <v>0</v>
      </c>
      <c r="CB853">
        <v>6720</v>
      </c>
      <c r="CC853">
        <v>1191.8995199999999</v>
      </c>
      <c r="CD853" t="s">
        <v>806</v>
      </c>
      <c r="CE853" t="s">
        <v>816</v>
      </c>
      <c r="CG853" t="s">
        <v>421</v>
      </c>
      <c r="CN853" t="str">
        <v>M19</v>
      </c>
      <c r="CO853" t="str">
        <v>1275-5YY0352EN</v>
      </c>
      <c r="CP853" t="str">
        <v>TCKU7387607</v>
      </c>
      <c r="CQ853" s="23">
        <v>794.02499999999998</v>
      </c>
      <c r="CR853" s="25">
        <f t="shared" si="35"/>
        <v>0.10593330178630422</v>
      </c>
      <c r="CS853" s="21">
        <f t="shared" si="36"/>
        <v>264.83325446576055</v>
      </c>
    </row>
    <row r="854" spans="2:97" x14ac:dyDescent="0.35">
      <c r="B854" t="s">
        <v>298</v>
      </c>
      <c r="C854" t="s">
        <v>2776</v>
      </c>
      <c r="D854" t="s">
        <v>395</v>
      </c>
      <c r="E854" t="s">
        <v>395</v>
      </c>
      <c r="F854" t="s">
        <v>396</v>
      </c>
      <c r="G854" t="s">
        <v>397</v>
      </c>
      <c r="H854" t="s">
        <v>398</v>
      </c>
      <c r="I854" t="s">
        <v>399</v>
      </c>
      <c r="J854" t="s">
        <v>749</v>
      </c>
      <c r="K854" t="s">
        <v>629</v>
      </c>
      <c r="L854" t="s">
        <v>787</v>
      </c>
      <c r="M854" t="s">
        <v>403</v>
      </c>
      <c r="N854">
        <v>1</v>
      </c>
      <c r="O854">
        <v>1</v>
      </c>
      <c r="P854" t="s">
        <v>2199</v>
      </c>
      <c r="Q854" t="s">
        <v>430</v>
      </c>
      <c r="R854" t="s">
        <v>2200</v>
      </c>
      <c r="S854" t="s">
        <v>494</v>
      </c>
      <c r="T854" t="s">
        <v>408</v>
      </c>
      <c r="U854">
        <v>50950081670</v>
      </c>
      <c r="W854">
        <v>8000</v>
      </c>
      <c r="X854" t="s">
        <v>409</v>
      </c>
      <c r="Y854" t="s">
        <v>410</v>
      </c>
      <c r="Z854" t="s">
        <v>410</v>
      </c>
      <c r="AA854" t="s">
        <v>411</v>
      </c>
      <c r="AB854" t="s">
        <v>554</v>
      </c>
      <c r="AC854" t="s">
        <v>411</v>
      </c>
      <c r="AD854">
        <v>46109</v>
      </c>
      <c r="AE854">
        <v>46167</v>
      </c>
      <c r="AF854">
        <v>46120</v>
      </c>
      <c r="AG854" t="s">
        <v>754</v>
      </c>
      <c r="AH854">
        <v>6172213</v>
      </c>
      <c r="AI854">
        <v>46114</v>
      </c>
      <c r="AJ854">
        <v>46115</v>
      </c>
      <c r="AK854">
        <v>8000</v>
      </c>
      <c r="AL854" t="s">
        <v>396</v>
      </c>
      <c r="AM854" t="s">
        <v>2777</v>
      </c>
      <c r="AN854">
        <v>46115</v>
      </c>
      <c r="AO854">
        <v>46115.395891203705</v>
      </c>
      <c r="AP854" t="s">
        <v>51</v>
      </c>
      <c r="AQ854">
        <v>3.6589999999999998E-2</v>
      </c>
      <c r="AR854">
        <v>292.72000000000003</v>
      </c>
      <c r="AS854" t="s">
        <v>51</v>
      </c>
      <c r="AT854">
        <v>292.72000000000003</v>
      </c>
      <c r="AU854" t="s">
        <v>415</v>
      </c>
      <c r="AV854" t="s">
        <v>1420</v>
      </c>
      <c r="AW854" t="s">
        <v>2598</v>
      </c>
      <c r="AX854">
        <v>46120</v>
      </c>
      <c r="AY854">
        <v>46169</v>
      </c>
      <c r="AZ854" t="s">
        <v>2745</v>
      </c>
      <c r="BA854" t="s">
        <v>560</v>
      </c>
      <c r="BB854" t="s">
        <v>2746</v>
      </c>
      <c r="BC854">
        <v>4000</v>
      </c>
      <c r="BD854" t="s">
        <v>521</v>
      </c>
      <c r="BE854">
        <v>3.351</v>
      </c>
      <c r="BF854">
        <v>2.6720000000000002</v>
      </c>
      <c r="BG854" t="s">
        <v>522</v>
      </c>
      <c r="BH854">
        <v>395</v>
      </c>
      <c r="BI854">
        <v>295</v>
      </c>
      <c r="BJ854">
        <v>174</v>
      </c>
      <c r="BK854">
        <v>40</v>
      </c>
      <c r="BL854" t="s">
        <v>521</v>
      </c>
      <c r="BM854">
        <v>31.702000000000002</v>
      </c>
      <c r="BN854">
        <v>5.3440000000000003</v>
      </c>
      <c r="BO854">
        <v>31.702000000000002</v>
      </c>
      <c r="BP854" t="s">
        <v>522</v>
      </c>
      <c r="BQ854">
        <v>1200</v>
      </c>
      <c r="BR854">
        <v>800</v>
      </c>
      <c r="BS854">
        <v>1030</v>
      </c>
      <c r="BT854">
        <v>0</v>
      </c>
      <c r="BU854">
        <v>1</v>
      </c>
      <c r="BV854">
        <v>1</v>
      </c>
      <c r="BW854">
        <v>2</v>
      </c>
      <c r="BX854">
        <v>0</v>
      </c>
      <c r="BY854">
        <v>2</v>
      </c>
      <c r="BZ854">
        <v>0</v>
      </c>
      <c r="CA854">
        <v>8000</v>
      </c>
      <c r="CB854">
        <v>8000</v>
      </c>
      <c r="CC854">
        <v>5.3440000000000003</v>
      </c>
      <c r="CD854" t="s">
        <v>783</v>
      </c>
      <c r="CE854" t="s">
        <v>1006</v>
      </c>
      <c r="CG854" t="s">
        <v>421</v>
      </c>
      <c r="CN854" t="str">
        <v>M19</v>
      </c>
      <c r="CO854" t="str">
        <v>1275-5YY0685EN</v>
      </c>
      <c r="CP854" t="str">
        <v>TCKU7387607</v>
      </c>
      <c r="CQ854" s="23">
        <v>728.05600000000004</v>
      </c>
      <c r="CR854" s="25">
        <f t="shared" si="35"/>
        <v>9.7132175895380521E-2</v>
      </c>
      <c r="CS854" s="21">
        <f t="shared" si="36"/>
        <v>242.8304397384513</v>
      </c>
    </row>
    <row r="855" spans="2:97" x14ac:dyDescent="0.35">
      <c r="B855" t="s">
        <v>297</v>
      </c>
      <c r="C855" t="s">
        <v>2778</v>
      </c>
      <c r="D855" t="s">
        <v>395</v>
      </c>
      <c r="E855" t="s">
        <v>395</v>
      </c>
      <c r="F855" t="s">
        <v>396</v>
      </c>
      <c r="G855" t="s">
        <v>397</v>
      </c>
      <c r="H855" t="s">
        <v>398</v>
      </c>
      <c r="I855" t="s">
        <v>399</v>
      </c>
      <c r="J855" t="s">
        <v>749</v>
      </c>
      <c r="K855" t="s">
        <v>515</v>
      </c>
      <c r="L855" t="s">
        <v>787</v>
      </c>
      <c r="M855" t="s">
        <v>403</v>
      </c>
      <c r="N855">
        <v>1</v>
      </c>
      <c r="O855">
        <v>1</v>
      </c>
      <c r="P855" t="s">
        <v>1527</v>
      </c>
      <c r="Q855" t="s">
        <v>405</v>
      </c>
      <c r="R855" t="s">
        <v>1528</v>
      </c>
      <c r="S855" t="s">
        <v>1529</v>
      </c>
      <c r="T855" t="s">
        <v>408</v>
      </c>
      <c r="U855">
        <v>50950081684</v>
      </c>
      <c r="W855">
        <v>160000</v>
      </c>
      <c r="X855" t="s">
        <v>409</v>
      </c>
      <c r="Y855" t="s">
        <v>410</v>
      </c>
      <c r="Z855" t="s">
        <v>410</v>
      </c>
      <c r="AA855" t="s">
        <v>411</v>
      </c>
      <c r="AB855" t="s">
        <v>554</v>
      </c>
      <c r="AC855" t="s">
        <v>411</v>
      </c>
      <c r="AD855">
        <v>46109</v>
      </c>
      <c r="AE855">
        <v>46181</v>
      </c>
      <c r="AF855">
        <v>46120</v>
      </c>
      <c r="AG855" t="s">
        <v>754</v>
      </c>
      <c r="AH855">
        <v>6172214</v>
      </c>
      <c r="AI855">
        <v>46114</v>
      </c>
      <c r="AJ855">
        <v>46115</v>
      </c>
      <c r="AK855">
        <v>160000</v>
      </c>
      <c r="AL855" t="s">
        <v>396</v>
      </c>
      <c r="AM855" t="s">
        <v>2779</v>
      </c>
      <c r="AN855">
        <v>46115</v>
      </c>
      <c r="AO855">
        <v>46115.395891203705</v>
      </c>
      <c r="AP855" t="s">
        <v>51</v>
      </c>
      <c r="AQ855">
        <v>1.5200000000000001E-3</v>
      </c>
      <c r="AR855">
        <v>243.2</v>
      </c>
      <c r="AS855" t="s">
        <v>51</v>
      </c>
      <c r="AT855">
        <v>243.2</v>
      </c>
      <c r="AU855" t="s">
        <v>415</v>
      </c>
      <c r="AV855" t="s">
        <v>1420</v>
      </c>
      <c r="AW855" t="s">
        <v>2598</v>
      </c>
      <c r="AX855">
        <v>46120</v>
      </c>
      <c r="AY855">
        <v>46169</v>
      </c>
      <c r="AZ855" t="s">
        <v>2745</v>
      </c>
      <c r="BA855" t="s">
        <v>560</v>
      </c>
      <c r="BB855" t="s">
        <v>2746</v>
      </c>
      <c r="BC855">
        <v>80000</v>
      </c>
      <c r="BD855" t="s">
        <v>521</v>
      </c>
      <c r="BE855">
        <v>4.8280000000000003</v>
      </c>
      <c r="BF855">
        <v>4.1280000000000001</v>
      </c>
      <c r="BG855" t="s">
        <v>522</v>
      </c>
      <c r="BH855">
        <v>398</v>
      </c>
      <c r="BI855">
        <v>375</v>
      </c>
      <c r="BJ855">
        <v>234</v>
      </c>
      <c r="BK855">
        <v>8</v>
      </c>
      <c r="BL855" t="s">
        <v>521</v>
      </c>
      <c r="BM855">
        <v>17.655999999999999</v>
      </c>
      <c r="BN855">
        <v>8.2560000000000002</v>
      </c>
      <c r="BO855">
        <v>17.655999999999999</v>
      </c>
      <c r="BP855" t="s">
        <v>522</v>
      </c>
      <c r="BQ855">
        <v>800</v>
      </c>
      <c r="BR855">
        <v>300</v>
      </c>
      <c r="BS855">
        <v>625</v>
      </c>
      <c r="BT855">
        <v>0</v>
      </c>
      <c r="BU855">
        <v>1</v>
      </c>
      <c r="BV855">
        <v>1</v>
      </c>
      <c r="BW855">
        <v>2</v>
      </c>
      <c r="BX855">
        <v>0</v>
      </c>
      <c r="BY855">
        <v>2</v>
      </c>
      <c r="BZ855">
        <v>0</v>
      </c>
      <c r="CA855">
        <v>160000</v>
      </c>
      <c r="CB855">
        <v>160000</v>
      </c>
      <c r="CC855">
        <v>8.2560000000000002</v>
      </c>
      <c r="CD855" t="s">
        <v>1346</v>
      </c>
      <c r="CE855" t="s">
        <v>1347</v>
      </c>
      <c r="CG855" t="s">
        <v>421</v>
      </c>
      <c r="CN855" t="str">
        <v>M45</v>
      </c>
      <c r="CO855" t="str">
        <v>1301-12B0010EN</v>
      </c>
      <c r="CP855" t="str">
        <v>TCKU7387607</v>
      </c>
      <c r="CQ855" s="23">
        <v>3407.35248</v>
      </c>
      <c r="CR855" s="25">
        <f t="shared" si="35"/>
        <v>0.4545853072084029</v>
      </c>
      <c r="CS855" s="21">
        <f t="shared" si="36"/>
        <v>1136.4632680210073</v>
      </c>
    </row>
    <row r="856" spans="2:97" x14ac:dyDescent="0.35">
      <c r="B856" t="s">
        <v>3497</v>
      </c>
      <c r="C856" t="s">
        <v>2780</v>
      </c>
      <c r="D856" t="s">
        <v>395</v>
      </c>
      <c r="E856" t="s">
        <v>395</v>
      </c>
      <c r="F856" t="s">
        <v>396</v>
      </c>
      <c r="G856" t="s">
        <v>397</v>
      </c>
      <c r="H856" t="s">
        <v>398</v>
      </c>
      <c r="I856" t="s">
        <v>399</v>
      </c>
      <c r="J856" t="s">
        <v>749</v>
      </c>
      <c r="K856" t="s">
        <v>515</v>
      </c>
      <c r="L856" t="s">
        <v>787</v>
      </c>
      <c r="M856" t="s">
        <v>403</v>
      </c>
      <c r="N856">
        <v>1</v>
      </c>
      <c r="O856">
        <v>1</v>
      </c>
      <c r="P856" t="s">
        <v>1016</v>
      </c>
      <c r="Q856" t="s">
        <v>424</v>
      </c>
      <c r="R856" t="s">
        <v>1017</v>
      </c>
      <c r="S856" t="s">
        <v>1018</v>
      </c>
      <c r="T856" t="s">
        <v>408</v>
      </c>
      <c r="U856">
        <v>50950081709</v>
      </c>
      <c r="W856">
        <v>96000</v>
      </c>
      <c r="X856" t="s">
        <v>409</v>
      </c>
      <c r="Y856" t="s">
        <v>410</v>
      </c>
      <c r="Z856" t="s">
        <v>410</v>
      </c>
      <c r="AA856" t="s">
        <v>411</v>
      </c>
      <c r="AB856" t="s">
        <v>554</v>
      </c>
      <c r="AC856" t="s">
        <v>411</v>
      </c>
      <c r="AD856">
        <v>46109</v>
      </c>
      <c r="AE856">
        <v>46167</v>
      </c>
      <c r="AF856">
        <v>46120</v>
      </c>
      <c r="AG856" t="s">
        <v>754</v>
      </c>
      <c r="AH856">
        <v>6172215</v>
      </c>
      <c r="AI856">
        <v>46114</v>
      </c>
      <c r="AJ856">
        <v>46115</v>
      </c>
      <c r="AK856">
        <v>96000</v>
      </c>
      <c r="AL856" t="s">
        <v>396</v>
      </c>
      <c r="AM856" t="s">
        <v>2781</v>
      </c>
      <c r="AN856">
        <v>46115</v>
      </c>
      <c r="AO856">
        <v>46115.395891203705</v>
      </c>
      <c r="AP856" t="s">
        <v>51</v>
      </c>
      <c r="AQ856">
        <v>1.6310000000000002E-2</v>
      </c>
      <c r="AR856">
        <v>1565.76</v>
      </c>
      <c r="AS856" t="s">
        <v>51</v>
      </c>
      <c r="AT856">
        <v>1565.76</v>
      </c>
      <c r="AU856" t="s">
        <v>415</v>
      </c>
      <c r="AV856" t="s">
        <v>1420</v>
      </c>
      <c r="AW856" t="s">
        <v>2598</v>
      </c>
      <c r="AX856">
        <v>46120</v>
      </c>
      <c r="AY856">
        <v>46169</v>
      </c>
      <c r="AZ856" t="s">
        <v>2745</v>
      </c>
      <c r="BA856" t="s">
        <v>560</v>
      </c>
      <c r="BB856" t="s">
        <v>2746</v>
      </c>
      <c r="BC856">
        <v>16000</v>
      </c>
      <c r="BD856" t="s">
        <v>521</v>
      </c>
      <c r="BE856">
        <v>14.213850000000001</v>
      </c>
      <c r="BF856">
        <v>13.28</v>
      </c>
      <c r="BG856" t="s">
        <v>522</v>
      </c>
      <c r="BH856">
        <v>398</v>
      </c>
      <c r="BI856">
        <v>298</v>
      </c>
      <c r="BJ856">
        <v>155</v>
      </c>
      <c r="BK856">
        <v>6</v>
      </c>
      <c r="BL856" t="s">
        <v>521</v>
      </c>
      <c r="BM856">
        <v>93.283100000000005</v>
      </c>
      <c r="BN856">
        <v>79.680000000000007</v>
      </c>
      <c r="BO856">
        <v>93.283100000000005</v>
      </c>
      <c r="BP856" t="s">
        <v>522</v>
      </c>
      <c r="BQ856">
        <v>800</v>
      </c>
      <c r="BR856">
        <v>300</v>
      </c>
      <c r="BS856">
        <v>608</v>
      </c>
      <c r="BT856">
        <v>1</v>
      </c>
      <c r="BU856">
        <v>0</v>
      </c>
      <c r="BV856">
        <v>1</v>
      </c>
      <c r="BW856">
        <v>6</v>
      </c>
      <c r="BX856">
        <v>0</v>
      </c>
      <c r="BY856">
        <v>6</v>
      </c>
      <c r="BZ856">
        <v>96000</v>
      </c>
      <c r="CA856">
        <v>0</v>
      </c>
      <c r="CB856">
        <v>96000</v>
      </c>
      <c r="CC856">
        <v>79.680000000000007</v>
      </c>
      <c r="CD856" t="s">
        <v>523</v>
      </c>
      <c r="CE856" t="s">
        <v>1020</v>
      </c>
      <c r="CG856" t="s">
        <v>421</v>
      </c>
      <c r="CN856" t="str">
        <v>M01</v>
      </c>
      <c r="CO856" t="str">
        <v>1999-1010399E1</v>
      </c>
      <c r="CP856" t="str">
        <v>TCLU8687015</v>
      </c>
      <c r="CQ856" s="23">
        <v>417.88</v>
      </c>
      <c r="CR856" s="25">
        <f t="shared" si="35"/>
        <v>2.9190368900905202E-2</v>
      </c>
      <c r="CS856" s="21">
        <f t="shared" si="36"/>
        <v>72.975922252263004</v>
      </c>
    </row>
    <row r="857" spans="2:97" x14ac:dyDescent="0.35">
      <c r="B857" t="s">
        <v>3497</v>
      </c>
      <c r="C857" t="s">
        <v>2780</v>
      </c>
      <c r="D857" t="s">
        <v>395</v>
      </c>
      <c r="E857" t="s">
        <v>395</v>
      </c>
      <c r="F857" t="s">
        <v>396</v>
      </c>
      <c r="G857" t="s">
        <v>397</v>
      </c>
      <c r="H857" t="s">
        <v>398</v>
      </c>
      <c r="I857" t="s">
        <v>399</v>
      </c>
      <c r="J857" t="s">
        <v>749</v>
      </c>
      <c r="K857" t="s">
        <v>515</v>
      </c>
      <c r="L857" t="s">
        <v>787</v>
      </c>
      <c r="M857" t="s">
        <v>403</v>
      </c>
      <c r="N857">
        <v>2</v>
      </c>
      <c r="O857">
        <v>1</v>
      </c>
      <c r="P857" t="s">
        <v>1016</v>
      </c>
      <c r="Q857" t="s">
        <v>424</v>
      </c>
      <c r="R857" t="s">
        <v>1017</v>
      </c>
      <c r="S857" t="s">
        <v>1018</v>
      </c>
      <c r="T857" t="s">
        <v>408</v>
      </c>
      <c r="U857">
        <v>50950081709</v>
      </c>
      <c r="W857">
        <v>96000</v>
      </c>
      <c r="X857" t="s">
        <v>409</v>
      </c>
      <c r="Y857" t="s">
        <v>410</v>
      </c>
      <c r="Z857" t="s">
        <v>410</v>
      </c>
      <c r="AA857" t="s">
        <v>411</v>
      </c>
      <c r="AB857" t="s">
        <v>554</v>
      </c>
      <c r="AC857" t="s">
        <v>411</v>
      </c>
      <c r="AD857">
        <v>46109</v>
      </c>
      <c r="AE857">
        <v>46167</v>
      </c>
      <c r="AF857">
        <v>46120</v>
      </c>
      <c r="AG857" t="s">
        <v>754</v>
      </c>
      <c r="AH857">
        <v>6172215</v>
      </c>
      <c r="AI857">
        <v>46114</v>
      </c>
      <c r="AJ857">
        <v>46115</v>
      </c>
      <c r="AK857">
        <v>96000</v>
      </c>
      <c r="AL857" t="s">
        <v>396</v>
      </c>
      <c r="AM857" t="s">
        <v>2781</v>
      </c>
      <c r="AN857">
        <v>46115</v>
      </c>
      <c r="AO857">
        <v>46115.395891203705</v>
      </c>
      <c r="AP857" t="s">
        <v>51</v>
      </c>
      <c r="AQ857">
        <v>1.6310000000000002E-2</v>
      </c>
      <c r="AR857">
        <v>1565.76</v>
      </c>
      <c r="AS857" t="s">
        <v>51</v>
      </c>
      <c r="AT857">
        <v>1565.76</v>
      </c>
      <c r="AU857" t="s">
        <v>415</v>
      </c>
      <c r="AV857" t="s">
        <v>1420</v>
      </c>
      <c r="AW857" t="s">
        <v>2598</v>
      </c>
      <c r="AX857">
        <v>46120</v>
      </c>
      <c r="AY857">
        <v>46169</v>
      </c>
      <c r="AZ857" t="s">
        <v>2745</v>
      </c>
      <c r="BA857" t="s">
        <v>560</v>
      </c>
      <c r="BB857" t="s">
        <v>2746</v>
      </c>
      <c r="BC857">
        <v>16000</v>
      </c>
      <c r="BD857" t="s">
        <v>521</v>
      </c>
      <c r="BE857">
        <v>14.213850000000001</v>
      </c>
      <c r="BF857">
        <v>13.28</v>
      </c>
      <c r="BG857" t="s">
        <v>522</v>
      </c>
      <c r="BH857">
        <v>398</v>
      </c>
      <c r="BI857">
        <v>298</v>
      </c>
      <c r="BJ857">
        <v>155</v>
      </c>
      <c r="BK857">
        <v>6</v>
      </c>
      <c r="BL857" t="s">
        <v>521</v>
      </c>
      <c r="BM857">
        <v>93.283100000000005</v>
      </c>
      <c r="BN857">
        <v>79.680000000000007</v>
      </c>
      <c r="BO857">
        <v>93.283100000000005</v>
      </c>
      <c r="BP857" t="s">
        <v>522</v>
      </c>
      <c r="BQ857">
        <v>800</v>
      </c>
      <c r="BR857">
        <v>300</v>
      </c>
      <c r="BS857">
        <v>608</v>
      </c>
      <c r="BT857">
        <v>1</v>
      </c>
      <c r="BU857">
        <v>0</v>
      </c>
      <c r="BV857">
        <v>1</v>
      </c>
      <c r="BW857">
        <v>6</v>
      </c>
      <c r="BX857">
        <v>0</v>
      </c>
      <c r="BY857">
        <v>6</v>
      </c>
      <c r="BZ857">
        <v>96000</v>
      </c>
      <c r="CA857">
        <v>0</v>
      </c>
      <c r="CB857">
        <v>96000</v>
      </c>
      <c r="CC857">
        <v>79.680000000000007</v>
      </c>
      <c r="CD857" t="s">
        <v>523</v>
      </c>
      <c r="CE857" t="s">
        <v>1020</v>
      </c>
      <c r="CG857" t="s">
        <v>421</v>
      </c>
      <c r="CN857" t="str">
        <v>M23</v>
      </c>
      <c r="CO857" t="str">
        <v>1301-1120169EN</v>
      </c>
      <c r="CP857" t="str">
        <v>TCLU8687015</v>
      </c>
      <c r="CQ857" s="23">
        <v>807.76800000000003</v>
      </c>
      <c r="CR857" s="25">
        <f t="shared" si="35"/>
        <v>5.6425399412143182E-2</v>
      </c>
      <c r="CS857" s="21">
        <f t="shared" si="36"/>
        <v>141.06349853035795</v>
      </c>
    </row>
    <row r="858" spans="2:97" x14ac:dyDescent="0.35">
      <c r="B858" t="s">
        <v>3497</v>
      </c>
      <c r="C858" t="s">
        <v>2782</v>
      </c>
      <c r="D858" t="s">
        <v>395</v>
      </c>
      <c r="E858" t="s">
        <v>395</v>
      </c>
      <c r="F858" t="s">
        <v>396</v>
      </c>
      <c r="G858" t="s">
        <v>397</v>
      </c>
      <c r="H858" t="s">
        <v>398</v>
      </c>
      <c r="I858" t="s">
        <v>399</v>
      </c>
      <c r="J858" t="s">
        <v>749</v>
      </c>
      <c r="K858" t="s">
        <v>515</v>
      </c>
      <c r="L858" t="s">
        <v>787</v>
      </c>
      <c r="M858" t="s">
        <v>403</v>
      </c>
      <c r="N858">
        <v>1</v>
      </c>
      <c r="O858">
        <v>1</v>
      </c>
      <c r="P858" t="s">
        <v>1026</v>
      </c>
      <c r="Q858" t="s">
        <v>424</v>
      </c>
      <c r="R858" t="s">
        <v>1017</v>
      </c>
      <c r="S858" t="s">
        <v>1027</v>
      </c>
      <c r="T858" t="s">
        <v>408</v>
      </c>
      <c r="U858">
        <v>50950081710</v>
      </c>
      <c r="W858">
        <v>96000</v>
      </c>
      <c r="X858" t="s">
        <v>409</v>
      </c>
      <c r="Y858" t="s">
        <v>410</v>
      </c>
      <c r="Z858" t="s">
        <v>410</v>
      </c>
      <c r="AA858" t="s">
        <v>411</v>
      </c>
      <c r="AB858" t="s">
        <v>554</v>
      </c>
      <c r="AC858" t="s">
        <v>411</v>
      </c>
      <c r="AD858">
        <v>46109</v>
      </c>
      <c r="AE858">
        <v>46181</v>
      </c>
      <c r="AF858">
        <v>46120</v>
      </c>
      <c r="AG858" t="s">
        <v>754</v>
      </c>
      <c r="AH858">
        <v>6172216</v>
      </c>
      <c r="AI858">
        <v>46114</v>
      </c>
      <c r="AJ858">
        <v>46115</v>
      </c>
      <c r="AK858">
        <v>96000</v>
      </c>
      <c r="AL858" t="s">
        <v>396</v>
      </c>
      <c r="AM858" t="s">
        <v>2783</v>
      </c>
      <c r="AN858">
        <v>46115</v>
      </c>
      <c r="AO858">
        <v>46115.395891203705</v>
      </c>
      <c r="AP858" t="s">
        <v>51</v>
      </c>
      <c r="AQ858">
        <v>1.6310000000000002E-2</v>
      </c>
      <c r="AR858">
        <v>1565.76</v>
      </c>
      <c r="AS858" t="s">
        <v>51</v>
      </c>
      <c r="AT858">
        <v>1565.76</v>
      </c>
      <c r="AU858" t="s">
        <v>415</v>
      </c>
      <c r="AV858" t="s">
        <v>1420</v>
      </c>
      <c r="AW858" t="s">
        <v>2598</v>
      </c>
      <c r="AX858">
        <v>46120</v>
      </c>
      <c r="AY858">
        <v>46169</v>
      </c>
      <c r="AZ858" t="s">
        <v>2745</v>
      </c>
      <c r="BA858" t="s">
        <v>560</v>
      </c>
      <c r="BB858" t="s">
        <v>2746</v>
      </c>
      <c r="BC858">
        <v>16000</v>
      </c>
      <c r="BD858" t="s">
        <v>521</v>
      </c>
      <c r="BE858">
        <v>14.533849999999999</v>
      </c>
      <c r="BF858">
        <v>13.6</v>
      </c>
      <c r="BG858" t="s">
        <v>522</v>
      </c>
      <c r="BH858">
        <v>398</v>
      </c>
      <c r="BI858">
        <v>298</v>
      </c>
      <c r="BJ858">
        <v>155</v>
      </c>
      <c r="BK858">
        <v>6</v>
      </c>
      <c r="BL858" t="s">
        <v>521</v>
      </c>
      <c r="BM858">
        <v>95.203100000000006</v>
      </c>
      <c r="BN858">
        <v>81.599999999999994</v>
      </c>
      <c r="BO858">
        <v>95.203100000000006</v>
      </c>
      <c r="BP858" t="s">
        <v>522</v>
      </c>
      <c r="BQ858">
        <v>800</v>
      </c>
      <c r="BR858">
        <v>300</v>
      </c>
      <c r="BS858">
        <v>608</v>
      </c>
      <c r="BT858">
        <v>1</v>
      </c>
      <c r="BU858">
        <v>0</v>
      </c>
      <c r="BV858">
        <v>1</v>
      </c>
      <c r="BW858">
        <v>6</v>
      </c>
      <c r="BX858">
        <v>0</v>
      </c>
      <c r="BY858">
        <v>6</v>
      </c>
      <c r="BZ858">
        <v>96000</v>
      </c>
      <c r="CA858">
        <v>0</v>
      </c>
      <c r="CB858">
        <v>96000</v>
      </c>
      <c r="CC858">
        <v>81.599999999999994</v>
      </c>
      <c r="CD858" t="s">
        <v>523</v>
      </c>
      <c r="CE858" t="s">
        <v>1020</v>
      </c>
      <c r="CG858" t="s">
        <v>421</v>
      </c>
      <c r="CN858" t="str">
        <v>M19</v>
      </c>
      <c r="CO858" t="str">
        <v>1271-5YY0099EN</v>
      </c>
      <c r="CP858" t="str">
        <v>TCLU8687015</v>
      </c>
      <c r="CQ858" s="23">
        <v>1647.9344000000001</v>
      </c>
      <c r="CR858" s="25">
        <f t="shared" si="35"/>
        <v>0.11511393955320158</v>
      </c>
      <c r="CS858" s="21">
        <f t="shared" si="36"/>
        <v>287.78484888300397</v>
      </c>
    </row>
    <row r="859" spans="2:97" x14ac:dyDescent="0.35">
      <c r="B859" t="s">
        <v>299</v>
      </c>
      <c r="C859" t="s">
        <v>2784</v>
      </c>
      <c r="D859" t="s">
        <v>395</v>
      </c>
      <c r="E859" t="s">
        <v>395</v>
      </c>
      <c r="F859" t="s">
        <v>396</v>
      </c>
      <c r="G859" t="s">
        <v>397</v>
      </c>
      <c r="H859" t="s">
        <v>398</v>
      </c>
      <c r="I859" t="s">
        <v>399</v>
      </c>
      <c r="J859" t="s">
        <v>749</v>
      </c>
      <c r="K859" t="s">
        <v>629</v>
      </c>
      <c r="L859" t="s">
        <v>787</v>
      </c>
      <c r="M859" t="s">
        <v>403</v>
      </c>
      <c r="N859">
        <v>1</v>
      </c>
      <c r="O859">
        <v>1</v>
      </c>
      <c r="P859" t="s">
        <v>2015</v>
      </c>
      <c r="Q859" t="s">
        <v>405</v>
      </c>
      <c r="R859" t="s">
        <v>1128</v>
      </c>
      <c r="S859" t="s">
        <v>2016</v>
      </c>
      <c r="T859" t="s">
        <v>408</v>
      </c>
      <c r="U859">
        <v>50950082047</v>
      </c>
      <c r="W859">
        <v>6000</v>
      </c>
      <c r="X859" t="s">
        <v>409</v>
      </c>
      <c r="Y859" t="s">
        <v>410</v>
      </c>
      <c r="Z859" t="s">
        <v>410</v>
      </c>
      <c r="AA859" t="s">
        <v>411</v>
      </c>
      <c r="AB859" t="s">
        <v>554</v>
      </c>
      <c r="AC859" t="s">
        <v>411</v>
      </c>
      <c r="AD859">
        <v>46116</v>
      </c>
      <c r="AE859">
        <v>46174</v>
      </c>
      <c r="AF859">
        <v>46120</v>
      </c>
      <c r="AG859" t="s">
        <v>754</v>
      </c>
      <c r="AH859">
        <v>6172217</v>
      </c>
      <c r="AI859">
        <v>46114</v>
      </c>
      <c r="AJ859">
        <v>46115</v>
      </c>
      <c r="AK859">
        <v>6000</v>
      </c>
      <c r="AL859" t="s">
        <v>396</v>
      </c>
      <c r="AM859" t="s">
        <v>2785</v>
      </c>
      <c r="AN859">
        <v>46115</v>
      </c>
      <c r="AO859">
        <v>46115.395891203705</v>
      </c>
      <c r="AP859" t="s">
        <v>51</v>
      </c>
      <c r="AQ859">
        <v>1.3184800000000001</v>
      </c>
      <c r="AR859">
        <v>7910.88</v>
      </c>
      <c r="AS859" t="s">
        <v>51</v>
      </c>
      <c r="AT859">
        <v>7910.88</v>
      </c>
      <c r="AU859" t="s">
        <v>415</v>
      </c>
      <c r="AV859" t="s">
        <v>1420</v>
      </c>
      <c r="AW859" t="s">
        <v>2598</v>
      </c>
      <c r="AX859">
        <v>46120</v>
      </c>
      <c r="AY859">
        <v>46169</v>
      </c>
      <c r="AZ859" t="s">
        <v>2745</v>
      </c>
      <c r="BA859" t="s">
        <v>560</v>
      </c>
      <c r="BB859" t="s">
        <v>2746</v>
      </c>
      <c r="BC859">
        <v>100</v>
      </c>
      <c r="BD859" t="s">
        <v>521</v>
      </c>
      <c r="BE859">
        <v>7.8579999999999997</v>
      </c>
      <c r="BF859">
        <v>3.9279999999999999</v>
      </c>
      <c r="BG859" t="s">
        <v>522</v>
      </c>
      <c r="BH859">
        <v>520</v>
      </c>
      <c r="BI859">
        <v>330</v>
      </c>
      <c r="BJ859">
        <v>190</v>
      </c>
      <c r="BK859">
        <v>30</v>
      </c>
      <c r="BL859" t="s">
        <v>521</v>
      </c>
      <c r="BM859">
        <v>261.74</v>
      </c>
      <c r="BN859">
        <v>117.84</v>
      </c>
      <c r="BO859">
        <v>523.48</v>
      </c>
      <c r="BP859" t="s">
        <v>522</v>
      </c>
      <c r="BQ859">
        <v>1066</v>
      </c>
      <c r="BR859">
        <v>1066</v>
      </c>
      <c r="BS859">
        <v>1100</v>
      </c>
      <c r="BT859">
        <v>2</v>
      </c>
      <c r="BU859">
        <v>0</v>
      </c>
      <c r="BV859">
        <v>2</v>
      </c>
      <c r="BW859">
        <v>60</v>
      </c>
      <c r="BX859">
        <v>0</v>
      </c>
      <c r="BY859">
        <v>60</v>
      </c>
      <c r="BZ859">
        <v>6000</v>
      </c>
      <c r="CA859">
        <v>0</v>
      </c>
      <c r="CB859">
        <v>6000</v>
      </c>
      <c r="CC859">
        <v>235.68</v>
      </c>
      <c r="CD859" t="s">
        <v>1131</v>
      </c>
      <c r="CE859" t="s">
        <v>1132</v>
      </c>
      <c r="CG859" t="s">
        <v>421</v>
      </c>
      <c r="CN859" t="str">
        <v>M19</v>
      </c>
      <c r="CO859" t="str">
        <v>1307-5YY0182EN</v>
      </c>
      <c r="CP859" t="str">
        <v>TCLU8687015</v>
      </c>
      <c r="CQ859" s="23">
        <v>1678.752256</v>
      </c>
      <c r="CR859" s="25">
        <f t="shared" si="35"/>
        <v>0.11726667379598651</v>
      </c>
      <c r="CS859" s="21">
        <f t="shared" si="36"/>
        <v>293.16668448996631</v>
      </c>
    </row>
    <row r="860" spans="2:97" x14ac:dyDescent="0.35">
      <c r="B860" s="34" t="s">
        <v>295</v>
      </c>
      <c r="C860" t="s">
        <v>2786</v>
      </c>
      <c r="D860" t="s">
        <v>395</v>
      </c>
      <c r="E860" t="s">
        <v>395</v>
      </c>
      <c r="F860" t="s">
        <v>396</v>
      </c>
      <c r="G860" t="s">
        <v>397</v>
      </c>
      <c r="H860" t="s">
        <v>398</v>
      </c>
      <c r="I860" t="s">
        <v>399</v>
      </c>
      <c r="J860" t="s">
        <v>749</v>
      </c>
      <c r="K860" t="s">
        <v>629</v>
      </c>
      <c r="L860" t="s">
        <v>787</v>
      </c>
      <c r="M860" t="s">
        <v>403</v>
      </c>
      <c r="N860">
        <v>1</v>
      </c>
      <c r="O860">
        <v>1</v>
      </c>
      <c r="P860" t="s">
        <v>2787</v>
      </c>
      <c r="Q860" t="s">
        <v>424</v>
      </c>
      <c r="R860" t="s">
        <v>753</v>
      </c>
      <c r="S860" t="s">
        <v>426</v>
      </c>
      <c r="T860" t="s">
        <v>408</v>
      </c>
      <c r="U860">
        <v>50950082271</v>
      </c>
      <c r="W860">
        <v>7200</v>
      </c>
      <c r="X860" t="s">
        <v>409</v>
      </c>
      <c r="Y860" t="s">
        <v>410</v>
      </c>
      <c r="Z860" t="s">
        <v>410</v>
      </c>
      <c r="AA860" t="s">
        <v>411</v>
      </c>
      <c r="AB860" t="s">
        <v>554</v>
      </c>
      <c r="AC860" t="s">
        <v>411</v>
      </c>
      <c r="AD860">
        <v>46109</v>
      </c>
      <c r="AE860">
        <v>46167</v>
      </c>
      <c r="AF860">
        <v>46120</v>
      </c>
      <c r="AG860" t="s">
        <v>754</v>
      </c>
      <c r="AH860">
        <v>6172218</v>
      </c>
      <c r="AI860">
        <v>46114</v>
      </c>
      <c r="AJ860">
        <v>46115</v>
      </c>
      <c r="AK860">
        <v>7200</v>
      </c>
      <c r="AL860" t="s">
        <v>396</v>
      </c>
      <c r="AM860" t="s">
        <v>2788</v>
      </c>
      <c r="AN860">
        <v>46115</v>
      </c>
      <c r="AO860">
        <v>46115.395891203705</v>
      </c>
      <c r="AP860" t="s">
        <v>51</v>
      </c>
      <c r="AQ860">
        <v>8.7809999999999999E-2</v>
      </c>
      <c r="AR860">
        <v>632.23</v>
      </c>
      <c r="AS860" t="s">
        <v>51</v>
      </c>
      <c r="AT860">
        <v>632.23</v>
      </c>
      <c r="AU860" t="s">
        <v>415</v>
      </c>
      <c r="AV860" t="s">
        <v>1420</v>
      </c>
      <c r="AW860" t="s">
        <v>2598</v>
      </c>
      <c r="AX860">
        <v>46120</v>
      </c>
      <c r="AY860">
        <v>46169</v>
      </c>
      <c r="AZ860" t="s">
        <v>2745</v>
      </c>
      <c r="BA860" t="s">
        <v>560</v>
      </c>
      <c r="BB860" t="s">
        <v>2746</v>
      </c>
      <c r="BC860">
        <v>1200</v>
      </c>
      <c r="BD860" t="s">
        <v>521</v>
      </c>
      <c r="BE860">
        <v>2.7715999999999998</v>
      </c>
      <c r="BF860">
        <v>1.9716</v>
      </c>
      <c r="BG860" t="s">
        <v>522</v>
      </c>
      <c r="BH860">
        <v>395</v>
      </c>
      <c r="BI860">
        <v>295</v>
      </c>
      <c r="BJ860">
        <v>210</v>
      </c>
      <c r="BK860">
        <v>32</v>
      </c>
      <c r="BL860" t="s">
        <v>521</v>
      </c>
      <c r="BM860">
        <v>46.629600000000003</v>
      </c>
      <c r="BN860">
        <v>11.829599999999999</v>
      </c>
      <c r="BO860">
        <v>46.629600000000003</v>
      </c>
      <c r="BP860" t="s">
        <v>522</v>
      </c>
      <c r="BQ860">
        <v>1200</v>
      </c>
      <c r="BR860">
        <v>800</v>
      </c>
      <c r="BS860">
        <v>1000</v>
      </c>
      <c r="BT860">
        <v>0</v>
      </c>
      <c r="BU860">
        <v>1</v>
      </c>
      <c r="BV860">
        <v>1</v>
      </c>
      <c r="BW860">
        <v>6</v>
      </c>
      <c r="BX860">
        <v>0</v>
      </c>
      <c r="BY860">
        <v>6</v>
      </c>
      <c r="BZ860">
        <v>0</v>
      </c>
      <c r="CA860">
        <v>7200</v>
      </c>
      <c r="CB860">
        <v>7200</v>
      </c>
      <c r="CC860">
        <v>11.829599999999999</v>
      </c>
      <c r="CD860" t="s">
        <v>759</v>
      </c>
      <c r="CE860" t="s">
        <v>760</v>
      </c>
      <c r="CG860" t="s">
        <v>421</v>
      </c>
      <c r="CN860" t="str">
        <v>M45</v>
      </c>
      <c r="CO860" t="str">
        <v>1100-12C0005EN</v>
      </c>
      <c r="CP860" t="str">
        <v>TCLU8687015</v>
      </c>
      <c r="CQ860" s="23">
        <v>2462.5915199999999</v>
      </c>
      <c r="CR860" s="25">
        <f t="shared" si="35"/>
        <v>0.17202056791672457</v>
      </c>
      <c r="CS860" s="21">
        <f t="shared" si="36"/>
        <v>430.05141979181144</v>
      </c>
    </row>
    <row r="861" spans="2:97" x14ac:dyDescent="0.35">
      <c r="B861" s="34" t="s">
        <v>295</v>
      </c>
      <c r="C861" t="s">
        <v>2789</v>
      </c>
      <c r="D861" t="s">
        <v>395</v>
      </c>
      <c r="E861" t="s">
        <v>395</v>
      </c>
      <c r="F861" t="s">
        <v>396</v>
      </c>
      <c r="G861" t="s">
        <v>397</v>
      </c>
      <c r="H861" t="s">
        <v>398</v>
      </c>
      <c r="I861" t="s">
        <v>399</v>
      </c>
      <c r="J861" t="s">
        <v>749</v>
      </c>
      <c r="K861" t="s">
        <v>629</v>
      </c>
      <c r="L861" t="s">
        <v>787</v>
      </c>
      <c r="M861" t="s">
        <v>403</v>
      </c>
      <c r="N861">
        <v>1</v>
      </c>
      <c r="O861">
        <v>1</v>
      </c>
      <c r="P861" t="s">
        <v>762</v>
      </c>
      <c r="Q861" t="s">
        <v>424</v>
      </c>
      <c r="R861" t="s">
        <v>753</v>
      </c>
      <c r="S861" t="s">
        <v>426</v>
      </c>
      <c r="T861" t="s">
        <v>408</v>
      </c>
      <c r="U861">
        <v>50950082273</v>
      </c>
      <c r="W861">
        <v>8000</v>
      </c>
      <c r="X861" t="s">
        <v>409</v>
      </c>
      <c r="Y861" t="s">
        <v>410</v>
      </c>
      <c r="Z861" t="s">
        <v>410</v>
      </c>
      <c r="AA861" t="s">
        <v>411</v>
      </c>
      <c r="AB861" t="s">
        <v>554</v>
      </c>
      <c r="AC861" t="s">
        <v>411</v>
      </c>
      <c r="AD861">
        <v>46109</v>
      </c>
      <c r="AE861">
        <v>46167</v>
      </c>
      <c r="AF861">
        <v>46120</v>
      </c>
      <c r="AG861" t="s">
        <v>754</v>
      </c>
      <c r="AH861">
        <v>6172219</v>
      </c>
      <c r="AI861">
        <v>46114</v>
      </c>
      <c r="AJ861">
        <v>46115</v>
      </c>
      <c r="AK861">
        <v>8000</v>
      </c>
      <c r="AL861" t="s">
        <v>396</v>
      </c>
      <c r="AM861" t="s">
        <v>2790</v>
      </c>
      <c r="AN861">
        <v>46115</v>
      </c>
      <c r="AO861">
        <v>46115.395891203705</v>
      </c>
      <c r="AP861" t="s">
        <v>51</v>
      </c>
      <c r="AQ861">
        <v>2.5860000000000001E-2</v>
      </c>
      <c r="AR861">
        <v>206.88</v>
      </c>
      <c r="AS861" t="s">
        <v>51</v>
      </c>
      <c r="AT861">
        <v>206.88</v>
      </c>
      <c r="AU861" t="s">
        <v>415</v>
      </c>
      <c r="AV861" t="s">
        <v>1420</v>
      </c>
      <c r="AW861" t="s">
        <v>2598</v>
      </c>
      <c r="AX861">
        <v>46120</v>
      </c>
      <c r="AY861">
        <v>46169</v>
      </c>
      <c r="AZ861" t="s">
        <v>2745</v>
      </c>
      <c r="BA861" t="s">
        <v>560</v>
      </c>
      <c r="BB861" t="s">
        <v>2746</v>
      </c>
      <c r="BC861">
        <v>8000</v>
      </c>
      <c r="BD861" t="s">
        <v>521</v>
      </c>
      <c r="BE861">
        <v>3.8079999999999998</v>
      </c>
      <c r="BF861">
        <v>3.008</v>
      </c>
      <c r="BG861" t="s">
        <v>522</v>
      </c>
      <c r="BH861">
        <v>395</v>
      </c>
      <c r="BI861">
        <v>295</v>
      </c>
      <c r="BJ861">
        <v>210</v>
      </c>
      <c r="BK861">
        <v>6</v>
      </c>
      <c r="BL861" t="s">
        <v>521</v>
      </c>
      <c r="BM861">
        <v>11.808</v>
      </c>
      <c r="BN861">
        <v>3.008</v>
      </c>
      <c r="BO861">
        <v>11.808</v>
      </c>
      <c r="BP861" t="s">
        <v>522</v>
      </c>
      <c r="BQ861">
        <v>800</v>
      </c>
      <c r="BR861">
        <v>300</v>
      </c>
      <c r="BS861">
        <v>790</v>
      </c>
      <c r="BT861">
        <v>0</v>
      </c>
      <c r="BU861">
        <v>1</v>
      </c>
      <c r="BV861">
        <v>1</v>
      </c>
      <c r="BW861">
        <v>1</v>
      </c>
      <c r="BX861">
        <v>0</v>
      </c>
      <c r="BY861">
        <v>1</v>
      </c>
      <c r="BZ861">
        <v>0</v>
      </c>
      <c r="CA861">
        <v>8000</v>
      </c>
      <c r="CB861">
        <v>8000</v>
      </c>
      <c r="CC861">
        <v>3.008</v>
      </c>
      <c r="CD861" t="s">
        <v>626</v>
      </c>
      <c r="CE861" t="s">
        <v>760</v>
      </c>
      <c r="CG861" t="s">
        <v>421</v>
      </c>
      <c r="CN861" t="str">
        <v>M19</v>
      </c>
      <c r="CO861" t="str">
        <v>1330-5YY0182EN</v>
      </c>
      <c r="CP861" t="str">
        <v>TCLU8687015</v>
      </c>
      <c r="CQ861" s="23">
        <v>1053.8136</v>
      </c>
      <c r="CR861" s="25">
        <f t="shared" si="35"/>
        <v>7.3612538855152079E-2</v>
      </c>
      <c r="CS861" s="21">
        <f t="shared" si="36"/>
        <v>184.0313471378802</v>
      </c>
    </row>
    <row r="862" spans="2:97" x14ac:dyDescent="0.35">
      <c r="B862" t="s">
        <v>297</v>
      </c>
      <c r="C862" t="s">
        <v>2381</v>
      </c>
      <c r="D862" t="s">
        <v>549</v>
      </c>
      <c r="E862" t="s">
        <v>395</v>
      </c>
      <c r="F862" t="s">
        <v>396</v>
      </c>
      <c r="G862" t="s">
        <v>397</v>
      </c>
      <c r="H862" t="s">
        <v>398</v>
      </c>
      <c r="I862" t="s">
        <v>399</v>
      </c>
      <c r="J862" t="s">
        <v>749</v>
      </c>
      <c r="K862" t="s">
        <v>401</v>
      </c>
      <c r="L862" t="s">
        <v>766</v>
      </c>
      <c r="M862" t="s">
        <v>403</v>
      </c>
      <c r="N862">
        <v>2</v>
      </c>
      <c r="O862">
        <v>5</v>
      </c>
      <c r="P862" t="s">
        <v>767</v>
      </c>
      <c r="Q862" t="s">
        <v>424</v>
      </c>
      <c r="R862" t="s">
        <v>552</v>
      </c>
      <c r="S862" t="s">
        <v>768</v>
      </c>
      <c r="T862" t="s">
        <v>408</v>
      </c>
      <c r="U862">
        <v>50950081498</v>
      </c>
      <c r="W862">
        <v>23040</v>
      </c>
      <c r="X862" t="s">
        <v>409</v>
      </c>
      <c r="Y862" t="s">
        <v>410</v>
      </c>
      <c r="Z862" t="s">
        <v>410</v>
      </c>
      <c r="AA862" t="s">
        <v>411</v>
      </c>
      <c r="AB862" t="s">
        <v>554</v>
      </c>
      <c r="AC862" t="s">
        <v>411</v>
      </c>
      <c r="AD862">
        <v>46109</v>
      </c>
      <c r="AE862">
        <v>46167</v>
      </c>
      <c r="AF862">
        <v>46120</v>
      </c>
      <c r="AG862" t="s">
        <v>770</v>
      </c>
      <c r="AH862">
        <v>6174302</v>
      </c>
      <c r="AI862">
        <v>46115</v>
      </c>
      <c r="AJ862">
        <v>46116</v>
      </c>
      <c r="AK862">
        <v>23040</v>
      </c>
      <c r="AL862" t="s">
        <v>396</v>
      </c>
      <c r="AM862" t="s">
        <v>2791</v>
      </c>
      <c r="AN862">
        <v>46116</v>
      </c>
      <c r="AO862">
        <v>46116.678865740738</v>
      </c>
      <c r="AP862" t="s">
        <v>51</v>
      </c>
      <c r="AQ862">
        <v>0.20744000000000001</v>
      </c>
      <c r="AR862">
        <v>4779.42</v>
      </c>
      <c r="AS862" t="s">
        <v>51</v>
      </c>
      <c r="AT862">
        <v>4779.42</v>
      </c>
      <c r="AU862" t="s">
        <v>415</v>
      </c>
      <c r="AV862" t="s">
        <v>557</v>
      </c>
      <c r="AW862" t="s">
        <v>2792</v>
      </c>
      <c r="AX862">
        <v>46120</v>
      </c>
      <c r="AY862">
        <v>46169</v>
      </c>
      <c r="AZ862" t="s">
        <v>2793</v>
      </c>
      <c r="BA862" t="s">
        <v>560</v>
      </c>
      <c r="BB862" t="s">
        <v>2794</v>
      </c>
      <c r="BC862">
        <v>240</v>
      </c>
      <c r="BD862" t="s">
        <v>521</v>
      </c>
      <c r="BE862">
        <v>2.5634000000000001</v>
      </c>
      <c r="BF862">
        <v>1.2864</v>
      </c>
      <c r="BG862" t="s">
        <v>522</v>
      </c>
      <c r="BH862">
        <v>340</v>
      </c>
      <c r="BI862">
        <v>250</v>
      </c>
      <c r="BJ862">
        <v>230</v>
      </c>
      <c r="BK862">
        <v>48</v>
      </c>
      <c r="BL862" t="s">
        <v>521</v>
      </c>
      <c r="BM862">
        <v>144.04320000000001</v>
      </c>
      <c r="BN862">
        <v>61.747199999999999</v>
      </c>
      <c r="BO862">
        <v>288.08640000000003</v>
      </c>
      <c r="BP862" t="s">
        <v>522</v>
      </c>
      <c r="BQ862">
        <v>1066</v>
      </c>
      <c r="BR862">
        <v>1066</v>
      </c>
      <c r="BS862">
        <v>1080</v>
      </c>
      <c r="BT862">
        <v>2</v>
      </c>
      <c r="BU862">
        <v>0</v>
      </c>
      <c r="BV862">
        <v>2</v>
      </c>
      <c r="BW862">
        <v>96</v>
      </c>
      <c r="BX862">
        <v>0</v>
      </c>
      <c r="BY862">
        <v>96</v>
      </c>
      <c r="BZ862">
        <v>23040</v>
      </c>
      <c r="CA862">
        <v>0</v>
      </c>
      <c r="CB862">
        <v>23040</v>
      </c>
      <c r="CC862">
        <v>123.4944</v>
      </c>
      <c r="CD862" t="s">
        <v>562</v>
      </c>
      <c r="CE862" t="s">
        <v>563</v>
      </c>
      <c r="CG862" t="s">
        <v>421</v>
      </c>
      <c r="CN862" t="str">
        <v>M19</v>
      </c>
      <c r="CO862" t="str">
        <v>1330-5YY0183EN</v>
      </c>
      <c r="CP862" t="str">
        <v>TCLU8687015</v>
      </c>
      <c r="CQ862" s="23">
        <v>257.69760000000002</v>
      </c>
      <c r="CR862" s="25">
        <f t="shared" si="35"/>
        <v>1.8001072099353664E-2</v>
      </c>
      <c r="CS862" s="21">
        <f t="shared" si="36"/>
        <v>45.002680248384159</v>
      </c>
    </row>
    <row r="863" spans="2:97" x14ac:dyDescent="0.35">
      <c r="B863" t="s">
        <v>297</v>
      </c>
      <c r="C863" t="s">
        <v>2381</v>
      </c>
      <c r="D863" t="s">
        <v>549</v>
      </c>
      <c r="E863" t="s">
        <v>395</v>
      </c>
      <c r="F863" t="s">
        <v>396</v>
      </c>
      <c r="G863" t="s">
        <v>397</v>
      </c>
      <c r="H863" t="s">
        <v>398</v>
      </c>
      <c r="I863" t="s">
        <v>399</v>
      </c>
      <c r="J863" t="s">
        <v>749</v>
      </c>
      <c r="K863" t="s">
        <v>401</v>
      </c>
      <c r="L863" t="s">
        <v>766</v>
      </c>
      <c r="M863" t="s">
        <v>403</v>
      </c>
      <c r="N863">
        <v>2</v>
      </c>
      <c r="O863">
        <v>6</v>
      </c>
      <c r="P863" t="s">
        <v>767</v>
      </c>
      <c r="Q863" t="s">
        <v>424</v>
      </c>
      <c r="R863" t="s">
        <v>552</v>
      </c>
      <c r="S863" t="s">
        <v>768</v>
      </c>
      <c r="T863" t="s">
        <v>408</v>
      </c>
      <c r="U863">
        <v>50950081498</v>
      </c>
      <c r="W863">
        <v>34560</v>
      </c>
      <c r="X863" t="s">
        <v>409</v>
      </c>
      <c r="Y863" t="s">
        <v>410</v>
      </c>
      <c r="Z863" t="s">
        <v>410</v>
      </c>
      <c r="AA863" t="s">
        <v>411</v>
      </c>
      <c r="AB863" t="s">
        <v>554</v>
      </c>
      <c r="AC863" t="s">
        <v>411</v>
      </c>
      <c r="AD863">
        <v>46109</v>
      </c>
      <c r="AE863">
        <v>46167</v>
      </c>
      <c r="AF863">
        <v>46120</v>
      </c>
      <c r="AG863" t="s">
        <v>770</v>
      </c>
      <c r="AH863">
        <v>6174302</v>
      </c>
      <c r="AI863">
        <v>46115</v>
      </c>
      <c r="AJ863">
        <v>46116</v>
      </c>
      <c r="AK863">
        <v>34560</v>
      </c>
      <c r="AL863" t="s">
        <v>396</v>
      </c>
      <c r="AM863" t="s">
        <v>2791</v>
      </c>
      <c r="AN863">
        <v>46116</v>
      </c>
      <c r="AO863">
        <v>46116.678865740738</v>
      </c>
      <c r="AP863" t="s">
        <v>51</v>
      </c>
      <c r="AQ863">
        <v>0.20744000000000001</v>
      </c>
      <c r="AR863">
        <v>7169.13</v>
      </c>
      <c r="AS863" t="s">
        <v>51</v>
      </c>
      <c r="AT863">
        <v>7169.13</v>
      </c>
      <c r="AU863" t="s">
        <v>415</v>
      </c>
      <c r="AV863" t="s">
        <v>557</v>
      </c>
      <c r="AW863" t="s">
        <v>2792</v>
      </c>
      <c r="AX863">
        <v>46120</v>
      </c>
      <c r="AY863">
        <v>46169</v>
      </c>
      <c r="AZ863" t="s">
        <v>2793</v>
      </c>
      <c r="BA863" t="s">
        <v>560</v>
      </c>
      <c r="BB863" t="s">
        <v>2794</v>
      </c>
      <c r="BC863">
        <v>240</v>
      </c>
      <c r="BD863" t="s">
        <v>521</v>
      </c>
      <c r="BE863">
        <v>2.5634000000000001</v>
      </c>
      <c r="BF863">
        <v>1.2864</v>
      </c>
      <c r="BG863" t="s">
        <v>522</v>
      </c>
      <c r="BH863">
        <v>340</v>
      </c>
      <c r="BI863">
        <v>250</v>
      </c>
      <c r="BJ863">
        <v>230</v>
      </c>
      <c r="BK863">
        <v>48</v>
      </c>
      <c r="BL863" t="s">
        <v>521</v>
      </c>
      <c r="BM863">
        <v>144.04320000000001</v>
      </c>
      <c r="BN863">
        <v>61.747199999999999</v>
      </c>
      <c r="BO863">
        <v>432.12959999999998</v>
      </c>
      <c r="BP863" t="s">
        <v>522</v>
      </c>
      <c r="BQ863">
        <v>1066</v>
      </c>
      <c r="BR863">
        <v>1066</v>
      </c>
      <c r="BS863">
        <v>1080</v>
      </c>
      <c r="BT863">
        <v>3</v>
      </c>
      <c r="BU863">
        <v>0</v>
      </c>
      <c r="BV863">
        <v>3</v>
      </c>
      <c r="BW863">
        <v>144</v>
      </c>
      <c r="BX863">
        <v>0</v>
      </c>
      <c r="BY863">
        <v>144</v>
      </c>
      <c r="BZ863">
        <v>34560</v>
      </c>
      <c r="CA863">
        <v>0</v>
      </c>
      <c r="CB863">
        <v>34560</v>
      </c>
      <c r="CC863">
        <v>185.24160000000001</v>
      </c>
      <c r="CD863" t="s">
        <v>562</v>
      </c>
      <c r="CE863" t="s">
        <v>563</v>
      </c>
      <c r="CG863" t="s">
        <v>421</v>
      </c>
      <c r="CN863" t="str">
        <v>M23</v>
      </c>
      <c r="CO863" t="str">
        <v>1401-1060059-92EN</v>
      </c>
      <c r="CP863" t="str">
        <v>TCLU8687015</v>
      </c>
      <c r="CQ863" s="23">
        <v>214.04</v>
      </c>
      <c r="CR863" s="25">
        <f t="shared" si="35"/>
        <v>1.4951437157915548E-2</v>
      </c>
      <c r="CS863" s="21">
        <f t="shared" si="36"/>
        <v>37.378592894788873</v>
      </c>
    </row>
    <row r="864" spans="2:97" x14ac:dyDescent="0.35">
      <c r="B864" t="s">
        <v>299</v>
      </c>
      <c r="C864" t="s">
        <v>2795</v>
      </c>
      <c r="D864" t="s">
        <v>395</v>
      </c>
      <c r="E864" t="s">
        <v>395</v>
      </c>
      <c r="F864" t="s">
        <v>396</v>
      </c>
      <c r="G864" t="s">
        <v>397</v>
      </c>
      <c r="H864" t="s">
        <v>398</v>
      </c>
      <c r="I864" t="s">
        <v>399</v>
      </c>
      <c r="J864" t="s">
        <v>749</v>
      </c>
      <c r="K864" t="s">
        <v>777</v>
      </c>
      <c r="L864" t="s">
        <v>778</v>
      </c>
      <c r="M864" t="s">
        <v>403</v>
      </c>
      <c r="N864">
        <v>1</v>
      </c>
      <c r="O864">
        <v>1</v>
      </c>
      <c r="P864" t="s">
        <v>1367</v>
      </c>
      <c r="Q864" t="s">
        <v>645</v>
      </c>
      <c r="R864" t="s">
        <v>536</v>
      </c>
      <c r="S864" t="s">
        <v>1368</v>
      </c>
      <c r="T864" t="s">
        <v>408</v>
      </c>
      <c r="U864">
        <v>50950079435</v>
      </c>
      <c r="W864">
        <v>2688</v>
      </c>
      <c r="X864" t="s">
        <v>409</v>
      </c>
      <c r="Y864" t="s">
        <v>410</v>
      </c>
      <c r="Z864" t="s">
        <v>410</v>
      </c>
      <c r="AA864" t="s">
        <v>411</v>
      </c>
      <c r="AB864" t="s">
        <v>554</v>
      </c>
      <c r="AC864" t="s">
        <v>411</v>
      </c>
      <c r="AD864">
        <v>46116</v>
      </c>
      <c r="AE864">
        <v>46174</v>
      </c>
      <c r="AF864">
        <v>46120</v>
      </c>
      <c r="AG864" t="s">
        <v>781</v>
      </c>
      <c r="AH864">
        <v>6174303</v>
      </c>
      <c r="AI864">
        <v>46115</v>
      </c>
      <c r="AJ864">
        <v>46116</v>
      </c>
      <c r="AK864">
        <v>2688</v>
      </c>
      <c r="AL864" t="s">
        <v>396</v>
      </c>
      <c r="AM864" t="s">
        <v>2796</v>
      </c>
      <c r="AN864">
        <v>46116</v>
      </c>
      <c r="AO864">
        <v>46116.678865740738</v>
      </c>
      <c r="AP864" t="s">
        <v>51</v>
      </c>
      <c r="AQ864">
        <v>3.2110699999999999</v>
      </c>
      <c r="AR864">
        <v>8631.36</v>
      </c>
      <c r="AS864" t="s">
        <v>51</v>
      </c>
      <c r="AT864">
        <v>8631.36</v>
      </c>
      <c r="AU864" t="s">
        <v>415</v>
      </c>
      <c r="AV864" t="s">
        <v>557</v>
      </c>
      <c r="AW864" t="s">
        <v>2792</v>
      </c>
      <c r="AX864">
        <v>46120</v>
      </c>
      <c r="AY864">
        <v>46169</v>
      </c>
      <c r="AZ864" t="s">
        <v>2793</v>
      </c>
      <c r="BA864" t="s">
        <v>560</v>
      </c>
      <c r="BB864" t="s">
        <v>2794</v>
      </c>
      <c r="BC864">
        <v>14</v>
      </c>
      <c r="BD864" t="s">
        <v>521</v>
      </c>
      <c r="BE864">
        <v>3.2919999999999998</v>
      </c>
      <c r="BF864">
        <v>1.792</v>
      </c>
      <c r="BG864" t="s">
        <v>522</v>
      </c>
      <c r="BH864">
        <v>595</v>
      </c>
      <c r="BI864">
        <v>395</v>
      </c>
      <c r="BJ864">
        <v>145</v>
      </c>
      <c r="BK864">
        <v>24</v>
      </c>
      <c r="BL864" t="s">
        <v>521</v>
      </c>
      <c r="BM864">
        <v>104.008</v>
      </c>
      <c r="BN864">
        <v>43.008000000000003</v>
      </c>
      <c r="BO864">
        <v>832.06399999999996</v>
      </c>
      <c r="BP864" t="s">
        <v>522</v>
      </c>
      <c r="BQ864">
        <v>1200</v>
      </c>
      <c r="BR864">
        <v>800</v>
      </c>
      <c r="BS864">
        <v>1030</v>
      </c>
      <c r="BT864">
        <v>8</v>
      </c>
      <c r="BU864">
        <v>0</v>
      </c>
      <c r="BV864">
        <v>8</v>
      </c>
      <c r="BW864">
        <v>192</v>
      </c>
      <c r="BX864">
        <v>0</v>
      </c>
      <c r="BY864">
        <v>192</v>
      </c>
      <c r="BZ864">
        <v>2688</v>
      </c>
      <c r="CA864">
        <v>0</v>
      </c>
      <c r="CB864">
        <v>2688</v>
      </c>
      <c r="CC864">
        <v>344.06400000000002</v>
      </c>
      <c r="CD864" t="s">
        <v>783</v>
      </c>
      <c r="CE864" t="s">
        <v>1370</v>
      </c>
      <c r="CG864" t="s">
        <v>421</v>
      </c>
      <c r="CN864" t="str">
        <v>M19</v>
      </c>
      <c r="CO864" t="str">
        <v>1330-5YY0256EN</v>
      </c>
      <c r="CP864" t="str">
        <v>TCLU8687015</v>
      </c>
      <c r="CQ864" s="23">
        <v>868.00800000000004</v>
      </c>
      <c r="CR864" s="25">
        <f t="shared" si="35"/>
        <v>6.0633372568529062E-2</v>
      </c>
      <c r="CS864" s="21">
        <f t="shared" si="36"/>
        <v>151.58343142132264</v>
      </c>
    </row>
    <row r="865" spans="2:97" x14ac:dyDescent="0.35">
      <c r="B865" t="s">
        <v>299</v>
      </c>
      <c r="C865" t="s">
        <v>2795</v>
      </c>
      <c r="D865" t="s">
        <v>395</v>
      </c>
      <c r="E865" t="s">
        <v>395</v>
      </c>
      <c r="F865" t="s">
        <v>396</v>
      </c>
      <c r="G865" t="s">
        <v>397</v>
      </c>
      <c r="H865" t="s">
        <v>398</v>
      </c>
      <c r="I865" t="s">
        <v>399</v>
      </c>
      <c r="J865" t="s">
        <v>749</v>
      </c>
      <c r="K865" t="s">
        <v>777</v>
      </c>
      <c r="L865" t="s">
        <v>778</v>
      </c>
      <c r="M865" t="s">
        <v>403</v>
      </c>
      <c r="N865">
        <v>1</v>
      </c>
      <c r="O865">
        <v>2</v>
      </c>
      <c r="P865" t="s">
        <v>1367</v>
      </c>
      <c r="Q865" t="s">
        <v>645</v>
      </c>
      <c r="R865" t="s">
        <v>536</v>
      </c>
      <c r="S865" t="s">
        <v>1368</v>
      </c>
      <c r="T865" t="s">
        <v>408</v>
      </c>
      <c r="U865">
        <v>50950079435</v>
      </c>
      <c r="W865">
        <v>2352</v>
      </c>
      <c r="X865" t="s">
        <v>409</v>
      </c>
      <c r="Y865" t="s">
        <v>410</v>
      </c>
      <c r="Z865" t="s">
        <v>410</v>
      </c>
      <c r="AA865" t="s">
        <v>411</v>
      </c>
      <c r="AB865" t="s">
        <v>554</v>
      </c>
      <c r="AC865" t="s">
        <v>411</v>
      </c>
      <c r="AD865">
        <v>46116</v>
      </c>
      <c r="AE865">
        <v>46174</v>
      </c>
      <c r="AF865">
        <v>46120</v>
      </c>
      <c r="AG865" t="s">
        <v>781</v>
      </c>
      <c r="AH865">
        <v>6174303</v>
      </c>
      <c r="AI865">
        <v>46115</v>
      </c>
      <c r="AJ865">
        <v>46116</v>
      </c>
      <c r="AK865">
        <v>2352</v>
      </c>
      <c r="AL865" t="s">
        <v>396</v>
      </c>
      <c r="AM865" t="s">
        <v>2796</v>
      </c>
      <c r="AN865">
        <v>46116</v>
      </c>
      <c r="AO865">
        <v>46116.678865740738</v>
      </c>
      <c r="AP865" t="s">
        <v>51</v>
      </c>
      <c r="AQ865">
        <v>3.2110699999999999</v>
      </c>
      <c r="AR865">
        <v>7552.44</v>
      </c>
      <c r="AS865" t="s">
        <v>51</v>
      </c>
      <c r="AT865">
        <v>7552.44</v>
      </c>
      <c r="AU865" t="s">
        <v>415</v>
      </c>
      <c r="AV865" t="s">
        <v>557</v>
      </c>
      <c r="AW865" t="s">
        <v>2792</v>
      </c>
      <c r="AX865">
        <v>46120</v>
      </c>
      <c r="AY865">
        <v>46169</v>
      </c>
      <c r="AZ865" t="s">
        <v>2793</v>
      </c>
      <c r="BA865" t="s">
        <v>560</v>
      </c>
      <c r="BB865" t="s">
        <v>2794</v>
      </c>
      <c r="BC865">
        <v>14</v>
      </c>
      <c r="BD865" t="s">
        <v>521</v>
      </c>
      <c r="BE865">
        <v>3.2919999999999998</v>
      </c>
      <c r="BF865">
        <v>1.792</v>
      </c>
      <c r="BG865" t="s">
        <v>522</v>
      </c>
      <c r="BH865">
        <v>595</v>
      </c>
      <c r="BI865">
        <v>395</v>
      </c>
      <c r="BJ865">
        <v>145</v>
      </c>
      <c r="BK865">
        <v>24</v>
      </c>
      <c r="BL865" t="s">
        <v>521</v>
      </c>
      <c r="BM865">
        <v>104.008</v>
      </c>
      <c r="BN865">
        <v>43.008000000000003</v>
      </c>
      <c r="BO865">
        <v>728.05600000000004</v>
      </c>
      <c r="BP865" t="s">
        <v>522</v>
      </c>
      <c r="BQ865">
        <v>1200</v>
      </c>
      <c r="BR865">
        <v>800</v>
      </c>
      <c r="BS865">
        <v>1030</v>
      </c>
      <c r="BT865">
        <v>7</v>
      </c>
      <c r="BU865">
        <v>0</v>
      </c>
      <c r="BV865">
        <v>7</v>
      </c>
      <c r="BW865">
        <v>168</v>
      </c>
      <c r="BX865">
        <v>0</v>
      </c>
      <c r="BY865">
        <v>168</v>
      </c>
      <c r="BZ865">
        <v>2352</v>
      </c>
      <c r="CA865">
        <v>0</v>
      </c>
      <c r="CB865">
        <v>2352</v>
      </c>
      <c r="CC865">
        <v>301.05599999999998</v>
      </c>
      <c r="CD865" t="s">
        <v>783</v>
      </c>
      <c r="CE865" t="s">
        <v>1370</v>
      </c>
      <c r="CG865" t="s">
        <v>421</v>
      </c>
      <c r="CN865" t="str">
        <v>M19</v>
      </c>
      <c r="CO865" t="str">
        <v>1330-5YY0112EN</v>
      </c>
      <c r="CP865" t="str">
        <v>TCLU8687015</v>
      </c>
      <c r="CQ865" s="23">
        <v>148.10568000000001</v>
      </c>
      <c r="CR865" s="25">
        <f t="shared" si="35"/>
        <v>1.0345695978557045E-2</v>
      </c>
      <c r="CS865" s="21">
        <f t="shared" si="36"/>
        <v>25.864239946392612</v>
      </c>
    </row>
    <row r="866" spans="2:97" x14ac:dyDescent="0.35">
      <c r="B866" t="s">
        <v>295</v>
      </c>
      <c r="C866" t="s">
        <v>868</v>
      </c>
      <c r="D866" t="s">
        <v>395</v>
      </c>
      <c r="E866" t="s">
        <v>395</v>
      </c>
      <c r="F866" t="s">
        <v>396</v>
      </c>
      <c r="G866" t="s">
        <v>397</v>
      </c>
      <c r="H866" t="s">
        <v>398</v>
      </c>
      <c r="I866" t="s">
        <v>399</v>
      </c>
      <c r="J866" t="s">
        <v>749</v>
      </c>
      <c r="K866" t="s">
        <v>629</v>
      </c>
      <c r="L866" t="s">
        <v>787</v>
      </c>
      <c r="M866" t="s">
        <v>403</v>
      </c>
      <c r="N866">
        <v>1</v>
      </c>
      <c r="O866">
        <v>14</v>
      </c>
      <c r="P866" t="s">
        <v>869</v>
      </c>
      <c r="Q866" t="s">
        <v>637</v>
      </c>
      <c r="R866" t="s">
        <v>870</v>
      </c>
      <c r="S866" t="s">
        <v>871</v>
      </c>
      <c r="T866" t="s">
        <v>408</v>
      </c>
      <c r="U866">
        <v>50950076250</v>
      </c>
      <c r="W866">
        <v>1200</v>
      </c>
      <c r="X866" t="s">
        <v>409</v>
      </c>
      <c r="Y866" t="s">
        <v>410</v>
      </c>
      <c r="Z866" t="s">
        <v>410</v>
      </c>
      <c r="AA866" t="s">
        <v>411</v>
      </c>
      <c r="AB866" t="s">
        <v>554</v>
      </c>
      <c r="AC866" t="s">
        <v>411</v>
      </c>
      <c r="AD866">
        <v>46118</v>
      </c>
      <c r="AE866">
        <v>46118</v>
      </c>
      <c r="AF866">
        <v>46120</v>
      </c>
      <c r="AG866" t="s">
        <v>754</v>
      </c>
      <c r="AH866">
        <v>6174304</v>
      </c>
      <c r="AI866">
        <v>46115</v>
      </c>
      <c r="AJ866">
        <v>46116</v>
      </c>
      <c r="AK866">
        <v>1200</v>
      </c>
      <c r="AL866" t="s">
        <v>396</v>
      </c>
      <c r="AM866" t="s">
        <v>2797</v>
      </c>
      <c r="AN866">
        <v>46116</v>
      </c>
      <c r="AO866">
        <v>46116.678865740738</v>
      </c>
      <c r="AP866" t="s">
        <v>51</v>
      </c>
      <c r="AQ866">
        <v>1.09693</v>
      </c>
      <c r="AR866">
        <v>1316.32</v>
      </c>
      <c r="AS866" t="s">
        <v>51</v>
      </c>
      <c r="AT866">
        <v>1316.32</v>
      </c>
      <c r="AU866" t="s">
        <v>415</v>
      </c>
      <c r="AV866" t="s">
        <v>557</v>
      </c>
      <c r="AW866" t="s">
        <v>2792</v>
      </c>
      <c r="AX866">
        <v>46120</v>
      </c>
      <c r="AY866">
        <v>46169</v>
      </c>
      <c r="AZ866" t="s">
        <v>2793</v>
      </c>
      <c r="BA866" t="s">
        <v>560</v>
      </c>
      <c r="BB866" t="s">
        <v>2794</v>
      </c>
      <c r="BC866">
        <v>40</v>
      </c>
      <c r="BD866" t="s">
        <v>521</v>
      </c>
      <c r="BE866">
        <v>4.4851000000000001</v>
      </c>
      <c r="BF866">
        <v>3.3351000000000002</v>
      </c>
      <c r="BG866" t="s">
        <v>522</v>
      </c>
      <c r="BH866">
        <v>495</v>
      </c>
      <c r="BI866">
        <v>395</v>
      </c>
      <c r="BJ866">
        <v>1800</v>
      </c>
      <c r="BK866">
        <v>30</v>
      </c>
      <c r="BL866" t="s">
        <v>521</v>
      </c>
      <c r="BM866">
        <v>161.55359999999999</v>
      </c>
      <c r="BN866">
        <v>100.0536</v>
      </c>
      <c r="BO866">
        <v>161.55359999999999</v>
      </c>
      <c r="BP866" t="s">
        <v>522</v>
      </c>
      <c r="BQ866">
        <v>1200</v>
      </c>
      <c r="BR866">
        <v>1000</v>
      </c>
      <c r="BS866">
        <v>1058</v>
      </c>
      <c r="BT866">
        <v>1</v>
      </c>
      <c r="BU866">
        <v>0</v>
      </c>
      <c r="BV866">
        <v>1</v>
      </c>
      <c r="BW866">
        <v>30</v>
      </c>
      <c r="BX866">
        <v>0</v>
      </c>
      <c r="BY866">
        <v>30</v>
      </c>
      <c r="BZ866">
        <v>1200</v>
      </c>
      <c r="CA866">
        <v>0</v>
      </c>
      <c r="CB866">
        <v>1200</v>
      </c>
      <c r="CC866">
        <v>100.0536</v>
      </c>
      <c r="CD866" t="s">
        <v>799</v>
      </c>
      <c r="CE866" t="s">
        <v>873</v>
      </c>
      <c r="CG866" t="s">
        <v>421</v>
      </c>
      <c r="CN866" t="str">
        <v>M19</v>
      </c>
      <c r="CO866" t="str">
        <v>1330-5YY0176EN</v>
      </c>
      <c r="CP866" t="str">
        <v>TCLU8687015</v>
      </c>
      <c r="CQ866" s="23">
        <v>547.50720000000001</v>
      </c>
      <c r="CR866" s="25">
        <f t="shared" si="35"/>
        <v>3.8245278893226965E-2</v>
      </c>
      <c r="CS866" s="21">
        <f t="shared" si="36"/>
        <v>95.61319723306741</v>
      </c>
    </row>
    <row r="867" spans="2:97" x14ac:dyDescent="0.35">
      <c r="B867" t="s">
        <v>296</v>
      </c>
      <c r="C867" t="s">
        <v>2798</v>
      </c>
      <c r="D867" t="s">
        <v>395</v>
      </c>
      <c r="E867" t="s">
        <v>395</v>
      </c>
      <c r="F867" t="s">
        <v>396</v>
      </c>
      <c r="G867" t="s">
        <v>397</v>
      </c>
      <c r="H867" t="s">
        <v>398</v>
      </c>
      <c r="I867" t="s">
        <v>399</v>
      </c>
      <c r="J867" t="s">
        <v>749</v>
      </c>
      <c r="K867" t="s">
        <v>629</v>
      </c>
      <c r="L867" t="s">
        <v>787</v>
      </c>
      <c r="M867" t="s">
        <v>403</v>
      </c>
      <c r="N867">
        <v>1</v>
      </c>
      <c r="O867">
        <v>1</v>
      </c>
      <c r="P867" t="s">
        <v>1928</v>
      </c>
      <c r="Q867" t="s">
        <v>424</v>
      </c>
      <c r="R867" t="s">
        <v>803</v>
      </c>
      <c r="S867" t="s">
        <v>1929</v>
      </c>
      <c r="T867" t="s">
        <v>408</v>
      </c>
      <c r="U867">
        <v>50950078780</v>
      </c>
      <c r="W867">
        <v>9600</v>
      </c>
      <c r="X867" t="s">
        <v>409</v>
      </c>
      <c r="Y867" t="s">
        <v>410</v>
      </c>
      <c r="Z867" t="s">
        <v>410</v>
      </c>
      <c r="AA867" t="s">
        <v>411</v>
      </c>
      <c r="AB867" t="s">
        <v>554</v>
      </c>
      <c r="AC867" t="s">
        <v>411</v>
      </c>
      <c r="AD867">
        <v>46125</v>
      </c>
      <c r="AE867">
        <v>46146</v>
      </c>
      <c r="AF867">
        <v>46120</v>
      </c>
      <c r="AG867" t="s">
        <v>754</v>
      </c>
      <c r="AH867">
        <v>6174305</v>
      </c>
      <c r="AI867">
        <v>46115</v>
      </c>
      <c r="AJ867">
        <v>46116</v>
      </c>
      <c r="AK867">
        <v>9600</v>
      </c>
      <c r="AL867" t="s">
        <v>396</v>
      </c>
      <c r="AM867" t="s">
        <v>2799</v>
      </c>
      <c r="AN867">
        <v>46116</v>
      </c>
      <c r="AO867">
        <v>46116.678865740738</v>
      </c>
      <c r="AP867" t="s">
        <v>51</v>
      </c>
      <c r="AQ867">
        <v>0.51651999999999998</v>
      </c>
      <c r="AR867">
        <v>4958.59</v>
      </c>
      <c r="AS867" t="s">
        <v>51</v>
      </c>
      <c r="AT867">
        <v>4958.59</v>
      </c>
      <c r="AU867" t="s">
        <v>415</v>
      </c>
      <c r="AV867" t="s">
        <v>557</v>
      </c>
      <c r="AW867" t="s">
        <v>2792</v>
      </c>
      <c r="AX867">
        <v>46120</v>
      </c>
      <c r="AY867">
        <v>46169</v>
      </c>
      <c r="AZ867" t="s">
        <v>2793</v>
      </c>
      <c r="BA867" t="s">
        <v>560</v>
      </c>
      <c r="BB867" t="s">
        <v>2794</v>
      </c>
      <c r="BC867">
        <v>160</v>
      </c>
      <c r="BD867" t="s">
        <v>521</v>
      </c>
      <c r="BE867">
        <v>14.644299999999999</v>
      </c>
      <c r="BF867">
        <v>13.4643</v>
      </c>
      <c r="BG867" t="s">
        <v>522</v>
      </c>
      <c r="BH867">
        <v>395</v>
      </c>
      <c r="BI867">
        <v>295</v>
      </c>
      <c r="BJ867">
        <v>140</v>
      </c>
      <c r="BK867">
        <v>60</v>
      </c>
      <c r="BL867" t="s">
        <v>521</v>
      </c>
      <c r="BM867">
        <v>905.65920000000006</v>
      </c>
      <c r="BN867">
        <v>807.85919999999999</v>
      </c>
      <c r="BO867">
        <v>905.65920000000006</v>
      </c>
      <c r="BP867" t="s">
        <v>522</v>
      </c>
      <c r="BQ867">
        <v>1200</v>
      </c>
      <c r="BR867">
        <v>1000</v>
      </c>
      <c r="BS867">
        <v>1000</v>
      </c>
      <c r="BT867">
        <v>1</v>
      </c>
      <c r="BU867">
        <v>0</v>
      </c>
      <c r="BV867">
        <v>1</v>
      </c>
      <c r="BW867">
        <v>60</v>
      </c>
      <c r="BX867">
        <v>0</v>
      </c>
      <c r="BY867">
        <v>60</v>
      </c>
      <c r="BZ867">
        <v>9600</v>
      </c>
      <c r="CA867">
        <v>0</v>
      </c>
      <c r="CB867">
        <v>9600</v>
      </c>
      <c r="CC867">
        <v>807.85919999999999</v>
      </c>
      <c r="CD867" t="s">
        <v>850</v>
      </c>
      <c r="CE867" t="s">
        <v>1931</v>
      </c>
      <c r="CG867" t="s">
        <v>421</v>
      </c>
      <c r="CN867" t="str">
        <v>M19</v>
      </c>
      <c r="CO867" t="str">
        <v>1301-5YY0305EN0093</v>
      </c>
      <c r="CP867" t="str">
        <v>TCLU8687015</v>
      </c>
      <c r="CQ867" s="23">
        <v>472.96289999999999</v>
      </c>
      <c r="CR867" s="25">
        <f t="shared" si="35"/>
        <v>3.3038100716573982E-2</v>
      </c>
      <c r="CS867" s="21">
        <f t="shared" si="36"/>
        <v>82.595251791434947</v>
      </c>
    </row>
    <row r="868" spans="2:97" x14ac:dyDescent="0.35">
      <c r="B868" t="s">
        <v>296</v>
      </c>
      <c r="C868" t="s">
        <v>2800</v>
      </c>
      <c r="D868" t="s">
        <v>395</v>
      </c>
      <c r="E868" t="s">
        <v>395</v>
      </c>
      <c r="F868" t="s">
        <v>396</v>
      </c>
      <c r="G868" t="s">
        <v>397</v>
      </c>
      <c r="H868" t="s">
        <v>398</v>
      </c>
      <c r="I868" t="s">
        <v>399</v>
      </c>
      <c r="J868" t="s">
        <v>749</v>
      </c>
      <c r="K868" t="s">
        <v>629</v>
      </c>
      <c r="L868" t="s">
        <v>787</v>
      </c>
      <c r="M868" t="s">
        <v>403</v>
      </c>
      <c r="N868">
        <v>1</v>
      </c>
      <c r="O868">
        <v>1</v>
      </c>
      <c r="P868" t="s">
        <v>881</v>
      </c>
      <c r="Q868" t="s">
        <v>645</v>
      </c>
      <c r="R868" t="s">
        <v>882</v>
      </c>
      <c r="S868" t="s">
        <v>883</v>
      </c>
      <c r="T868" t="s">
        <v>408</v>
      </c>
      <c r="U868">
        <v>50950079682</v>
      </c>
      <c r="W868">
        <v>13200</v>
      </c>
      <c r="X868" t="s">
        <v>409</v>
      </c>
      <c r="Y868" t="s">
        <v>410</v>
      </c>
      <c r="Z868" t="s">
        <v>410</v>
      </c>
      <c r="AA868" t="s">
        <v>411</v>
      </c>
      <c r="AB868" t="s">
        <v>554</v>
      </c>
      <c r="AC868" t="s">
        <v>411</v>
      </c>
      <c r="AD868">
        <v>46111</v>
      </c>
      <c r="AE868">
        <v>46202</v>
      </c>
      <c r="AF868">
        <v>46120</v>
      </c>
      <c r="AG868" t="s">
        <v>754</v>
      </c>
      <c r="AH868">
        <v>6174306</v>
      </c>
      <c r="AI868">
        <v>46115</v>
      </c>
      <c r="AJ868">
        <v>46116</v>
      </c>
      <c r="AK868">
        <v>13200</v>
      </c>
      <c r="AL868" t="s">
        <v>396</v>
      </c>
      <c r="AM868" t="s">
        <v>2801</v>
      </c>
      <c r="AN868">
        <v>46116</v>
      </c>
      <c r="AO868">
        <v>46116.678865740738</v>
      </c>
      <c r="AP868" t="s">
        <v>51</v>
      </c>
      <c r="AQ868">
        <v>0.20003000000000001</v>
      </c>
      <c r="AR868">
        <v>2640.4</v>
      </c>
      <c r="AS868" t="s">
        <v>51</v>
      </c>
      <c r="AT868">
        <v>2640.4</v>
      </c>
      <c r="AU868" t="s">
        <v>415</v>
      </c>
      <c r="AV868" t="s">
        <v>557</v>
      </c>
      <c r="AW868" t="s">
        <v>2792</v>
      </c>
      <c r="AX868">
        <v>46120</v>
      </c>
      <c r="AY868">
        <v>46169</v>
      </c>
      <c r="AZ868" t="s">
        <v>2793</v>
      </c>
      <c r="BA868" t="s">
        <v>560</v>
      </c>
      <c r="BB868" t="s">
        <v>2794</v>
      </c>
      <c r="BC868">
        <v>264</v>
      </c>
      <c r="BD868" t="s">
        <v>521</v>
      </c>
      <c r="BE868">
        <v>5.2203999999999997</v>
      </c>
      <c r="BF868">
        <v>3.8304</v>
      </c>
      <c r="BG868" t="s">
        <v>522</v>
      </c>
      <c r="BH868">
        <v>595</v>
      </c>
      <c r="BI868">
        <v>395</v>
      </c>
      <c r="BJ868">
        <v>175</v>
      </c>
      <c r="BK868">
        <v>25</v>
      </c>
      <c r="BL868" t="s">
        <v>521</v>
      </c>
      <c r="BM868">
        <v>157.51</v>
      </c>
      <c r="BN868">
        <v>95.76</v>
      </c>
      <c r="BO868">
        <v>315.0188</v>
      </c>
      <c r="BP868" t="s">
        <v>522</v>
      </c>
      <c r="BQ868">
        <v>1200</v>
      </c>
      <c r="BR868">
        <v>1000</v>
      </c>
      <c r="BS868">
        <v>1035</v>
      </c>
      <c r="BT868">
        <v>2</v>
      </c>
      <c r="BU868">
        <v>0</v>
      </c>
      <c r="BV868">
        <v>2</v>
      </c>
      <c r="BW868">
        <v>50</v>
      </c>
      <c r="BX868">
        <v>0</v>
      </c>
      <c r="BY868">
        <v>50</v>
      </c>
      <c r="BZ868">
        <v>13200</v>
      </c>
      <c r="CA868">
        <v>0</v>
      </c>
      <c r="CB868">
        <v>13200</v>
      </c>
      <c r="CC868">
        <v>191.5188</v>
      </c>
      <c r="CD868" t="s">
        <v>885</v>
      </c>
      <c r="CE868" t="s">
        <v>886</v>
      </c>
      <c r="CG868" t="s">
        <v>421</v>
      </c>
      <c r="CN868" t="str">
        <v>M19</v>
      </c>
      <c r="CO868" t="str">
        <v>1330-5YY0112EN</v>
      </c>
      <c r="CP868" t="str">
        <v>TCLU8687015</v>
      </c>
      <c r="CQ868" s="23">
        <v>888.63408000000004</v>
      </c>
      <c r="CR868" s="25">
        <f t="shared" si="35"/>
        <v>6.2074175871342264E-2</v>
      </c>
      <c r="CS868" s="21">
        <f t="shared" si="36"/>
        <v>155.18543967835566</v>
      </c>
    </row>
    <row r="869" spans="2:97" x14ac:dyDescent="0.35">
      <c r="B869" t="s">
        <v>299</v>
      </c>
      <c r="C869" t="s">
        <v>1380</v>
      </c>
      <c r="D869" t="s">
        <v>965</v>
      </c>
      <c r="E869" t="s">
        <v>395</v>
      </c>
      <c r="F869" t="s">
        <v>396</v>
      </c>
      <c r="G869" t="s">
        <v>397</v>
      </c>
      <c r="H869" t="s">
        <v>398</v>
      </c>
      <c r="I869" t="s">
        <v>399</v>
      </c>
      <c r="J869" t="s">
        <v>749</v>
      </c>
      <c r="K869" t="s">
        <v>809</v>
      </c>
      <c r="L869" t="s">
        <v>787</v>
      </c>
      <c r="M869" t="s">
        <v>403</v>
      </c>
      <c r="N869">
        <v>1</v>
      </c>
      <c r="O869">
        <v>5</v>
      </c>
      <c r="P869" t="s">
        <v>810</v>
      </c>
      <c r="Q869" t="s">
        <v>405</v>
      </c>
      <c r="R869" t="s">
        <v>811</v>
      </c>
      <c r="S869" t="s">
        <v>812</v>
      </c>
      <c r="T869" t="s">
        <v>408</v>
      </c>
      <c r="U869">
        <v>50950080270</v>
      </c>
      <c r="W869">
        <v>1440</v>
      </c>
      <c r="X869" t="s">
        <v>409</v>
      </c>
      <c r="Y869" t="s">
        <v>410</v>
      </c>
      <c r="Z869" t="s">
        <v>410</v>
      </c>
      <c r="AA869" t="s">
        <v>411</v>
      </c>
      <c r="AB869" t="s">
        <v>554</v>
      </c>
      <c r="AC869" t="s">
        <v>411</v>
      </c>
      <c r="AD869">
        <v>46116</v>
      </c>
      <c r="AE869">
        <v>46125</v>
      </c>
      <c r="AF869">
        <v>46120</v>
      </c>
      <c r="AG869" t="s">
        <v>754</v>
      </c>
      <c r="AH869">
        <v>6174307</v>
      </c>
      <c r="AI869">
        <v>46115</v>
      </c>
      <c r="AJ869">
        <v>46116</v>
      </c>
      <c r="AK869">
        <v>1440</v>
      </c>
      <c r="AL869" t="s">
        <v>396</v>
      </c>
      <c r="AM869" t="s">
        <v>2802</v>
      </c>
      <c r="AN869">
        <v>46116</v>
      </c>
      <c r="AO869">
        <v>46116.678865740738</v>
      </c>
      <c r="AP869" t="s">
        <v>51</v>
      </c>
      <c r="AQ869">
        <v>2.0436299999999998</v>
      </c>
      <c r="AR869">
        <v>2942.82</v>
      </c>
      <c r="AS869" t="s">
        <v>51</v>
      </c>
      <c r="AT869">
        <v>2942.82</v>
      </c>
      <c r="AU869" t="s">
        <v>415</v>
      </c>
      <c r="AV869" t="s">
        <v>557</v>
      </c>
      <c r="AW869" t="s">
        <v>2792</v>
      </c>
      <c r="AX869">
        <v>46120</v>
      </c>
      <c r="AY869">
        <v>46169</v>
      </c>
      <c r="AZ869" t="s">
        <v>2793</v>
      </c>
      <c r="BA869" t="s">
        <v>560</v>
      </c>
      <c r="BB869" t="s">
        <v>2794</v>
      </c>
      <c r="BC869">
        <v>16</v>
      </c>
      <c r="BD869" t="s">
        <v>521</v>
      </c>
      <c r="BE869">
        <v>4.9545000000000003</v>
      </c>
      <c r="BF869">
        <v>3.7555000000000001</v>
      </c>
      <c r="BG869" t="s">
        <v>522</v>
      </c>
      <c r="BH869">
        <v>495</v>
      </c>
      <c r="BI869">
        <v>395</v>
      </c>
      <c r="BJ869">
        <v>190</v>
      </c>
      <c r="BK869">
        <v>30</v>
      </c>
      <c r="BL869" t="s">
        <v>521</v>
      </c>
      <c r="BM869">
        <v>175.63499999999999</v>
      </c>
      <c r="BN869">
        <v>112.66500000000001</v>
      </c>
      <c r="BO869">
        <v>526.90679999999998</v>
      </c>
      <c r="BP869" t="s">
        <v>522</v>
      </c>
      <c r="BQ869">
        <v>1200</v>
      </c>
      <c r="BR869">
        <v>1000</v>
      </c>
      <c r="BS869">
        <v>1120</v>
      </c>
      <c r="BT869">
        <v>3</v>
      </c>
      <c r="BU869">
        <v>0</v>
      </c>
      <c r="BV869">
        <v>3</v>
      </c>
      <c r="BW869">
        <v>90</v>
      </c>
      <c r="BX869">
        <v>0</v>
      </c>
      <c r="BY869">
        <v>90</v>
      </c>
      <c r="BZ869">
        <v>1440</v>
      </c>
      <c r="CA869">
        <v>0</v>
      </c>
      <c r="CB869">
        <v>1440</v>
      </c>
      <c r="CC869">
        <v>337.99680000000001</v>
      </c>
      <c r="CD869" t="s">
        <v>806</v>
      </c>
      <c r="CE869" t="s">
        <v>816</v>
      </c>
      <c r="CG869" t="s">
        <v>421</v>
      </c>
      <c r="CN869" t="str">
        <v>M19</v>
      </c>
      <c r="CO869" t="str">
        <v>1301-5YY0306EN0093</v>
      </c>
      <c r="CP869" t="str">
        <v>TCLU8687015</v>
      </c>
      <c r="CQ869" s="23">
        <v>1973.6251199999999</v>
      </c>
      <c r="CR869" s="25">
        <f t="shared" si="35"/>
        <v>0.13786456716017348</v>
      </c>
      <c r="CS869" s="21">
        <f t="shared" si="36"/>
        <v>344.66141790043372</v>
      </c>
    </row>
    <row r="870" spans="2:97" x14ac:dyDescent="0.35">
      <c r="B870" t="s">
        <v>299</v>
      </c>
      <c r="C870" t="s">
        <v>2803</v>
      </c>
      <c r="D870" t="s">
        <v>395</v>
      </c>
      <c r="E870" t="s">
        <v>395</v>
      </c>
      <c r="F870" t="s">
        <v>396</v>
      </c>
      <c r="G870" t="s">
        <v>397</v>
      </c>
      <c r="H870" t="s">
        <v>398</v>
      </c>
      <c r="I870" t="s">
        <v>399</v>
      </c>
      <c r="J870" t="s">
        <v>749</v>
      </c>
      <c r="K870" t="s">
        <v>845</v>
      </c>
      <c r="L870" t="s">
        <v>787</v>
      </c>
      <c r="M870" t="s">
        <v>403</v>
      </c>
      <c r="N870">
        <v>1</v>
      </c>
      <c r="O870">
        <v>1</v>
      </c>
      <c r="P870" t="s">
        <v>846</v>
      </c>
      <c r="Q870" t="s">
        <v>405</v>
      </c>
      <c r="R870" t="s">
        <v>847</v>
      </c>
      <c r="S870" t="s">
        <v>848</v>
      </c>
      <c r="T870" t="s">
        <v>408</v>
      </c>
      <c r="U870">
        <v>50950081260</v>
      </c>
      <c r="W870">
        <v>1620</v>
      </c>
      <c r="X870" t="s">
        <v>409</v>
      </c>
      <c r="Y870" t="s">
        <v>410</v>
      </c>
      <c r="Z870" t="s">
        <v>410</v>
      </c>
      <c r="AA870" t="s">
        <v>411</v>
      </c>
      <c r="AB870" t="s">
        <v>554</v>
      </c>
      <c r="AC870" t="s">
        <v>411</v>
      </c>
      <c r="AD870">
        <v>46109</v>
      </c>
      <c r="AE870">
        <v>46167</v>
      </c>
      <c r="AF870">
        <v>46120</v>
      </c>
      <c r="AG870" t="s">
        <v>754</v>
      </c>
      <c r="AH870">
        <v>6174308</v>
      </c>
      <c r="AI870">
        <v>46115</v>
      </c>
      <c r="AJ870">
        <v>46116</v>
      </c>
      <c r="AK870">
        <v>1620</v>
      </c>
      <c r="AL870" t="s">
        <v>396</v>
      </c>
      <c r="AM870" t="s">
        <v>2804</v>
      </c>
      <c r="AN870">
        <v>46116</v>
      </c>
      <c r="AO870">
        <v>46116.678865740738</v>
      </c>
      <c r="AP870" t="s">
        <v>51</v>
      </c>
      <c r="AQ870">
        <v>1.38029</v>
      </c>
      <c r="AR870">
        <v>2236.06</v>
      </c>
      <c r="AS870" t="s">
        <v>51</v>
      </c>
      <c r="AT870">
        <v>2236.06</v>
      </c>
      <c r="AU870" t="s">
        <v>415</v>
      </c>
      <c r="AV870" t="s">
        <v>557</v>
      </c>
      <c r="AW870" t="s">
        <v>2792</v>
      </c>
      <c r="AX870">
        <v>46120</v>
      </c>
      <c r="AY870">
        <v>46169</v>
      </c>
      <c r="AZ870" t="s">
        <v>2793</v>
      </c>
      <c r="BA870" t="s">
        <v>560</v>
      </c>
      <c r="BB870" t="s">
        <v>2794</v>
      </c>
      <c r="BC870">
        <v>27</v>
      </c>
      <c r="BD870" t="s">
        <v>521</v>
      </c>
      <c r="BE870">
        <v>14.865399999999999</v>
      </c>
      <c r="BF870">
        <v>13.6374</v>
      </c>
      <c r="BG870" t="s">
        <v>522</v>
      </c>
      <c r="BH870">
        <v>495</v>
      </c>
      <c r="BI870">
        <v>395</v>
      </c>
      <c r="BJ870">
        <v>170</v>
      </c>
      <c r="BK870">
        <v>30</v>
      </c>
      <c r="BL870" t="s">
        <v>521</v>
      </c>
      <c r="BM870">
        <v>472.96199999999999</v>
      </c>
      <c r="BN870">
        <v>409.12200000000001</v>
      </c>
      <c r="BO870">
        <v>945.92579999999998</v>
      </c>
      <c r="BP870" t="s">
        <v>522</v>
      </c>
      <c r="BQ870">
        <v>1200</v>
      </c>
      <c r="BR870">
        <v>1000</v>
      </c>
      <c r="BS870">
        <v>1000</v>
      </c>
      <c r="BT870">
        <v>2</v>
      </c>
      <c r="BU870">
        <v>0</v>
      </c>
      <c r="BV870">
        <v>2</v>
      </c>
      <c r="BW870">
        <v>60</v>
      </c>
      <c r="BX870">
        <v>0</v>
      </c>
      <c r="BY870">
        <v>60</v>
      </c>
      <c r="BZ870">
        <v>1620</v>
      </c>
      <c r="CA870">
        <v>0</v>
      </c>
      <c r="CB870">
        <v>1620</v>
      </c>
      <c r="CC870">
        <v>818.24580000000003</v>
      </c>
      <c r="CD870" t="s">
        <v>850</v>
      </c>
      <c r="CE870" t="s">
        <v>851</v>
      </c>
      <c r="CG870" t="s">
        <v>421</v>
      </c>
      <c r="CN870" t="str">
        <v>M23</v>
      </c>
      <c r="CO870" t="str">
        <v>1401-1060029-92EN</v>
      </c>
      <c r="CP870" t="str">
        <v>TCLU8687015</v>
      </c>
      <c r="CQ870" s="23">
        <v>215.08</v>
      </c>
      <c r="CR870" s="25">
        <f t="shared" si="35"/>
        <v>1.502408476884917E-2</v>
      </c>
      <c r="CS870" s="21">
        <f t="shared" si="36"/>
        <v>37.560211922122924</v>
      </c>
    </row>
    <row r="871" spans="2:97" x14ac:dyDescent="0.35">
      <c r="B871" t="s">
        <v>299</v>
      </c>
      <c r="C871" t="s">
        <v>2803</v>
      </c>
      <c r="D871" t="s">
        <v>395</v>
      </c>
      <c r="E871" t="s">
        <v>395</v>
      </c>
      <c r="F871" t="s">
        <v>396</v>
      </c>
      <c r="G871" t="s">
        <v>397</v>
      </c>
      <c r="H871" t="s">
        <v>398</v>
      </c>
      <c r="I871" t="s">
        <v>399</v>
      </c>
      <c r="J871" t="s">
        <v>749</v>
      </c>
      <c r="K871" t="s">
        <v>845</v>
      </c>
      <c r="L871" t="s">
        <v>787</v>
      </c>
      <c r="M871" t="s">
        <v>403</v>
      </c>
      <c r="N871">
        <v>1</v>
      </c>
      <c r="O871">
        <v>2</v>
      </c>
      <c r="P871" t="s">
        <v>846</v>
      </c>
      <c r="Q871" t="s">
        <v>405</v>
      </c>
      <c r="R871" t="s">
        <v>847</v>
      </c>
      <c r="S871" t="s">
        <v>848</v>
      </c>
      <c r="T871" t="s">
        <v>408</v>
      </c>
      <c r="U871">
        <v>50950081260</v>
      </c>
      <c r="W871">
        <v>3240</v>
      </c>
      <c r="X871" t="s">
        <v>409</v>
      </c>
      <c r="Y871" t="s">
        <v>410</v>
      </c>
      <c r="Z871" t="s">
        <v>410</v>
      </c>
      <c r="AA871" t="s">
        <v>411</v>
      </c>
      <c r="AB871" t="s">
        <v>554</v>
      </c>
      <c r="AC871" t="s">
        <v>411</v>
      </c>
      <c r="AD871">
        <v>46109</v>
      </c>
      <c r="AE871">
        <v>46167</v>
      </c>
      <c r="AF871">
        <v>46120</v>
      </c>
      <c r="AG871" t="s">
        <v>754</v>
      </c>
      <c r="AH871">
        <v>6174308</v>
      </c>
      <c r="AI871">
        <v>46115</v>
      </c>
      <c r="AJ871">
        <v>46116</v>
      </c>
      <c r="AK871">
        <v>3240</v>
      </c>
      <c r="AL871" t="s">
        <v>396</v>
      </c>
      <c r="AM871" t="s">
        <v>2804</v>
      </c>
      <c r="AN871">
        <v>46116</v>
      </c>
      <c r="AO871">
        <v>46116.678865740738</v>
      </c>
      <c r="AP871" t="s">
        <v>51</v>
      </c>
      <c r="AQ871">
        <v>1.38029</v>
      </c>
      <c r="AR871">
        <v>4472.12</v>
      </c>
      <c r="AS871" t="s">
        <v>51</v>
      </c>
      <c r="AT871">
        <v>4472.12</v>
      </c>
      <c r="AU871" t="s">
        <v>415</v>
      </c>
      <c r="AV871" t="s">
        <v>557</v>
      </c>
      <c r="AW871" t="s">
        <v>2792</v>
      </c>
      <c r="AX871">
        <v>46120</v>
      </c>
      <c r="AY871">
        <v>46169</v>
      </c>
      <c r="AZ871" t="s">
        <v>2793</v>
      </c>
      <c r="BA871" t="s">
        <v>560</v>
      </c>
      <c r="BB871" t="s">
        <v>2794</v>
      </c>
      <c r="BC871">
        <v>27</v>
      </c>
      <c r="BD871" t="s">
        <v>521</v>
      </c>
      <c r="BE871">
        <v>14.865399999999999</v>
      </c>
      <c r="BF871">
        <v>13.6374</v>
      </c>
      <c r="BG871" t="s">
        <v>522</v>
      </c>
      <c r="BH871">
        <v>495</v>
      </c>
      <c r="BI871">
        <v>395</v>
      </c>
      <c r="BJ871">
        <v>170</v>
      </c>
      <c r="BK871">
        <v>30</v>
      </c>
      <c r="BL871" t="s">
        <v>521</v>
      </c>
      <c r="BM871">
        <v>472.96199999999999</v>
      </c>
      <c r="BN871">
        <v>409.12200000000001</v>
      </c>
      <c r="BO871">
        <v>1891.8516</v>
      </c>
      <c r="BP871" t="s">
        <v>522</v>
      </c>
      <c r="BQ871">
        <v>1200</v>
      </c>
      <c r="BR871">
        <v>1000</v>
      </c>
      <c r="BS871">
        <v>1000</v>
      </c>
      <c r="BT871">
        <v>4</v>
      </c>
      <c r="BU871">
        <v>0</v>
      </c>
      <c r="BV871">
        <v>4</v>
      </c>
      <c r="BW871">
        <v>120</v>
      </c>
      <c r="BX871">
        <v>0</v>
      </c>
      <c r="BY871">
        <v>120</v>
      </c>
      <c r="BZ871">
        <v>3240</v>
      </c>
      <c r="CA871">
        <v>0</v>
      </c>
      <c r="CB871">
        <v>3240</v>
      </c>
      <c r="CC871">
        <v>1636.4916000000001</v>
      </c>
      <c r="CD871" t="s">
        <v>850</v>
      </c>
      <c r="CE871" t="s">
        <v>851</v>
      </c>
      <c r="CG871" t="s">
        <v>421</v>
      </c>
      <c r="CN871" t="str">
        <v>M46</v>
      </c>
      <c r="CO871" t="str">
        <v>1301-1060387EN</v>
      </c>
      <c r="CP871" t="str">
        <v>TCLU8687015</v>
      </c>
      <c r="CQ871" s="23">
        <v>661.28031999999996</v>
      </c>
      <c r="CR871" s="25">
        <f t="shared" si="35"/>
        <v>4.6192726351365558E-2</v>
      </c>
      <c r="CS871" s="21">
        <f t="shared" si="36"/>
        <v>115.4818158784139</v>
      </c>
    </row>
    <row r="872" spans="2:97" x14ac:dyDescent="0.35">
      <c r="B872" t="s">
        <v>299</v>
      </c>
      <c r="C872" t="s">
        <v>2671</v>
      </c>
      <c r="D872" t="s">
        <v>395</v>
      </c>
      <c r="E872" t="s">
        <v>395</v>
      </c>
      <c r="F872" t="s">
        <v>396</v>
      </c>
      <c r="G872" t="s">
        <v>397</v>
      </c>
      <c r="H872" t="s">
        <v>398</v>
      </c>
      <c r="I872" t="s">
        <v>399</v>
      </c>
      <c r="J872" t="s">
        <v>749</v>
      </c>
      <c r="K872" t="s">
        <v>809</v>
      </c>
      <c r="L872" t="s">
        <v>787</v>
      </c>
      <c r="M872" t="s">
        <v>403</v>
      </c>
      <c r="N872">
        <v>1</v>
      </c>
      <c r="O872">
        <v>3</v>
      </c>
      <c r="P872" t="s">
        <v>828</v>
      </c>
      <c r="Q872" t="s">
        <v>587</v>
      </c>
      <c r="R872" t="s">
        <v>811</v>
      </c>
      <c r="S872" t="s">
        <v>829</v>
      </c>
      <c r="T872" t="s">
        <v>408</v>
      </c>
      <c r="U872">
        <v>50950081266</v>
      </c>
      <c r="W872">
        <v>480</v>
      </c>
      <c r="X872" t="s">
        <v>409</v>
      </c>
      <c r="Y872" t="s">
        <v>410</v>
      </c>
      <c r="Z872" t="s">
        <v>410</v>
      </c>
      <c r="AA872" t="s">
        <v>411</v>
      </c>
      <c r="AB872" t="s">
        <v>554</v>
      </c>
      <c r="AC872" t="s">
        <v>411</v>
      </c>
      <c r="AD872">
        <v>46119</v>
      </c>
      <c r="AE872">
        <v>46174</v>
      </c>
      <c r="AF872">
        <v>46120</v>
      </c>
      <c r="AG872" t="s">
        <v>754</v>
      </c>
      <c r="AH872">
        <v>6174309</v>
      </c>
      <c r="AI872">
        <v>46115</v>
      </c>
      <c r="AJ872">
        <v>46116</v>
      </c>
      <c r="AK872">
        <v>480</v>
      </c>
      <c r="AL872" t="s">
        <v>396</v>
      </c>
      <c r="AM872" t="s">
        <v>2805</v>
      </c>
      <c r="AN872">
        <v>46116</v>
      </c>
      <c r="AO872">
        <v>46116.678865740738</v>
      </c>
      <c r="AP872" t="s">
        <v>51</v>
      </c>
      <c r="AQ872">
        <v>1.98325</v>
      </c>
      <c r="AR872">
        <v>951.96</v>
      </c>
      <c r="AS872" t="s">
        <v>51</v>
      </c>
      <c r="AT872">
        <v>951.96</v>
      </c>
      <c r="AU872" t="s">
        <v>415</v>
      </c>
      <c r="AV872" t="s">
        <v>557</v>
      </c>
      <c r="AW872" t="s">
        <v>2792</v>
      </c>
      <c r="AX872">
        <v>46120</v>
      </c>
      <c r="AY872">
        <v>46169</v>
      </c>
      <c r="AZ872" t="s">
        <v>2793</v>
      </c>
      <c r="BA872" t="s">
        <v>560</v>
      </c>
      <c r="BB872" t="s">
        <v>2794</v>
      </c>
      <c r="BC872">
        <v>16</v>
      </c>
      <c r="BD872" t="s">
        <v>521</v>
      </c>
      <c r="BE872">
        <v>4.9409000000000001</v>
      </c>
      <c r="BF872">
        <v>3.7418999999999998</v>
      </c>
      <c r="BG872" t="s">
        <v>522</v>
      </c>
      <c r="BH872">
        <v>495</v>
      </c>
      <c r="BI872">
        <v>395</v>
      </c>
      <c r="BJ872">
        <v>190</v>
      </c>
      <c r="BK872">
        <v>30</v>
      </c>
      <c r="BL872" t="s">
        <v>521</v>
      </c>
      <c r="BM872">
        <v>175.2276</v>
      </c>
      <c r="BN872">
        <v>112.2576</v>
      </c>
      <c r="BO872">
        <v>175.2276</v>
      </c>
      <c r="BP872" t="s">
        <v>522</v>
      </c>
      <c r="BQ872">
        <v>1200</v>
      </c>
      <c r="BR872">
        <v>1000</v>
      </c>
      <c r="BS872">
        <v>1120</v>
      </c>
      <c r="BT872">
        <v>1</v>
      </c>
      <c r="BU872">
        <v>0</v>
      </c>
      <c r="BV872">
        <v>1</v>
      </c>
      <c r="BW872">
        <v>30</v>
      </c>
      <c r="BX872">
        <v>0</v>
      </c>
      <c r="BY872">
        <v>30</v>
      </c>
      <c r="BZ872">
        <v>480</v>
      </c>
      <c r="CA872">
        <v>0</v>
      </c>
      <c r="CB872">
        <v>480</v>
      </c>
      <c r="CC872">
        <v>112.2576</v>
      </c>
      <c r="CD872" t="s">
        <v>806</v>
      </c>
      <c r="CE872" t="s">
        <v>816</v>
      </c>
      <c r="CG872" t="s">
        <v>421</v>
      </c>
      <c r="CN872" t="str">
        <v>M01</v>
      </c>
      <c r="CO872" t="str">
        <v>1200-1030990EN0002</v>
      </c>
      <c r="CP872" t="str">
        <v>TCNU2592007</v>
      </c>
      <c r="CQ872" s="23">
        <v>144.04320000000001</v>
      </c>
      <c r="CR872" s="25">
        <f t="shared" si="35"/>
        <v>1.0228215218640124E-2</v>
      </c>
      <c r="CS872" s="21">
        <f t="shared" si="36"/>
        <v>25.570538046600308</v>
      </c>
    </row>
    <row r="873" spans="2:97" x14ac:dyDescent="0.35">
      <c r="B873" t="s">
        <v>299</v>
      </c>
      <c r="C873" t="s">
        <v>2766</v>
      </c>
      <c r="D873" t="s">
        <v>395</v>
      </c>
      <c r="E873" t="s">
        <v>395</v>
      </c>
      <c r="F873" t="s">
        <v>396</v>
      </c>
      <c r="G873" t="s">
        <v>397</v>
      </c>
      <c r="H873" t="s">
        <v>398</v>
      </c>
      <c r="I873" t="s">
        <v>399</v>
      </c>
      <c r="J873" t="s">
        <v>749</v>
      </c>
      <c r="K873" t="s">
        <v>845</v>
      </c>
      <c r="L873" t="s">
        <v>787</v>
      </c>
      <c r="M873" t="s">
        <v>403</v>
      </c>
      <c r="N873">
        <v>1</v>
      </c>
      <c r="O873">
        <v>2</v>
      </c>
      <c r="P873" t="s">
        <v>853</v>
      </c>
      <c r="Q873" t="s">
        <v>789</v>
      </c>
      <c r="R873" t="s">
        <v>847</v>
      </c>
      <c r="S873" t="s">
        <v>854</v>
      </c>
      <c r="T873" t="s">
        <v>408</v>
      </c>
      <c r="U873">
        <v>50950081281</v>
      </c>
      <c r="W873">
        <v>3564</v>
      </c>
      <c r="X873" t="s">
        <v>409</v>
      </c>
      <c r="Y873" t="s">
        <v>410</v>
      </c>
      <c r="Z873" t="s">
        <v>410</v>
      </c>
      <c r="AA873" t="s">
        <v>411</v>
      </c>
      <c r="AB873" t="s">
        <v>554</v>
      </c>
      <c r="AC873" t="s">
        <v>411</v>
      </c>
      <c r="AD873">
        <v>46109</v>
      </c>
      <c r="AE873">
        <v>46167</v>
      </c>
      <c r="AF873">
        <v>46120</v>
      </c>
      <c r="AG873" t="s">
        <v>754</v>
      </c>
      <c r="AH873">
        <v>6174310</v>
      </c>
      <c r="AI873">
        <v>46115</v>
      </c>
      <c r="AJ873">
        <v>46116</v>
      </c>
      <c r="AK873">
        <v>3564</v>
      </c>
      <c r="AL873" t="s">
        <v>396</v>
      </c>
      <c r="AM873" t="s">
        <v>2806</v>
      </c>
      <c r="AN873">
        <v>46116</v>
      </c>
      <c r="AO873">
        <v>46116.678865740738</v>
      </c>
      <c r="AP873" t="s">
        <v>51</v>
      </c>
      <c r="AQ873">
        <v>0.83796999999999999</v>
      </c>
      <c r="AR873">
        <v>2986.53</v>
      </c>
      <c r="AS873" t="s">
        <v>51</v>
      </c>
      <c r="AT873">
        <v>2986.53</v>
      </c>
      <c r="AU873" t="s">
        <v>415</v>
      </c>
      <c r="AV873" t="s">
        <v>557</v>
      </c>
      <c r="AW873" t="s">
        <v>2792</v>
      </c>
      <c r="AX873">
        <v>46120</v>
      </c>
      <c r="AY873">
        <v>46169</v>
      </c>
      <c r="AZ873" t="s">
        <v>2793</v>
      </c>
      <c r="BA873" t="s">
        <v>560</v>
      </c>
      <c r="BB873" t="s">
        <v>2794</v>
      </c>
      <c r="BC873">
        <v>33</v>
      </c>
      <c r="BD873" t="s">
        <v>521</v>
      </c>
      <c r="BE873">
        <v>12.9557</v>
      </c>
      <c r="BF873">
        <v>12.005699999999999</v>
      </c>
      <c r="BG873" t="s">
        <v>522</v>
      </c>
      <c r="BH873">
        <v>495</v>
      </c>
      <c r="BI873">
        <v>395</v>
      </c>
      <c r="BJ873">
        <v>150</v>
      </c>
      <c r="BK873">
        <v>36</v>
      </c>
      <c r="BL873" t="s">
        <v>521</v>
      </c>
      <c r="BM873">
        <v>493.40519999999998</v>
      </c>
      <c r="BN873">
        <v>432.20519999999999</v>
      </c>
      <c r="BO873">
        <v>1480.21884</v>
      </c>
      <c r="BP873" t="s">
        <v>522</v>
      </c>
      <c r="BQ873">
        <v>1200</v>
      </c>
      <c r="BR873">
        <v>1000</v>
      </c>
      <c r="BS873">
        <v>1053</v>
      </c>
      <c r="BT873">
        <v>3</v>
      </c>
      <c r="BU873">
        <v>0</v>
      </c>
      <c r="BV873">
        <v>3</v>
      </c>
      <c r="BW873">
        <v>108</v>
      </c>
      <c r="BX873">
        <v>0</v>
      </c>
      <c r="BY873">
        <v>108</v>
      </c>
      <c r="BZ873">
        <v>3564</v>
      </c>
      <c r="CA873">
        <v>0</v>
      </c>
      <c r="CB873">
        <v>3564</v>
      </c>
      <c r="CC873">
        <v>1296.6188400000001</v>
      </c>
      <c r="CD873" t="s">
        <v>856</v>
      </c>
      <c r="CE873" t="s">
        <v>857</v>
      </c>
      <c r="CG873" t="s">
        <v>421</v>
      </c>
      <c r="CN873" t="str">
        <v>M19</v>
      </c>
      <c r="CO873" t="str">
        <v>1275-5YY0561EN</v>
      </c>
      <c r="CP873" t="str">
        <v>TCNU2592007</v>
      </c>
      <c r="CQ873" s="23">
        <v>798.75599999999997</v>
      </c>
      <c r="CR873" s="25">
        <f t="shared" si="35"/>
        <v>5.6718042053912364E-2</v>
      </c>
      <c r="CS873" s="21">
        <f t="shared" si="36"/>
        <v>141.7951051347809</v>
      </c>
    </row>
    <row r="874" spans="2:97" x14ac:dyDescent="0.35">
      <c r="B874" t="s">
        <v>299</v>
      </c>
      <c r="C874" t="s">
        <v>2392</v>
      </c>
      <c r="D874" t="s">
        <v>395</v>
      </c>
      <c r="E874" t="s">
        <v>395</v>
      </c>
      <c r="F874" t="s">
        <v>396</v>
      </c>
      <c r="G874" t="s">
        <v>397</v>
      </c>
      <c r="H874" t="s">
        <v>398</v>
      </c>
      <c r="I874" t="s">
        <v>399</v>
      </c>
      <c r="J874" t="s">
        <v>749</v>
      </c>
      <c r="K874" t="s">
        <v>845</v>
      </c>
      <c r="L874" t="s">
        <v>787</v>
      </c>
      <c r="M874" t="s">
        <v>403</v>
      </c>
      <c r="N874">
        <v>1</v>
      </c>
      <c r="O874">
        <v>3</v>
      </c>
      <c r="P874" t="s">
        <v>1058</v>
      </c>
      <c r="Q874" t="s">
        <v>430</v>
      </c>
      <c r="R874" t="s">
        <v>847</v>
      </c>
      <c r="S874" t="s">
        <v>1059</v>
      </c>
      <c r="T874" t="s">
        <v>408</v>
      </c>
      <c r="U874">
        <v>50950081282</v>
      </c>
      <c r="W874">
        <v>810</v>
      </c>
      <c r="X874" t="s">
        <v>409</v>
      </c>
      <c r="Y874" t="s">
        <v>410</v>
      </c>
      <c r="Z874" t="s">
        <v>410</v>
      </c>
      <c r="AA874" t="s">
        <v>411</v>
      </c>
      <c r="AB874" t="s">
        <v>554</v>
      </c>
      <c r="AC874" t="s">
        <v>411</v>
      </c>
      <c r="AD874">
        <v>46109</v>
      </c>
      <c r="AE874">
        <v>46167</v>
      </c>
      <c r="AF874">
        <v>46120</v>
      </c>
      <c r="AG874" t="s">
        <v>754</v>
      </c>
      <c r="AH874">
        <v>6174311</v>
      </c>
      <c r="AI874">
        <v>46115</v>
      </c>
      <c r="AJ874">
        <v>46116</v>
      </c>
      <c r="AK874">
        <v>810</v>
      </c>
      <c r="AL874" t="s">
        <v>396</v>
      </c>
      <c r="AM874" t="s">
        <v>2807</v>
      </c>
      <c r="AN874">
        <v>46116</v>
      </c>
      <c r="AO874">
        <v>46116.678865740738</v>
      </c>
      <c r="AP874" t="s">
        <v>51</v>
      </c>
      <c r="AQ874">
        <v>1.3774200000000001</v>
      </c>
      <c r="AR874">
        <v>1115.71</v>
      </c>
      <c r="AS874" t="s">
        <v>51</v>
      </c>
      <c r="AT874">
        <v>1115.71</v>
      </c>
      <c r="AU874" t="s">
        <v>415</v>
      </c>
      <c r="AV874" t="s">
        <v>557</v>
      </c>
      <c r="AW874" t="s">
        <v>2792</v>
      </c>
      <c r="AX874">
        <v>46120</v>
      </c>
      <c r="AY874">
        <v>46169</v>
      </c>
      <c r="AZ874" t="s">
        <v>2793</v>
      </c>
      <c r="BA874" t="s">
        <v>560</v>
      </c>
      <c r="BB874" t="s">
        <v>2794</v>
      </c>
      <c r="BC874">
        <v>27</v>
      </c>
      <c r="BD874" t="s">
        <v>521</v>
      </c>
      <c r="BE874">
        <v>13.9528</v>
      </c>
      <c r="BF874">
        <v>12.7248</v>
      </c>
      <c r="BG874" t="s">
        <v>522</v>
      </c>
      <c r="BH874">
        <v>495</v>
      </c>
      <c r="BI874">
        <v>395</v>
      </c>
      <c r="BJ874">
        <v>170</v>
      </c>
      <c r="BK874">
        <v>30</v>
      </c>
      <c r="BL874" t="s">
        <v>521</v>
      </c>
      <c r="BM874">
        <v>445.5849</v>
      </c>
      <c r="BN874">
        <v>381.74489999999997</v>
      </c>
      <c r="BO874">
        <v>445.5849</v>
      </c>
      <c r="BP874" t="s">
        <v>522</v>
      </c>
      <c r="BQ874">
        <v>1200</v>
      </c>
      <c r="BR874">
        <v>1000</v>
      </c>
      <c r="BS874">
        <v>1000</v>
      </c>
      <c r="BT874">
        <v>1</v>
      </c>
      <c r="BU874">
        <v>0</v>
      </c>
      <c r="BV874">
        <v>1</v>
      </c>
      <c r="BW874">
        <v>30</v>
      </c>
      <c r="BX874">
        <v>0</v>
      </c>
      <c r="BY874">
        <v>30</v>
      </c>
      <c r="BZ874">
        <v>810</v>
      </c>
      <c r="CA874">
        <v>0</v>
      </c>
      <c r="CB874">
        <v>810</v>
      </c>
      <c r="CC874">
        <v>381.74489999999997</v>
      </c>
      <c r="CD874" t="s">
        <v>850</v>
      </c>
      <c r="CE874" t="s">
        <v>851</v>
      </c>
      <c r="CG874" t="s">
        <v>421</v>
      </c>
      <c r="CN874" t="str">
        <v>M19</v>
      </c>
      <c r="CO874" t="str">
        <v>1275-5YY0561EN</v>
      </c>
      <c r="CP874" t="str">
        <v>TCNU2592007</v>
      </c>
      <c r="CQ874" s="23">
        <v>798.75599999999997</v>
      </c>
      <c r="CR874" s="25">
        <f t="shared" si="35"/>
        <v>5.6718042053912364E-2</v>
      </c>
      <c r="CS874" s="21">
        <f t="shared" si="36"/>
        <v>141.7951051347809</v>
      </c>
    </row>
    <row r="875" spans="2:97" x14ac:dyDescent="0.35">
      <c r="B875" t="s">
        <v>296</v>
      </c>
      <c r="C875" t="s">
        <v>2808</v>
      </c>
      <c r="D875" t="s">
        <v>395</v>
      </c>
      <c r="E875" t="s">
        <v>395</v>
      </c>
      <c r="F875" t="s">
        <v>396</v>
      </c>
      <c r="G875" t="s">
        <v>397</v>
      </c>
      <c r="H875" t="s">
        <v>398</v>
      </c>
      <c r="I875" t="s">
        <v>399</v>
      </c>
      <c r="J875" t="s">
        <v>749</v>
      </c>
      <c r="K875" t="s">
        <v>629</v>
      </c>
      <c r="L875" t="s">
        <v>787</v>
      </c>
      <c r="M875" t="s">
        <v>403</v>
      </c>
      <c r="N875">
        <v>1</v>
      </c>
      <c r="O875">
        <v>2</v>
      </c>
      <c r="P875" t="s">
        <v>838</v>
      </c>
      <c r="Q875" t="s">
        <v>424</v>
      </c>
      <c r="R875" t="s">
        <v>839</v>
      </c>
      <c r="S875" t="s">
        <v>840</v>
      </c>
      <c r="T875" t="s">
        <v>408</v>
      </c>
      <c r="U875">
        <v>50950081433</v>
      </c>
      <c r="W875">
        <v>3360</v>
      </c>
      <c r="X875" t="s">
        <v>409</v>
      </c>
      <c r="Y875" t="s">
        <v>410</v>
      </c>
      <c r="Z875" t="s">
        <v>410</v>
      </c>
      <c r="AA875" t="s">
        <v>411</v>
      </c>
      <c r="AB875" t="s">
        <v>554</v>
      </c>
      <c r="AC875" t="s">
        <v>411</v>
      </c>
      <c r="AD875">
        <v>46123</v>
      </c>
      <c r="AE875">
        <v>46181</v>
      </c>
      <c r="AF875">
        <v>46120</v>
      </c>
      <c r="AG875" t="s">
        <v>754</v>
      </c>
      <c r="AH875">
        <v>6174312</v>
      </c>
      <c r="AI875">
        <v>46115</v>
      </c>
      <c r="AJ875">
        <v>46116</v>
      </c>
      <c r="AK875">
        <v>3360</v>
      </c>
      <c r="AL875" t="s">
        <v>396</v>
      </c>
      <c r="AM875" t="s">
        <v>2809</v>
      </c>
      <c r="AN875">
        <v>46116</v>
      </c>
      <c r="AO875">
        <v>46116.678865740738</v>
      </c>
      <c r="AP875" t="s">
        <v>51</v>
      </c>
      <c r="AQ875">
        <v>0.12119000000000001</v>
      </c>
      <c r="AR875">
        <v>407.2</v>
      </c>
      <c r="AS875" t="s">
        <v>51</v>
      </c>
      <c r="AT875">
        <v>407.2</v>
      </c>
      <c r="AU875" t="s">
        <v>415</v>
      </c>
      <c r="AV875" t="s">
        <v>557</v>
      </c>
      <c r="AW875" t="s">
        <v>2792</v>
      </c>
      <c r="AX875">
        <v>46120</v>
      </c>
      <c r="AY875">
        <v>46169</v>
      </c>
      <c r="AZ875" t="s">
        <v>2793</v>
      </c>
      <c r="BA875" t="s">
        <v>560</v>
      </c>
      <c r="BB875" t="s">
        <v>2794</v>
      </c>
      <c r="BC875">
        <v>280</v>
      </c>
      <c r="BD875" t="s">
        <v>521</v>
      </c>
      <c r="BE875">
        <v>8.6920999999999999</v>
      </c>
      <c r="BF875">
        <v>7.1620999999999997</v>
      </c>
      <c r="BG875" t="s">
        <v>522</v>
      </c>
      <c r="BH875">
        <v>595</v>
      </c>
      <c r="BI875">
        <v>495</v>
      </c>
      <c r="BJ875">
        <v>310</v>
      </c>
      <c r="BK875">
        <v>12</v>
      </c>
      <c r="BL875" t="s">
        <v>521</v>
      </c>
      <c r="BM875">
        <v>131.30544</v>
      </c>
      <c r="BN875">
        <v>85.945440000000005</v>
      </c>
      <c r="BO875">
        <v>131.30544</v>
      </c>
      <c r="BP875" t="s">
        <v>522</v>
      </c>
      <c r="BQ875">
        <v>1200</v>
      </c>
      <c r="BR875">
        <v>1000</v>
      </c>
      <c r="BS875">
        <v>1088</v>
      </c>
      <c r="BT875">
        <v>1</v>
      </c>
      <c r="BU875">
        <v>0</v>
      </c>
      <c r="BV875">
        <v>1</v>
      </c>
      <c r="BW875">
        <v>12</v>
      </c>
      <c r="BX875">
        <v>0</v>
      </c>
      <c r="BY875">
        <v>12</v>
      </c>
      <c r="BZ875">
        <v>3360</v>
      </c>
      <c r="CA875">
        <v>0</v>
      </c>
      <c r="CB875">
        <v>3360</v>
      </c>
      <c r="CC875">
        <v>85.945440000000005</v>
      </c>
      <c r="CD875" t="s">
        <v>842</v>
      </c>
      <c r="CE875" t="s">
        <v>843</v>
      </c>
      <c r="CG875" t="s">
        <v>421</v>
      </c>
      <c r="CN875" t="str">
        <v>M45</v>
      </c>
      <c r="CO875" t="str">
        <v>1346-12C0011EN</v>
      </c>
      <c r="CP875" t="str">
        <v>TCNU2592007</v>
      </c>
      <c r="CQ875" s="23">
        <v>472.52820000000003</v>
      </c>
      <c r="CR875" s="25">
        <f t="shared" si="35"/>
        <v>3.3553268231173869E-2</v>
      </c>
      <c r="CS875" s="21">
        <f t="shared" si="36"/>
        <v>83.883170577934678</v>
      </c>
    </row>
    <row r="876" spans="2:97" x14ac:dyDescent="0.35">
      <c r="B876" t="s">
        <v>296</v>
      </c>
      <c r="C876" t="s">
        <v>2810</v>
      </c>
      <c r="D876" t="s">
        <v>395</v>
      </c>
      <c r="E876" t="s">
        <v>395</v>
      </c>
      <c r="F876" t="s">
        <v>396</v>
      </c>
      <c r="G876" t="s">
        <v>397</v>
      </c>
      <c r="H876" t="s">
        <v>398</v>
      </c>
      <c r="I876" t="s">
        <v>399</v>
      </c>
      <c r="J876" t="s">
        <v>749</v>
      </c>
      <c r="K876" t="s">
        <v>629</v>
      </c>
      <c r="L876" t="s">
        <v>787</v>
      </c>
      <c r="M876" t="s">
        <v>403</v>
      </c>
      <c r="N876">
        <v>1</v>
      </c>
      <c r="O876">
        <v>1</v>
      </c>
      <c r="P876" t="s">
        <v>2811</v>
      </c>
      <c r="Q876" t="s">
        <v>405</v>
      </c>
      <c r="R876" t="s">
        <v>839</v>
      </c>
      <c r="S876" t="s">
        <v>840</v>
      </c>
      <c r="T876" t="s">
        <v>408</v>
      </c>
      <c r="U876">
        <v>50950081467</v>
      </c>
      <c r="W876">
        <v>50000</v>
      </c>
      <c r="X876" t="s">
        <v>409</v>
      </c>
      <c r="Y876" t="s">
        <v>410</v>
      </c>
      <c r="Z876" t="s">
        <v>410</v>
      </c>
      <c r="AA876" t="s">
        <v>411</v>
      </c>
      <c r="AB876" t="s">
        <v>554</v>
      </c>
      <c r="AC876" t="s">
        <v>411</v>
      </c>
      <c r="AD876">
        <v>46116</v>
      </c>
      <c r="AE876">
        <v>46174</v>
      </c>
      <c r="AF876">
        <v>46120</v>
      </c>
      <c r="AG876" t="s">
        <v>754</v>
      </c>
      <c r="AH876">
        <v>6174313</v>
      </c>
      <c r="AI876">
        <v>46115</v>
      </c>
      <c r="AJ876">
        <v>46116</v>
      </c>
      <c r="AK876">
        <v>50000</v>
      </c>
      <c r="AL876" t="s">
        <v>396</v>
      </c>
      <c r="AM876" t="s">
        <v>2812</v>
      </c>
      <c r="AN876">
        <v>46116</v>
      </c>
      <c r="AO876">
        <v>46116.678865740738</v>
      </c>
      <c r="AP876" t="s">
        <v>51</v>
      </c>
      <c r="AQ876">
        <v>2.4080000000000001E-2</v>
      </c>
      <c r="AR876">
        <v>1204</v>
      </c>
      <c r="AS876" t="s">
        <v>51</v>
      </c>
      <c r="AT876">
        <v>1204</v>
      </c>
      <c r="AU876" t="s">
        <v>415</v>
      </c>
      <c r="AV876" t="s">
        <v>557</v>
      </c>
      <c r="AW876" t="s">
        <v>2792</v>
      </c>
      <c r="AX876">
        <v>46120</v>
      </c>
      <c r="AY876">
        <v>46169</v>
      </c>
      <c r="AZ876" t="s">
        <v>2793</v>
      </c>
      <c r="BA876" t="s">
        <v>560</v>
      </c>
      <c r="BB876" t="s">
        <v>2794</v>
      </c>
      <c r="BC876">
        <v>10000</v>
      </c>
      <c r="BD876" t="s">
        <v>521</v>
      </c>
      <c r="BE876">
        <v>9.2720000000000002</v>
      </c>
      <c r="BF876">
        <v>8.42</v>
      </c>
      <c r="BG876" t="s">
        <v>522</v>
      </c>
      <c r="BH876">
        <v>595</v>
      </c>
      <c r="BI876">
        <v>395</v>
      </c>
      <c r="BJ876">
        <v>190</v>
      </c>
      <c r="BK876">
        <v>25</v>
      </c>
      <c r="BL876" t="s">
        <v>521</v>
      </c>
      <c r="BM876">
        <v>73.36</v>
      </c>
      <c r="BN876">
        <v>42.1</v>
      </c>
      <c r="BO876">
        <v>73.36</v>
      </c>
      <c r="BP876" t="s">
        <v>522</v>
      </c>
      <c r="BQ876">
        <v>1200</v>
      </c>
      <c r="BR876">
        <v>1000</v>
      </c>
      <c r="BS876">
        <v>1018</v>
      </c>
      <c r="BT876">
        <v>0</v>
      </c>
      <c r="BU876">
        <v>1</v>
      </c>
      <c r="BV876">
        <v>1</v>
      </c>
      <c r="BW876">
        <v>5</v>
      </c>
      <c r="BX876">
        <v>0</v>
      </c>
      <c r="BY876">
        <v>5</v>
      </c>
      <c r="BZ876">
        <v>0</v>
      </c>
      <c r="CA876">
        <v>50000</v>
      </c>
      <c r="CB876">
        <v>50000</v>
      </c>
      <c r="CC876">
        <v>42.1</v>
      </c>
      <c r="CD876" t="s">
        <v>2813</v>
      </c>
      <c r="CE876" t="s">
        <v>2814</v>
      </c>
      <c r="CG876" t="s">
        <v>421</v>
      </c>
      <c r="CN876" t="str">
        <v>M19</v>
      </c>
      <c r="CO876" t="str">
        <v>1307-5YY0182EN</v>
      </c>
      <c r="CP876" t="str">
        <v>TCNU2592007</v>
      </c>
      <c r="CQ876" s="23">
        <v>2937.816448</v>
      </c>
      <c r="CR876" s="25">
        <f t="shared" si="35"/>
        <v>0.20860838208957361</v>
      </c>
      <c r="CS876" s="21">
        <f t="shared" si="36"/>
        <v>521.52095522393404</v>
      </c>
    </row>
    <row r="877" spans="2:97" x14ac:dyDescent="0.35">
      <c r="B877" t="s">
        <v>296</v>
      </c>
      <c r="C877" t="s">
        <v>1652</v>
      </c>
      <c r="D877" t="s">
        <v>395</v>
      </c>
      <c r="E877" t="s">
        <v>395</v>
      </c>
      <c r="F877" t="s">
        <v>396</v>
      </c>
      <c r="G877" t="s">
        <v>397</v>
      </c>
      <c r="H877" t="s">
        <v>398</v>
      </c>
      <c r="I877" t="s">
        <v>399</v>
      </c>
      <c r="J877" t="s">
        <v>749</v>
      </c>
      <c r="K877" t="s">
        <v>1142</v>
      </c>
      <c r="L877" t="s">
        <v>787</v>
      </c>
      <c r="M877" t="s">
        <v>403</v>
      </c>
      <c r="N877">
        <v>3</v>
      </c>
      <c r="O877">
        <v>2</v>
      </c>
      <c r="P877" t="s">
        <v>1653</v>
      </c>
      <c r="Q877" t="s">
        <v>430</v>
      </c>
      <c r="R877" t="s">
        <v>1654</v>
      </c>
      <c r="S877" t="s">
        <v>1655</v>
      </c>
      <c r="T877" t="s">
        <v>408</v>
      </c>
      <c r="U877">
        <v>50950081518</v>
      </c>
      <c r="W877">
        <v>9000</v>
      </c>
      <c r="X877" t="s">
        <v>409</v>
      </c>
      <c r="Y877" t="s">
        <v>410</v>
      </c>
      <c r="Z877" t="s">
        <v>410</v>
      </c>
      <c r="AA877" t="s">
        <v>411</v>
      </c>
      <c r="AB877" t="s">
        <v>554</v>
      </c>
      <c r="AC877" t="s">
        <v>411</v>
      </c>
      <c r="AD877">
        <v>46118</v>
      </c>
      <c r="AE877">
        <v>46160</v>
      </c>
      <c r="AF877">
        <v>46120</v>
      </c>
      <c r="AG877" t="s">
        <v>754</v>
      </c>
      <c r="AH877">
        <v>6174314</v>
      </c>
      <c r="AI877">
        <v>46115</v>
      </c>
      <c r="AJ877">
        <v>46116</v>
      </c>
      <c r="AK877">
        <v>9000</v>
      </c>
      <c r="AL877" t="s">
        <v>396</v>
      </c>
      <c r="AM877" t="s">
        <v>2815</v>
      </c>
      <c r="AN877">
        <v>46116</v>
      </c>
      <c r="AO877">
        <v>46116.678865740738</v>
      </c>
      <c r="AP877" t="s">
        <v>51</v>
      </c>
      <c r="AQ877">
        <v>4.2209999999999998E-2</v>
      </c>
      <c r="AR877">
        <v>379.89</v>
      </c>
      <c r="AS877" t="s">
        <v>51</v>
      </c>
      <c r="AT877">
        <v>379.89</v>
      </c>
      <c r="AU877" t="s">
        <v>415</v>
      </c>
      <c r="AV877" t="s">
        <v>557</v>
      </c>
      <c r="AW877" t="s">
        <v>2792</v>
      </c>
      <c r="AX877">
        <v>46120</v>
      </c>
      <c r="AY877">
        <v>46169</v>
      </c>
      <c r="AZ877" t="s">
        <v>2793</v>
      </c>
      <c r="BA877" t="s">
        <v>560</v>
      </c>
      <c r="BB877" t="s">
        <v>2794</v>
      </c>
      <c r="BC877">
        <v>9000</v>
      </c>
      <c r="BD877" t="s">
        <v>521</v>
      </c>
      <c r="BE877">
        <v>473.2</v>
      </c>
      <c r="BF877">
        <v>452.7</v>
      </c>
      <c r="BG877" t="s">
        <v>522</v>
      </c>
      <c r="BH877">
        <v>1050</v>
      </c>
      <c r="BI877">
        <v>480</v>
      </c>
      <c r="BJ877">
        <v>460</v>
      </c>
      <c r="BK877">
        <v>1</v>
      </c>
      <c r="BL877" t="s">
        <v>521</v>
      </c>
      <c r="BM877">
        <v>473.20010000000002</v>
      </c>
      <c r="BN877">
        <v>452.7</v>
      </c>
      <c r="BO877">
        <v>473.20010000000002</v>
      </c>
      <c r="BP877" t="s">
        <v>522</v>
      </c>
      <c r="BQ877">
        <v>1050</v>
      </c>
      <c r="BR877">
        <v>480</v>
      </c>
      <c r="BS877">
        <v>480</v>
      </c>
      <c r="BT877">
        <v>1</v>
      </c>
      <c r="BU877">
        <v>0</v>
      </c>
      <c r="BV877">
        <v>1</v>
      </c>
      <c r="BW877">
        <v>1</v>
      </c>
      <c r="BX877">
        <v>0</v>
      </c>
      <c r="BY877">
        <v>1</v>
      </c>
      <c r="BZ877">
        <v>9000</v>
      </c>
      <c r="CA877">
        <v>0</v>
      </c>
      <c r="CB877">
        <v>9000</v>
      </c>
      <c r="CC877">
        <v>452.7</v>
      </c>
      <c r="CD877" t="s">
        <v>641</v>
      </c>
      <c r="CE877" t="s">
        <v>1147</v>
      </c>
      <c r="CG877" t="s">
        <v>421</v>
      </c>
      <c r="CN877" t="str">
        <v>M19</v>
      </c>
      <c r="CO877" t="str">
        <v>1307-5YY0151EN</v>
      </c>
      <c r="CP877" t="str">
        <v>TCNU2592007</v>
      </c>
      <c r="CQ877" s="23">
        <v>976.46342400000003</v>
      </c>
      <c r="CR877" s="25">
        <f t="shared" si="35"/>
        <v>6.9336685479094079E-2</v>
      </c>
      <c r="CS877" s="21">
        <f t="shared" si="36"/>
        <v>173.3417136977352</v>
      </c>
    </row>
    <row r="878" spans="2:97" x14ac:dyDescent="0.35">
      <c r="B878" t="s">
        <v>296</v>
      </c>
      <c r="C878" t="s">
        <v>1962</v>
      </c>
      <c r="D878" t="s">
        <v>395</v>
      </c>
      <c r="E878" t="s">
        <v>395</v>
      </c>
      <c r="F878" t="s">
        <v>396</v>
      </c>
      <c r="G878" t="s">
        <v>397</v>
      </c>
      <c r="H878" t="s">
        <v>398</v>
      </c>
      <c r="I878" t="s">
        <v>399</v>
      </c>
      <c r="J878" t="s">
        <v>749</v>
      </c>
      <c r="K878" t="s">
        <v>1142</v>
      </c>
      <c r="L878" t="s">
        <v>787</v>
      </c>
      <c r="M878" t="s">
        <v>403</v>
      </c>
      <c r="N878">
        <v>5</v>
      </c>
      <c r="O878">
        <v>1</v>
      </c>
      <c r="P878" t="s">
        <v>1963</v>
      </c>
      <c r="Q878" t="s">
        <v>424</v>
      </c>
      <c r="R878" t="s">
        <v>1164</v>
      </c>
      <c r="S878" t="s">
        <v>1165</v>
      </c>
      <c r="T878" t="s">
        <v>408</v>
      </c>
      <c r="U878">
        <v>50950081519</v>
      </c>
      <c r="W878">
        <v>6000</v>
      </c>
      <c r="X878" t="s">
        <v>409</v>
      </c>
      <c r="Y878" t="s">
        <v>410</v>
      </c>
      <c r="Z878" t="s">
        <v>410</v>
      </c>
      <c r="AA878" t="s">
        <v>411</v>
      </c>
      <c r="AB878" t="s">
        <v>554</v>
      </c>
      <c r="AC878" t="s">
        <v>411</v>
      </c>
      <c r="AD878">
        <v>46118</v>
      </c>
      <c r="AE878">
        <v>46146</v>
      </c>
      <c r="AF878">
        <v>46120</v>
      </c>
      <c r="AG878" t="s">
        <v>754</v>
      </c>
      <c r="AH878">
        <v>6174315</v>
      </c>
      <c r="AI878">
        <v>46115</v>
      </c>
      <c r="AJ878">
        <v>46116</v>
      </c>
      <c r="AK878">
        <v>6000</v>
      </c>
      <c r="AL878" t="s">
        <v>396</v>
      </c>
      <c r="AM878" t="s">
        <v>2816</v>
      </c>
      <c r="AN878">
        <v>46116</v>
      </c>
      <c r="AO878">
        <v>46116.678865740738</v>
      </c>
      <c r="AP878" t="s">
        <v>51</v>
      </c>
      <c r="AQ878">
        <v>0.27694000000000002</v>
      </c>
      <c r="AR878">
        <v>1661.64</v>
      </c>
      <c r="AS878" t="s">
        <v>51</v>
      </c>
      <c r="AT878">
        <v>1661.64</v>
      </c>
      <c r="AU878" t="s">
        <v>415</v>
      </c>
      <c r="AV878" t="s">
        <v>557</v>
      </c>
      <c r="AW878" t="s">
        <v>2792</v>
      </c>
      <c r="AX878">
        <v>46120</v>
      </c>
      <c r="AY878">
        <v>46169</v>
      </c>
      <c r="AZ878" t="s">
        <v>2793</v>
      </c>
      <c r="BA878" t="s">
        <v>560</v>
      </c>
      <c r="BB878" t="s">
        <v>2794</v>
      </c>
      <c r="BC878">
        <v>3000</v>
      </c>
      <c r="BD878" t="s">
        <v>521</v>
      </c>
      <c r="BE878">
        <v>394.3</v>
      </c>
      <c r="BF878">
        <v>373.8</v>
      </c>
      <c r="BG878" t="s">
        <v>522</v>
      </c>
      <c r="BH878">
        <v>1050</v>
      </c>
      <c r="BI878">
        <v>480</v>
      </c>
      <c r="BJ878">
        <v>460</v>
      </c>
      <c r="BK878">
        <v>1</v>
      </c>
      <c r="BL878" t="s">
        <v>521</v>
      </c>
      <c r="BM878">
        <v>394.30009999999999</v>
      </c>
      <c r="BN878">
        <v>373.8</v>
      </c>
      <c r="BO878">
        <v>788.60019999999997</v>
      </c>
      <c r="BP878" t="s">
        <v>522</v>
      </c>
      <c r="BQ878">
        <v>1050</v>
      </c>
      <c r="BR878">
        <v>480</v>
      </c>
      <c r="BS878">
        <v>480</v>
      </c>
      <c r="BT878">
        <v>2</v>
      </c>
      <c r="BU878">
        <v>0</v>
      </c>
      <c r="BV878">
        <v>2</v>
      </c>
      <c r="BW878">
        <v>2</v>
      </c>
      <c r="BX878">
        <v>0</v>
      </c>
      <c r="BY878">
        <v>2</v>
      </c>
      <c r="BZ878">
        <v>6000</v>
      </c>
      <c r="CA878">
        <v>0</v>
      </c>
      <c r="CB878">
        <v>6000</v>
      </c>
      <c r="CC878">
        <v>747.6</v>
      </c>
      <c r="CD878" t="s">
        <v>641</v>
      </c>
      <c r="CE878" t="s">
        <v>1147</v>
      </c>
      <c r="CG878" t="s">
        <v>421</v>
      </c>
      <c r="CN878" t="str">
        <v>M19</v>
      </c>
      <c r="CO878" t="str">
        <v>1330-5YY0182EN</v>
      </c>
      <c r="CP878" t="str">
        <v>TCNU2592007</v>
      </c>
      <c r="CQ878" s="23">
        <v>526.90679999999998</v>
      </c>
      <c r="CR878" s="25">
        <f t="shared" si="35"/>
        <v>3.7414582226477665E-2</v>
      </c>
      <c r="CS878" s="21">
        <f t="shared" si="36"/>
        <v>93.536455566194164</v>
      </c>
    </row>
    <row r="879" spans="2:97" x14ac:dyDescent="0.35">
      <c r="B879" t="s">
        <v>296</v>
      </c>
      <c r="C879" t="s">
        <v>1568</v>
      </c>
      <c r="D879" t="s">
        <v>395</v>
      </c>
      <c r="E879" t="s">
        <v>395</v>
      </c>
      <c r="F879" t="s">
        <v>396</v>
      </c>
      <c r="G879" t="s">
        <v>397</v>
      </c>
      <c r="H879" t="s">
        <v>398</v>
      </c>
      <c r="I879" t="s">
        <v>399</v>
      </c>
      <c r="J879" t="s">
        <v>749</v>
      </c>
      <c r="K879" t="s">
        <v>1142</v>
      </c>
      <c r="L879" t="s">
        <v>787</v>
      </c>
      <c r="M879" t="s">
        <v>403</v>
      </c>
      <c r="N879">
        <v>1</v>
      </c>
      <c r="O879">
        <v>1</v>
      </c>
      <c r="P879" t="s">
        <v>1143</v>
      </c>
      <c r="Q879" t="s">
        <v>424</v>
      </c>
      <c r="R879" t="s">
        <v>1144</v>
      </c>
      <c r="S879" t="s">
        <v>1145</v>
      </c>
      <c r="T879" t="s">
        <v>408</v>
      </c>
      <c r="U879">
        <v>50950081520</v>
      </c>
      <c r="W879">
        <v>18000</v>
      </c>
      <c r="X879" t="s">
        <v>409</v>
      </c>
      <c r="Y879" t="s">
        <v>410</v>
      </c>
      <c r="Z879" t="s">
        <v>410</v>
      </c>
      <c r="AA879" t="s">
        <v>411</v>
      </c>
      <c r="AB879" t="s">
        <v>554</v>
      </c>
      <c r="AC879" t="s">
        <v>411</v>
      </c>
      <c r="AD879">
        <v>46118</v>
      </c>
      <c r="AE879">
        <v>46146</v>
      </c>
      <c r="AF879">
        <v>46120</v>
      </c>
      <c r="AG879" t="s">
        <v>754</v>
      </c>
      <c r="AH879">
        <v>6174316</v>
      </c>
      <c r="AI879">
        <v>46115</v>
      </c>
      <c r="AJ879">
        <v>46116</v>
      </c>
      <c r="AK879">
        <v>18000</v>
      </c>
      <c r="AL879" t="s">
        <v>396</v>
      </c>
      <c r="AM879" t="s">
        <v>2817</v>
      </c>
      <c r="AN879">
        <v>46116</v>
      </c>
      <c r="AO879">
        <v>46116.678865740738</v>
      </c>
      <c r="AP879" t="s">
        <v>51</v>
      </c>
      <c r="AQ879">
        <v>0.16195999999999999</v>
      </c>
      <c r="AR879">
        <v>2915.28</v>
      </c>
      <c r="AS879" t="s">
        <v>51</v>
      </c>
      <c r="AT879">
        <v>2915.28</v>
      </c>
      <c r="AU879" t="s">
        <v>415</v>
      </c>
      <c r="AV879" t="s">
        <v>557</v>
      </c>
      <c r="AW879" t="s">
        <v>2792</v>
      </c>
      <c r="AX879">
        <v>46120</v>
      </c>
      <c r="AY879">
        <v>46169</v>
      </c>
      <c r="AZ879" t="s">
        <v>2793</v>
      </c>
      <c r="BA879" t="s">
        <v>560</v>
      </c>
      <c r="BB879" t="s">
        <v>2794</v>
      </c>
      <c r="BC879">
        <v>9000</v>
      </c>
      <c r="BD879" t="s">
        <v>521</v>
      </c>
      <c r="BE879">
        <v>382.048</v>
      </c>
      <c r="BF879">
        <v>361.548</v>
      </c>
      <c r="BG879" t="s">
        <v>522</v>
      </c>
      <c r="BH879">
        <v>1050</v>
      </c>
      <c r="BI879">
        <v>480</v>
      </c>
      <c r="BJ879">
        <v>460</v>
      </c>
      <c r="BK879">
        <v>1</v>
      </c>
      <c r="BL879" t="s">
        <v>521</v>
      </c>
      <c r="BM879">
        <v>382.04809999999998</v>
      </c>
      <c r="BN879">
        <v>361.548</v>
      </c>
      <c r="BO879">
        <v>764.09619999999995</v>
      </c>
      <c r="BP879" t="s">
        <v>522</v>
      </c>
      <c r="BQ879">
        <v>1050</v>
      </c>
      <c r="BR879">
        <v>480</v>
      </c>
      <c r="BS879">
        <v>480</v>
      </c>
      <c r="BT879">
        <v>2</v>
      </c>
      <c r="BU879">
        <v>0</v>
      </c>
      <c r="BV879">
        <v>2</v>
      </c>
      <c r="BW879">
        <v>2</v>
      </c>
      <c r="BX879">
        <v>0</v>
      </c>
      <c r="BY879">
        <v>2</v>
      </c>
      <c r="BZ879">
        <v>18000</v>
      </c>
      <c r="CA879">
        <v>0</v>
      </c>
      <c r="CB879">
        <v>18000</v>
      </c>
      <c r="CC879">
        <v>723.096</v>
      </c>
      <c r="CD879" t="s">
        <v>641</v>
      </c>
      <c r="CE879" t="s">
        <v>1147</v>
      </c>
      <c r="CG879" t="s">
        <v>421</v>
      </c>
      <c r="CN879" t="str">
        <v>M01</v>
      </c>
      <c r="CO879" t="str">
        <v>1301-1030463EN</v>
      </c>
      <c r="CP879" t="str">
        <v>TCNU2592007</v>
      </c>
      <c r="CQ879" s="23">
        <v>111.916</v>
      </c>
      <c r="CR879" s="25">
        <f t="shared" si="35"/>
        <v>7.9469279661193853E-3</v>
      </c>
      <c r="CS879" s="21">
        <f t="shared" si="36"/>
        <v>19.867319915298463</v>
      </c>
    </row>
    <row r="880" spans="2:97" x14ac:dyDescent="0.35">
      <c r="B880" t="s">
        <v>297</v>
      </c>
      <c r="C880" t="s">
        <v>2818</v>
      </c>
      <c r="D880" t="s">
        <v>395</v>
      </c>
      <c r="E880" t="s">
        <v>395</v>
      </c>
      <c r="F880" t="s">
        <v>396</v>
      </c>
      <c r="G880" t="s">
        <v>397</v>
      </c>
      <c r="H880" t="s">
        <v>398</v>
      </c>
      <c r="I880" t="s">
        <v>399</v>
      </c>
      <c r="J880" t="s">
        <v>749</v>
      </c>
      <c r="K880" t="s">
        <v>629</v>
      </c>
      <c r="L880" t="s">
        <v>787</v>
      </c>
      <c r="M880" t="s">
        <v>403</v>
      </c>
      <c r="N880">
        <v>1</v>
      </c>
      <c r="O880">
        <v>1</v>
      </c>
      <c r="P880" t="s">
        <v>1111</v>
      </c>
      <c r="Q880" t="s">
        <v>789</v>
      </c>
      <c r="R880" t="s">
        <v>1112</v>
      </c>
      <c r="S880" t="s">
        <v>1113</v>
      </c>
      <c r="T880" t="s">
        <v>408</v>
      </c>
      <c r="U880">
        <v>50950081633</v>
      </c>
      <c r="W880">
        <v>6400</v>
      </c>
      <c r="X880" t="s">
        <v>409</v>
      </c>
      <c r="Y880" t="s">
        <v>410</v>
      </c>
      <c r="Z880" t="s">
        <v>410</v>
      </c>
      <c r="AA880" t="s">
        <v>411</v>
      </c>
      <c r="AB880" t="s">
        <v>554</v>
      </c>
      <c r="AC880" t="s">
        <v>411</v>
      </c>
      <c r="AD880">
        <v>46123</v>
      </c>
      <c r="AE880">
        <v>46181</v>
      </c>
      <c r="AF880">
        <v>46120</v>
      </c>
      <c r="AG880" t="s">
        <v>754</v>
      </c>
      <c r="AH880">
        <v>6174317</v>
      </c>
      <c r="AI880">
        <v>46115</v>
      </c>
      <c r="AJ880">
        <v>46116</v>
      </c>
      <c r="AK880">
        <v>6400</v>
      </c>
      <c r="AL880" t="s">
        <v>396</v>
      </c>
      <c r="AM880" t="s">
        <v>2819</v>
      </c>
      <c r="AN880">
        <v>46116</v>
      </c>
      <c r="AO880">
        <v>46116.678865740738</v>
      </c>
      <c r="AP880" t="s">
        <v>51</v>
      </c>
      <c r="AQ880">
        <v>0.1293</v>
      </c>
      <c r="AR880">
        <v>827.52</v>
      </c>
      <c r="AS880" t="s">
        <v>51</v>
      </c>
      <c r="AT880">
        <v>827.52</v>
      </c>
      <c r="AU880" t="s">
        <v>415</v>
      </c>
      <c r="AV880" t="s">
        <v>557</v>
      </c>
      <c r="AW880" t="s">
        <v>2792</v>
      </c>
      <c r="AX880">
        <v>46120</v>
      </c>
      <c r="AY880">
        <v>46169</v>
      </c>
      <c r="AZ880" t="s">
        <v>2793</v>
      </c>
      <c r="BA880" t="s">
        <v>560</v>
      </c>
      <c r="BB880" t="s">
        <v>2794</v>
      </c>
      <c r="BC880">
        <v>320</v>
      </c>
      <c r="BD880" t="s">
        <v>521</v>
      </c>
      <c r="BE880">
        <v>8.8447999999999993</v>
      </c>
      <c r="BF880">
        <v>7.5648</v>
      </c>
      <c r="BG880" t="s">
        <v>522</v>
      </c>
      <c r="BH880">
        <v>595</v>
      </c>
      <c r="BI880">
        <v>395</v>
      </c>
      <c r="BJ880">
        <v>225</v>
      </c>
      <c r="BK880">
        <v>20</v>
      </c>
      <c r="BL880" t="s">
        <v>521</v>
      </c>
      <c r="BM880">
        <v>203.89599999999999</v>
      </c>
      <c r="BN880">
        <v>151.29599999999999</v>
      </c>
      <c r="BO880">
        <v>203.89599999999999</v>
      </c>
      <c r="BP880" t="s">
        <v>522</v>
      </c>
      <c r="BQ880">
        <v>1200</v>
      </c>
      <c r="BR880">
        <v>1000</v>
      </c>
      <c r="BS880">
        <v>1060</v>
      </c>
      <c r="BT880">
        <v>1</v>
      </c>
      <c r="BU880">
        <v>0</v>
      </c>
      <c r="BV880">
        <v>1</v>
      </c>
      <c r="BW880">
        <v>20</v>
      </c>
      <c r="BX880">
        <v>0</v>
      </c>
      <c r="BY880">
        <v>20</v>
      </c>
      <c r="BZ880">
        <v>6400</v>
      </c>
      <c r="CA880">
        <v>0</v>
      </c>
      <c r="CB880">
        <v>6400</v>
      </c>
      <c r="CC880">
        <v>151.29599999999999</v>
      </c>
      <c r="CD880" t="s">
        <v>793</v>
      </c>
      <c r="CE880" t="s">
        <v>1115</v>
      </c>
      <c r="CG880" t="s">
        <v>421</v>
      </c>
      <c r="CN880" t="str">
        <v>M01</v>
      </c>
      <c r="CO880" t="str">
        <v>1426-1030045EN</v>
      </c>
      <c r="CP880" t="str">
        <v>TCNU2592007</v>
      </c>
      <c r="CQ880" s="23">
        <v>101.042</v>
      </c>
      <c r="CR880" s="25">
        <f t="shared" si="35"/>
        <v>7.1747873007669593E-3</v>
      </c>
      <c r="CS880" s="21">
        <f t="shared" si="36"/>
        <v>17.936968251917399</v>
      </c>
    </row>
    <row r="881" spans="2:97" x14ac:dyDescent="0.35">
      <c r="B881" t="s">
        <v>297</v>
      </c>
      <c r="C881" t="s">
        <v>2711</v>
      </c>
      <c r="D881" t="s">
        <v>395</v>
      </c>
      <c r="E881" t="s">
        <v>395</v>
      </c>
      <c r="F881" t="s">
        <v>396</v>
      </c>
      <c r="G881" t="s">
        <v>397</v>
      </c>
      <c r="H881" t="s">
        <v>398</v>
      </c>
      <c r="I881" t="s">
        <v>399</v>
      </c>
      <c r="J881" t="s">
        <v>749</v>
      </c>
      <c r="K881" t="s">
        <v>629</v>
      </c>
      <c r="L881" t="s">
        <v>787</v>
      </c>
      <c r="M881" t="s">
        <v>403</v>
      </c>
      <c r="N881">
        <v>3</v>
      </c>
      <c r="O881">
        <v>2</v>
      </c>
      <c r="P881" t="s">
        <v>1944</v>
      </c>
      <c r="Q881" t="s">
        <v>424</v>
      </c>
      <c r="R881" t="s">
        <v>1112</v>
      </c>
      <c r="S881" t="s">
        <v>1113</v>
      </c>
      <c r="T881" t="s">
        <v>408</v>
      </c>
      <c r="U881">
        <v>50950081751</v>
      </c>
      <c r="W881">
        <v>4800</v>
      </c>
      <c r="X881" t="s">
        <v>409</v>
      </c>
      <c r="Y881" t="s">
        <v>410</v>
      </c>
      <c r="Z881" t="s">
        <v>410</v>
      </c>
      <c r="AA881" t="s">
        <v>411</v>
      </c>
      <c r="AB881" t="s">
        <v>554</v>
      </c>
      <c r="AC881" t="s">
        <v>411</v>
      </c>
      <c r="AD881">
        <v>46116</v>
      </c>
      <c r="AE881">
        <v>46174</v>
      </c>
      <c r="AF881">
        <v>46120</v>
      </c>
      <c r="AG881" t="s">
        <v>754</v>
      </c>
      <c r="AH881">
        <v>6174318</v>
      </c>
      <c r="AI881">
        <v>46115</v>
      </c>
      <c r="AJ881">
        <v>46116</v>
      </c>
      <c r="AK881">
        <v>4800</v>
      </c>
      <c r="AL881" t="s">
        <v>396</v>
      </c>
      <c r="AM881" t="s">
        <v>2820</v>
      </c>
      <c r="AN881">
        <v>46116</v>
      </c>
      <c r="AO881">
        <v>46116.678865740738</v>
      </c>
      <c r="AP881" t="s">
        <v>51</v>
      </c>
      <c r="AQ881">
        <v>0.13721</v>
      </c>
      <c r="AR881">
        <v>658.61</v>
      </c>
      <c r="AS881" t="s">
        <v>51</v>
      </c>
      <c r="AT881">
        <v>658.61</v>
      </c>
      <c r="AU881" t="s">
        <v>415</v>
      </c>
      <c r="AV881" t="s">
        <v>557</v>
      </c>
      <c r="AW881" t="s">
        <v>2792</v>
      </c>
      <c r="AX881">
        <v>46120</v>
      </c>
      <c r="AY881">
        <v>46169</v>
      </c>
      <c r="AZ881" t="s">
        <v>2793</v>
      </c>
      <c r="BA881" t="s">
        <v>560</v>
      </c>
      <c r="BB881" t="s">
        <v>2794</v>
      </c>
      <c r="BC881">
        <v>160</v>
      </c>
      <c r="BD881" t="s">
        <v>521</v>
      </c>
      <c r="BE881">
        <v>4.3602999999999996</v>
      </c>
      <c r="BF881">
        <v>3.4533</v>
      </c>
      <c r="BG881" t="s">
        <v>522</v>
      </c>
      <c r="BH881">
        <v>395</v>
      </c>
      <c r="BI881">
        <v>295</v>
      </c>
      <c r="BJ881">
        <v>270</v>
      </c>
      <c r="BK881">
        <v>30</v>
      </c>
      <c r="BL881" t="s">
        <v>521</v>
      </c>
      <c r="BM881">
        <v>157.80840000000001</v>
      </c>
      <c r="BN881">
        <v>103.5984</v>
      </c>
      <c r="BO881">
        <v>157.80840000000001</v>
      </c>
      <c r="BP881" t="s">
        <v>522</v>
      </c>
      <c r="BQ881">
        <v>1200</v>
      </c>
      <c r="BR881">
        <v>1000</v>
      </c>
      <c r="BS881">
        <v>918</v>
      </c>
      <c r="BT881">
        <v>1</v>
      </c>
      <c r="BU881">
        <v>0</v>
      </c>
      <c r="BV881">
        <v>1</v>
      </c>
      <c r="BW881">
        <v>30</v>
      </c>
      <c r="BX881">
        <v>0</v>
      </c>
      <c r="BY881">
        <v>30</v>
      </c>
      <c r="BZ881">
        <v>4800</v>
      </c>
      <c r="CA881">
        <v>0</v>
      </c>
      <c r="CB881">
        <v>4800</v>
      </c>
      <c r="CC881">
        <v>103.5984</v>
      </c>
      <c r="CD881" t="s">
        <v>633</v>
      </c>
      <c r="CE881" t="s">
        <v>634</v>
      </c>
      <c r="CG881" t="s">
        <v>421</v>
      </c>
      <c r="CN881" t="str">
        <v>M01</v>
      </c>
      <c r="CO881" t="str">
        <v>1277-1030069EN</v>
      </c>
      <c r="CP881" t="str">
        <v>TCNU2592007</v>
      </c>
      <c r="CQ881" s="23">
        <v>305.16000000000003</v>
      </c>
      <c r="CR881" s="25">
        <f t="shared" si="35"/>
        <v>2.1668792113200903E-2</v>
      </c>
      <c r="CS881" s="21">
        <f t="shared" si="36"/>
        <v>54.171980283002256</v>
      </c>
    </row>
    <row r="882" spans="2:97" x14ac:dyDescent="0.35">
      <c r="B882" t="s">
        <v>296</v>
      </c>
      <c r="C882" t="s">
        <v>2821</v>
      </c>
      <c r="D882" t="s">
        <v>395</v>
      </c>
      <c r="E882" t="s">
        <v>395</v>
      </c>
      <c r="F882" t="s">
        <v>396</v>
      </c>
      <c r="G882" t="s">
        <v>397</v>
      </c>
      <c r="H882" t="s">
        <v>398</v>
      </c>
      <c r="I882" t="s">
        <v>399</v>
      </c>
      <c r="J882" t="s">
        <v>749</v>
      </c>
      <c r="K882" t="s">
        <v>1142</v>
      </c>
      <c r="L882" t="s">
        <v>787</v>
      </c>
      <c r="M882" t="s">
        <v>403</v>
      </c>
      <c r="N882">
        <v>1</v>
      </c>
      <c r="O882">
        <v>1</v>
      </c>
      <c r="P882" t="s">
        <v>1158</v>
      </c>
      <c r="Q882" t="s">
        <v>405</v>
      </c>
      <c r="R882" t="s">
        <v>1159</v>
      </c>
      <c r="S882" t="s">
        <v>1160</v>
      </c>
      <c r="T882" t="s">
        <v>408</v>
      </c>
      <c r="U882">
        <v>50950081877</v>
      </c>
      <c r="W882">
        <v>45360</v>
      </c>
      <c r="X882" t="s">
        <v>409</v>
      </c>
      <c r="Y882" t="s">
        <v>410</v>
      </c>
      <c r="Z882" t="s">
        <v>410</v>
      </c>
      <c r="AA882" t="s">
        <v>411</v>
      </c>
      <c r="AB882" t="s">
        <v>554</v>
      </c>
      <c r="AC882" t="s">
        <v>411</v>
      </c>
      <c r="AD882">
        <v>46116</v>
      </c>
      <c r="AE882">
        <v>46188</v>
      </c>
      <c r="AF882">
        <v>46120</v>
      </c>
      <c r="AG882" t="s">
        <v>754</v>
      </c>
      <c r="AH882">
        <v>6174319</v>
      </c>
      <c r="AI882">
        <v>46115</v>
      </c>
      <c r="AJ882">
        <v>46116</v>
      </c>
      <c r="AK882">
        <v>45360</v>
      </c>
      <c r="AL882" t="s">
        <v>396</v>
      </c>
      <c r="AM882" t="s">
        <v>2822</v>
      </c>
      <c r="AN882">
        <v>46116</v>
      </c>
      <c r="AO882">
        <v>46116.678865740738</v>
      </c>
      <c r="AP882" t="s">
        <v>51</v>
      </c>
      <c r="AQ882">
        <v>7.2429999999999994E-2</v>
      </c>
      <c r="AR882">
        <v>3285.42</v>
      </c>
      <c r="AS882" t="s">
        <v>51</v>
      </c>
      <c r="AT882">
        <v>3285.42</v>
      </c>
      <c r="AU882" t="s">
        <v>415</v>
      </c>
      <c r="AV882" t="s">
        <v>557</v>
      </c>
      <c r="AW882" t="s">
        <v>2792</v>
      </c>
      <c r="AX882">
        <v>46120</v>
      </c>
      <c r="AY882">
        <v>46169</v>
      </c>
      <c r="AZ882" t="s">
        <v>2793</v>
      </c>
      <c r="BA882" t="s">
        <v>560</v>
      </c>
      <c r="BB882" t="s">
        <v>2794</v>
      </c>
      <c r="BC882">
        <v>15120</v>
      </c>
      <c r="BD882" t="s">
        <v>521</v>
      </c>
      <c r="BE882">
        <v>659.16880000000003</v>
      </c>
      <c r="BF882">
        <v>638.66880000000003</v>
      </c>
      <c r="BG882" t="s">
        <v>522</v>
      </c>
      <c r="BH882">
        <v>1050</v>
      </c>
      <c r="BI882">
        <v>480</v>
      </c>
      <c r="BJ882">
        <v>460</v>
      </c>
      <c r="BK882">
        <v>1</v>
      </c>
      <c r="BL882" t="s">
        <v>521</v>
      </c>
      <c r="BM882">
        <v>659.16890000000001</v>
      </c>
      <c r="BN882">
        <v>638.66880000000003</v>
      </c>
      <c r="BO882">
        <v>1977.5066999999999</v>
      </c>
      <c r="BP882" t="s">
        <v>522</v>
      </c>
      <c r="BQ882">
        <v>1050</v>
      </c>
      <c r="BR882">
        <v>480</v>
      </c>
      <c r="BS882">
        <v>480</v>
      </c>
      <c r="BT882">
        <v>3</v>
      </c>
      <c r="BU882">
        <v>0</v>
      </c>
      <c r="BV882">
        <v>3</v>
      </c>
      <c r="BW882">
        <v>3</v>
      </c>
      <c r="BX882">
        <v>0</v>
      </c>
      <c r="BY882">
        <v>3</v>
      </c>
      <c r="BZ882">
        <v>45360</v>
      </c>
      <c r="CA882">
        <v>0</v>
      </c>
      <c r="CB882">
        <v>45360</v>
      </c>
      <c r="CC882">
        <v>1916.0064</v>
      </c>
      <c r="CD882" t="s">
        <v>641</v>
      </c>
      <c r="CE882" t="s">
        <v>1147</v>
      </c>
      <c r="CG882" t="s">
        <v>421</v>
      </c>
      <c r="CN882" t="str">
        <v>M01</v>
      </c>
      <c r="CO882" t="str">
        <v>1277-1030115EN</v>
      </c>
      <c r="CP882" t="str">
        <v>TCNU2592007</v>
      </c>
      <c r="CQ882" s="23">
        <v>78.004999999999995</v>
      </c>
      <c r="CR882" s="25">
        <f t="shared" si="35"/>
        <v>5.5389766967827896E-3</v>
      </c>
      <c r="CS882" s="21">
        <f t="shared" si="36"/>
        <v>13.847441741956974</v>
      </c>
    </row>
    <row r="883" spans="2:97" x14ac:dyDescent="0.35">
      <c r="B883" t="s">
        <v>296</v>
      </c>
      <c r="C883" t="s">
        <v>2823</v>
      </c>
      <c r="D883" t="s">
        <v>395</v>
      </c>
      <c r="E883" t="s">
        <v>395</v>
      </c>
      <c r="F883" t="s">
        <v>396</v>
      </c>
      <c r="G883" t="s">
        <v>397</v>
      </c>
      <c r="H883" t="s">
        <v>398</v>
      </c>
      <c r="I883" t="s">
        <v>399</v>
      </c>
      <c r="J883" t="s">
        <v>749</v>
      </c>
      <c r="K883" t="s">
        <v>629</v>
      </c>
      <c r="L883" t="s">
        <v>787</v>
      </c>
      <c r="M883" t="s">
        <v>403</v>
      </c>
      <c r="N883">
        <v>1</v>
      </c>
      <c r="O883">
        <v>1</v>
      </c>
      <c r="P883" t="s">
        <v>2186</v>
      </c>
      <c r="Q883" t="s">
        <v>405</v>
      </c>
      <c r="R883" t="s">
        <v>2187</v>
      </c>
      <c r="S883" t="s">
        <v>2188</v>
      </c>
      <c r="T883" t="s">
        <v>408</v>
      </c>
      <c r="U883">
        <v>50950081845</v>
      </c>
      <c r="W883">
        <v>90000</v>
      </c>
      <c r="X883" t="s">
        <v>409</v>
      </c>
      <c r="Y883" t="s">
        <v>410</v>
      </c>
      <c r="Z883" t="s">
        <v>410</v>
      </c>
      <c r="AA883" t="s">
        <v>411</v>
      </c>
      <c r="AB883" t="s">
        <v>554</v>
      </c>
      <c r="AC883" t="s">
        <v>411</v>
      </c>
      <c r="AD883">
        <v>46123</v>
      </c>
      <c r="AE883">
        <v>46181</v>
      </c>
      <c r="AF883">
        <v>46120</v>
      </c>
      <c r="AG883" t="s">
        <v>754</v>
      </c>
      <c r="AH883">
        <v>6174320</v>
      </c>
      <c r="AI883">
        <v>46115</v>
      </c>
      <c r="AJ883">
        <v>46116</v>
      </c>
      <c r="AK883">
        <v>90000</v>
      </c>
      <c r="AL883" t="s">
        <v>396</v>
      </c>
      <c r="AM883" t="s">
        <v>2824</v>
      </c>
      <c r="AN883">
        <v>46116</v>
      </c>
      <c r="AO883">
        <v>46116.678865740738</v>
      </c>
      <c r="AP883" t="s">
        <v>51</v>
      </c>
      <c r="AQ883">
        <v>1.6459999999999999E-2</v>
      </c>
      <c r="AR883">
        <v>1481.39</v>
      </c>
      <c r="AS883" t="s">
        <v>51</v>
      </c>
      <c r="AT883">
        <v>1481.39</v>
      </c>
      <c r="AU883" t="s">
        <v>415</v>
      </c>
      <c r="AV883" t="s">
        <v>557</v>
      </c>
      <c r="AW883" t="s">
        <v>2792</v>
      </c>
      <c r="AX883">
        <v>46120</v>
      </c>
      <c r="AY883">
        <v>46169</v>
      </c>
      <c r="AZ883" t="s">
        <v>2793</v>
      </c>
      <c r="BA883" t="s">
        <v>560</v>
      </c>
      <c r="BB883" t="s">
        <v>2794</v>
      </c>
      <c r="BC883">
        <v>3600</v>
      </c>
      <c r="BD883" t="s">
        <v>521</v>
      </c>
      <c r="BE883">
        <v>9.8339999999999996</v>
      </c>
      <c r="BF883">
        <v>8.9640000000000004</v>
      </c>
      <c r="BG883" t="s">
        <v>522</v>
      </c>
      <c r="BH883">
        <v>595</v>
      </c>
      <c r="BI883">
        <v>395</v>
      </c>
      <c r="BJ883">
        <v>190</v>
      </c>
      <c r="BK883">
        <v>25</v>
      </c>
      <c r="BL883" t="s">
        <v>521</v>
      </c>
      <c r="BM883">
        <v>272.85000000000002</v>
      </c>
      <c r="BN883">
        <v>224.1</v>
      </c>
      <c r="BO883">
        <v>272.85000000000002</v>
      </c>
      <c r="BP883" t="s">
        <v>522</v>
      </c>
      <c r="BQ883">
        <v>1200</v>
      </c>
      <c r="BR883">
        <v>1000</v>
      </c>
      <c r="BS883">
        <v>1088</v>
      </c>
      <c r="BT883">
        <v>1</v>
      </c>
      <c r="BU883">
        <v>0</v>
      </c>
      <c r="BV883">
        <v>1</v>
      </c>
      <c r="BW883">
        <v>25</v>
      </c>
      <c r="BX883">
        <v>0</v>
      </c>
      <c r="BY883">
        <v>25</v>
      </c>
      <c r="BZ883">
        <v>90000</v>
      </c>
      <c r="CA883">
        <v>0</v>
      </c>
      <c r="CB883">
        <v>90000</v>
      </c>
      <c r="CC883">
        <v>224.1</v>
      </c>
      <c r="CD883" t="s">
        <v>842</v>
      </c>
      <c r="CE883" t="s">
        <v>898</v>
      </c>
      <c r="CG883" t="s">
        <v>421</v>
      </c>
      <c r="CN883" t="str">
        <v>M19</v>
      </c>
      <c r="CO883" t="str">
        <v>1330-5YY0167EN</v>
      </c>
      <c r="CP883" t="str">
        <v>TCNU2592007</v>
      </c>
      <c r="CQ883" s="23">
        <v>1401.8208</v>
      </c>
      <c r="CR883" s="25">
        <f t="shared" si="35"/>
        <v>9.954044925665545E-2</v>
      </c>
      <c r="CS883" s="21">
        <f t="shared" si="36"/>
        <v>248.85112314163862</v>
      </c>
    </row>
    <row r="884" spans="2:97" x14ac:dyDescent="0.35">
      <c r="B884" t="s">
        <v>299</v>
      </c>
      <c r="C884" t="s">
        <v>2825</v>
      </c>
      <c r="D884" t="s">
        <v>395</v>
      </c>
      <c r="E884" t="s">
        <v>395</v>
      </c>
      <c r="F884" t="s">
        <v>396</v>
      </c>
      <c r="G884" t="s">
        <v>397</v>
      </c>
      <c r="H884" t="s">
        <v>398</v>
      </c>
      <c r="I884" t="s">
        <v>399</v>
      </c>
      <c r="J884" t="s">
        <v>749</v>
      </c>
      <c r="K884" t="s">
        <v>629</v>
      </c>
      <c r="L884" t="s">
        <v>787</v>
      </c>
      <c r="M884" t="s">
        <v>403</v>
      </c>
      <c r="N884">
        <v>1</v>
      </c>
      <c r="O884">
        <v>1</v>
      </c>
      <c r="P884" t="s">
        <v>2826</v>
      </c>
      <c r="Q884" t="s">
        <v>430</v>
      </c>
      <c r="R884" t="s">
        <v>2827</v>
      </c>
      <c r="S884" t="s">
        <v>2828</v>
      </c>
      <c r="T884" t="s">
        <v>408</v>
      </c>
      <c r="U884">
        <v>50950081969</v>
      </c>
      <c r="W884">
        <v>1680</v>
      </c>
      <c r="X884" t="s">
        <v>409</v>
      </c>
      <c r="Y884" t="s">
        <v>410</v>
      </c>
      <c r="Z884" t="s">
        <v>410</v>
      </c>
      <c r="AA884" t="s">
        <v>411</v>
      </c>
      <c r="AB884" t="s">
        <v>554</v>
      </c>
      <c r="AC884" t="s">
        <v>411</v>
      </c>
      <c r="AD884">
        <v>46125</v>
      </c>
      <c r="AE884">
        <v>46216</v>
      </c>
      <c r="AF884">
        <v>46120</v>
      </c>
      <c r="AG884" t="s">
        <v>754</v>
      </c>
      <c r="AH884">
        <v>6174321</v>
      </c>
      <c r="AI884">
        <v>46115</v>
      </c>
      <c r="AJ884">
        <v>46116</v>
      </c>
      <c r="AK884">
        <v>1680</v>
      </c>
      <c r="AL884" t="s">
        <v>396</v>
      </c>
      <c r="AM884" t="s">
        <v>2829</v>
      </c>
      <c r="AN884">
        <v>46116</v>
      </c>
      <c r="AO884">
        <v>46116.678865740738</v>
      </c>
      <c r="AP884" t="s">
        <v>51</v>
      </c>
      <c r="AQ884">
        <v>0.96053999999999995</v>
      </c>
      <c r="AR884">
        <v>1613.7</v>
      </c>
      <c r="AS884" t="s">
        <v>51</v>
      </c>
      <c r="AT884">
        <v>1613.7</v>
      </c>
      <c r="AU884" t="s">
        <v>415</v>
      </c>
      <c r="AV884" t="s">
        <v>557</v>
      </c>
      <c r="AW884" t="s">
        <v>2792</v>
      </c>
      <c r="AX884">
        <v>46120</v>
      </c>
      <c r="AY884">
        <v>46169</v>
      </c>
      <c r="AZ884" t="s">
        <v>2793</v>
      </c>
      <c r="BA884" t="s">
        <v>560</v>
      </c>
      <c r="BB884" t="s">
        <v>2794</v>
      </c>
      <c r="BC884">
        <v>14</v>
      </c>
      <c r="BD884" t="s">
        <v>521</v>
      </c>
      <c r="BE884">
        <v>5.1349999999999998</v>
      </c>
      <c r="BF884">
        <v>4.3769999999999998</v>
      </c>
      <c r="BG884" t="s">
        <v>522</v>
      </c>
      <c r="BH884">
        <v>395</v>
      </c>
      <c r="BI884">
        <v>295</v>
      </c>
      <c r="BJ884">
        <v>150</v>
      </c>
      <c r="BK884">
        <v>60</v>
      </c>
      <c r="BL884" t="s">
        <v>521</v>
      </c>
      <c r="BM884">
        <v>335.1</v>
      </c>
      <c r="BN884">
        <v>262.62</v>
      </c>
      <c r="BO884">
        <v>670.1952</v>
      </c>
      <c r="BP884" t="s">
        <v>522</v>
      </c>
      <c r="BQ884">
        <v>1200</v>
      </c>
      <c r="BR884">
        <v>1000</v>
      </c>
      <c r="BS884">
        <v>1058</v>
      </c>
      <c r="BT884">
        <v>2</v>
      </c>
      <c r="BU884">
        <v>0</v>
      </c>
      <c r="BV884">
        <v>2</v>
      </c>
      <c r="BW884">
        <v>120</v>
      </c>
      <c r="BX884">
        <v>0</v>
      </c>
      <c r="BY884">
        <v>120</v>
      </c>
      <c r="BZ884">
        <v>1680</v>
      </c>
      <c r="CA884">
        <v>0</v>
      </c>
      <c r="CB884">
        <v>1680</v>
      </c>
      <c r="CC884">
        <v>525.23519999999996</v>
      </c>
      <c r="CD884" t="s">
        <v>799</v>
      </c>
      <c r="CE884" t="s">
        <v>2830</v>
      </c>
      <c r="CG884" t="s">
        <v>421</v>
      </c>
      <c r="CN884" t="str">
        <v>M19</v>
      </c>
      <c r="CO884" t="str">
        <v>1330-5YY0177EN</v>
      </c>
      <c r="CP884" t="str">
        <v>TCNU2592007</v>
      </c>
      <c r="CQ884" s="23">
        <v>202.9188</v>
      </c>
      <c r="CR884" s="25">
        <f t="shared" si="35"/>
        <v>1.4408852054857094E-2</v>
      </c>
      <c r="CS884" s="21">
        <f t="shared" si="36"/>
        <v>36.022130137142739</v>
      </c>
    </row>
    <row r="885" spans="2:97" x14ac:dyDescent="0.35">
      <c r="B885" t="s">
        <v>295</v>
      </c>
      <c r="C885" t="s">
        <v>2316</v>
      </c>
      <c r="D885" t="s">
        <v>395</v>
      </c>
      <c r="E885" t="s">
        <v>395</v>
      </c>
      <c r="F885" t="s">
        <v>396</v>
      </c>
      <c r="G885" t="s">
        <v>397</v>
      </c>
      <c r="H885" t="s">
        <v>398</v>
      </c>
      <c r="I885" t="s">
        <v>399</v>
      </c>
      <c r="J885" t="s">
        <v>400</v>
      </c>
      <c r="K885" t="s">
        <v>1214</v>
      </c>
      <c r="L885" t="s">
        <v>2272</v>
      </c>
      <c r="M885" t="s">
        <v>403</v>
      </c>
      <c r="N885">
        <v>1</v>
      </c>
      <c r="O885">
        <v>2</v>
      </c>
      <c r="P885" t="s">
        <v>2317</v>
      </c>
      <c r="Q885" t="s">
        <v>424</v>
      </c>
      <c r="R885" t="s">
        <v>2318</v>
      </c>
      <c r="S885" t="s">
        <v>2319</v>
      </c>
      <c r="T885" t="s">
        <v>408</v>
      </c>
      <c r="U885">
        <v>50950082647</v>
      </c>
      <c r="W885">
        <v>60000</v>
      </c>
      <c r="X885" t="s">
        <v>448</v>
      </c>
      <c r="Y885" t="s">
        <v>410</v>
      </c>
      <c r="Z885" t="s">
        <v>410</v>
      </c>
      <c r="AA885" t="s">
        <v>411</v>
      </c>
      <c r="AB885" t="s">
        <v>412</v>
      </c>
      <c r="AC885" t="s">
        <v>411</v>
      </c>
      <c r="AD885">
        <v>46119</v>
      </c>
      <c r="AE885">
        <v>46111</v>
      </c>
      <c r="AF885">
        <v>46120</v>
      </c>
      <c r="AG885" t="s">
        <v>413</v>
      </c>
      <c r="AH885">
        <v>6178581</v>
      </c>
      <c r="AI885">
        <v>46119</v>
      </c>
      <c r="AJ885">
        <v>46119</v>
      </c>
      <c r="AK885">
        <v>60000</v>
      </c>
      <c r="AL885" t="s">
        <v>396</v>
      </c>
      <c r="AM885" t="s">
        <v>2831</v>
      </c>
      <c r="AN885">
        <v>46119</v>
      </c>
      <c r="AO885">
        <v>46119.431446759256</v>
      </c>
      <c r="AP885" t="s">
        <v>51</v>
      </c>
      <c r="AQ885">
        <v>8.6300000000000005E-3</v>
      </c>
      <c r="AR885">
        <v>517.79999999999995</v>
      </c>
      <c r="AS885" t="s">
        <v>51</v>
      </c>
      <c r="AT885">
        <v>517.79999999999995</v>
      </c>
      <c r="AU885" t="s">
        <v>450</v>
      </c>
      <c r="AV885" t="s">
        <v>409</v>
      </c>
      <c r="AW885" t="s">
        <v>2277</v>
      </c>
      <c r="AX885">
        <v>46120</v>
      </c>
      <c r="AY885">
        <v>46125</v>
      </c>
      <c r="BA885" t="s">
        <v>448</v>
      </c>
      <c r="BB885" t="s">
        <v>2832</v>
      </c>
      <c r="BE885">
        <v>0</v>
      </c>
      <c r="BF885">
        <v>0</v>
      </c>
      <c r="BM885">
        <v>0</v>
      </c>
      <c r="BN885">
        <v>0</v>
      </c>
      <c r="BO885">
        <v>50</v>
      </c>
      <c r="CG885" t="s">
        <v>421</v>
      </c>
      <c r="CN885" t="str">
        <v>M19</v>
      </c>
      <c r="CO885" t="str">
        <v>1330-5YY0251EN</v>
      </c>
      <c r="CP885" t="str">
        <v>TCNU2592007</v>
      </c>
      <c r="CQ885" s="23">
        <v>1741.3612800000001</v>
      </c>
      <c r="CR885" s="25">
        <f t="shared" si="35"/>
        <v>0.12365052946093009</v>
      </c>
      <c r="CS885" s="21">
        <f t="shared" si="36"/>
        <v>309.12632365232525</v>
      </c>
    </row>
    <row r="886" spans="2:97" x14ac:dyDescent="0.35">
      <c r="B886" t="s">
        <v>295</v>
      </c>
      <c r="C886" t="s">
        <v>2833</v>
      </c>
      <c r="D886" t="s">
        <v>575</v>
      </c>
      <c r="E886" t="s">
        <v>395</v>
      </c>
      <c r="F886" t="s">
        <v>396</v>
      </c>
      <c r="G886" t="s">
        <v>397</v>
      </c>
      <c r="H886" t="s">
        <v>398</v>
      </c>
      <c r="I886" t="s">
        <v>399</v>
      </c>
      <c r="J886" t="s">
        <v>400</v>
      </c>
      <c r="K886" t="s">
        <v>566</v>
      </c>
      <c r="L886" t="s">
        <v>1268</v>
      </c>
      <c r="M886" t="s">
        <v>751</v>
      </c>
      <c r="N886">
        <v>1</v>
      </c>
      <c r="O886">
        <v>1</v>
      </c>
      <c r="P886" t="s">
        <v>2834</v>
      </c>
      <c r="Q886" t="s">
        <v>430</v>
      </c>
      <c r="R886" t="s">
        <v>2835</v>
      </c>
      <c r="S886" t="s">
        <v>2836</v>
      </c>
      <c r="T886" t="s">
        <v>408</v>
      </c>
      <c r="U886">
        <v>50950082652</v>
      </c>
      <c r="W886">
        <v>6624</v>
      </c>
      <c r="X886" t="s">
        <v>448</v>
      </c>
      <c r="Y886" t="s">
        <v>410</v>
      </c>
      <c r="Z886" t="s">
        <v>410</v>
      </c>
      <c r="AA886" t="s">
        <v>411</v>
      </c>
      <c r="AB886" t="s">
        <v>412</v>
      </c>
      <c r="AC886" t="s">
        <v>411</v>
      </c>
      <c r="AD886">
        <v>46138</v>
      </c>
      <c r="AE886">
        <v>46111</v>
      </c>
      <c r="AF886">
        <v>46121</v>
      </c>
      <c r="AG886" t="s">
        <v>570</v>
      </c>
      <c r="AH886">
        <v>6174265</v>
      </c>
      <c r="AI886">
        <v>46115</v>
      </c>
      <c r="AJ886">
        <v>46119</v>
      </c>
      <c r="AK886">
        <v>6624</v>
      </c>
      <c r="AL886" t="s">
        <v>396</v>
      </c>
      <c r="AM886" t="s">
        <v>2837</v>
      </c>
      <c r="AN886">
        <v>46119</v>
      </c>
      <c r="AO886">
        <v>46119.434282407405</v>
      </c>
      <c r="AP886" t="s">
        <v>51</v>
      </c>
      <c r="AQ886">
        <v>0.45693</v>
      </c>
      <c r="AR886">
        <v>3026.71</v>
      </c>
      <c r="AS886" t="s">
        <v>51</v>
      </c>
      <c r="AT886">
        <v>3026.71</v>
      </c>
      <c r="AU886" t="s">
        <v>450</v>
      </c>
      <c r="AV886" t="s">
        <v>1597</v>
      </c>
      <c r="AW886" t="s">
        <v>451</v>
      </c>
      <c r="AX886">
        <v>46122</v>
      </c>
      <c r="AY886">
        <v>46126</v>
      </c>
      <c r="BA886" t="s">
        <v>448</v>
      </c>
      <c r="BB886" t="s">
        <v>2838</v>
      </c>
      <c r="BC886">
        <v>69</v>
      </c>
      <c r="BD886" t="s">
        <v>521</v>
      </c>
      <c r="BE886">
        <v>6.2408999999999999</v>
      </c>
      <c r="BF886">
        <v>5.3475000000000001</v>
      </c>
      <c r="BG886" t="s">
        <v>522</v>
      </c>
      <c r="BH886">
        <v>395</v>
      </c>
      <c r="BI886">
        <v>295</v>
      </c>
      <c r="BJ886">
        <v>120</v>
      </c>
      <c r="BK886">
        <v>48</v>
      </c>
      <c r="BL886" t="s">
        <v>521</v>
      </c>
      <c r="BM886">
        <v>324.56319999999999</v>
      </c>
      <c r="BN886">
        <v>256.68</v>
      </c>
      <c r="BO886">
        <v>649.12639999999999</v>
      </c>
      <c r="BP886" t="s">
        <v>522</v>
      </c>
      <c r="BQ886">
        <v>1200</v>
      </c>
      <c r="BR886">
        <v>800</v>
      </c>
      <c r="BS886">
        <v>1025</v>
      </c>
      <c r="BT886">
        <v>2</v>
      </c>
      <c r="BU886">
        <v>0</v>
      </c>
      <c r="BV886">
        <v>2</v>
      </c>
      <c r="BW886">
        <v>96</v>
      </c>
      <c r="BX886">
        <v>0</v>
      </c>
      <c r="BY886">
        <v>96</v>
      </c>
      <c r="BZ886">
        <v>6624</v>
      </c>
      <c r="CA886">
        <v>0</v>
      </c>
      <c r="CB886">
        <v>6624</v>
      </c>
      <c r="CC886">
        <v>513.36</v>
      </c>
      <c r="CD886" t="s">
        <v>2839</v>
      </c>
      <c r="CE886" t="s">
        <v>2840</v>
      </c>
      <c r="CG886" t="s">
        <v>421</v>
      </c>
      <c r="CN886" t="str">
        <v>M19</v>
      </c>
      <c r="CO886" t="str">
        <v>1330-5YY0251EN</v>
      </c>
      <c r="CP886" t="str">
        <v>TCNU2592007</v>
      </c>
      <c r="CQ886" s="23">
        <v>870.68064000000004</v>
      </c>
      <c r="CR886" s="25">
        <f t="shared" si="35"/>
        <v>6.1825264730465047E-2</v>
      </c>
      <c r="CS886" s="21">
        <f t="shared" si="36"/>
        <v>154.56316182616263</v>
      </c>
    </row>
    <row r="887" spans="2:97" x14ac:dyDescent="0.35">
      <c r="B887" t="s">
        <v>295</v>
      </c>
      <c r="C887" t="s">
        <v>2841</v>
      </c>
      <c r="D887" t="s">
        <v>395</v>
      </c>
      <c r="E887" t="s">
        <v>395</v>
      </c>
      <c r="F887" t="s">
        <v>396</v>
      </c>
      <c r="G887" t="s">
        <v>397</v>
      </c>
      <c r="H887" t="s">
        <v>398</v>
      </c>
      <c r="I887" t="s">
        <v>399</v>
      </c>
      <c r="J887" t="s">
        <v>400</v>
      </c>
      <c r="K887" t="s">
        <v>595</v>
      </c>
      <c r="L887" t="s">
        <v>746</v>
      </c>
      <c r="M887" t="s">
        <v>403</v>
      </c>
      <c r="N887">
        <v>1</v>
      </c>
      <c r="O887">
        <v>1</v>
      </c>
      <c r="P887" t="s">
        <v>2842</v>
      </c>
      <c r="Q887" t="s">
        <v>430</v>
      </c>
      <c r="R887" t="s">
        <v>2843</v>
      </c>
      <c r="S887" t="s">
        <v>676</v>
      </c>
      <c r="T887" t="s">
        <v>408</v>
      </c>
      <c r="U887">
        <v>50950082656</v>
      </c>
      <c r="W887">
        <v>48000</v>
      </c>
      <c r="X887" t="s">
        <v>448</v>
      </c>
      <c r="Y887" t="s">
        <v>410</v>
      </c>
      <c r="Z887" t="s">
        <v>410</v>
      </c>
      <c r="AA887" t="s">
        <v>411</v>
      </c>
      <c r="AB887" t="s">
        <v>412</v>
      </c>
      <c r="AC887" t="s">
        <v>411</v>
      </c>
      <c r="AD887">
        <v>46111</v>
      </c>
      <c r="AE887">
        <v>46111</v>
      </c>
      <c r="AF887">
        <v>46119</v>
      </c>
      <c r="AG887" t="s">
        <v>590</v>
      </c>
      <c r="AH887">
        <v>6178465</v>
      </c>
      <c r="AI887">
        <v>46119</v>
      </c>
      <c r="AJ887">
        <v>46119</v>
      </c>
      <c r="AK887">
        <v>48000</v>
      </c>
      <c r="AL887" t="s">
        <v>396</v>
      </c>
      <c r="AM887" t="s">
        <v>2844</v>
      </c>
      <c r="AN887">
        <v>46119</v>
      </c>
      <c r="AO887">
        <v>46119.434282407405</v>
      </c>
      <c r="AP887" t="s">
        <v>51</v>
      </c>
      <c r="AQ887">
        <v>2.171E-2</v>
      </c>
      <c r="AR887">
        <v>1042.08</v>
      </c>
      <c r="AS887" t="s">
        <v>51</v>
      </c>
      <c r="AT887">
        <v>1042.08</v>
      </c>
      <c r="AU887" t="s">
        <v>450</v>
      </c>
      <c r="AV887" t="s">
        <v>1597</v>
      </c>
      <c r="AW887" t="s">
        <v>451</v>
      </c>
      <c r="AX887">
        <v>46122</v>
      </c>
      <c r="AY887">
        <v>46125</v>
      </c>
      <c r="BA887" t="s">
        <v>448</v>
      </c>
      <c r="BB887" t="s">
        <v>2845</v>
      </c>
      <c r="BC887">
        <v>2000</v>
      </c>
      <c r="BD887" t="s">
        <v>521</v>
      </c>
      <c r="BE887">
        <v>8.3724000000000007</v>
      </c>
      <c r="BF887">
        <v>8.0443999999999996</v>
      </c>
      <c r="BG887" t="s">
        <v>522</v>
      </c>
      <c r="BH887">
        <v>296</v>
      </c>
      <c r="BI887">
        <v>195</v>
      </c>
      <c r="BJ887">
        <v>145</v>
      </c>
      <c r="BK887">
        <v>12</v>
      </c>
      <c r="BL887" t="s">
        <v>521</v>
      </c>
      <c r="BM887">
        <v>108.4688</v>
      </c>
      <c r="BN887">
        <v>96.532799999999995</v>
      </c>
      <c r="BO887">
        <v>216.9376</v>
      </c>
      <c r="BP887" t="s">
        <v>522</v>
      </c>
      <c r="BQ887">
        <v>800</v>
      </c>
      <c r="BR887">
        <v>300</v>
      </c>
      <c r="BS887">
        <v>608</v>
      </c>
      <c r="BT887">
        <v>2</v>
      </c>
      <c r="BU887">
        <v>0</v>
      </c>
      <c r="BV887">
        <v>2</v>
      </c>
      <c r="BW887">
        <v>24</v>
      </c>
      <c r="BX887">
        <v>0</v>
      </c>
      <c r="BY887">
        <v>24</v>
      </c>
      <c r="BZ887">
        <v>48000</v>
      </c>
      <c r="CA887">
        <v>0</v>
      </c>
      <c r="CB887">
        <v>48000</v>
      </c>
      <c r="CC887">
        <v>193.06559999999999</v>
      </c>
      <c r="CD887" t="s">
        <v>523</v>
      </c>
      <c r="CE887" t="s">
        <v>728</v>
      </c>
      <c r="CG887" t="s">
        <v>421</v>
      </c>
      <c r="CN887" t="str">
        <v>M45</v>
      </c>
      <c r="CO887" t="str">
        <v>1339-12C0007EN</v>
      </c>
      <c r="CP887" t="str">
        <v>TCNU2592007</v>
      </c>
      <c r="CQ887" s="23">
        <v>637.24490000000003</v>
      </c>
      <c r="CR887" s="25">
        <f t="shared" si="35"/>
        <v>4.5249466716796097E-2</v>
      </c>
      <c r="CS887" s="21">
        <f t="shared" si="36"/>
        <v>113.12366679199025</v>
      </c>
    </row>
    <row r="888" spans="2:97" x14ac:dyDescent="0.35">
      <c r="B888" t="s">
        <v>296</v>
      </c>
      <c r="C888" t="s">
        <v>2846</v>
      </c>
      <c r="D888" t="s">
        <v>395</v>
      </c>
      <c r="E888" t="s">
        <v>395</v>
      </c>
      <c r="F888" t="s">
        <v>396</v>
      </c>
      <c r="G888" t="s">
        <v>397</v>
      </c>
      <c r="H888" t="s">
        <v>398</v>
      </c>
      <c r="I888" t="s">
        <v>399</v>
      </c>
      <c r="J888" t="s">
        <v>400</v>
      </c>
      <c r="K888" t="s">
        <v>484</v>
      </c>
      <c r="L888" t="s">
        <v>1753</v>
      </c>
      <c r="M888" t="s">
        <v>403</v>
      </c>
      <c r="N888">
        <v>1</v>
      </c>
      <c r="O888">
        <v>1</v>
      </c>
      <c r="P888" t="s">
        <v>1754</v>
      </c>
      <c r="Q888" t="s">
        <v>405</v>
      </c>
      <c r="R888" t="s">
        <v>499</v>
      </c>
      <c r="S888" t="s">
        <v>1196</v>
      </c>
      <c r="T888" t="s">
        <v>408</v>
      </c>
      <c r="U888">
        <v>50950082722</v>
      </c>
      <c r="W888">
        <v>10000</v>
      </c>
      <c r="X888" t="s">
        <v>409</v>
      </c>
      <c r="Y888" t="s">
        <v>410</v>
      </c>
      <c r="Z888" t="s">
        <v>410</v>
      </c>
      <c r="AA888" t="s">
        <v>411</v>
      </c>
      <c r="AB888" t="s">
        <v>412</v>
      </c>
      <c r="AC888" t="s">
        <v>411</v>
      </c>
      <c r="AD888">
        <v>46118</v>
      </c>
      <c r="AE888">
        <v>46167</v>
      </c>
      <c r="AF888">
        <v>46125</v>
      </c>
      <c r="AG888" t="s">
        <v>489</v>
      </c>
      <c r="AH888">
        <v>6178585</v>
      </c>
      <c r="AI888">
        <v>46119</v>
      </c>
      <c r="AJ888">
        <v>46119</v>
      </c>
      <c r="AK888">
        <v>10000</v>
      </c>
      <c r="AL888" t="s">
        <v>396</v>
      </c>
      <c r="AM888" t="s">
        <v>2847</v>
      </c>
      <c r="AN888">
        <v>46119</v>
      </c>
      <c r="AO888">
        <v>46119.434282407405</v>
      </c>
      <c r="AP888" t="s">
        <v>51</v>
      </c>
      <c r="AQ888">
        <v>1.1509999999999999E-2</v>
      </c>
      <c r="AR888">
        <v>115.1</v>
      </c>
      <c r="AS888" t="s">
        <v>51</v>
      </c>
      <c r="AT888">
        <v>115.1</v>
      </c>
      <c r="AU888" t="s">
        <v>415</v>
      </c>
      <c r="AV888" t="s">
        <v>416</v>
      </c>
      <c r="AW888" t="s">
        <v>2848</v>
      </c>
      <c r="AX888">
        <v>46128</v>
      </c>
      <c r="AY888">
        <v>46177</v>
      </c>
      <c r="AZ888" t="s">
        <v>2849</v>
      </c>
      <c r="BA888" t="s">
        <v>2219</v>
      </c>
      <c r="BB888" t="s">
        <v>2850</v>
      </c>
      <c r="BE888">
        <v>0</v>
      </c>
      <c r="BF888">
        <v>0</v>
      </c>
      <c r="BM888">
        <v>0</v>
      </c>
      <c r="BN888">
        <v>0</v>
      </c>
      <c r="BO888">
        <v>0.1</v>
      </c>
      <c r="CG888" t="s">
        <v>421</v>
      </c>
      <c r="CN888" t="str">
        <v>M45</v>
      </c>
      <c r="CO888" t="str">
        <v>1404-12C0002EN</v>
      </c>
      <c r="CP888" t="str">
        <v>TCNU2592007</v>
      </c>
      <c r="CQ888" s="23">
        <v>1977.5066999999999</v>
      </c>
      <c r="CR888" s="25">
        <f t="shared" si="35"/>
        <v>0.14041873635064209</v>
      </c>
      <c r="CS888" s="21">
        <f t="shared" si="36"/>
        <v>351.04684087660524</v>
      </c>
    </row>
    <row r="889" spans="2:97" x14ac:dyDescent="0.35">
      <c r="B889" t="s">
        <v>296</v>
      </c>
      <c r="C889" t="s">
        <v>2851</v>
      </c>
      <c r="D889" t="s">
        <v>395</v>
      </c>
      <c r="E889" t="s">
        <v>395</v>
      </c>
      <c r="F889" t="s">
        <v>396</v>
      </c>
      <c r="G889" t="s">
        <v>397</v>
      </c>
      <c r="H889" t="s">
        <v>398</v>
      </c>
      <c r="I889" t="s">
        <v>399</v>
      </c>
      <c r="J889" t="s">
        <v>400</v>
      </c>
      <c r="K889" t="s">
        <v>484</v>
      </c>
      <c r="L889" t="s">
        <v>1753</v>
      </c>
      <c r="M889" t="s">
        <v>403</v>
      </c>
      <c r="N889">
        <v>1</v>
      </c>
      <c r="O889">
        <v>1</v>
      </c>
      <c r="P889" t="s">
        <v>1754</v>
      </c>
      <c r="Q889" t="s">
        <v>405</v>
      </c>
      <c r="R889" t="s">
        <v>499</v>
      </c>
      <c r="S889" t="s">
        <v>1196</v>
      </c>
      <c r="T889" t="s">
        <v>408</v>
      </c>
      <c r="U889">
        <v>50950082723</v>
      </c>
      <c r="W889">
        <v>10000</v>
      </c>
      <c r="X889" t="s">
        <v>409</v>
      </c>
      <c r="Y889" t="s">
        <v>410</v>
      </c>
      <c r="Z889" t="s">
        <v>410</v>
      </c>
      <c r="AA889" t="s">
        <v>411</v>
      </c>
      <c r="AB889" t="s">
        <v>412</v>
      </c>
      <c r="AC889" t="s">
        <v>411</v>
      </c>
      <c r="AD889">
        <v>46118</v>
      </c>
      <c r="AE889">
        <v>46174</v>
      </c>
      <c r="AF889">
        <v>46125</v>
      </c>
      <c r="AG889" t="s">
        <v>489</v>
      </c>
      <c r="AH889">
        <v>6178586</v>
      </c>
      <c r="AI889">
        <v>46119</v>
      </c>
      <c r="AJ889">
        <v>46119</v>
      </c>
      <c r="AK889">
        <v>10000</v>
      </c>
      <c r="AL889" t="s">
        <v>396</v>
      </c>
      <c r="AM889" t="s">
        <v>2852</v>
      </c>
      <c r="AN889">
        <v>46119</v>
      </c>
      <c r="AO889">
        <v>46119.434282407405</v>
      </c>
      <c r="AP889" t="s">
        <v>51</v>
      </c>
      <c r="AQ889">
        <v>1.1509999999999999E-2</v>
      </c>
      <c r="AR889">
        <v>115.1</v>
      </c>
      <c r="AS889" t="s">
        <v>51</v>
      </c>
      <c r="AT889">
        <v>115.1</v>
      </c>
      <c r="AU889" t="s">
        <v>415</v>
      </c>
      <c r="AV889" t="s">
        <v>416</v>
      </c>
      <c r="AW889" t="s">
        <v>2848</v>
      </c>
      <c r="AX889">
        <v>46128</v>
      </c>
      <c r="AY889">
        <v>46177</v>
      </c>
      <c r="AZ889" t="s">
        <v>2849</v>
      </c>
      <c r="BA889" t="s">
        <v>2219</v>
      </c>
      <c r="BB889" t="s">
        <v>2850</v>
      </c>
      <c r="BE889">
        <v>0</v>
      </c>
      <c r="BF889">
        <v>0</v>
      </c>
      <c r="BM889">
        <v>0</v>
      </c>
      <c r="BN889">
        <v>0</v>
      </c>
      <c r="BO889">
        <v>0.1</v>
      </c>
      <c r="CG889" t="s">
        <v>421</v>
      </c>
      <c r="CN889" t="str">
        <v>M01</v>
      </c>
      <c r="CO889" t="str">
        <v>1200-1030990EN0002</v>
      </c>
      <c r="CP889" t="str">
        <v>TGBU5221360</v>
      </c>
      <c r="CQ889" s="23">
        <v>720.21600000000001</v>
      </c>
      <c r="CR889" s="25">
        <f t="shared" si="35"/>
        <v>5.4634130783250787E-2</v>
      </c>
      <c r="CS889" s="21">
        <f t="shared" si="36"/>
        <v>136.58532695812696</v>
      </c>
    </row>
    <row r="890" spans="2:97" x14ac:dyDescent="0.35">
      <c r="B890" t="s">
        <v>295</v>
      </c>
      <c r="C890" t="s">
        <v>2853</v>
      </c>
      <c r="D890" t="s">
        <v>395</v>
      </c>
      <c r="E890" t="s">
        <v>395</v>
      </c>
      <c r="F890" t="s">
        <v>396</v>
      </c>
      <c r="G890" t="s">
        <v>397</v>
      </c>
      <c r="H890" t="s">
        <v>398</v>
      </c>
      <c r="I890" t="s">
        <v>399</v>
      </c>
      <c r="J890" t="s">
        <v>400</v>
      </c>
      <c r="K890" t="s">
        <v>607</v>
      </c>
      <c r="L890" t="s">
        <v>746</v>
      </c>
      <c r="M890" t="s">
        <v>403</v>
      </c>
      <c r="N890">
        <v>1</v>
      </c>
      <c r="O890">
        <v>1</v>
      </c>
      <c r="P890" t="s">
        <v>2854</v>
      </c>
      <c r="Q890" t="s">
        <v>637</v>
      </c>
      <c r="R890" t="s">
        <v>2855</v>
      </c>
      <c r="S890" t="s">
        <v>732</v>
      </c>
      <c r="T890" t="s">
        <v>408</v>
      </c>
      <c r="U890">
        <v>50950082658</v>
      </c>
      <c r="W890">
        <v>39600</v>
      </c>
      <c r="X890" t="s">
        <v>448</v>
      </c>
      <c r="Y890" t="s">
        <v>410</v>
      </c>
      <c r="Z890" t="s">
        <v>410</v>
      </c>
      <c r="AA890" t="s">
        <v>411</v>
      </c>
      <c r="AB890" t="s">
        <v>412</v>
      </c>
      <c r="AC890" t="s">
        <v>411</v>
      </c>
      <c r="AD890">
        <v>46119</v>
      </c>
      <c r="AE890">
        <v>46111</v>
      </c>
      <c r="AF890">
        <v>46121</v>
      </c>
      <c r="AG890" t="s">
        <v>590</v>
      </c>
      <c r="AH890">
        <v>6180664</v>
      </c>
      <c r="AI890">
        <v>46120</v>
      </c>
      <c r="AJ890">
        <v>46120</v>
      </c>
      <c r="AK890">
        <v>39600</v>
      </c>
      <c r="AL890" t="s">
        <v>396</v>
      </c>
      <c r="AM890" t="s">
        <v>2856</v>
      </c>
      <c r="AN890">
        <v>46120</v>
      </c>
      <c r="AO890">
        <v>46120.466863425929</v>
      </c>
      <c r="AP890" t="s">
        <v>51</v>
      </c>
      <c r="AQ890">
        <v>4.7780000000000003E-2</v>
      </c>
      <c r="AR890">
        <v>1892.09</v>
      </c>
      <c r="AS890" t="s">
        <v>51</v>
      </c>
      <c r="AT890">
        <v>1892.09</v>
      </c>
      <c r="AU890" t="s">
        <v>450</v>
      </c>
      <c r="AV890" t="s">
        <v>1597</v>
      </c>
      <c r="AW890" t="s">
        <v>451</v>
      </c>
      <c r="AX890">
        <v>46122</v>
      </c>
      <c r="AY890">
        <v>46126</v>
      </c>
      <c r="BA890" t="s">
        <v>448</v>
      </c>
      <c r="BB890" t="s">
        <v>2857</v>
      </c>
      <c r="BC890">
        <v>3300</v>
      </c>
      <c r="BD890" t="s">
        <v>521</v>
      </c>
      <c r="BE890">
        <v>13.231</v>
      </c>
      <c r="BF890">
        <v>11.381</v>
      </c>
      <c r="BG890" t="s">
        <v>522</v>
      </c>
      <c r="BH890">
        <v>395</v>
      </c>
      <c r="BI890">
        <v>295</v>
      </c>
      <c r="BJ890">
        <v>100</v>
      </c>
      <c r="BK890">
        <v>12</v>
      </c>
      <c r="BL890" t="s">
        <v>521</v>
      </c>
      <c r="BM890">
        <v>166.77248</v>
      </c>
      <c r="BN890">
        <v>136.57248000000001</v>
      </c>
      <c r="BO890">
        <v>166.77248</v>
      </c>
      <c r="BP890" t="s">
        <v>522</v>
      </c>
      <c r="BQ890">
        <v>800</v>
      </c>
      <c r="BR890">
        <v>300</v>
      </c>
      <c r="BS890">
        <v>760</v>
      </c>
      <c r="BT890">
        <v>1</v>
      </c>
      <c r="BU890">
        <v>0</v>
      </c>
      <c r="BV890">
        <v>1</v>
      </c>
      <c r="BW890">
        <v>12</v>
      </c>
      <c r="BX890">
        <v>0</v>
      </c>
      <c r="BY890">
        <v>12</v>
      </c>
      <c r="BZ890">
        <v>39600</v>
      </c>
      <c r="CA890">
        <v>0</v>
      </c>
      <c r="CB890">
        <v>39600</v>
      </c>
      <c r="CC890">
        <v>136.57248000000001</v>
      </c>
      <c r="CD890" t="s">
        <v>700</v>
      </c>
      <c r="CE890" t="s">
        <v>2858</v>
      </c>
      <c r="CG890" t="s">
        <v>421</v>
      </c>
      <c r="CN890" t="str">
        <v>M01</v>
      </c>
      <c r="CO890" t="str">
        <v>1200-1030990EN0002</v>
      </c>
      <c r="CP890" t="str">
        <v>TGBU5221360</v>
      </c>
      <c r="CQ890" s="23">
        <v>288.08640000000003</v>
      </c>
      <c r="CR890" s="25">
        <f t="shared" si="35"/>
        <v>2.1853652313300317E-2</v>
      </c>
      <c r="CS890" s="21">
        <f t="shared" si="36"/>
        <v>54.634130783250797</v>
      </c>
    </row>
    <row r="891" spans="2:97" x14ac:dyDescent="0.35">
      <c r="B891" s="34" t="s">
        <v>298</v>
      </c>
      <c r="C891" t="s">
        <v>2859</v>
      </c>
      <c r="D891" t="s">
        <v>395</v>
      </c>
      <c r="E891" t="s">
        <v>395</v>
      </c>
      <c r="F891" t="s">
        <v>396</v>
      </c>
      <c r="G891" t="s">
        <v>397</v>
      </c>
      <c r="H891" t="s">
        <v>398</v>
      </c>
      <c r="I891" t="s">
        <v>399</v>
      </c>
      <c r="J891" t="s">
        <v>400</v>
      </c>
      <c r="K891" t="s">
        <v>607</v>
      </c>
      <c r="L891" t="s">
        <v>746</v>
      </c>
      <c r="M891" t="s">
        <v>751</v>
      </c>
      <c r="N891">
        <v>1</v>
      </c>
      <c r="O891">
        <v>1</v>
      </c>
      <c r="P891" t="s">
        <v>2860</v>
      </c>
      <c r="Q891" t="s">
        <v>430</v>
      </c>
      <c r="R891" t="s">
        <v>2591</v>
      </c>
      <c r="S891" t="s">
        <v>2281</v>
      </c>
      <c r="T891" t="s">
        <v>408</v>
      </c>
      <c r="U891">
        <v>50950082673</v>
      </c>
      <c r="W891">
        <v>20000</v>
      </c>
      <c r="X891" t="s">
        <v>448</v>
      </c>
      <c r="Y891" t="s">
        <v>410</v>
      </c>
      <c r="Z891" t="s">
        <v>410</v>
      </c>
      <c r="AA891" t="s">
        <v>411</v>
      </c>
      <c r="AB891" t="s">
        <v>412</v>
      </c>
      <c r="AC891" t="s">
        <v>411</v>
      </c>
      <c r="AD891">
        <v>46119</v>
      </c>
      <c r="AE891">
        <v>46111</v>
      </c>
      <c r="AF891">
        <v>46125</v>
      </c>
      <c r="AG891" t="s">
        <v>590</v>
      </c>
      <c r="AH891">
        <v>6179513</v>
      </c>
      <c r="AI891">
        <v>46119</v>
      </c>
      <c r="AJ891">
        <v>46120</v>
      </c>
      <c r="AK891">
        <v>20000</v>
      </c>
      <c r="AL891" t="s">
        <v>396</v>
      </c>
      <c r="AM891" t="s">
        <v>2861</v>
      </c>
      <c r="AN891">
        <v>46120</v>
      </c>
      <c r="AO891">
        <v>46120.381597222222</v>
      </c>
      <c r="AP891" t="s">
        <v>51</v>
      </c>
      <c r="AQ891">
        <v>3.5950000000000003E-2</v>
      </c>
      <c r="AR891">
        <v>719</v>
      </c>
      <c r="AS891" t="s">
        <v>51</v>
      </c>
      <c r="AT891">
        <v>719</v>
      </c>
      <c r="AU891" t="s">
        <v>450</v>
      </c>
      <c r="AV891" t="s">
        <v>448</v>
      </c>
      <c r="AW891" t="s">
        <v>2269</v>
      </c>
      <c r="AX891">
        <v>46123</v>
      </c>
      <c r="AY891">
        <v>46130</v>
      </c>
      <c r="BA891" t="s">
        <v>448</v>
      </c>
      <c r="BB891" t="s">
        <v>2862</v>
      </c>
      <c r="BC891">
        <v>4000</v>
      </c>
      <c r="BD891" t="s">
        <v>521</v>
      </c>
      <c r="BE891">
        <v>14.7094</v>
      </c>
      <c r="BF891">
        <v>14.1584</v>
      </c>
      <c r="BG891" t="s">
        <v>522</v>
      </c>
      <c r="BH891">
        <v>368</v>
      </c>
      <c r="BI891">
        <v>257</v>
      </c>
      <c r="BJ891">
        <v>136</v>
      </c>
      <c r="BK891">
        <v>27</v>
      </c>
      <c r="BL891" t="s">
        <v>521</v>
      </c>
      <c r="BM891">
        <v>102.547</v>
      </c>
      <c r="BN891">
        <v>70.792000000000002</v>
      </c>
      <c r="BO891">
        <v>102.547</v>
      </c>
      <c r="BP891" t="s">
        <v>522</v>
      </c>
      <c r="BQ891">
        <v>1140</v>
      </c>
      <c r="BR891">
        <v>800</v>
      </c>
      <c r="BS891">
        <v>565</v>
      </c>
      <c r="BT891">
        <v>0</v>
      </c>
      <c r="BU891">
        <v>1</v>
      </c>
      <c r="BV891">
        <v>1</v>
      </c>
      <c r="BW891">
        <v>5</v>
      </c>
      <c r="BX891">
        <v>0</v>
      </c>
      <c r="BY891">
        <v>5</v>
      </c>
      <c r="BZ891">
        <v>0</v>
      </c>
      <c r="CA891">
        <v>20000</v>
      </c>
      <c r="CB891">
        <v>20000</v>
      </c>
      <c r="CC891">
        <v>70.792000000000002</v>
      </c>
      <c r="CD891" t="s">
        <v>1318</v>
      </c>
      <c r="CE891" t="s">
        <v>1319</v>
      </c>
      <c r="CG891" t="s">
        <v>421</v>
      </c>
      <c r="CN891" t="str">
        <v>M19</v>
      </c>
      <c r="CO891" t="str">
        <v>1275-5YY0561EN</v>
      </c>
      <c r="CP891" t="str">
        <v>TGBU5221360</v>
      </c>
      <c r="CQ891" s="23">
        <v>532.50400000000002</v>
      </c>
      <c r="CR891" s="25">
        <f t="shared" si="35"/>
        <v>4.0394677678091268E-2</v>
      </c>
      <c r="CS891" s="21">
        <f t="shared" si="36"/>
        <v>100.98669419522817</v>
      </c>
    </row>
    <row r="892" spans="2:97" x14ac:dyDescent="0.35">
      <c r="B892" t="s">
        <v>295</v>
      </c>
      <c r="C892" t="s">
        <v>2863</v>
      </c>
      <c r="D892" t="s">
        <v>395</v>
      </c>
      <c r="E892" t="s">
        <v>395</v>
      </c>
      <c r="F892" t="s">
        <v>396</v>
      </c>
      <c r="G892" t="s">
        <v>397</v>
      </c>
      <c r="H892" t="s">
        <v>398</v>
      </c>
      <c r="I892" t="s">
        <v>399</v>
      </c>
      <c r="J892" t="s">
        <v>400</v>
      </c>
      <c r="K892" t="s">
        <v>629</v>
      </c>
      <c r="L892" t="s">
        <v>746</v>
      </c>
      <c r="M892" t="s">
        <v>403</v>
      </c>
      <c r="N892">
        <v>1</v>
      </c>
      <c r="O892">
        <v>1</v>
      </c>
      <c r="P892" t="s">
        <v>2864</v>
      </c>
      <c r="Q892" t="s">
        <v>637</v>
      </c>
      <c r="R892" t="s">
        <v>2865</v>
      </c>
      <c r="S892" t="s">
        <v>2866</v>
      </c>
      <c r="T892" t="s">
        <v>408</v>
      </c>
      <c r="U892">
        <v>50950082777</v>
      </c>
      <c r="W892">
        <v>4800</v>
      </c>
      <c r="X892" t="s">
        <v>448</v>
      </c>
      <c r="Y892" t="s">
        <v>410</v>
      </c>
      <c r="Z892" t="s">
        <v>410</v>
      </c>
      <c r="AA892" t="s">
        <v>411</v>
      </c>
      <c r="AB892" t="s">
        <v>412</v>
      </c>
      <c r="AC892" t="s">
        <v>411</v>
      </c>
      <c r="AD892">
        <v>46115</v>
      </c>
      <c r="AE892">
        <v>46118</v>
      </c>
      <c r="AF892">
        <v>46120</v>
      </c>
      <c r="AG892" t="s">
        <v>590</v>
      </c>
      <c r="AH892">
        <v>6179514</v>
      </c>
      <c r="AI892">
        <v>46119</v>
      </c>
      <c r="AJ892">
        <v>46120</v>
      </c>
      <c r="AK892">
        <v>4800</v>
      </c>
      <c r="AL892" t="s">
        <v>396</v>
      </c>
      <c r="AM892" t="s">
        <v>2867</v>
      </c>
      <c r="AN892">
        <v>46120</v>
      </c>
      <c r="AO892">
        <v>46120.381597222222</v>
      </c>
      <c r="AP892" t="s">
        <v>51</v>
      </c>
      <c r="AQ892">
        <v>0.60612999999999995</v>
      </c>
      <c r="AR892">
        <v>2909.44</v>
      </c>
      <c r="AS892" t="s">
        <v>51</v>
      </c>
      <c r="AT892">
        <v>2909.44</v>
      </c>
      <c r="AU892" t="s">
        <v>450</v>
      </c>
      <c r="AV892" t="s">
        <v>448</v>
      </c>
      <c r="AW892" t="s">
        <v>451</v>
      </c>
      <c r="AX892">
        <v>46122</v>
      </c>
      <c r="AY892">
        <v>46125</v>
      </c>
      <c r="BA892" t="s">
        <v>448</v>
      </c>
      <c r="BB892" t="s">
        <v>2868</v>
      </c>
      <c r="BC892">
        <v>75</v>
      </c>
      <c r="BD892" t="s">
        <v>521</v>
      </c>
      <c r="BE892">
        <v>4.7782999999999998</v>
      </c>
      <c r="BF892">
        <v>2.6082999999999998</v>
      </c>
      <c r="BG892" t="s">
        <v>522</v>
      </c>
      <c r="BH892">
        <v>570</v>
      </c>
      <c r="BI892">
        <v>395</v>
      </c>
      <c r="BJ892">
        <v>220</v>
      </c>
      <c r="BK892">
        <v>16</v>
      </c>
      <c r="BL892" t="s">
        <v>521</v>
      </c>
      <c r="BM892">
        <v>99.752799999999993</v>
      </c>
      <c r="BN892">
        <v>41.732799999999997</v>
      </c>
      <c r="BO892">
        <v>399.00959999999998</v>
      </c>
      <c r="BP892" t="s">
        <v>522</v>
      </c>
      <c r="BQ892">
        <v>1140</v>
      </c>
      <c r="BR892">
        <v>800</v>
      </c>
      <c r="BS892">
        <v>1040</v>
      </c>
      <c r="BT892">
        <v>4</v>
      </c>
      <c r="BU892">
        <v>0</v>
      </c>
      <c r="BV892">
        <v>4</v>
      </c>
      <c r="BW892">
        <v>64</v>
      </c>
      <c r="BX892">
        <v>0</v>
      </c>
      <c r="BY892">
        <v>64</v>
      </c>
      <c r="BZ892">
        <v>4800</v>
      </c>
      <c r="CA892">
        <v>0</v>
      </c>
      <c r="CB892">
        <v>4800</v>
      </c>
      <c r="CC892">
        <v>166.92959999999999</v>
      </c>
      <c r="CD892" t="s">
        <v>2869</v>
      </c>
      <c r="CE892" t="s">
        <v>2870</v>
      </c>
      <c r="CG892" t="s">
        <v>421</v>
      </c>
      <c r="CN892" t="str">
        <v>M19</v>
      </c>
      <c r="CO892" t="str">
        <v>1275-5YY0561EN</v>
      </c>
      <c r="CP892" t="str">
        <v>TGBU5221360</v>
      </c>
      <c r="CQ892" s="23">
        <v>399.37799999999999</v>
      </c>
      <c r="CR892" s="25">
        <f t="shared" si="35"/>
        <v>3.0296008258568447E-2</v>
      </c>
      <c r="CS892" s="21">
        <f t="shared" si="36"/>
        <v>75.740020646421115</v>
      </c>
    </row>
    <row r="893" spans="2:97" x14ac:dyDescent="0.35">
      <c r="B893" t="s">
        <v>295</v>
      </c>
      <c r="C893" t="s">
        <v>2833</v>
      </c>
      <c r="D893" t="s">
        <v>575</v>
      </c>
      <c r="E893" t="s">
        <v>395</v>
      </c>
      <c r="F893" t="s">
        <v>396</v>
      </c>
      <c r="G893" t="s">
        <v>397</v>
      </c>
      <c r="H893" t="s">
        <v>398</v>
      </c>
      <c r="I893" t="s">
        <v>399</v>
      </c>
      <c r="J893" t="s">
        <v>400</v>
      </c>
      <c r="K893" t="s">
        <v>566</v>
      </c>
      <c r="L893" t="s">
        <v>1268</v>
      </c>
      <c r="M893" t="s">
        <v>751</v>
      </c>
      <c r="N893">
        <v>1</v>
      </c>
      <c r="O893">
        <v>2</v>
      </c>
      <c r="P893" t="s">
        <v>2834</v>
      </c>
      <c r="Q893" t="s">
        <v>430</v>
      </c>
      <c r="R893" t="s">
        <v>2835</v>
      </c>
      <c r="S893" t="s">
        <v>2836</v>
      </c>
      <c r="T893" t="s">
        <v>408</v>
      </c>
      <c r="U893">
        <v>50950082652</v>
      </c>
      <c r="W893">
        <v>6624</v>
      </c>
      <c r="X893" t="s">
        <v>448</v>
      </c>
      <c r="Y893" t="s">
        <v>410</v>
      </c>
      <c r="Z893" t="s">
        <v>410</v>
      </c>
      <c r="AA893" t="s">
        <v>411</v>
      </c>
      <c r="AB893" t="s">
        <v>412</v>
      </c>
      <c r="AC893" t="s">
        <v>411</v>
      </c>
      <c r="AD893">
        <v>46138</v>
      </c>
      <c r="AE893">
        <v>46111</v>
      </c>
      <c r="AF893">
        <v>46123</v>
      </c>
      <c r="AG893" t="s">
        <v>570</v>
      </c>
      <c r="AH893">
        <v>6182826</v>
      </c>
      <c r="AI893">
        <v>46121</v>
      </c>
      <c r="AJ893">
        <v>46121</v>
      </c>
      <c r="AK893">
        <v>6624</v>
      </c>
      <c r="AL893" t="s">
        <v>396</v>
      </c>
      <c r="AM893" t="s">
        <v>2871</v>
      </c>
      <c r="AN893">
        <v>46121</v>
      </c>
      <c r="AO893">
        <v>46121.466261574074</v>
      </c>
      <c r="AP893" t="s">
        <v>51</v>
      </c>
      <c r="AQ893">
        <v>0.45693</v>
      </c>
      <c r="AR893">
        <v>3026.69</v>
      </c>
      <c r="AS893" t="s">
        <v>51</v>
      </c>
      <c r="AT893">
        <v>3026.69</v>
      </c>
      <c r="AU893" t="s">
        <v>450</v>
      </c>
      <c r="AV893" t="s">
        <v>1597</v>
      </c>
      <c r="AW893" t="s">
        <v>1613</v>
      </c>
      <c r="AX893">
        <v>46125</v>
      </c>
      <c r="AY893">
        <v>46128</v>
      </c>
      <c r="BA893" t="s">
        <v>448</v>
      </c>
      <c r="BB893" t="s">
        <v>2872</v>
      </c>
      <c r="BC893">
        <v>69</v>
      </c>
      <c r="BD893" t="s">
        <v>521</v>
      </c>
      <c r="BE893">
        <v>6.2408999999999999</v>
      </c>
      <c r="BF893">
        <v>5.3475000000000001</v>
      </c>
      <c r="BG893" t="s">
        <v>522</v>
      </c>
      <c r="BH893">
        <v>395</v>
      </c>
      <c r="BI893">
        <v>295</v>
      </c>
      <c r="BJ893">
        <v>120</v>
      </c>
      <c r="BK893">
        <v>48</v>
      </c>
      <c r="BL893" t="s">
        <v>521</v>
      </c>
      <c r="BM893">
        <v>324.56319999999999</v>
      </c>
      <c r="BN893">
        <v>256.68</v>
      </c>
      <c r="BO893">
        <v>649.12639999999999</v>
      </c>
      <c r="BP893" t="s">
        <v>522</v>
      </c>
      <c r="BQ893">
        <v>1200</v>
      </c>
      <c r="BR893">
        <v>800</v>
      </c>
      <c r="BS893">
        <v>1025</v>
      </c>
      <c r="BT893">
        <v>2</v>
      </c>
      <c r="BU893">
        <v>0</v>
      </c>
      <c r="BV893">
        <v>2</v>
      </c>
      <c r="BW893">
        <v>96</v>
      </c>
      <c r="BX893">
        <v>0</v>
      </c>
      <c r="BY893">
        <v>96</v>
      </c>
      <c r="BZ893">
        <v>6624</v>
      </c>
      <c r="CA893">
        <v>0</v>
      </c>
      <c r="CB893">
        <v>6624</v>
      </c>
      <c r="CC893">
        <v>513.36</v>
      </c>
      <c r="CD893" t="s">
        <v>2839</v>
      </c>
      <c r="CE893" t="s">
        <v>2840</v>
      </c>
      <c r="CG893" t="s">
        <v>421</v>
      </c>
      <c r="CN893" t="str">
        <v>M19</v>
      </c>
      <c r="CO893" t="str">
        <v>1275-5YY0696EN</v>
      </c>
      <c r="CP893" t="str">
        <v>TGBU5221360</v>
      </c>
      <c r="CQ893" s="23">
        <v>336.1764</v>
      </c>
      <c r="CR893" s="25">
        <f t="shared" si="35"/>
        <v>2.5501662562123627E-2</v>
      </c>
      <c r="CS893" s="21">
        <f t="shared" si="36"/>
        <v>63.754156405309068</v>
      </c>
    </row>
    <row r="894" spans="2:97" x14ac:dyDescent="0.35">
      <c r="B894" t="s">
        <v>298</v>
      </c>
      <c r="C894" t="s">
        <v>2873</v>
      </c>
      <c r="D894" t="s">
        <v>565</v>
      </c>
      <c r="E894" t="s">
        <v>395</v>
      </c>
      <c r="F894" t="s">
        <v>396</v>
      </c>
      <c r="G894" t="s">
        <v>397</v>
      </c>
      <c r="H894" t="s">
        <v>398</v>
      </c>
      <c r="I894" t="s">
        <v>399</v>
      </c>
      <c r="J894" t="s">
        <v>400</v>
      </c>
      <c r="K894" t="s">
        <v>566</v>
      </c>
      <c r="L894" t="s">
        <v>567</v>
      </c>
      <c r="M894" t="s">
        <v>403</v>
      </c>
      <c r="N894">
        <v>1</v>
      </c>
      <c r="O894">
        <v>1</v>
      </c>
      <c r="P894" t="s">
        <v>1767</v>
      </c>
      <c r="Q894" t="s">
        <v>424</v>
      </c>
      <c r="R894" t="s">
        <v>1768</v>
      </c>
      <c r="S894" t="s">
        <v>1769</v>
      </c>
      <c r="T894" t="s">
        <v>408</v>
      </c>
      <c r="U894">
        <v>50950082306</v>
      </c>
      <c r="W894">
        <v>7776</v>
      </c>
      <c r="X894" t="s">
        <v>409</v>
      </c>
      <c r="Y894" t="s">
        <v>410</v>
      </c>
      <c r="Z894" t="s">
        <v>410</v>
      </c>
      <c r="AA894" t="s">
        <v>411</v>
      </c>
      <c r="AB894" t="s">
        <v>412</v>
      </c>
      <c r="AC894" t="s">
        <v>411</v>
      </c>
      <c r="AD894">
        <v>46120</v>
      </c>
      <c r="AE894">
        <v>46174</v>
      </c>
      <c r="AF894">
        <v>46125</v>
      </c>
      <c r="AG894" t="s">
        <v>570</v>
      </c>
      <c r="AH894">
        <v>6183804</v>
      </c>
      <c r="AI894">
        <v>46121</v>
      </c>
      <c r="AJ894">
        <v>46122</v>
      </c>
      <c r="AK894">
        <v>7776</v>
      </c>
      <c r="AL894" t="s">
        <v>396</v>
      </c>
      <c r="AM894" t="s">
        <v>2874</v>
      </c>
      <c r="AN894">
        <v>46122</v>
      </c>
      <c r="AO894">
        <v>46122.433206018519</v>
      </c>
      <c r="AP894" t="s">
        <v>51</v>
      </c>
      <c r="AQ894">
        <v>0.36332999999999999</v>
      </c>
      <c r="AR894">
        <v>2825.26</v>
      </c>
      <c r="AS894" t="s">
        <v>51</v>
      </c>
      <c r="AT894">
        <v>2825.26</v>
      </c>
      <c r="AU894" t="s">
        <v>415</v>
      </c>
      <c r="AV894" t="s">
        <v>416</v>
      </c>
      <c r="AW894" t="s">
        <v>2848</v>
      </c>
      <c r="AX894">
        <v>46128</v>
      </c>
      <c r="AY894">
        <v>46177</v>
      </c>
      <c r="AZ894" t="s">
        <v>2849</v>
      </c>
      <c r="BA894" t="s">
        <v>2219</v>
      </c>
      <c r="BB894" t="s">
        <v>2850</v>
      </c>
      <c r="BC894">
        <v>81</v>
      </c>
      <c r="BD894" t="s">
        <v>521</v>
      </c>
      <c r="BE894">
        <v>6.1428000000000003</v>
      </c>
      <c r="BF894">
        <v>5.2187999999999999</v>
      </c>
      <c r="BG894" t="s">
        <v>522</v>
      </c>
      <c r="BH894">
        <v>395</v>
      </c>
      <c r="BI894">
        <v>295</v>
      </c>
      <c r="BJ894">
        <v>150</v>
      </c>
      <c r="BK894">
        <v>48</v>
      </c>
      <c r="BL894" t="s">
        <v>521</v>
      </c>
      <c r="BM894">
        <v>318.8544</v>
      </c>
      <c r="BN894">
        <v>250.50239999999999</v>
      </c>
      <c r="BO894">
        <v>637.71168</v>
      </c>
      <c r="BP894" t="s">
        <v>522</v>
      </c>
      <c r="BQ894">
        <v>1200</v>
      </c>
      <c r="BR894">
        <v>800</v>
      </c>
      <c r="BS894">
        <v>1060</v>
      </c>
      <c r="BT894">
        <v>2</v>
      </c>
      <c r="BU894">
        <v>0</v>
      </c>
      <c r="BV894">
        <v>2</v>
      </c>
      <c r="BW894">
        <v>96</v>
      </c>
      <c r="BX894">
        <v>0</v>
      </c>
      <c r="BY894">
        <v>96</v>
      </c>
      <c r="BZ894">
        <v>7776</v>
      </c>
      <c r="CA894">
        <v>0</v>
      </c>
      <c r="CB894">
        <v>7776</v>
      </c>
      <c r="CC894">
        <v>501.00767999999999</v>
      </c>
      <c r="CD894" t="s">
        <v>694</v>
      </c>
      <c r="CE894" t="s">
        <v>1771</v>
      </c>
      <c r="CG894" t="s">
        <v>421</v>
      </c>
      <c r="CN894" t="str">
        <v>M45</v>
      </c>
      <c r="CO894" t="str">
        <v>1438-12C0005EN</v>
      </c>
      <c r="CP894" t="str">
        <v>TGBU5221360</v>
      </c>
      <c r="CQ894" s="23">
        <v>638.55999999999995</v>
      </c>
      <c r="CR894" s="25">
        <f t="shared" si="35"/>
        <v>4.8439871584292242E-2</v>
      </c>
      <c r="CS894" s="21">
        <f t="shared" si="36"/>
        <v>121.0996789607306</v>
      </c>
    </row>
    <row r="895" spans="2:97" x14ac:dyDescent="0.35">
      <c r="B895" t="s">
        <v>299</v>
      </c>
      <c r="C895" t="s">
        <v>2875</v>
      </c>
      <c r="D895" t="s">
        <v>395</v>
      </c>
      <c r="E895" t="s">
        <v>395</v>
      </c>
      <c r="F895" t="s">
        <v>396</v>
      </c>
      <c r="G895" t="s">
        <v>397</v>
      </c>
      <c r="H895" t="s">
        <v>532</v>
      </c>
      <c r="I895" t="s">
        <v>399</v>
      </c>
      <c r="J895" t="s">
        <v>400</v>
      </c>
      <c r="K895" t="s">
        <v>515</v>
      </c>
      <c r="L895" t="s">
        <v>585</v>
      </c>
      <c r="M895" t="s">
        <v>403</v>
      </c>
      <c r="N895">
        <v>1</v>
      </c>
      <c r="O895">
        <v>1</v>
      </c>
      <c r="P895" t="s">
        <v>586</v>
      </c>
      <c r="Q895" t="s">
        <v>587</v>
      </c>
      <c r="R895" t="s">
        <v>588</v>
      </c>
      <c r="S895" t="s">
        <v>589</v>
      </c>
      <c r="T895" t="s">
        <v>408</v>
      </c>
      <c r="U895">
        <v>50950080373</v>
      </c>
      <c r="W895">
        <v>5400</v>
      </c>
      <c r="X895" t="s">
        <v>409</v>
      </c>
      <c r="Y895" t="s">
        <v>410</v>
      </c>
      <c r="Z895" t="s">
        <v>410</v>
      </c>
      <c r="AA895" t="s">
        <v>411</v>
      </c>
      <c r="AB895" t="s">
        <v>412</v>
      </c>
      <c r="AC895" t="s">
        <v>411</v>
      </c>
      <c r="AD895">
        <v>46118</v>
      </c>
      <c r="AE895">
        <v>46174</v>
      </c>
      <c r="AF895">
        <v>46125</v>
      </c>
      <c r="AG895" t="s">
        <v>590</v>
      </c>
      <c r="AH895">
        <v>6183805</v>
      </c>
      <c r="AI895">
        <v>46121</v>
      </c>
      <c r="AJ895">
        <v>46122</v>
      </c>
      <c r="AK895">
        <v>5400</v>
      </c>
      <c r="AL895" t="s">
        <v>396</v>
      </c>
      <c r="AM895" t="s">
        <v>2876</v>
      </c>
      <c r="AN895">
        <v>46122</v>
      </c>
      <c r="AO895">
        <v>46122.433206018519</v>
      </c>
      <c r="AP895" t="s">
        <v>51</v>
      </c>
      <c r="AQ895">
        <v>2.2499099999999999</v>
      </c>
      <c r="AR895">
        <v>12149.52</v>
      </c>
      <c r="AS895" t="s">
        <v>51</v>
      </c>
      <c r="AT895">
        <v>12149.52</v>
      </c>
      <c r="AU895" t="s">
        <v>415</v>
      </c>
      <c r="AV895" t="s">
        <v>416</v>
      </c>
      <c r="AW895" t="s">
        <v>2848</v>
      </c>
      <c r="AX895">
        <v>46128</v>
      </c>
      <c r="AY895">
        <v>46177</v>
      </c>
      <c r="AZ895" t="s">
        <v>2849</v>
      </c>
      <c r="BA895" t="s">
        <v>2219</v>
      </c>
      <c r="BB895" t="s">
        <v>2850</v>
      </c>
      <c r="BC895">
        <v>27</v>
      </c>
      <c r="BD895" t="s">
        <v>521</v>
      </c>
      <c r="BE895">
        <v>2.6560000000000001</v>
      </c>
      <c r="BF895">
        <v>1.623</v>
      </c>
      <c r="BG895" t="s">
        <v>522</v>
      </c>
      <c r="BH895">
        <v>395</v>
      </c>
      <c r="BI895">
        <v>295</v>
      </c>
      <c r="BJ895">
        <v>190</v>
      </c>
      <c r="BK895">
        <v>50</v>
      </c>
      <c r="BL895" t="s">
        <v>521</v>
      </c>
      <c r="BM895">
        <v>159.80000000000001</v>
      </c>
      <c r="BN895">
        <v>81.150000000000006</v>
      </c>
      <c r="BO895">
        <v>639.19939999999997</v>
      </c>
      <c r="BP895" t="s">
        <v>522</v>
      </c>
      <c r="BQ895">
        <v>1200</v>
      </c>
      <c r="BR895">
        <v>1000</v>
      </c>
      <c r="BS895">
        <v>1110</v>
      </c>
      <c r="BT895">
        <v>4</v>
      </c>
      <c r="BU895">
        <v>0</v>
      </c>
      <c r="BV895">
        <v>4</v>
      </c>
      <c r="BW895">
        <v>200</v>
      </c>
      <c r="BX895">
        <v>0</v>
      </c>
      <c r="BY895">
        <v>200</v>
      </c>
      <c r="BZ895">
        <v>5400</v>
      </c>
      <c r="CA895">
        <v>0</v>
      </c>
      <c r="CB895">
        <v>5400</v>
      </c>
      <c r="CC895">
        <v>324.5994</v>
      </c>
      <c r="CD895" t="s">
        <v>592</v>
      </c>
      <c r="CE895" t="s">
        <v>593</v>
      </c>
      <c r="CG895" t="s">
        <v>421</v>
      </c>
      <c r="CN895" t="str">
        <v>M19</v>
      </c>
      <c r="CO895" t="str">
        <v>1271-5YY0099EN</v>
      </c>
      <c r="CP895" t="str">
        <v>TGBU5221360</v>
      </c>
      <c r="CQ895" s="23">
        <v>470.83839999999998</v>
      </c>
      <c r="CR895" s="25">
        <f t="shared" si="35"/>
        <v>3.5716849838626948E-2</v>
      </c>
      <c r="CS895" s="21">
        <f t="shared" si="36"/>
        <v>89.292124596567362</v>
      </c>
    </row>
    <row r="896" spans="2:97" x14ac:dyDescent="0.35">
      <c r="B896" t="s">
        <v>299</v>
      </c>
      <c r="C896" t="s">
        <v>2875</v>
      </c>
      <c r="D896" t="s">
        <v>395</v>
      </c>
      <c r="E896" t="s">
        <v>395</v>
      </c>
      <c r="F896" t="s">
        <v>396</v>
      </c>
      <c r="G896" t="s">
        <v>397</v>
      </c>
      <c r="H896" t="s">
        <v>532</v>
      </c>
      <c r="I896" t="s">
        <v>399</v>
      </c>
      <c r="J896" t="s">
        <v>400</v>
      </c>
      <c r="K896" t="s">
        <v>515</v>
      </c>
      <c r="L896" t="s">
        <v>585</v>
      </c>
      <c r="M896" t="s">
        <v>403</v>
      </c>
      <c r="N896">
        <v>1</v>
      </c>
      <c r="O896">
        <v>2</v>
      </c>
      <c r="P896" t="s">
        <v>586</v>
      </c>
      <c r="Q896" t="s">
        <v>587</v>
      </c>
      <c r="R896" t="s">
        <v>588</v>
      </c>
      <c r="S896" t="s">
        <v>589</v>
      </c>
      <c r="T896" t="s">
        <v>408</v>
      </c>
      <c r="U896">
        <v>50950080373</v>
      </c>
      <c r="W896">
        <v>4050</v>
      </c>
      <c r="X896" t="s">
        <v>409</v>
      </c>
      <c r="Y896" t="s">
        <v>410</v>
      </c>
      <c r="Z896" t="s">
        <v>410</v>
      </c>
      <c r="AA896" t="s">
        <v>411</v>
      </c>
      <c r="AB896" t="s">
        <v>412</v>
      </c>
      <c r="AC896" t="s">
        <v>411</v>
      </c>
      <c r="AD896">
        <v>46118</v>
      </c>
      <c r="AE896">
        <v>46174</v>
      </c>
      <c r="AF896">
        <v>46125</v>
      </c>
      <c r="AG896" t="s">
        <v>590</v>
      </c>
      <c r="AH896">
        <v>6183805</v>
      </c>
      <c r="AI896">
        <v>46121</v>
      </c>
      <c r="AJ896">
        <v>46122</v>
      </c>
      <c r="AK896">
        <v>4050</v>
      </c>
      <c r="AL896" t="s">
        <v>396</v>
      </c>
      <c r="AM896" t="s">
        <v>2876</v>
      </c>
      <c r="AN896">
        <v>46122</v>
      </c>
      <c r="AO896">
        <v>46122.433206018519</v>
      </c>
      <c r="AP896" t="s">
        <v>51</v>
      </c>
      <c r="AQ896">
        <v>2.2499099999999999</v>
      </c>
      <c r="AR896">
        <v>9112.14</v>
      </c>
      <c r="AS896" t="s">
        <v>51</v>
      </c>
      <c r="AT896">
        <v>9112.14</v>
      </c>
      <c r="AU896" t="s">
        <v>415</v>
      </c>
      <c r="AV896" t="s">
        <v>416</v>
      </c>
      <c r="AW896" t="s">
        <v>2848</v>
      </c>
      <c r="AX896">
        <v>46128</v>
      </c>
      <c r="AY896">
        <v>46177</v>
      </c>
      <c r="AZ896" t="s">
        <v>2849</v>
      </c>
      <c r="BA896" t="s">
        <v>2219</v>
      </c>
      <c r="BB896" t="s">
        <v>2850</v>
      </c>
      <c r="BC896">
        <v>27</v>
      </c>
      <c r="BD896" t="s">
        <v>521</v>
      </c>
      <c r="BE896">
        <v>2.6560000000000001</v>
      </c>
      <c r="BF896">
        <v>1.623</v>
      </c>
      <c r="BG896" t="s">
        <v>522</v>
      </c>
      <c r="BH896">
        <v>395</v>
      </c>
      <c r="BI896">
        <v>295</v>
      </c>
      <c r="BJ896">
        <v>190</v>
      </c>
      <c r="BK896">
        <v>50</v>
      </c>
      <c r="BL896" t="s">
        <v>521</v>
      </c>
      <c r="BM896">
        <v>159.80000000000001</v>
      </c>
      <c r="BN896">
        <v>81.150000000000006</v>
      </c>
      <c r="BO896">
        <v>479.39954999999998</v>
      </c>
      <c r="BP896" t="s">
        <v>522</v>
      </c>
      <c r="BQ896">
        <v>1200</v>
      </c>
      <c r="BR896">
        <v>1000</v>
      </c>
      <c r="BS896">
        <v>1110</v>
      </c>
      <c r="BT896">
        <v>3</v>
      </c>
      <c r="BU896">
        <v>0</v>
      </c>
      <c r="BV896">
        <v>3</v>
      </c>
      <c r="BW896">
        <v>150</v>
      </c>
      <c r="BX896">
        <v>0</v>
      </c>
      <c r="BY896">
        <v>150</v>
      </c>
      <c r="BZ896">
        <v>4050</v>
      </c>
      <c r="CA896">
        <v>0</v>
      </c>
      <c r="CB896">
        <v>4050</v>
      </c>
      <c r="CC896">
        <v>243.44954999999999</v>
      </c>
      <c r="CD896" t="s">
        <v>592</v>
      </c>
      <c r="CE896" t="s">
        <v>593</v>
      </c>
      <c r="CG896" t="s">
        <v>421</v>
      </c>
      <c r="CN896" t="str">
        <v>M19</v>
      </c>
      <c r="CO896" t="str">
        <v>1307-5YY0182EN</v>
      </c>
      <c r="CP896" t="str">
        <v>TGBU5221360</v>
      </c>
      <c r="CQ896" s="23">
        <v>2518.1283840000001</v>
      </c>
      <c r="CR896" s="25">
        <f t="shared" si="35"/>
        <v>0.19102013209991442</v>
      </c>
      <c r="CS896" s="21">
        <f t="shared" si="36"/>
        <v>477.55033024978604</v>
      </c>
    </row>
    <row r="897" spans="2:97" x14ac:dyDescent="0.35">
      <c r="B897" t="s">
        <v>298</v>
      </c>
      <c r="C897" t="s">
        <v>2877</v>
      </c>
      <c r="D897" t="s">
        <v>395</v>
      </c>
      <c r="E897" t="s">
        <v>395</v>
      </c>
      <c r="F897" t="s">
        <v>396</v>
      </c>
      <c r="G897" t="s">
        <v>397</v>
      </c>
      <c r="H897" t="s">
        <v>398</v>
      </c>
      <c r="I897" t="s">
        <v>399</v>
      </c>
      <c r="J897" t="s">
        <v>400</v>
      </c>
      <c r="K897" t="s">
        <v>607</v>
      </c>
      <c r="L897" t="s">
        <v>585</v>
      </c>
      <c r="M897" t="s">
        <v>403</v>
      </c>
      <c r="N897">
        <v>1</v>
      </c>
      <c r="O897">
        <v>1</v>
      </c>
      <c r="P897" t="s">
        <v>649</v>
      </c>
      <c r="Q897" t="s">
        <v>430</v>
      </c>
      <c r="R897" t="s">
        <v>650</v>
      </c>
      <c r="S897" t="s">
        <v>651</v>
      </c>
      <c r="T897" t="s">
        <v>408</v>
      </c>
      <c r="U897">
        <v>50950080683</v>
      </c>
      <c r="W897">
        <v>21600</v>
      </c>
      <c r="X897" t="s">
        <v>409</v>
      </c>
      <c r="Y897" t="s">
        <v>410</v>
      </c>
      <c r="Z897" t="s">
        <v>410</v>
      </c>
      <c r="AA897" t="s">
        <v>411</v>
      </c>
      <c r="AB897" t="s">
        <v>412</v>
      </c>
      <c r="AC897" t="s">
        <v>411</v>
      </c>
      <c r="AD897">
        <v>46118</v>
      </c>
      <c r="AE897">
        <v>46174</v>
      </c>
      <c r="AF897">
        <v>46125</v>
      </c>
      <c r="AG897" t="s">
        <v>590</v>
      </c>
      <c r="AH897">
        <v>6183806</v>
      </c>
      <c r="AI897">
        <v>46121</v>
      </c>
      <c r="AJ897">
        <v>46122</v>
      </c>
      <c r="AK897">
        <v>21600</v>
      </c>
      <c r="AL897" t="s">
        <v>396</v>
      </c>
      <c r="AM897" t="s">
        <v>2878</v>
      </c>
      <c r="AN897">
        <v>46122</v>
      </c>
      <c r="AO897">
        <v>46122.433206018519</v>
      </c>
      <c r="AP897" t="s">
        <v>51</v>
      </c>
      <c r="AQ897">
        <v>0.19953000000000001</v>
      </c>
      <c r="AR897">
        <v>4309.84</v>
      </c>
      <c r="AS897" t="s">
        <v>51</v>
      </c>
      <c r="AT897">
        <v>4309.84</v>
      </c>
      <c r="AU897" t="s">
        <v>415</v>
      </c>
      <c r="AV897" t="s">
        <v>416</v>
      </c>
      <c r="AW897" t="s">
        <v>2848</v>
      </c>
      <c r="AX897">
        <v>46128</v>
      </c>
      <c r="AY897">
        <v>46177</v>
      </c>
      <c r="AZ897" t="s">
        <v>2849</v>
      </c>
      <c r="BA897" t="s">
        <v>2219</v>
      </c>
      <c r="BB897" t="s">
        <v>2850</v>
      </c>
      <c r="BC897">
        <v>900</v>
      </c>
      <c r="BD897" t="s">
        <v>521</v>
      </c>
      <c r="BE897">
        <v>16.950500000000002</v>
      </c>
      <c r="BF897">
        <v>16.560500000000001</v>
      </c>
      <c r="BG897" t="s">
        <v>522</v>
      </c>
      <c r="BH897">
        <v>368</v>
      </c>
      <c r="BI897">
        <v>257</v>
      </c>
      <c r="BJ897">
        <v>136</v>
      </c>
      <c r="BK897">
        <v>6</v>
      </c>
      <c r="BL897" t="s">
        <v>521</v>
      </c>
      <c r="BM897">
        <v>109.703</v>
      </c>
      <c r="BN897">
        <v>99.363</v>
      </c>
      <c r="BO897">
        <v>438.81079999999997</v>
      </c>
      <c r="BP897" t="s">
        <v>522</v>
      </c>
      <c r="BQ897">
        <v>800</v>
      </c>
      <c r="BR897">
        <v>300</v>
      </c>
      <c r="BS897">
        <v>608</v>
      </c>
      <c r="BT897">
        <v>4</v>
      </c>
      <c r="BU897">
        <v>0</v>
      </c>
      <c r="BV897">
        <v>4</v>
      </c>
      <c r="BW897">
        <v>24</v>
      </c>
      <c r="BX897">
        <v>0</v>
      </c>
      <c r="BY897">
        <v>24</v>
      </c>
      <c r="BZ897">
        <v>21600</v>
      </c>
      <c r="CA897">
        <v>0</v>
      </c>
      <c r="CB897">
        <v>21600</v>
      </c>
      <c r="CC897">
        <v>397.45080000000002</v>
      </c>
      <c r="CD897" t="s">
        <v>523</v>
      </c>
      <c r="CE897" t="s">
        <v>653</v>
      </c>
      <c r="CG897" t="s">
        <v>421</v>
      </c>
      <c r="CN897" t="str">
        <v>M45</v>
      </c>
      <c r="CO897" t="str">
        <v>1346-12C0011EN</v>
      </c>
      <c r="CP897" t="str">
        <v>TGBU5221360</v>
      </c>
      <c r="CQ897" s="23">
        <v>315.0188</v>
      </c>
      <c r="CR897" s="25">
        <f t="shared" si="35"/>
        <v>2.389668976860098E-2</v>
      </c>
      <c r="CS897" s="21">
        <f t="shared" si="36"/>
        <v>59.741724421502454</v>
      </c>
    </row>
    <row r="898" spans="2:97" x14ac:dyDescent="0.35">
      <c r="B898" t="s">
        <v>299</v>
      </c>
      <c r="C898" t="s">
        <v>2879</v>
      </c>
      <c r="D898" t="s">
        <v>395</v>
      </c>
      <c r="E898" t="s">
        <v>395</v>
      </c>
      <c r="F898" t="s">
        <v>396</v>
      </c>
      <c r="G898" t="s">
        <v>397</v>
      </c>
      <c r="H898" t="s">
        <v>532</v>
      </c>
      <c r="I898" t="s">
        <v>399</v>
      </c>
      <c r="J898" t="s">
        <v>400</v>
      </c>
      <c r="K898" t="s">
        <v>607</v>
      </c>
      <c r="L898" t="s">
        <v>585</v>
      </c>
      <c r="M898" t="s">
        <v>403</v>
      </c>
      <c r="N898">
        <v>1</v>
      </c>
      <c r="O898">
        <v>1</v>
      </c>
      <c r="P898" t="s">
        <v>622</v>
      </c>
      <c r="Q898" t="s">
        <v>424</v>
      </c>
      <c r="R898" t="s">
        <v>623</v>
      </c>
      <c r="S898" t="s">
        <v>624</v>
      </c>
      <c r="T898" t="s">
        <v>408</v>
      </c>
      <c r="U898">
        <v>50950081009</v>
      </c>
      <c r="W898">
        <v>24000</v>
      </c>
      <c r="X898" t="s">
        <v>409</v>
      </c>
      <c r="Y898" t="s">
        <v>410</v>
      </c>
      <c r="Z898" t="s">
        <v>410</v>
      </c>
      <c r="AA898" t="s">
        <v>411</v>
      </c>
      <c r="AB898" t="s">
        <v>412</v>
      </c>
      <c r="AC898" t="s">
        <v>411</v>
      </c>
      <c r="AD898">
        <v>46118</v>
      </c>
      <c r="AE898">
        <v>46174</v>
      </c>
      <c r="AF898">
        <v>46125</v>
      </c>
      <c r="AG898" t="s">
        <v>590</v>
      </c>
      <c r="AH898">
        <v>6183807</v>
      </c>
      <c r="AI898">
        <v>46121</v>
      </c>
      <c r="AJ898">
        <v>46122</v>
      </c>
      <c r="AK898">
        <v>24000</v>
      </c>
      <c r="AL898" t="s">
        <v>396</v>
      </c>
      <c r="AM898" t="s">
        <v>2880</v>
      </c>
      <c r="AN898">
        <v>46122</v>
      </c>
      <c r="AO898">
        <v>46122.433206018519</v>
      </c>
      <c r="AP898" t="s">
        <v>51</v>
      </c>
      <c r="AQ898">
        <v>0.12195</v>
      </c>
      <c r="AR898">
        <v>2926.8</v>
      </c>
      <c r="AS898" t="s">
        <v>51</v>
      </c>
      <c r="AT898">
        <v>2926.8</v>
      </c>
      <c r="AU898" t="s">
        <v>415</v>
      </c>
      <c r="AV898" t="s">
        <v>416</v>
      </c>
      <c r="AW898" t="s">
        <v>2848</v>
      </c>
      <c r="AX898">
        <v>46128</v>
      </c>
      <c r="AY898">
        <v>46177</v>
      </c>
      <c r="AZ898" t="s">
        <v>2849</v>
      </c>
      <c r="BA898" t="s">
        <v>2219</v>
      </c>
      <c r="BB898" t="s">
        <v>2850</v>
      </c>
      <c r="BC898">
        <v>2400</v>
      </c>
      <c r="BD898" t="s">
        <v>521</v>
      </c>
      <c r="BE898">
        <v>8.7984000000000009</v>
      </c>
      <c r="BF898">
        <v>7.4774000000000003</v>
      </c>
      <c r="BG898" t="s">
        <v>522</v>
      </c>
      <c r="BH898">
        <v>395</v>
      </c>
      <c r="BI898">
        <v>295</v>
      </c>
      <c r="BJ898">
        <v>210</v>
      </c>
      <c r="BK898">
        <v>6</v>
      </c>
      <c r="BL898" t="s">
        <v>521</v>
      </c>
      <c r="BM898">
        <v>60.790399999999998</v>
      </c>
      <c r="BN898">
        <v>44.864400000000003</v>
      </c>
      <c r="BO898">
        <v>103.98439999999999</v>
      </c>
      <c r="BP898" t="s">
        <v>522</v>
      </c>
      <c r="BQ898">
        <v>800</v>
      </c>
      <c r="BR898">
        <v>300</v>
      </c>
      <c r="BS898">
        <v>790</v>
      </c>
      <c r="BT898">
        <v>1</v>
      </c>
      <c r="BU898">
        <v>1</v>
      </c>
      <c r="BV898">
        <v>2</v>
      </c>
      <c r="BW898">
        <v>10</v>
      </c>
      <c r="BX898">
        <v>0</v>
      </c>
      <c r="BY898">
        <v>10</v>
      </c>
      <c r="BZ898">
        <v>14400</v>
      </c>
      <c r="CA898">
        <v>9600</v>
      </c>
      <c r="CB898">
        <v>24000</v>
      </c>
      <c r="CC898">
        <v>74.7744</v>
      </c>
      <c r="CD898" t="s">
        <v>626</v>
      </c>
      <c r="CE898" t="s">
        <v>627</v>
      </c>
      <c r="CG898" t="s">
        <v>421</v>
      </c>
      <c r="CN898" t="str">
        <v>M45</v>
      </c>
      <c r="CO898" t="str">
        <v>1202-12C0002EN</v>
      </c>
      <c r="CP898" t="str">
        <v>TGBU5221360</v>
      </c>
      <c r="CQ898" s="23">
        <v>31.04</v>
      </c>
      <c r="CR898" s="25">
        <f t="shared" si="35"/>
        <v>2.354631693147756E-3</v>
      </c>
      <c r="CS898" s="21">
        <f t="shared" si="36"/>
        <v>5.8865792328693898</v>
      </c>
    </row>
    <row r="899" spans="2:97" x14ac:dyDescent="0.35">
      <c r="B899" t="s">
        <v>299</v>
      </c>
      <c r="C899" t="s">
        <v>2881</v>
      </c>
      <c r="D899" t="s">
        <v>395</v>
      </c>
      <c r="E899" t="s">
        <v>395</v>
      </c>
      <c r="F899" t="s">
        <v>396</v>
      </c>
      <c r="G899" t="s">
        <v>397</v>
      </c>
      <c r="H899" t="s">
        <v>532</v>
      </c>
      <c r="I899" t="s">
        <v>399</v>
      </c>
      <c r="J899" t="s">
        <v>400</v>
      </c>
      <c r="K899" t="s">
        <v>515</v>
      </c>
      <c r="L899" t="s">
        <v>585</v>
      </c>
      <c r="M899" t="s">
        <v>403</v>
      </c>
      <c r="N899">
        <v>1</v>
      </c>
      <c r="O899">
        <v>1</v>
      </c>
      <c r="P899" t="s">
        <v>1805</v>
      </c>
      <c r="Q899" t="s">
        <v>424</v>
      </c>
      <c r="R899" t="s">
        <v>1806</v>
      </c>
      <c r="S899" t="s">
        <v>1807</v>
      </c>
      <c r="T899" t="s">
        <v>408</v>
      </c>
      <c r="U899">
        <v>50950081093</v>
      </c>
      <c r="W899">
        <v>16000</v>
      </c>
      <c r="X899" t="s">
        <v>409</v>
      </c>
      <c r="Y899" t="s">
        <v>410</v>
      </c>
      <c r="Z899" t="s">
        <v>410</v>
      </c>
      <c r="AA899" t="s">
        <v>411</v>
      </c>
      <c r="AB899" t="s">
        <v>412</v>
      </c>
      <c r="AC899" t="s">
        <v>411</v>
      </c>
      <c r="AD899">
        <v>46118</v>
      </c>
      <c r="AE899">
        <v>46174</v>
      </c>
      <c r="AF899">
        <v>46125</v>
      </c>
      <c r="AG899" t="s">
        <v>590</v>
      </c>
      <c r="AH899">
        <v>6183808</v>
      </c>
      <c r="AI899">
        <v>46121</v>
      </c>
      <c r="AJ899">
        <v>46122</v>
      </c>
      <c r="AK899">
        <v>16000</v>
      </c>
      <c r="AL899" t="s">
        <v>396</v>
      </c>
      <c r="AM899" t="s">
        <v>2882</v>
      </c>
      <c r="AN899">
        <v>46122</v>
      </c>
      <c r="AO899">
        <v>46122.433206018519</v>
      </c>
      <c r="AP899" t="s">
        <v>51</v>
      </c>
      <c r="AQ899">
        <v>5.4330000000000003E-2</v>
      </c>
      <c r="AR899">
        <v>869.28</v>
      </c>
      <c r="AS899" t="s">
        <v>51</v>
      </c>
      <c r="AT899">
        <v>869.28</v>
      </c>
      <c r="AU899" t="s">
        <v>415</v>
      </c>
      <c r="AV899" t="s">
        <v>416</v>
      </c>
      <c r="AW899" t="s">
        <v>2848</v>
      </c>
      <c r="AX899">
        <v>46128</v>
      </c>
      <c r="AY899">
        <v>46177</v>
      </c>
      <c r="AZ899" t="s">
        <v>2849</v>
      </c>
      <c r="BA899" t="s">
        <v>2219</v>
      </c>
      <c r="BB899" t="s">
        <v>2850</v>
      </c>
      <c r="BC899">
        <v>1600</v>
      </c>
      <c r="BD899" t="s">
        <v>521</v>
      </c>
      <c r="BE899">
        <v>5.7169999999999996</v>
      </c>
      <c r="BF899">
        <v>5.0199999999999996</v>
      </c>
      <c r="BG899" t="s">
        <v>522</v>
      </c>
      <c r="BH899">
        <v>395</v>
      </c>
      <c r="BI899">
        <v>295</v>
      </c>
      <c r="BJ899">
        <v>174</v>
      </c>
      <c r="BK899">
        <v>6</v>
      </c>
      <c r="BL899" t="s">
        <v>521</v>
      </c>
      <c r="BM899">
        <v>42.302</v>
      </c>
      <c r="BN899">
        <v>30.12</v>
      </c>
      <c r="BO899">
        <v>73.17</v>
      </c>
      <c r="BP899" t="s">
        <v>522</v>
      </c>
      <c r="BQ899">
        <v>800</v>
      </c>
      <c r="BR899">
        <v>300</v>
      </c>
      <c r="BS899">
        <v>665</v>
      </c>
      <c r="BT899">
        <v>1</v>
      </c>
      <c r="BU899">
        <v>1</v>
      </c>
      <c r="BV899">
        <v>2</v>
      </c>
      <c r="BW899">
        <v>10</v>
      </c>
      <c r="BX899">
        <v>0</v>
      </c>
      <c r="BY899">
        <v>10</v>
      </c>
      <c r="BZ899">
        <v>9600</v>
      </c>
      <c r="CA899">
        <v>6400</v>
      </c>
      <c r="CB899">
        <v>16000</v>
      </c>
      <c r="CC899">
        <v>50.2</v>
      </c>
      <c r="CD899" t="s">
        <v>1809</v>
      </c>
      <c r="CE899" t="s">
        <v>1810</v>
      </c>
      <c r="CG899" t="s">
        <v>421</v>
      </c>
      <c r="CN899" t="str">
        <v>M19</v>
      </c>
      <c r="CO899" t="str">
        <v>1330-5YY0182EN</v>
      </c>
      <c r="CP899" t="str">
        <v>TGBU5221360</v>
      </c>
      <c r="CQ899" s="23">
        <v>1405.0848000000001</v>
      </c>
      <c r="CR899" s="25">
        <f t="shared" si="35"/>
        <v>0.10658689438273765</v>
      </c>
      <c r="CS899" s="21">
        <f t="shared" si="36"/>
        <v>266.46723595684415</v>
      </c>
    </row>
    <row r="900" spans="2:97" x14ac:dyDescent="0.35">
      <c r="B900" t="s">
        <v>299</v>
      </c>
      <c r="C900" t="s">
        <v>2883</v>
      </c>
      <c r="D900" t="s">
        <v>395</v>
      </c>
      <c r="E900" t="s">
        <v>395</v>
      </c>
      <c r="F900" t="s">
        <v>396</v>
      </c>
      <c r="G900" t="s">
        <v>397</v>
      </c>
      <c r="H900" t="s">
        <v>532</v>
      </c>
      <c r="I900" t="s">
        <v>399</v>
      </c>
      <c r="J900" t="s">
        <v>400</v>
      </c>
      <c r="K900" t="s">
        <v>595</v>
      </c>
      <c r="L900" t="s">
        <v>585</v>
      </c>
      <c r="M900" t="s">
        <v>403</v>
      </c>
      <c r="N900">
        <v>1</v>
      </c>
      <c r="O900">
        <v>1</v>
      </c>
      <c r="P900" t="s">
        <v>596</v>
      </c>
      <c r="Q900" t="s">
        <v>430</v>
      </c>
      <c r="R900" t="s">
        <v>597</v>
      </c>
      <c r="S900" t="s">
        <v>598</v>
      </c>
      <c r="T900" t="s">
        <v>408</v>
      </c>
      <c r="U900">
        <v>50950081117</v>
      </c>
      <c r="W900">
        <v>23040</v>
      </c>
      <c r="X900" t="s">
        <v>409</v>
      </c>
      <c r="Y900" t="s">
        <v>410</v>
      </c>
      <c r="Z900" t="s">
        <v>410</v>
      </c>
      <c r="AA900" t="s">
        <v>411</v>
      </c>
      <c r="AB900" t="s">
        <v>412</v>
      </c>
      <c r="AC900" t="s">
        <v>411</v>
      </c>
      <c r="AD900">
        <v>46118</v>
      </c>
      <c r="AE900">
        <v>46174</v>
      </c>
      <c r="AF900">
        <v>46125</v>
      </c>
      <c r="AG900" t="s">
        <v>590</v>
      </c>
      <c r="AH900">
        <v>6183809</v>
      </c>
      <c r="AI900">
        <v>46121</v>
      </c>
      <c r="AJ900">
        <v>46122</v>
      </c>
      <c r="AK900">
        <v>23040</v>
      </c>
      <c r="AL900" t="s">
        <v>396</v>
      </c>
      <c r="AM900" t="s">
        <v>2884</v>
      </c>
      <c r="AN900">
        <v>46122</v>
      </c>
      <c r="AO900">
        <v>46122.433206018519</v>
      </c>
      <c r="AP900" t="s">
        <v>51</v>
      </c>
      <c r="AQ900">
        <v>8.0530000000000004E-2</v>
      </c>
      <c r="AR900">
        <v>1855.41</v>
      </c>
      <c r="AS900" t="s">
        <v>51</v>
      </c>
      <c r="AT900">
        <v>1855.41</v>
      </c>
      <c r="AU900" t="s">
        <v>415</v>
      </c>
      <c r="AV900" t="s">
        <v>416</v>
      </c>
      <c r="AW900" t="s">
        <v>2848</v>
      </c>
      <c r="AX900">
        <v>46128</v>
      </c>
      <c r="AY900">
        <v>46177</v>
      </c>
      <c r="AZ900" t="s">
        <v>2849</v>
      </c>
      <c r="BA900" t="s">
        <v>2219</v>
      </c>
      <c r="BB900" t="s">
        <v>2850</v>
      </c>
      <c r="BC900">
        <v>320</v>
      </c>
      <c r="BD900" t="s">
        <v>521</v>
      </c>
      <c r="BE900">
        <v>6.0304000000000002</v>
      </c>
      <c r="BF900">
        <v>5.7304000000000004</v>
      </c>
      <c r="BG900" t="s">
        <v>522</v>
      </c>
      <c r="BH900">
        <v>295</v>
      </c>
      <c r="BI900">
        <v>195</v>
      </c>
      <c r="BJ900">
        <v>100</v>
      </c>
      <c r="BK900">
        <v>64</v>
      </c>
      <c r="BL900" t="s">
        <v>521</v>
      </c>
      <c r="BM900">
        <v>415.94560000000001</v>
      </c>
      <c r="BN900">
        <v>366.74560000000002</v>
      </c>
      <c r="BO900">
        <v>494.18649599999998</v>
      </c>
      <c r="BP900" t="s">
        <v>522</v>
      </c>
      <c r="BQ900">
        <v>1200</v>
      </c>
      <c r="BR900">
        <v>800</v>
      </c>
      <c r="BS900">
        <v>573</v>
      </c>
      <c r="BT900">
        <v>1</v>
      </c>
      <c r="BU900">
        <v>1</v>
      </c>
      <c r="BV900">
        <v>2</v>
      </c>
      <c r="BW900">
        <v>72</v>
      </c>
      <c r="BX900">
        <v>0</v>
      </c>
      <c r="BY900">
        <v>72</v>
      </c>
      <c r="BZ900">
        <v>20480</v>
      </c>
      <c r="CA900">
        <v>2560</v>
      </c>
      <c r="CB900">
        <v>23040</v>
      </c>
      <c r="CC900">
        <v>412.58649600000001</v>
      </c>
      <c r="CD900" t="s">
        <v>600</v>
      </c>
      <c r="CE900" t="s">
        <v>601</v>
      </c>
      <c r="CG900" t="s">
        <v>421</v>
      </c>
      <c r="CN900" t="str">
        <v>M45</v>
      </c>
      <c r="CO900" t="str">
        <v>1205-12C0015EN</v>
      </c>
      <c r="CP900" t="str">
        <v>TGBU5221360</v>
      </c>
      <c r="CQ900" s="23">
        <v>34.801549999999999</v>
      </c>
      <c r="CR900" s="25">
        <f t="shared" si="35"/>
        <v>2.6399752770833213E-3</v>
      </c>
      <c r="CS900" s="21">
        <f t="shared" si="36"/>
        <v>6.5999381927083034</v>
      </c>
    </row>
    <row r="901" spans="2:97" x14ac:dyDescent="0.35">
      <c r="B901" t="s">
        <v>299</v>
      </c>
      <c r="C901" t="s">
        <v>2885</v>
      </c>
      <c r="D901" t="s">
        <v>395</v>
      </c>
      <c r="E901" t="s">
        <v>395</v>
      </c>
      <c r="F901" t="s">
        <v>396</v>
      </c>
      <c r="G901" t="s">
        <v>397</v>
      </c>
      <c r="H901" t="s">
        <v>532</v>
      </c>
      <c r="I901" t="s">
        <v>399</v>
      </c>
      <c r="J901" t="s">
        <v>400</v>
      </c>
      <c r="K901" t="s">
        <v>515</v>
      </c>
      <c r="L901" t="s">
        <v>585</v>
      </c>
      <c r="M901" t="s">
        <v>403</v>
      </c>
      <c r="N901">
        <v>1</v>
      </c>
      <c r="O901">
        <v>1</v>
      </c>
      <c r="P901" t="s">
        <v>1304</v>
      </c>
      <c r="Q901" t="s">
        <v>430</v>
      </c>
      <c r="R901" t="s">
        <v>616</v>
      </c>
      <c r="S901" t="s">
        <v>1305</v>
      </c>
      <c r="T901" t="s">
        <v>408</v>
      </c>
      <c r="U901">
        <v>50950081119</v>
      </c>
      <c r="W901">
        <v>25200</v>
      </c>
      <c r="X901" t="s">
        <v>409</v>
      </c>
      <c r="Y901" t="s">
        <v>410</v>
      </c>
      <c r="Z901" t="s">
        <v>410</v>
      </c>
      <c r="AA901" t="s">
        <v>411</v>
      </c>
      <c r="AB901" t="s">
        <v>412</v>
      </c>
      <c r="AC901" t="s">
        <v>411</v>
      </c>
      <c r="AD901">
        <v>46118</v>
      </c>
      <c r="AE901">
        <v>46174</v>
      </c>
      <c r="AF901">
        <v>46125</v>
      </c>
      <c r="AG901" t="s">
        <v>590</v>
      </c>
      <c r="AH901">
        <v>6183810</v>
      </c>
      <c r="AI901">
        <v>46121</v>
      </c>
      <c r="AJ901">
        <v>46122</v>
      </c>
      <c r="AK901">
        <v>25200</v>
      </c>
      <c r="AL901" t="s">
        <v>396</v>
      </c>
      <c r="AM901" t="s">
        <v>2886</v>
      </c>
      <c r="AN901">
        <v>46122</v>
      </c>
      <c r="AO901">
        <v>46122.433206018519</v>
      </c>
      <c r="AP901" t="s">
        <v>51</v>
      </c>
      <c r="AQ901">
        <v>0.34231</v>
      </c>
      <c r="AR901">
        <v>8626.2099999999991</v>
      </c>
      <c r="AS901" t="s">
        <v>51</v>
      </c>
      <c r="AT901">
        <v>8626.2099999999991</v>
      </c>
      <c r="AU901" t="s">
        <v>415</v>
      </c>
      <c r="AV901" t="s">
        <v>416</v>
      </c>
      <c r="AW901" t="s">
        <v>2848</v>
      </c>
      <c r="AX901">
        <v>46128</v>
      </c>
      <c r="AY901">
        <v>46177</v>
      </c>
      <c r="AZ901" t="s">
        <v>2849</v>
      </c>
      <c r="BA901" t="s">
        <v>2219</v>
      </c>
      <c r="BB901" t="s">
        <v>2850</v>
      </c>
      <c r="BC901">
        <v>600</v>
      </c>
      <c r="BD901" t="s">
        <v>521</v>
      </c>
      <c r="BE901">
        <v>4.1517999999999997</v>
      </c>
      <c r="BF901">
        <v>2.5518000000000001</v>
      </c>
      <c r="BG901" t="s">
        <v>522</v>
      </c>
      <c r="BH901">
        <v>395</v>
      </c>
      <c r="BI901">
        <v>295</v>
      </c>
      <c r="BJ901">
        <v>150</v>
      </c>
      <c r="BK901">
        <v>48</v>
      </c>
      <c r="BL901" t="s">
        <v>521</v>
      </c>
      <c r="BM901">
        <v>198.37559999999999</v>
      </c>
      <c r="BN901">
        <v>107.1756</v>
      </c>
      <c r="BO901">
        <v>198.37559999999999</v>
      </c>
      <c r="BP901" t="s">
        <v>522</v>
      </c>
      <c r="BQ901">
        <v>1200</v>
      </c>
      <c r="BR901">
        <v>800</v>
      </c>
      <c r="BS901">
        <v>1060</v>
      </c>
      <c r="BT901">
        <v>0</v>
      </c>
      <c r="BU901">
        <v>1</v>
      </c>
      <c r="BV901">
        <v>1</v>
      </c>
      <c r="BW901">
        <v>42</v>
      </c>
      <c r="BX901">
        <v>0</v>
      </c>
      <c r="BY901">
        <v>42</v>
      </c>
      <c r="BZ901">
        <v>0</v>
      </c>
      <c r="CA901">
        <v>25200</v>
      </c>
      <c r="CB901">
        <v>25200</v>
      </c>
      <c r="CC901">
        <v>107.1756</v>
      </c>
      <c r="CD901" t="s">
        <v>694</v>
      </c>
      <c r="CE901" t="s">
        <v>695</v>
      </c>
      <c r="CG901" t="s">
        <v>421</v>
      </c>
      <c r="CN901" t="str">
        <v>M45</v>
      </c>
      <c r="CO901" t="str">
        <v>1202-12C0001EN</v>
      </c>
      <c r="CP901" t="str">
        <v>TGBU5221360</v>
      </c>
      <c r="CQ901" s="23">
        <v>28.34</v>
      </c>
      <c r="CR901" s="25">
        <f t="shared" si="35"/>
        <v>2.1498151476742077E-3</v>
      </c>
      <c r="CS901" s="21">
        <f t="shared" si="36"/>
        <v>5.3745378691855192</v>
      </c>
    </row>
    <row r="902" spans="2:97" x14ac:dyDescent="0.35">
      <c r="B902" t="s">
        <v>299</v>
      </c>
      <c r="C902" t="s">
        <v>2887</v>
      </c>
      <c r="D902" t="s">
        <v>395</v>
      </c>
      <c r="E902" t="s">
        <v>395</v>
      </c>
      <c r="F902" t="s">
        <v>396</v>
      </c>
      <c r="G902" t="s">
        <v>397</v>
      </c>
      <c r="H902" t="s">
        <v>532</v>
      </c>
      <c r="I902" t="s">
        <v>399</v>
      </c>
      <c r="J902" t="s">
        <v>400</v>
      </c>
      <c r="K902" t="s">
        <v>607</v>
      </c>
      <c r="L902" t="s">
        <v>585</v>
      </c>
      <c r="M902" t="s">
        <v>403</v>
      </c>
      <c r="N902">
        <v>1</v>
      </c>
      <c r="O902">
        <v>1</v>
      </c>
      <c r="P902" t="s">
        <v>608</v>
      </c>
      <c r="Q902" t="s">
        <v>405</v>
      </c>
      <c r="R902" t="s">
        <v>609</v>
      </c>
      <c r="S902" t="s">
        <v>610</v>
      </c>
      <c r="T902" t="s">
        <v>408</v>
      </c>
      <c r="U902">
        <v>50950081122</v>
      </c>
      <c r="W902">
        <v>17600</v>
      </c>
      <c r="X902" t="s">
        <v>409</v>
      </c>
      <c r="Y902" t="s">
        <v>410</v>
      </c>
      <c r="Z902" t="s">
        <v>410</v>
      </c>
      <c r="AA902" t="s">
        <v>411</v>
      </c>
      <c r="AB902" t="s">
        <v>412</v>
      </c>
      <c r="AC902" t="s">
        <v>411</v>
      </c>
      <c r="AD902">
        <v>46111</v>
      </c>
      <c r="AE902">
        <v>46167</v>
      </c>
      <c r="AF902">
        <v>46125</v>
      </c>
      <c r="AG902" t="s">
        <v>590</v>
      </c>
      <c r="AH902">
        <v>6183811</v>
      </c>
      <c r="AI902">
        <v>46121</v>
      </c>
      <c r="AJ902">
        <v>46122</v>
      </c>
      <c r="AK902">
        <v>17600</v>
      </c>
      <c r="AL902" t="s">
        <v>396</v>
      </c>
      <c r="AM902" t="s">
        <v>2888</v>
      </c>
      <c r="AN902">
        <v>46122</v>
      </c>
      <c r="AO902">
        <v>46122.433206018519</v>
      </c>
      <c r="AP902" t="s">
        <v>51</v>
      </c>
      <c r="AQ902">
        <v>0.12169000000000001</v>
      </c>
      <c r="AR902">
        <v>2141.7399999999998</v>
      </c>
      <c r="AS902" t="s">
        <v>51</v>
      </c>
      <c r="AT902">
        <v>2141.7399999999998</v>
      </c>
      <c r="AU902" t="s">
        <v>415</v>
      </c>
      <c r="AV902" t="s">
        <v>416</v>
      </c>
      <c r="AW902" t="s">
        <v>2848</v>
      </c>
      <c r="AX902">
        <v>46128</v>
      </c>
      <c r="AY902">
        <v>46177</v>
      </c>
      <c r="AZ902" t="s">
        <v>2849</v>
      </c>
      <c r="BA902" t="s">
        <v>2219</v>
      </c>
      <c r="BB902" t="s">
        <v>2850</v>
      </c>
      <c r="BC902">
        <v>880</v>
      </c>
      <c r="BD902" t="s">
        <v>521</v>
      </c>
      <c r="BE902">
        <v>13.593999999999999</v>
      </c>
      <c r="BF902">
        <v>11.994</v>
      </c>
      <c r="BG902" t="s">
        <v>522</v>
      </c>
      <c r="BH902">
        <v>395</v>
      </c>
      <c r="BI902">
        <v>295</v>
      </c>
      <c r="BJ902">
        <v>230</v>
      </c>
      <c r="BK902">
        <v>40</v>
      </c>
      <c r="BL902" t="s">
        <v>521</v>
      </c>
      <c r="BM902">
        <v>302.87920000000003</v>
      </c>
      <c r="BN902">
        <v>239.8792</v>
      </c>
      <c r="BO902">
        <v>302.87920000000003</v>
      </c>
      <c r="BP902" t="s">
        <v>522</v>
      </c>
      <c r="BQ902">
        <v>1200</v>
      </c>
      <c r="BR902">
        <v>1000</v>
      </c>
      <c r="BS902">
        <v>1075</v>
      </c>
      <c r="BT902">
        <v>0</v>
      </c>
      <c r="BU902">
        <v>1</v>
      </c>
      <c r="BV902">
        <v>1</v>
      </c>
      <c r="BW902">
        <v>20</v>
      </c>
      <c r="BX902">
        <v>0</v>
      </c>
      <c r="BY902">
        <v>20</v>
      </c>
      <c r="BZ902">
        <v>0</v>
      </c>
      <c r="CA902">
        <v>17600</v>
      </c>
      <c r="CB902">
        <v>17600</v>
      </c>
      <c r="CC902">
        <v>239.8792</v>
      </c>
      <c r="CD902" t="s">
        <v>612</v>
      </c>
      <c r="CE902" t="s">
        <v>613</v>
      </c>
      <c r="CG902" t="s">
        <v>421</v>
      </c>
      <c r="CN902" t="str">
        <v>M45</v>
      </c>
      <c r="CO902" t="str">
        <v>1205-12C0016EN</v>
      </c>
      <c r="CP902" t="str">
        <v>TGBU5221360</v>
      </c>
      <c r="CQ902" s="23">
        <v>50.076000000000001</v>
      </c>
      <c r="CR902" s="25">
        <f t="shared" ref="CR902:CR965" si="37">IFERROR(CQ902/(SUMIFS(CQ:CQ,CP:CP,CP902)),100%)</f>
        <v>3.7986641967160777E-3</v>
      </c>
      <c r="CS902" s="21">
        <f t="shared" si="36"/>
        <v>9.4966604917901947</v>
      </c>
    </row>
    <row r="903" spans="2:97" x14ac:dyDescent="0.35">
      <c r="B903" t="s">
        <v>299</v>
      </c>
      <c r="C903" t="s">
        <v>2889</v>
      </c>
      <c r="D903" t="s">
        <v>395</v>
      </c>
      <c r="E903" t="s">
        <v>395</v>
      </c>
      <c r="F903" t="s">
        <v>396</v>
      </c>
      <c r="G903" t="s">
        <v>397</v>
      </c>
      <c r="H903" t="s">
        <v>532</v>
      </c>
      <c r="I903" t="s">
        <v>399</v>
      </c>
      <c r="J903" t="s">
        <v>400</v>
      </c>
      <c r="K903" t="s">
        <v>515</v>
      </c>
      <c r="L903" t="s">
        <v>585</v>
      </c>
      <c r="M903" t="s">
        <v>403</v>
      </c>
      <c r="N903">
        <v>1</v>
      </c>
      <c r="O903">
        <v>1</v>
      </c>
      <c r="P903" t="s">
        <v>1327</v>
      </c>
      <c r="Q903" t="s">
        <v>430</v>
      </c>
      <c r="R903" t="s">
        <v>616</v>
      </c>
      <c r="S903" t="s">
        <v>1328</v>
      </c>
      <c r="T903" t="s">
        <v>408</v>
      </c>
      <c r="U903">
        <v>50950081133</v>
      </c>
      <c r="W903">
        <v>19200</v>
      </c>
      <c r="X903" t="s">
        <v>409</v>
      </c>
      <c r="Y903" t="s">
        <v>410</v>
      </c>
      <c r="Z903" t="s">
        <v>410</v>
      </c>
      <c r="AA903" t="s">
        <v>411</v>
      </c>
      <c r="AB903" t="s">
        <v>412</v>
      </c>
      <c r="AC903" t="s">
        <v>411</v>
      </c>
      <c r="AD903">
        <v>46118</v>
      </c>
      <c r="AE903">
        <v>46174</v>
      </c>
      <c r="AF903">
        <v>46125</v>
      </c>
      <c r="AG903" t="s">
        <v>590</v>
      </c>
      <c r="AH903">
        <v>6183812</v>
      </c>
      <c r="AI903">
        <v>46121</v>
      </c>
      <c r="AJ903">
        <v>46122</v>
      </c>
      <c r="AK903">
        <v>19200</v>
      </c>
      <c r="AL903" t="s">
        <v>396</v>
      </c>
      <c r="AM903" t="s">
        <v>2890</v>
      </c>
      <c r="AN903">
        <v>46122</v>
      </c>
      <c r="AO903">
        <v>46122.433206018519</v>
      </c>
      <c r="AP903" t="s">
        <v>51</v>
      </c>
      <c r="AQ903">
        <v>0.35293999999999998</v>
      </c>
      <c r="AR903">
        <v>6776.45</v>
      </c>
      <c r="AS903" t="s">
        <v>51</v>
      </c>
      <c r="AT903">
        <v>6776.45</v>
      </c>
      <c r="AU903" t="s">
        <v>415</v>
      </c>
      <c r="AV903" t="s">
        <v>416</v>
      </c>
      <c r="AW903" t="s">
        <v>2848</v>
      </c>
      <c r="AX903">
        <v>46128</v>
      </c>
      <c r="AY903">
        <v>46177</v>
      </c>
      <c r="AZ903" t="s">
        <v>2849</v>
      </c>
      <c r="BA903" t="s">
        <v>2219</v>
      </c>
      <c r="BB903" t="s">
        <v>2850</v>
      </c>
      <c r="BC903">
        <v>600</v>
      </c>
      <c r="BD903" t="s">
        <v>521</v>
      </c>
      <c r="BE903">
        <v>4.3798000000000004</v>
      </c>
      <c r="BF903">
        <v>2.7797999999999998</v>
      </c>
      <c r="BG903" t="s">
        <v>522</v>
      </c>
      <c r="BH903">
        <v>395</v>
      </c>
      <c r="BI903">
        <v>295</v>
      </c>
      <c r="BJ903">
        <v>150</v>
      </c>
      <c r="BK903">
        <v>48</v>
      </c>
      <c r="BL903" t="s">
        <v>521</v>
      </c>
      <c r="BM903">
        <v>164.15360000000001</v>
      </c>
      <c r="BN903">
        <v>88.953599999999994</v>
      </c>
      <c r="BO903">
        <v>164.15360000000001</v>
      </c>
      <c r="BP903" t="s">
        <v>522</v>
      </c>
      <c r="BQ903">
        <v>1200</v>
      </c>
      <c r="BR903">
        <v>800</v>
      </c>
      <c r="BS903">
        <v>1060</v>
      </c>
      <c r="BT903">
        <v>0</v>
      </c>
      <c r="BU903">
        <v>1</v>
      </c>
      <c r="BV903">
        <v>1</v>
      </c>
      <c r="BW903">
        <v>32</v>
      </c>
      <c r="BX903">
        <v>0</v>
      </c>
      <c r="BY903">
        <v>32</v>
      </c>
      <c r="BZ903">
        <v>0</v>
      </c>
      <c r="CA903">
        <v>19200</v>
      </c>
      <c r="CB903">
        <v>19200</v>
      </c>
      <c r="CC903">
        <v>88.953599999999994</v>
      </c>
      <c r="CD903" t="s">
        <v>694</v>
      </c>
      <c r="CE903" t="s">
        <v>695</v>
      </c>
      <c r="CG903" t="s">
        <v>421</v>
      </c>
      <c r="CN903" t="str">
        <v>M45</v>
      </c>
      <c r="CO903" t="str">
        <v>1205-12C0014EN</v>
      </c>
      <c r="CP903" t="str">
        <v>TGBU5221360</v>
      </c>
      <c r="CQ903" s="23">
        <v>31.227699999999999</v>
      </c>
      <c r="CR903" s="25">
        <f t="shared" si="37"/>
        <v>2.3688702359571582E-3</v>
      </c>
      <c r="CS903" s="21">
        <f t="shared" ref="CS903:CS966" si="38">CR903*$CS$2</f>
        <v>5.9221755898928956</v>
      </c>
    </row>
    <row r="904" spans="2:97" x14ac:dyDescent="0.35">
      <c r="B904" t="s">
        <v>299</v>
      </c>
      <c r="C904" t="s">
        <v>2891</v>
      </c>
      <c r="D904" t="s">
        <v>395</v>
      </c>
      <c r="E904" t="s">
        <v>395</v>
      </c>
      <c r="F904" t="s">
        <v>396</v>
      </c>
      <c r="G904" t="s">
        <v>397</v>
      </c>
      <c r="H904" t="s">
        <v>532</v>
      </c>
      <c r="I904" t="s">
        <v>399</v>
      </c>
      <c r="J904" t="s">
        <v>400</v>
      </c>
      <c r="K904" t="s">
        <v>515</v>
      </c>
      <c r="L904" t="s">
        <v>585</v>
      </c>
      <c r="M904" t="s">
        <v>403</v>
      </c>
      <c r="N904">
        <v>1</v>
      </c>
      <c r="O904">
        <v>1</v>
      </c>
      <c r="P904" t="s">
        <v>1310</v>
      </c>
      <c r="Q904" t="s">
        <v>430</v>
      </c>
      <c r="R904" t="s">
        <v>616</v>
      </c>
      <c r="S904" t="s">
        <v>1311</v>
      </c>
      <c r="T904" t="s">
        <v>408</v>
      </c>
      <c r="U904">
        <v>50950081137</v>
      </c>
      <c r="W904">
        <v>25600</v>
      </c>
      <c r="X904" t="s">
        <v>409</v>
      </c>
      <c r="Y904" t="s">
        <v>410</v>
      </c>
      <c r="Z904" t="s">
        <v>410</v>
      </c>
      <c r="AA904" t="s">
        <v>411</v>
      </c>
      <c r="AB904" t="s">
        <v>412</v>
      </c>
      <c r="AC904" t="s">
        <v>411</v>
      </c>
      <c r="AD904">
        <v>46118</v>
      </c>
      <c r="AE904">
        <v>46174</v>
      </c>
      <c r="AF904">
        <v>46125</v>
      </c>
      <c r="AG904" t="s">
        <v>590</v>
      </c>
      <c r="AH904">
        <v>6183813</v>
      </c>
      <c r="AI904">
        <v>46121</v>
      </c>
      <c r="AJ904">
        <v>46122</v>
      </c>
      <c r="AK904">
        <v>25600</v>
      </c>
      <c r="AL904" t="s">
        <v>396</v>
      </c>
      <c r="AM904" t="s">
        <v>2892</v>
      </c>
      <c r="AN904">
        <v>46122</v>
      </c>
      <c r="AO904">
        <v>46122.433206018519</v>
      </c>
      <c r="AP904" t="s">
        <v>51</v>
      </c>
      <c r="AQ904">
        <v>0.24460000000000001</v>
      </c>
      <c r="AR904">
        <v>6261.76</v>
      </c>
      <c r="AS904" t="s">
        <v>51</v>
      </c>
      <c r="AT904">
        <v>6261.76</v>
      </c>
      <c r="AU904" t="s">
        <v>415</v>
      </c>
      <c r="AV904" t="s">
        <v>416</v>
      </c>
      <c r="AW904" t="s">
        <v>2848</v>
      </c>
      <c r="AX904">
        <v>46128</v>
      </c>
      <c r="AY904">
        <v>46177</v>
      </c>
      <c r="AZ904" t="s">
        <v>2849</v>
      </c>
      <c r="BA904" t="s">
        <v>2219</v>
      </c>
      <c r="BB904" t="s">
        <v>2850</v>
      </c>
      <c r="BC904">
        <v>800</v>
      </c>
      <c r="BD904" t="s">
        <v>521</v>
      </c>
      <c r="BE904">
        <v>4.5316000000000001</v>
      </c>
      <c r="BF904">
        <v>2.8616000000000001</v>
      </c>
      <c r="BG904" t="s">
        <v>522</v>
      </c>
      <c r="BH904">
        <v>395</v>
      </c>
      <c r="BI904">
        <v>295</v>
      </c>
      <c r="BJ904">
        <v>150</v>
      </c>
      <c r="BK904">
        <v>48</v>
      </c>
      <c r="BL904" t="s">
        <v>521</v>
      </c>
      <c r="BM904">
        <v>169.0112</v>
      </c>
      <c r="BN904">
        <v>91.571200000000005</v>
      </c>
      <c r="BO904">
        <v>169.0112</v>
      </c>
      <c r="BP904" t="s">
        <v>522</v>
      </c>
      <c r="BQ904">
        <v>1200</v>
      </c>
      <c r="BR904">
        <v>800</v>
      </c>
      <c r="BS904">
        <v>1060</v>
      </c>
      <c r="BT904">
        <v>0</v>
      </c>
      <c r="BU904">
        <v>1</v>
      </c>
      <c r="BV904">
        <v>1</v>
      </c>
      <c r="BW904">
        <v>32</v>
      </c>
      <c r="BX904">
        <v>0</v>
      </c>
      <c r="BY904">
        <v>32</v>
      </c>
      <c r="BZ904">
        <v>0</v>
      </c>
      <c r="CA904">
        <v>25600</v>
      </c>
      <c r="CB904">
        <v>25600</v>
      </c>
      <c r="CC904">
        <v>91.571200000000005</v>
      </c>
      <c r="CD904" t="s">
        <v>694</v>
      </c>
      <c r="CE904" t="s">
        <v>701</v>
      </c>
      <c r="CG904" t="s">
        <v>421</v>
      </c>
      <c r="CN904" t="str">
        <v>MCS</v>
      </c>
      <c r="CO904" t="str">
        <v>1209-5YY0223-TKEN</v>
      </c>
      <c r="CP904" t="str">
        <v>TGBU5221360</v>
      </c>
      <c r="CQ904" s="23">
        <v>42.711399999999998</v>
      </c>
      <c r="CR904" s="25">
        <f t="shared" si="37"/>
        <v>3.2400005186440425E-3</v>
      </c>
      <c r="CS904" s="21">
        <f t="shared" si="38"/>
        <v>8.100001296610106</v>
      </c>
    </row>
    <row r="905" spans="2:97" x14ac:dyDescent="0.35">
      <c r="B905" t="s">
        <v>299</v>
      </c>
      <c r="C905" t="s">
        <v>2893</v>
      </c>
      <c r="D905" t="s">
        <v>395</v>
      </c>
      <c r="E905" t="s">
        <v>395</v>
      </c>
      <c r="F905" t="s">
        <v>396</v>
      </c>
      <c r="G905" t="s">
        <v>397</v>
      </c>
      <c r="H905" t="s">
        <v>532</v>
      </c>
      <c r="I905" t="s">
        <v>399</v>
      </c>
      <c r="J905" t="s">
        <v>400</v>
      </c>
      <c r="K905" t="s">
        <v>595</v>
      </c>
      <c r="L905" t="s">
        <v>585</v>
      </c>
      <c r="M905" t="s">
        <v>403</v>
      </c>
      <c r="N905">
        <v>1</v>
      </c>
      <c r="O905">
        <v>1</v>
      </c>
      <c r="P905" t="s">
        <v>1795</v>
      </c>
      <c r="Q905" t="s">
        <v>430</v>
      </c>
      <c r="R905" t="s">
        <v>597</v>
      </c>
      <c r="S905" t="s">
        <v>1796</v>
      </c>
      <c r="T905" t="s">
        <v>408</v>
      </c>
      <c r="U905">
        <v>50950081148</v>
      </c>
      <c r="W905">
        <v>10880</v>
      </c>
      <c r="X905" t="s">
        <v>409</v>
      </c>
      <c r="Y905" t="s">
        <v>410</v>
      </c>
      <c r="Z905" t="s">
        <v>410</v>
      </c>
      <c r="AA905" t="s">
        <v>411</v>
      </c>
      <c r="AB905" t="s">
        <v>412</v>
      </c>
      <c r="AC905" t="s">
        <v>411</v>
      </c>
      <c r="AD905">
        <v>46118</v>
      </c>
      <c r="AE905">
        <v>46174</v>
      </c>
      <c r="AF905">
        <v>46125</v>
      </c>
      <c r="AG905" t="s">
        <v>590</v>
      </c>
      <c r="AH905">
        <v>6183814</v>
      </c>
      <c r="AI905">
        <v>46121</v>
      </c>
      <c r="AJ905">
        <v>46122</v>
      </c>
      <c r="AK905">
        <v>10880</v>
      </c>
      <c r="AL905" t="s">
        <v>396</v>
      </c>
      <c r="AM905" t="s">
        <v>2894</v>
      </c>
      <c r="AN905">
        <v>46122</v>
      </c>
      <c r="AO905">
        <v>46122.433206018519</v>
      </c>
      <c r="AP905" t="s">
        <v>51</v>
      </c>
      <c r="AQ905">
        <v>0.20829</v>
      </c>
      <c r="AR905">
        <v>2266.1999999999998</v>
      </c>
      <c r="AS905" t="s">
        <v>51</v>
      </c>
      <c r="AT905">
        <v>2266.1999999999998</v>
      </c>
      <c r="AU905" t="s">
        <v>415</v>
      </c>
      <c r="AV905" t="s">
        <v>416</v>
      </c>
      <c r="AW905" t="s">
        <v>2848</v>
      </c>
      <c r="AX905">
        <v>46128</v>
      </c>
      <c r="AY905">
        <v>46177</v>
      </c>
      <c r="AZ905" t="s">
        <v>2849</v>
      </c>
      <c r="BA905" t="s">
        <v>2219</v>
      </c>
      <c r="BB905" t="s">
        <v>2850</v>
      </c>
      <c r="BC905">
        <v>320</v>
      </c>
      <c r="BD905" t="s">
        <v>521</v>
      </c>
      <c r="BE905">
        <v>7.5701999999999998</v>
      </c>
      <c r="BF905">
        <v>7.2702</v>
      </c>
      <c r="BG905" t="s">
        <v>522</v>
      </c>
      <c r="BH905">
        <v>295</v>
      </c>
      <c r="BI905">
        <v>195</v>
      </c>
      <c r="BJ905">
        <v>100</v>
      </c>
      <c r="BK905">
        <v>64</v>
      </c>
      <c r="BL905" t="s">
        <v>521</v>
      </c>
      <c r="BM905">
        <v>287.38816000000003</v>
      </c>
      <c r="BN905">
        <v>247.18816000000001</v>
      </c>
      <c r="BO905">
        <v>287.38816000000003</v>
      </c>
      <c r="BP905" t="s">
        <v>522</v>
      </c>
      <c r="BQ905">
        <v>1200</v>
      </c>
      <c r="BR905">
        <v>800</v>
      </c>
      <c r="BS905">
        <v>573</v>
      </c>
      <c r="BT905">
        <v>0</v>
      </c>
      <c r="BU905">
        <v>1</v>
      </c>
      <c r="BV905">
        <v>1</v>
      </c>
      <c r="BW905">
        <v>34</v>
      </c>
      <c r="BX905">
        <v>0</v>
      </c>
      <c r="BY905">
        <v>34</v>
      </c>
      <c r="BZ905">
        <v>0</v>
      </c>
      <c r="CA905">
        <v>10880</v>
      </c>
      <c r="CB905">
        <v>10880</v>
      </c>
      <c r="CC905">
        <v>247.18816000000001</v>
      </c>
      <c r="CD905" t="s">
        <v>600</v>
      </c>
      <c r="CE905" t="s">
        <v>601</v>
      </c>
      <c r="CG905" t="s">
        <v>421</v>
      </c>
      <c r="CN905" t="str">
        <v>MCS</v>
      </c>
      <c r="CO905" t="str">
        <v>1209-5YY0224-TKEN</v>
      </c>
      <c r="CP905" t="str">
        <v>TGBU5221360</v>
      </c>
      <c r="CQ905" s="23">
        <v>43.249000000000002</v>
      </c>
      <c r="CR905" s="25">
        <f t="shared" si="37"/>
        <v>3.2807817685872203E-3</v>
      </c>
      <c r="CS905" s="21">
        <f t="shared" si="38"/>
        <v>8.2019544214680504</v>
      </c>
    </row>
    <row r="906" spans="2:97" x14ac:dyDescent="0.35">
      <c r="B906" t="s">
        <v>299</v>
      </c>
      <c r="C906" t="s">
        <v>2895</v>
      </c>
      <c r="D906" t="s">
        <v>395</v>
      </c>
      <c r="E906" t="s">
        <v>395</v>
      </c>
      <c r="F906" t="s">
        <v>396</v>
      </c>
      <c r="G906" t="s">
        <v>397</v>
      </c>
      <c r="H906" t="s">
        <v>532</v>
      </c>
      <c r="I906" t="s">
        <v>399</v>
      </c>
      <c r="J906" t="s">
        <v>400</v>
      </c>
      <c r="K906" t="s">
        <v>515</v>
      </c>
      <c r="L906" t="s">
        <v>585</v>
      </c>
      <c r="M906" t="s">
        <v>403</v>
      </c>
      <c r="N906">
        <v>1</v>
      </c>
      <c r="O906">
        <v>1</v>
      </c>
      <c r="P906" t="s">
        <v>1857</v>
      </c>
      <c r="Q906" t="s">
        <v>405</v>
      </c>
      <c r="R906" t="s">
        <v>1858</v>
      </c>
      <c r="S906" t="s">
        <v>1859</v>
      </c>
      <c r="T906" t="s">
        <v>408</v>
      </c>
      <c r="U906">
        <v>50950081176</v>
      </c>
      <c r="W906">
        <v>40000</v>
      </c>
      <c r="X906" t="s">
        <v>409</v>
      </c>
      <c r="Y906" t="s">
        <v>410</v>
      </c>
      <c r="Z906" t="s">
        <v>410</v>
      </c>
      <c r="AA906" t="s">
        <v>411</v>
      </c>
      <c r="AB906" t="s">
        <v>412</v>
      </c>
      <c r="AC906" t="s">
        <v>411</v>
      </c>
      <c r="AD906">
        <v>46118</v>
      </c>
      <c r="AE906">
        <v>46174</v>
      </c>
      <c r="AF906">
        <v>46125</v>
      </c>
      <c r="AG906" t="s">
        <v>590</v>
      </c>
      <c r="AH906">
        <v>6183815</v>
      </c>
      <c r="AI906">
        <v>46121</v>
      </c>
      <c r="AJ906">
        <v>46122</v>
      </c>
      <c r="AK906">
        <v>40000</v>
      </c>
      <c r="AL906" t="s">
        <v>396</v>
      </c>
      <c r="AM906" t="s">
        <v>2896</v>
      </c>
      <c r="AN906">
        <v>46122</v>
      </c>
      <c r="AO906">
        <v>46122.433206018519</v>
      </c>
      <c r="AP906" t="s">
        <v>51</v>
      </c>
      <c r="AQ906">
        <v>1.9220000000000001E-2</v>
      </c>
      <c r="AR906">
        <v>768.8</v>
      </c>
      <c r="AS906" t="s">
        <v>51</v>
      </c>
      <c r="AT906">
        <v>768.8</v>
      </c>
      <c r="AU906" t="s">
        <v>415</v>
      </c>
      <c r="AV906" t="s">
        <v>416</v>
      </c>
      <c r="AW906" t="s">
        <v>2848</v>
      </c>
      <c r="AX906">
        <v>46128</v>
      </c>
      <c r="AY906">
        <v>46177</v>
      </c>
      <c r="AZ906" t="s">
        <v>2849</v>
      </c>
      <c r="BA906" t="s">
        <v>2219</v>
      </c>
      <c r="BB906" t="s">
        <v>2850</v>
      </c>
      <c r="BC906">
        <v>2000</v>
      </c>
      <c r="BD906" t="s">
        <v>521</v>
      </c>
      <c r="BE906">
        <v>5.5910000000000002</v>
      </c>
      <c r="BF906">
        <v>4.8940000000000001</v>
      </c>
      <c r="BG906" t="s">
        <v>522</v>
      </c>
      <c r="BH906">
        <v>395</v>
      </c>
      <c r="BI906">
        <v>295</v>
      </c>
      <c r="BJ906">
        <v>174</v>
      </c>
      <c r="BK906">
        <v>6</v>
      </c>
      <c r="BL906" t="s">
        <v>521</v>
      </c>
      <c r="BM906">
        <v>41.545999999999999</v>
      </c>
      <c r="BN906">
        <v>29.364000000000001</v>
      </c>
      <c r="BO906">
        <v>143.82</v>
      </c>
      <c r="BP906" t="s">
        <v>522</v>
      </c>
      <c r="BQ906">
        <v>800</v>
      </c>
      <c r="BR906">
        <v>300</v>
      </c>
      <c r="BS906">
        <v>665</v>
      </c>
      <c r="BT906">
        <v>3</v>
      </c>
      <c r="BU906">
        <v>1</v>
      </c>
      <c r="BV906">
        <v>4</v>
      </c>
      <c r="BW906">
        <v>20</v>
      </c>
      <c r="BX906">
        <v>0</v>
      </c>
      <c r="BY906">
        <v>20</v>
      </c>
      <c r="BZ906">
        <v>36000</v>
      </c>
      <c r="CA906">
        <v>4000</v>
      </c>
      <c r="CB906">
        <v>40000</v>
      </c>
      <c r="CC906">
        <v>97.88</v>
      </c>
      <c r="CD906" t="s">
        <v>1809</v>
      </c>
      <c r="CE906" t="s">
        <v>1810</v>
      </c>
      <c r="CG906" t="s">
        <v>421</v>
      </c>
      <c r="CN906" t="str">
        <v>MCS</v>
      </c>
      <c r="CO906" t="str">
        <v>1209-5YY0205-T2EN</v>
      </c>
      <c r="CP906" t="str">
        <v>TGBU5221360</v>
      </c>
      <c r="CQ906" s="23">
        <v>34.771099999999997</v>
      </c>
      <c r="CR906" s="25">
        <f t="shared" si="37"/>
        <v>2.6376654015982585E-3</v>
      </c>
      <c r="CS906" s="21">
        <f t="shared" si="38"/>
        <v>6.5941635039956461</v>
      </c>
    </row>
    <row r="907" spans="2:97" x14ac:dyDescent="0.35">
      <c r="B907" t="s">
        <v>299</v>
      </c>
      <c r="C907" t="s">
        <v>2897</v>
      </c>
      <c r="D907" t="s">
        <v>395</v>
      </c>
      <c r="E907" t="s">
        <v>395</v>
      </c>
      <c r="F907" t="s">
        <v>396</v>
      </c>
      <c r="G907" t="s">
        <v>397</v>
      </c>
      <c r="H907" t="s">
        <v>532</v>
      </c>
      <c r="I907" t="s">
        <v>399</v>
      </c>
      <c r="J907" t="s">
        <v>400</v>
      </c>
      <c r="K907" t="s">
        <v>629</v>
      </c>
      <c r="L907" t="s">
        <v>585</v>
      </c>
      <c r="M907" t="s">
        <v>403</v>
      </c>
      <c r="N907">
        <v>1</v>
      </c>
      <c r="O907">
        <v>1</v>
      </c>
      <c r="P907" t="s">
        <v>683</v>
      </c>
      <c r="Q907" t="s">
        <v>430</v>
      </c>
      <c r="R907" t="s">
        <v>684</v>
      </c>
      <c r="S907" t="s">
        <v>685</v>
      </c>
      <c r="T907" t="s">
        <v>408</v>
      </c>
      <c r="U907">
        <v>50950081206</v>
      </c>
      <c r="W907">
        <v>19200</v>
      </c>
      <c r="X907" t="s">
        <v>409</v>
      </c>
      <c r="Y907" t="s">
        <v>410</v>
      </c>
      <c r="Z907" t="s">
        <v>410</v>
      </c>
      <c r="AA907" t="s">
        <v>411</v>
      </c>
      <c r="AB907" t="s">
        <v>412</v>
      </c>
      <c r="AC907" t="s">
        <v>411</v>
      </c>
      <c r="AD907">
        <v>46118</v>
      </c>
      <c r="AE907">
        <v>46174</v>
      </c>
      <c r="AF907">
        <v>46125</v>
      </c>
      <c r="AG907" t="s">
        <v>590</v>
      </c>
      <c r="AH907">
        <v>6183816</v>
      </c>
      <c r="AI907">
        <v>46121</v>
      </c>
      <c r="AJ907">
        <v>46122</v>
      </c>
      <c r="AK907">
        <v>19200</v>
      </c>
      <c r="AL907" t="s">
        <v>396</v>
      </c>
      <c r="AM907" t="s">
        <v>2898</v>
      </c>
      <c r="AN907">
        <v>46122</v>
      </c>
      <c r="AO907">
        <v>46122.433206018519</v>
      </c>
      <c r="AP907" t="s">
        <v>51</v>
      </c>
      <c r="AQ907">
        <v>0.19275999999999999</v>
      </c>
      <c r="AR907">
        <v>3700.99</v>
      </c>
      <c r="AS907" t="s">
        <v>51</v>
      </c>
      <c r="AT907">
        <v>3700.99</v>
      </c>
      <c r="AU907" t="s">
        <v>415</v>
      </c>
      <c r="AV907" t="s">
        <v>416</v>
      </c>
      <c r="AW907" t="s">
        <v>2848</v>
      </c>
      <c r="AX907">
        <v>46128</v>
      </c>
      <c r="AY907">
        <v>46177</v>
      </c>
      <c r="AZ907" t="s">
        <v>2849</v>
      </c>
      <c r="BA907" t="s">
        <v>2219</v>
      </c>
      <c r="BB907" t="s">
        <v>2850</v>
      </c>
      <c r="BC907">
        <v>1600</v>
      </c>
      <c r="BD907" t="s">
        <v>521</v>
      </c>
      <c r="BE907">
        <v>4.4706000000000001</v>
      </c>
      <c r="BF907">
        <v>2.7936000000000001</v>
      </c>
      <c r="BG907" t="s">
        <v>522</v>
      </c>
      <c r="BH907">
        <v>360</v>
      </c>
      <c r="BI907">
        <v>260</v>
      </c>
      <c r="BJ907">
        <v>220</v>
      </c>
      <c r="BK907">
        <v>12</v>
      </c>
      <c r="BL907" t="s">
        <v>521</v>
      </c>
      <c r="BM907">
        <v>66.947199999999995</v>
      </c>
      <c r="BN907">
        <v>33.523200000000003</v>
      </c>
      <c r="BO907">
        <v>66.947199999999995</v>
      </c>
      <c r="BP907" t="s">
        <v>522</v>
      </c>
      <c r="BQ907">
        <v>820</v>
      </c>
      <c r="BR907">
        <v>545</v>
      </c>
      <c r="BS907">
        <v>876</v>
      </c>
      <c r="BT907">
        <v>1</v>
      </c>
      <c r="BU907">
        <v>0</v>
      </c>
      <c r="BV907">
        <v>1</v>
      </c>
      <c r="BW907">
        <v>12</v>
      </c>
      <c r="BX907">
        <v>0</v>
      </c>
      <c r="BY907">
        <v>12</v>
      </c>
      <c r="BZ907">
        <v>19200</v>
      </c>
      <c r="CA907">
        <v>0</v>
      </c>
      <c r="CB907">
        <v>19200</v>
      </c>
      <c r="CC907">
        <v>33.523200000000003</v>
      </c>
      <c r="CD907" t="s">
        <v>687</v>
      </c>
      <c r="CE907" t="s">
        <v>688</v>
      </c>
      <c r="CG907" t="s">
        <v>421</v>
      </c>
      <c r="CN907" t="str">
        <v>MCS</v>
      </c>
      <c r="CO907" t="str">
        <v>1326-5YY0037EN</v>
      </c>
      <c r="CP907" t="str">
        <v>TGBU5221360</v>
      </c>
      <c r="CQ907" s="23">
        <v>29.498000000000001</v>
      </c>
      <c r="CR907" s="25">
        <f t="shared" si="37"/>
        <v>2.2376586882884189E-3</v>
      </c>
      <c r="CS907" s="21">
        <f t="shared" si="38"/>
        <v>5.5941467207210476</v>
      </c>
    </row>
    <row r="908" spans="2:97" x14ac:dyDescent="0.35">
      <c r="B908" t="s">
        <v>295</v>
      </c>
      <c r="C908" t="s">
        <v>2899</v>
      </c>
      <c r="D908" t="s">
        <v>395</v>
      </c>
      <c r="E908" t="s">
        <v>395</v>
      </c>
      <c r="F908" t="s">
        <v>396</v>
      </c>
      <c r="G908" t="s">
        <v>397</v>
      </c>
      <c r="H908" t="s">
        <v>398</v>
      </c>
      <c r="I908" t="s">
        <v>399</v>
      </c>
      <c r="J908" t="s">
        <v>400</v>
      </c>
      <c r="K908" t="s">
        <v>607</v>
      </c>
      <c r="L908" t="s">
        <v>585</v>
      </c>
      <c r="M908" t="s">
        <v>403</v>
      </c>
      <c r="N908">
        <v>1</v>
      </c>
      <c r="O908">
        <v>1</v>
      </c>
      <c r="P908" t="s">
        <v>730</v>
      </c>
      <c r="Q908" t="s">
        <v>430</v>
      </c>
      <c r="R908" t="s">
        <v>731</v>
      </c>
      <c r="S908" t="s">
        <v>732</v>
      </c>
      <c r="T908" t="s">
        <v>408</v>
      </c>
      <c r="U908">
        <v>50950081543</v>
      </c>
      <c r="W908">
        <v>25600</v>
      </c>
      <c r="X908" t="s">
        <v>409</v>
      </c>
      <c r="Y908" t="s">
        <v>410</v>
      </c>
      <c r="Z908" t="s">
        <v>410</v>
      </c>
      <c r="AA908" t="s">
        <v>411</v>
      </c>
      <c r="AB908" t="s">
        <v>412</v>
      </c>
      <c r="AC908" t="s">
        <v>411</v>
      </c>
      <c r="AD908">
        <v>46115</v>
      </c>
      <c r="AE908">
        <v>46153</v>
      </c>
      <c r="AF908">
        <v>46125</v>
      </c>
      <c r="AG908" t="s">
        <v>590</v>
      </c>
      <c r="AH908">
        <v>6183817</v>
      </c>
      <c r="AI908">
        <v>46121</v>
      </c>
      <c r="AJ908">
        <v>46122</v>
      </c>
      <c r="AK908">
        <v>25600</v>
      </c>
      <c r="AL908" t="s">
        <v>396</v>
      </c>
      <c r="AM908" t="s">
        <v>2900</v>
      </c>
      <c r="AN908">
        <v>46122</v>
      </c>
      <c r="AO908">
        <v>46122.433206018519</v>
      </c>
      <c r="AP908" t="s">
        <v>51</v>
      </c>
      <c r="AQ908">
        <v>8.0960000000000004E-2</v>
      </c>
      <c r="AR908">
        <v>2072.5700000000002</v>
      </c>
      <c r="AS908" t="s">
        <v>51</v>
      </c>
      <c r="AT908">
        <v>2072.5700000000002</v>
      </c>
      <c r="AU908" t="s">
        <v>415</v>
      </c>
      <c r="AV908" t="s">
        <v>416</v>
      </c>
      <c r="AW908" t="s">
        <v>2848</v>
      </c>
      <c r="AX908">
        <v>46128</v>
      </c>
      <c r="AY908">
        <v>46177</v>
      </c>
      <c r="AZ908" t="s">
        <v>2849</v>
      </c>
      <c r="BA908" t="s">
        <v>2219</v>
      </c>
      <c r="BB908" t="s">
        <v>2850</v>
      </c>
      <c r="BC908">
        <v>1600</v>
      </c>
      <c r="BD908" t="s">
        <v>521</v>
      </c>
      <c r="BE908">
        <v>13.2516</v>
      </c>
      <c r="BF908">
        <v>11.101599999999999</v>
      </c>
      <c r="BG908" t="s">
        <v>522</v>
      </c>
      <c r="BH908">
        <v>395</v>
      </c>
      <c r="BI908">
        <v>295</v>
      </c>
      <c r="BJ908">
        <v>100</v>
      </c>
      <c r="BK908">
        <v>12</v>
      </c>
      <c r="BL908" t="s">
        <v>521</v>
      </c>
      <c r="BM908">
        <v>167.01920000000001</v>
      </c>
      <c r="BN908">
        <v>133.2192</v>
      </c>
      <c r="BO908">
        <v>228.0256</v>
      </c>
      <c r="BP908" t="s">
        <v>522</v>
      </c>
      <c r="BQ908">
        <v>800</v>
      </c>
      <c r="BR908">
        <v>300</v>
      </c>
      <c r="BS908">
        <v>758</v>
      </c>
      <c r="BT908">
        <v>1</v>
      </c>
      <c r="BU908">
        <v>1</v>
      </c>
      <c r="BV908">
        <v>2</v>
      </c>
      <c r="BW908">
        <v>16</v>
      </c>
      <c r="BX908">
        <v>0</v>
      </c>
      <c r="BY908">
        <v>16</v>
      </c>
      <c r="BZ908">
        <v>19200</v>
      </c>
      <c r="CA908">
        <v>6400</v>
      </c>
      <c r="CB908">
        <v>25600</v>
      </c>
      <c r="CC908">
        <v>177.62559999999999</v>
      </c>
      <c r="CD908" t="s">
        <v>734</v>
      </c>
      <c r="CE908" t="s">
        <v>735</v>
      </c>
      <c r="CG908" t="s">
        <v>421</v>
      </c>
      <c r="CN908" t="str">
        <v>M19</v>
      </c>
      <c r="CO908" t="str">
        <v>1330-5YY0171EN</v>
      </c>
      <c r="CP908" t="str">
        <v>TGBU5221360</v>
      </c>
      <c r="CQ908" s="23">
        <v>1033.73712</v>
      </c>
      <c r="CR908" s="25">
        <f t="shared" si="37"/>
        <v>7.8417209572657395E-2</v>
      </c>
      <c r="CS908" s="21">
        <f t="shared" si="38"/>
        <v>196.04302393164349</v>
      </c>
    </row>
    <row r="909" spans="2:97" x14ac:dyDescent="0.35">
      <c r="B909" t="s">
        <v>298</v>
      </c>
      <c r="C909" t="s">
        <v>2901</v>
      </c>
      <c r="D909" t="s">
        <v>395</v>
      </c>
      <c r="E909" t="s">
        <v>395</v>
      </c>
      <c r="F909" t="s">
        <v>396</v>
      </c>
      <c r="G909" t="s">
        <v>397</v>
      </c>
      <c r="H909" t="s">
        <v>398</v>
      </c>
      <c r="I909" t="s">
        <v>399</v>
      </c>
      <c r="J909" t="s">
        <v>400</v>
      </c>
      <c r="K909" t="s">
        <v>607</v>
      </c>
      <c r="L909" t="s">
        <v>585</v>
      </c>
      <c r="M909" t="s">
        <v>403</v>
      </c>
      <c r="N909">
        <v>1</v>
      </c>
      <c r="O909">
        <v>1</v>
      </c>
      <c r="P909" t="s">
        <v>1349</v>
      </c>
      <c r="Q909" t="s">
        <v>424</v>
      </c>
      <c r="R909" t="s">
        <v>1350</v>
      </c>
      <c r="S909" t="s">
        <v>1351</v>
      </c>
      <c r="T909" t="s">
        <v>408</v>
      </c>
      <c r="U909">
        <v>50950081668</v>
      </c>
      <c r="W909">
        <v>6000</v>
      </c>
      <c r="X909" t="s">
        <v>409</v>
      </c>
      <c r="Y909" t="s">
        <v>410</v>
      </c>
      <c r="Z909" t="s">
        <v>410</v>
      </c>
      <c r="AA909" t="s">
        <v>411</v>
      </c>
      <c r="AB909" t="s">
        <v>412</v>
      </c>
      <c r="AC909" t="s">
        <v>411</v>
      </c>
      <c r="AD909">
        <v>46118</v>
      </c>
      <c r="AE909">
        <v>46174</v>
      </c>
      <c r="AF909">
        <v>46125</v>
      </c>
      <c r="AG909" t="s">
        <v>590</v>
      </c>
      <c r="AH909">
        <v>6183818</v>
      </c>
      <c r="AI909">
        <v>46121</v>
      </c>
      <c r="AJ909">
        <v>46122</v>
      </c>
      <c r="AK909">
        <v>6000</v>
      </c>
      <c r="AL909" t="s">
        <v>396</v>
      </c>
      <c r="AM909" t="s">
        <v>2902</v>
      </c>
      <c r="AN909">
        <v>46122</v>
      </c>
      <c r="AO909">
        <v>46122.433206018519</v>
      </c>
      <c r="AP909" t="s">
        <v>51</v>
      </c>
      <c r="AQ909">
        <v>2.0879999999999999E-2</v>
      </c>
      <c r="AR909">
        <v>125.28</v>
      </c>
      <c r="AS909" t="s">
        <v>51</v>
      </c>
      <c r="AT909">
        <v>125.28</v>
      </c>
      <c r="AU909" t="s">
        <v>415</v>
      </c>
      <c r="AV909" t="s">
        <v>416</v>
      </c>
      <c r="AW909" t="s">
        <v>2848</v>
      </c>
      <c r="AX909">
        <v>46128</v>
      </c>
      <c r="AY909">
        <v>46177</v>
      </c>
      <c r="AZ909" t="s">
        <v>2849</v>
      </c>
      <c r="BA909" t="s">
        <v>2219</v>
      </c>
      <c r="BB909" t="s">
        <v>2850</v>
      </c>
      <c r="BC909">
        <v>12000</v>
      </c>
      <c r="BD909" t="s">
        <v>521</v>
      </c>
      <c r="BE909">
        <v>3.9338000000000002</v>
      </c>
      <c r="BF909">
        <v>3.3828</v>
      </c>
      <c r="BG909" t="s">
        <v>522</v>
      </c>
      <c r="BH909">
        <v>368</v>
      </c>
      <c r="BI909">
        <v>257</v>
      </c>
      <c r="BJ909">
        <v>136</v>
      </c>
      <c r="BK909">
        <v>27</v>
      </c>
      <c r="BL909" t="s">
        <v>521</v>
      </c>
      <c r="BM909">
        <v>32.933799999999998</v>
      </c>
      <c r="BN909">
        <v>3.3828</v>
      </c>
      <c r="BO909">
        <v>32.933799999999998</v>
      </c>
      <c r="BP909" t="s">
        <v>522</v>
      </c>
      <c r="BQ909">
        <v>1140</v>
      </c>
      <c r="BR909">
        <v>800</v>
      </c>
      <c r="BS909">
        <v>565</v>
      </c>
      <c r="BT909">
        <v>0</v>
      </c>
      <c r="BU909">
        <v>1</v>
      </c>
      <c r="BV909">
        <v>1</v>
      </c>
      <c r="BW909">
        <v>0</v>
      </c>
      <c r="BX909">
        <v>1</v>
      </c>
      <c r="BY909">
        <v>1</v>
      </c>
      <c r="BZ909">
        <v>0</v>
      </c>
      <c r="CA909">
        <v>6000</v>
      </c>
      <c r="CB909">
        <v>6000</v>
      </c>
      <c r="CC909">
        <v>3.3828</v>
      </c>
      <c r="CD909" t="s">
        <v>1318</v>
      </c>
      <c r="CE909" t="s">
        <v>1319</v>
      </c>
      <c r="CG909" t="s">
        <v>421</v>
      </c>
      <c r="CN909" t="str">
        <v>M19</v>
      </c>
      <c r="CO909" t="str">
        <v>1330-5YY0183EN</v>
      </c>
      <c r="CP909" t="str">
        <v>TGBU5221360</v>
      </c>
      <c r="CQ909" s="23">
        <v>257.69760000000002</v>
      </c>
      <c r="CR909" s="25">
        <f t="shared" si="37"/>
        <v>1.9548419336601588E-2</v>
      </c>
      <c r="CS909" s="21">
        <f t="shared" si="38"/>
        <v>48.871048341503972</v>
      </c>
    </row>
    <row r="910" spans="2:97" x14ac:dyDescent="0.35">
      <c r="B910" t="s">
        <v>297</v>
      </c>
      <c r="C910" t="s">
        <v>2903</v>
      </c>
      <c r="D910" t="s">
        <v>395</v>
      </c>
      <c r="E910" t="s">
        <v>395</v>
      </c>
      <c r="F910" t="s">
        <v>396</v>
      </c>
      <c r="G910" t="s">
        <v>397</v>
      </c>
      <c r="H910" t="s">
        <v>398</v>
      </c>
      <c r="I910" t="s">
        <v>399</v>
      </c>
      <c r="J910" t="s">
        <v>400</v>
      </c>
      <c r="K910" t="s">
        <v>607</v>
      </c>
      <c r="L910" t="s">
        <v>585</v>
      </c>
      <c r="M910" t="s">
        <v>403</v>
      </c>
      <c r="N910">
        <v>1</v>
      </c>
      <c r="O910">
        <v>1</v>
      </c>
      <c r="P910" t="s">
        <v>662</v>
      </c>
      <c r="Q910" t="s">
        <v>424</v>
      </c>
      <c r="R910" t="s">
        <v>663</v>
      </c>
      <c r="S910" t="s">
        <v>664</v>
      </c>
      <c r="T910" t="s">
        <v>408</v>
      </c>
      <c r="U910">
        <v>50950081685</v>
      </c>
      <c r="W910">
        <v>192000</v>
      </c>
      <c r="X910" t="s">
        <v>409</v>
      </c>
      <c r="Y910" t="s">
        <v>410</v>
      </c>
      <c r="Z910" t="s">
        <v>410</v>
      </c>
      <c r="AA910" t="s">
        <v>411</v>
      </c>
      <c r="AB910" t="s">
        <v>412</v>
      </c>
      <c r="AC910" t="s">
        <v>411</v>
      </c>
      <c r="AD910">
        <v>46118</v>
      </c>
      <c r="AE910">
        <v>46174</v>
      </c>
      <c r="AF910">
        <v>46125</v>
      </c>
      <c r="AG910" t="s">
        <v>590</v>
      </c>
      <c r="AH910">
        <v>6183819</v>
      </c>
      <c r="AI910">
        <v>46121</v>
      </c>
      <c r="AJ910">
        <v>46122</v>
      </c>
      <c r="AK910">
        <v>192000</v>
      </c>
      <c r="AL910" t="s">
        <v>396</v>
      </c>
      <c r="AM910" t="s">
        <v>2904</v>
      </c>
      <c r="AN910">
        <v>46122</v>
      </c>
      <c r="AO910">
        <v>46122.433206018519</v>
      </c>
      <c r="AP910" t="s">
        <v>51</v>
      </c>
      <c r="AQ910">
        <v>1.142E-2</v>
      </c>
      <c r="AR910">
        <v>2192.64</v>
      </c>
      <c r="AS910" t="s">
        <v>51</v>
      </c>
      <c r="AT910">
        <v>2192.64</v>
      </c>
      <c r="AU910" t="s">
        <v>415</v>
      </c>
      <c r="AV910" t="s">
        <v>416</v>
      </c>
      <c r="AW910" t="s">
        <v>2848</v>
      </c>
      <c r="AX910">
        <v>46128</v>
      </c>
      <c r="AY910">
        <v>46177</v>
      </c>
      <c r="AZ910" t="s">
        <v>2849</v>
      </c>
      <c r="BA910" t="s">
        <v>2219</v>
      </c>
      <c r="BB910" t="s">
        <v>2850</v>
      </c>
      <c r="BC910">
        <v>12000</v>
      </c>
      <c r="BD910" t="s">
        <v>521</v>
      </c>
      <c r="BE910">
        <v>10.8048</v>
      </c>
      <c r="BF910">
        <v>10.4148</v>
      </c>
      <c r="BG910" t="s">
        <v>522</v>
      </c>
      <c r="BH910">
        <v>368</v>
      </c>
      <c r="BI910">
        <v>257</v>
      </c>
      <c r="BJ910">
        <v>136</v>
      </c>
      <c r="BK910">
        <v>6</v>
      </c>
      <c r="BL910" t="s">
        <v>521</v>
      </c>
      <c r="BM910">
        <v>72.828800000000001</v>
      </c>
      <c r="BN910">
        <v>62.488799999999998</v>
      </c>
      <c r="BO910">
        <v>196.8768</v>
      </c>
      <c r="BP910" t="s">
        <v>522</v>
      </c>
      <c r="BQ910">
        <v>800</v>
      </c>
      <c r="BR910">
        <v>300</v>
      </c>
      <c r="BS910">
        <v>608</v>
      </c>
      <c r="BT910">
        <v>2</v>
      </c>
      <c r="BU910">
        <v>1</v>
      </c>
      <c r="BV910">
        <v>3</v>
      </c>
      <c r="BW910">
        <v>16</v>
      </c>
      <c r="BX910">
        <v>0</v>
      </c>
      <c r="BY910">
        <v>16</v>
      </c>
      <c r="BZ910">
        <v>144000</v>
      </c>
      <c r="CA910">
        <v>48000</v>
      </c>
      <c r="CB910">
        <v>192000</v>
      </c>
      <c r="CC910">
        <v>166.63679999999999</v>
      </c>
      <c r="CD910" t="s">
        <v>523</v>
      </c>
      <c r="CE910" t="s">
        <v>653</v>
      </c>
      <c r="CG910" t="s">
        <v>421</v>
      </c>
      <c r="CN910" t="str">
        <v>M45</v>
      </c>
      <c r="CO910" t="str">
        <v>1163-12B0002EN0093</v>
      </c>
      <c r="CP910" t="str">
        <v>TGBU5221360</v>
      </c>
      <c r="CQ910" s="23">
        <v>42.22</v>
      </c>
      <c r="CR910" s="25">
        <f t="shared" si="37"/>
        <v>3.2027239073678564E-3</v>
      </c>
      <c r="CS910" s="21">
        <f t="shared" si="38"/>
        <v>8.0068097684196413</v>
      </c>
    </row>
    <row r="911" spans="2:97" x14ac:dyDescent="0.35">
      <c r="B911" t="s">
        <v>297</v>
      </c>
      <c r="C911" t="s">
        <v>2645</v>
      </c>
      <c r="D911" t="s">
        <v>395</v>
      </c>
      <c r="E911" t="s">
        <v>395</v>
      </c>
      <c r="F911" t="s">
        <v>396</v>
      </c>
      <c r="G911" t="s">
        <v>397</v>
      </c>
      <c r="H911" t="s">
        <v>398</v>
      </c>
      <c r="I911" t="s">
        <v>399</v>
      </c>
      <c r="J911" t="s">
        <v>400</v>
      </c>
      <c r="K911" t="s">
        <v>595</v>
      </c>
      <c r="L911" t="s">
        <v>585</v>
      </c>
      <c r="M911" t="s">
        <v>403</v>
      </c>
      <c r="N911">
        <v>1</v>
      </c>
      <c r="O911">
        <v>1</v>
      </c>
      <c r="P911" t="s">
        <v>667</v>
      </c>
      <c r="Q911" t="s">
        <v>430</v>
      </c>
      <c r="R911" t="s">
        <v>668</v>
      </c>
      <c r="S911" t="s">
        <v>669</v>
      </c>
      <c r="T911" t="s">
        <v>408</v>
      </c>
      <c r="U911">
        <v>50950081687</v>
      </c>
      <c r="W911">
        <v>180000</v>
      </c>
      <c r="X911" t="s">
        <v>409</v>
      </c>
      <c r="Y911" t="s">
        <v>410</v>
      </c>
      <c r="Z911" t="s">
        <v>410</v>
      </c>
      <c r="AA911" t="s">
        <v>411</v>
      </c>
      <c r="AB911" t="s">
        <v>412</v>
      </c>
      <c r="AC911" t="s">
        <v>411</v>
      </c>
      <c r="AD911">
        <v>46118</v>
      </c>
      <c r="AE911">
        <v>46174</v>
      </c>
      <c r="AF911">
        <v>46125</v>
      </c>
      <c r="AG911" t="s">
        <v>590</v>
      </c>
      <c r="AH911">
        <v>6183820</v>
      </c>
      <c r="AI911">
        <v>46121</v>
      </c>
      <c r="AJ911">
        <v>46122</v>
      </c>
      <c r="AK911">
        <v>180000</v>
      </c>
      <c r="AL911" t="s">
        <v>396</v>
      </c>
      <c r="AM911" t="s">
        <v>2905</v>
      </c>
      <c r="AN911">
        <v>46122</v>
      </c>
      <c r="AO911">
        <v>46122.433206018519</v>
      </c>
      <c r="AP911" t="s">
        <v>51</v>
      </c>
      <c r="AQ911">
        <v>2.317E-2</v>
      </c>
      <c r="AR911">
        <v>4170.6000000000004</v>
      </c>
      <c r="AS911" t="s">
        <v>51</v>
      </c>
      <c r="AT911">
        <v>4170.6000000000004</v>
      </c>
      <c r="AU911" t="s">
        <v>415</v>
      </c>
      <c r="AV911" t="s">
        <v>416</v>
      </c>
      <c r="AW911" t="s">
        <v>2848</v>
      </c>
      <c r="AX911">
        <v>46128</v>
      </c>
      <c r="AY911">
        <v>46177</v>
      </c>
      <c r="AZ911" t="s">
        <v>2849</v>
      </c>
      <c r="BA911" t="s">
        <v>2219</v>
      </c>
      <c r="BB911" t="s">
        <v>2850</v>
      </c>
      <c r="BC911">
        <v>6000</v>
      </c>
      <c r="BD911" t="s">
        <v>521</v>
      </c>
      <c r="BE911">
        <v>11.177</v>
      </c>
      <c r="BF911">
        <v>10.71</v>
      </c>
      <c r="BG911" t="s">
        <v>522</v>
      </c>
      <c r="BH911">
        <v>300</v>
      </c>
      <c r="BI911">
        <v>200</v>
      </c>
      <c r="BJ911">
        <v>140</v>
      </c>
      <c r="BK911">
        <v>16</v>
      </c>
      <c r="BL911" t="s">
        <v>521</v>
      </c>
      <c r="BM911">
        <v>186.83199999999999</v>
      </c>
      <c r="BN911">
        <v>171.36</v>
      </c>
      <c r="BO911">
        <v>351.31</v>
      </c>
      <c r="BP911" t="s">
        <v>522</v>
      </c>
      <c r="BQ911">
        <v>800</v>
      </c>
      <c r="BR911">
        <v>300</v>
      </c>
      <c r="BS911">
        <v>718</v>
      </c>
      <c r="BT911">
        <v>1</v>
      </c>
      <c r="BU911">
        <v>1</v>
      </c>
      <c r="BV911">
        <v>2</v>
      </c>
      <c r="BW911">
        <v>30</v>
      </c>
      <c r="BX911">
        <v>0</v>
      </c>
      <c r="BY911">
        <v>30</v>
      </c>
      <c r="BZ911">
        <v>96000</v>
      </c>
      <c r="CA911">
        <v>84000</v>
      </c>
      <c r="CB911">
        <v>180000</v>
      </c>
      <c r="CC911">
        <v>321.3</v>
      </c>
      <c r="CD911" t="s">
        <v>671</v>
      </c>
      <c r="CE911" t="s">
        <v>672</v>
      </c>
      <c r="CG911" t="s">
        <v>421</v>
      </c>
      <c r="CN911" t="str">
        <v>M23</v>
      </c>
      <c r="CO911" t="str">
        <v>1401-1060029-92EN</v>
      </c>
      <c r="CP911" t="str">
        <v>TGBU5221360</v>
      </c>
      <c r="CQ911" s="23">
        <v>215.08</v>
      </c>
      <c r="CR911" s="25">
        <f t="shared" si="37"/>
        <v>1.6315534296463256E-2</v>
      </c>
      <c r="CS911" s="21">
        <f t="shared" si="38"/>
        <v>40.788835741158138</v>
      </c>
    </row>
    <row r="912" spans="2:97" x14ac:dyDescent="0.35">
      <c r="B912" t="s">
        <v>297</v>
      </c>
      <c r="C912" t="s">
        <v>2906</v>
      </c>
      <c r="D912" t="s">
        <v>395</v>
      </c>
      <c r="E912" t="s">
        <v>395</v>
      </c>
      <c r="F912" t="s">
        <v>396</v>
      </c>
      <c r="G912" t="s">
        <v>397</v>
      </c>
      <c r="H912" t="s">
        <v>398</v>
      </c>
      <c r="I912" t="s">
        <v>399</v>
      </c>
      <c r="J912" t="s">
        <v>400</v>
      </c>
      <c r="K912" t="s">
        <v>515</v>
      </c>
      <c r="L912" t="s">
        <v>585</v>
      </c>
      <c r="M912" t="s">
        <v>403</v>
      </c>
      <c r="N912">
        <v>2</v>
      </c>
      <c r="O912">
        <v>1</v>
      </c>
      <c r="P912" t="s">
        <v>655</v>
      </c>
      <c r="Q912" t="s">
        <v>637</v>
      </c>
      <c r="R912" t="s">
        <v>656</v>
      </c>
      <c r="S912" t="s">
        <v>657</v>
      </c>
      <c r="T912" t="s">
        <v>408</v>
      </c>
      <c r="U912">
        <v>50950081700</v>
      </c>
      <c r="W912">
        <v>160000</v>
      </c>
      <c r="X912" t="s">
        <v>409</v>
      </c>
      <c r="Y912" t="s">
        <v>410</v>
      </c>
      <c r="Z912" t="s">
        <v>410</v>
      </c>
      <c r="AA912" t="s">
        <v>411</v>
      </c>
      <c r="AB912" t="s">
        <v>412</v>
      </c>
      <c r="AC912" t="s">
        <v>411</v>
      </c>
      <c r="AD912">
        <v>46118</v>
      </c>
      <c r="AE912">
        <v>46174</v>
      </c>
      <c r="AF912">
        <v>46125</v>
      </c>
      <c r="AG912" t="s">
        <v>590</v>
      </c>
      <c r="AH912">
        <v>6183821</v>
      </c>
      <c r="AI912">
        <v>46121</v>
      </c>
      <c r="AJ912">
        <v>46122</v>
      </c>
      <c r="AK912">
        <v>160000</v>
      </c>
      <c r="AL912" t="s">
        <v>396</v>
      </c>
      <c r="AM912" t="s">
        <v>2907</v>
      </c>
      <c r="AN912">
        <v>46122</v>
      </c>
      <c r="AO912">
        <v>46122.433206018519</v>
      </c>
      <c r="AP912" t="s">
        <v>51</v>
      </c>
      <c r="AQ912">
        <v>2.9399999999999999E-3</v>
      </c>
      <c r="AR912">
        <v>470.4</v>
      </c>
      <c r="AS912" t="s">
        <v>51</v>
      </c>
      <c r="AT912">
        <v>470.4</v>
      </c>
      <c r="AU912" t="s">
        <v>415</v>
      </c>
      <c r="AV912" t="s">
        <v>416</v>
      </c>
      <c r="AW912" t="s">
        <v>2848</v>
      </c>
      <c r="AX912">
        <v>46128</v>
      </c>
      <c r="AY912">
        <v>46177</v>
      </c>
      <c r="AZ912" t="s">
        <v>2849</v>
      </c>
      <c r="BA912" t="s">
        <v>2219</v>
      </c>
      <c r="BB912" t="s">
        <v>2850</v>
      </c>
      <c r="BC912">
        <v>8000</v>
      </c>
      <c r="BD912" t="s">
        <v>521</v>
      </c>
      <c r="BE912">
        <v>5.8521999999999998</v>
      </c>
      <c r="BF912">
        <v>5.1231999999999998</v>
      </c>
      <c r="BG912" t="s">
        <v>522</v>
      </c>
      <c r="BH912">
        <v>395</v>
      </c>
      <c r="BI912">
        <v>295</v>
      </c>
      <c r="BJ912">
        <v>120</v>
      </c>
      <c r="BK912">
        <v>8</v>
      </c>
      <c r="BL912" t="s">
        <v>521</v>
      </c>
      <c r="BM912">
        <v>54.817599999999999</v>
      </c>
      <c r="BN912">
        <v>40.985599999999998</v>
      </c>
      <c r="BO912">
        <v>141.04400000000001</v>
      </c>
      <c r="BP912" t="s">
        <v>522</v>
      </c>
      <c r="BQ912">
        <v>800</v>
      </c>
      <c r="BR912">
        <v>300</v>
      </c>
      <c r="BS912">
        <v>698</v>
      </c>
      <c r="BT912">
        <v>2</v>
      </c>
      <c r="BU912">
        <v>1</v>
      </c>
      <c r="BV912">
        <v>3</v>
      </c>
      <c r="BW912">
        <v>20</v>
      </c>
      <c r="BX912">
        <v>0</v>
      </c>
      <c r="BY912">
        <v>20</v>
      </c>
      <c r="BZ912">
        <v>128000</v>
      </c>
      <c r="CA912">
        <v>32000</v>
      </c>
      <c r="CB912">
        <v>160000</v>
      </c>
      <c r="CC912">
        <v>102.464</v>
      </c>
      <c r="CD912" t="s">
        <v>659</v>
      </c>
      <c r="CE912" t="s">
        <v>660</v>
      </c>
      <c r="CG912" t="s">
        <v>421</v>
      </c>
      <c r="CN912" t="str">
        <v>M01</v>
      </c>
      <c r="CO912" t="str">
        <v>1108-0033100EN0018</v>
      </c>
      <c r="CP912" t="str">
        <v>TGBU5221360</v>
      </c>
      <c r="CQ912" s="23">
        <v>17.655999999999999</v>
      </c>
      <c r="CR912" s="25">
        <f t="shared" si="37"/>
        <v>1.3393484914373964E-3</v>
      </c>
      <c r="CS912" s="21">
        <f t="shared" si="38"/>
        <v>3.348371228593491</v>
      </c>
    </row>
    <row r="913" spans="2:97" x14ac:dyDescent="0.35">
      <c r="B913" t="s">
        <v>297</v>
      </c>
      <c r="C913" t="s">
        <v>2647</v>
      </c>
      <c r="D913" t="s">
        <v>395</v>
      </c>
      <c r="E913" t="s">
        <v>395</v>
      </c>
      <c r="F913" t="s">
        <v>396</v>
      </c>
      <c r="G913" t="s">
        <v>397</v>
      </c>
      <c r="H913" t="s">
        <v>398</v>
      </c>
      <c r="I913" t="s">
        <v>399</v>
      </c>
      <c r="J913" t="s">
        <v>400</v>
      </c>
      <c r="K913" t="s">
        <v>515</v>
      </c>
      <c r="L913" t="s">
        <v>585</v>
      </c>
      <c r="M913" t="s">
        <v>403</v>
      </c>
      <c r="N913">
        <v>2</v>
      </c>
      <c r="O913">
        <v>1</v>
      </c>
      <c r="P913" t="s">
        <v>1284</v>
      </c>
      <c r="Q913" t="s">
        <v>637</v>
      </c>
      <c r="R913" t="s">
        <v>1285</v>
      </c>
      <c r="S913" t="s">
        <v>1286</v>
      </c>
      <c r="T913" t="s">
        <v>408</v>
      </c>
      <c r="U913">
        <v>50950081701</v>
      </c>
      <c r="W913">
        <v>320000</v>
      </c>
      <c r="X913" t="s">
        <v>409</v>
      </c>
      <c r="Y913" t="s">
        <v>410</v>
      </c>
      <c r="Z913" t="s">
        <v>410</v>
      </c>
      <c r="AA913" t="s">
        <v>411</v>
      </c>
      <c r="AB913" t="s">
        <v>412</v>
      </c>
      <c r="AC913" t="s">
        <v>411</v>
      </c>
      <c r="AD913">
        <v>46118</v>
      </c>
      <c r="AE913">
        <v>46174</v>
      </c>
      <c r="AF913">
        <v>46125</v>
      </c>
      <c r="AG913" t="s">
        <v>590</v>
      </c>
      <c r="AH913">
        <v>6183822</v>
      </c>
      <c r="AI913">
        <v>46121</v>
      </c>
      <c r="AJ913">
        <v>46122</v>
      </c>
      <c r="AK913">
        <v>320000</v>
      </c>
      <c r="AL913" t="s">
        <v>396</v>
      </c>
      <c r="AM913" t="s">
        <v>2908</v>
      </c>
      <c r="AN913">
        <v>46122</v>
      </c>
      <c r="AO913">
        <v>46122.433206018519</v>
      </c>
      <c r="AP913" t="s">
        <v>51</v>
      </c>
      <c r="AQ913">
        <v>4.0000000000000002E-4</v>
      </c>
      <c r="AR913">
        <v>128</v>
      </c>
      <c r="AS913" t="s">
        <v>51</v>
      </c>
      <c r="AT913">
        <v>128</v>
      </c>
      <c r="AU913" t="s">
        <v>415</v>
      </c>
      <c r="AV913" t="s">
        <v>416</v>
      </c>
      <c r="AW913" t="s">
        <v>2848</v>
      </c>
      <c r="AX913">
        <v>46128</v>
      </c>
      <c r="AY913">
        <v>46177</v>
      </c>
      <c r="AZ913" t="s">
        <v>2849</v>
      </c>
      <c r="BA913" t="s">
        <v>2219</v>
      </c>
      <c r="BB913" t="s">
        <v>2850</v>
      </c>
      <c r="BC913">
        <v>80000</v>
      </c>
      <c r="BD913" t="s">
        <v>521</v>
      </c>
      <c r="BE913">
        <v>1.2889999999999999</v>
      </c>
      <c r="BF913">
        <v>0.56000000000000005</v>
      </c>
      <c r="BG913" t="s">
        <v>522</v>
      </c>
      <c r="BH913">
        <v>395</v>
      </c>
      <c r="BI913">
        <v>295</v>
      </c>
      <c r="BJ913">
        <v>120</v>
      </c>
      <c r="BK913">
        <v>8</v>
      </c>
      <c r="BL913" t="s">
        <v>521</v>
      </c>
      <c r="BM913">
        <v>13.156000000000001</v>
      </c>
      <c r="BN913">
        <v>2.2400000000000002</v>
      </c>
      <c r="BO913">
        <v>13.156000000000001</v>
      </c>
      <c r="BP913" t="s">
        <v>522</v>
      </c>
      <c r="BQ913">
        <v>800</v>
      </c>
      <c r="BR913">
        <v>300</v>
      </c>
      <c r="BS913">
        <v>698</v>
      </c>
      <c r="BT913">
        <v>0</v>
      </c>
      <c r="BU913">
        <v>1</v>
      </c>
      <c r="BV913">
        <v>1</v>
      </c>
      <c r="BW913">
        <v>4</v>
      </c>
      <c r="BX913">
        <v>0</v>
      </c>
      <c r="BY913">
        <v>4</v>
      </c>
      <c r="BZ913">
        <v>0</v>
      </c>
      <c r="CA913">
        <v>320000</v>
      </c>
      <c r="CB913">
        <v>320000</v>
      </c>
      <c r="CC913">
        <v>2.2400000000000002</v>
      </c>
      <c r="CD913" t="s">
        <v>659</v>
      </c>
      <c r="CE913" t="s">
        <v>660</v>
      </c>
      <c r="CG913" t="s">
        <v>421</v>
      </c>
      <c r="CN913" t="str">
        <v>M01</v>
      </c>
      <c r="CO913" t="str">
        <v>1459-1030040EN</v>
      </c>
      <c r="CP913" t="str">
        <v>TGBU5221360</v>
      </c>
      <c r="CQ913" s="23">
        <v>24.597999999999999</v>
      </c>
      <c r="CR913" s="25">
        <f t="shared" si="37"/>
        <v>1.8659545872438308E-3</v>
      </c>
      <c r="CS913" s="21">
        <f t="shared" si="38"/>
        <v>4.664886468109577</v>
      </c>
    </row>
    <row r="914" spans="2:97" x14ac:dyDescent="0.35">
      <c r="B914" t="s">
        <v>297</v>
      </c>
      <c r="C914" t="s">
        <v>2909</v>
      </c>
      <c r="D914" t="s">
        <v>395</v>
      </c>
      <c r="E914" t="s">
        <v>395</v>
      </c>
      <c r="F914" t="s">
        <v>396</v>
      </c>
      <c r="G914" t="s">
        <v>397</v>
      </c>
      <c r="H914" t="s">
        <v>398</v>
      </c>
      <c r="I914" t="s">
        <v>399</v>
      </c>
      <c r="J914" t="s">
        <v>400</v>
      </c>
      <c r="K914" t="s">
        <v>607</v>
      </c>
      <c r="L914" t="s">
        <v>585</v>
      </c>
      <c r="M914" t="s">
        <v>403</v>
      </c>
      <c r="N914">
        <v>1</v>
      </c>
      <c r="O914">
        <v>1</v>
      </c>
      <c r="P914" t="s">
        <v>680</v>
      </c>
      <c r="Q914" t="s">
        <v>424</v>
      </c>
      <c r="R914" t="s">
        <v>663</v>
      </c>
      <c r="S914" t="s">
        <v>518</v>
      </c>
      <c r="T914" t="s">
        <v>408</v>
      </c>
      <c r="U914">
        <v>50950081756</v>
      </c>
      <c r="W914">
        <v>80000</v>
      </c>
      <c r="X914" t="s">
        <v>409</v>
      </c>
      <c r="Y914" t="s">
        <v>410</v>
      </c>
      <c r="Z914" t="s">
        <v>410</v>
      </c>
      <c r="AA914" t="s">
        <v>411</v>
      </c>
      <c r="AB914" t="s">
        <v>412</v>
      </c>
      <c r="AC914" t="s">
        <v>411</v>
      </c>
      <c r="AD914">
        <v>46118</v>
      </c>
      <c r="AE914">
        <v>46174</v>
      </c>
      <c r="AF914">
        <v>46125</v>
      </c>
      <c r="AG914" t="s">
        <v>590</v>
      </c>
      <c r="AH914">
        <v>6183823</v>
      </c>
      <c r="AI914">
        <v>46121</v>
      </c>
      <c r="AJ914">
        <v>46122</v>
      </c>
      <c r="AK914">
        <v>80000</v>
      </c>
      <c r="AL914" t="s">
        <v>396</v>
      </c>
      <c r="AM914" t="s">
        <v>2910</v>
      </c>
      <c r="AN914">
        <v>46122</v>
      </c>
      <c r="AO914">
        <v>46122.433206018519</v>
      </c>
      <c r="AP914" t="s">
        <v>51</v>
      </c>
      <c r="AQ914">
        <v>4.7600000000000003E-3</v>
      </c>
      <c r="AR914">
        <v>380.8</v>
      </c>
      <c r="AS914" t="s">
        <v>51</v>
      </c>
      <c r="AT914">
        <v>380.8</v>
      </c>
      <c r="AU914" t="s">
        <v>415</v>
      </c>
      <c r="AV914" t="s">
        <v>416</v>
      </c>
      <c r="AW914" t="s">
        <v>2848</v>
      </c>
      <c r="AX914">
        <v>46128</v>
      </c>
      <c r="AY914">
        <v>46177</v>
      </c>
      <c r="AZ914" t="s">
        <v>2849</v>
      </c>
      <c r="BA914" t="s">
        <v>2219</v>
      </c>
      <c r="BB914" t="s">
        <v>2850</v>
      </c>
      <c r="BC914">
        <v>30000</v>
      </c>
      <c r="BD914" t="s">
        <v>521</v>
      </c>
      <c r="BE914">
        <v>7.6470000000000002</v>
      </c>
      <c r="BF914">
        <v>7.2569999999999997</v>
      </c>
      <c r="BG914" t="s">
        <v>522</v>
      </c>
      <c r="BH914">
        <v>368</v>
      </c>
      <c r="BI914">
        <v>257</v>
      </c>
      <c r="BJ914">
        <v>136</v>
      </c>
      <c r="BK914">
        <v>6</v>
      </c>
      <c r="BL914" t="s">
        <v>521</v>
      </c>
      <c r="BM914">
        <v>28.521999999999998</v>
      </c>
      <c r="BN914">
        <v>19.352</v>
      </c>
      <c r="BO914">
        <v>28.521999999999998</v>
      </c>
      <c r="BP914" t="s">
        <v>522</v>
      </c>
      <c r="BQ914">
        <v>800</v>
      </c>
      <c r="BR914">
        <v>300</v>
      </c>
      <c r="BS914">
        <v>608</v>
      </c>
      <c r="BT914">
        <v>0</v>
      </c>
      <c r="BU914">
        <v>1</v>
      </c>
      <c r="BV914">
        <v>1</v>
      </c>
      <c r="BW914">
        <v>2</v>
      </c>
      <c r="BX914">
        <v>1</v>
      </c>
      <c r="BY914">
        <v>3</v>
      </c>
      <c r="BZ914">
        <v>0</v>
      </c>
      <c r="CA914">
        <v>80000</v>
      </c>
      <c r="CB914">
        <v>80000</v>
      </c>
      <c r="CC914">
        <v>19.352</v>
      </c>
      <c r="CD914" t="s">
        <v>523</v>
      </c>
      <c r="CE914" t="s">
        <v>653</v>
      </c>
      <c r="CG914" t="s">
        <v>421</v>
      </c>
      <c r="CN914" t="str">
        <v>M01</v>
      </c>
      <c r="CO914" t="str">
        <v>1459-1030040EN</v>
      </c>
      <c r="CP914" t="str">
        <v>TGBU5221360</v>
      </c>
      <c r="CQ914" s="23">
        <v>24.597999999999999</v>
      </c>
      <c r="CR914" s="25">
        <f t="shared" si="37"/>
        <v>1.8659545872438308E-3</v>
      </c>
      <c r="CS914" s="21">
        <f t="shared" si="38"/>
        <v>4.664886468109577</v>
      </c>
    </row>
    <row r="915" spans="2:97" x14ac:dyDescent="0.35">
      <c r="B915" t="s">
        <v>299</v>
      </c>
      <c r="C915" t="s">
        <v>2911</v>
      </c>
      <c r="D915" t="s">
        <v>395</v>
      </c>
      <c r="E915" t="s">
        <v>395</v>
      </c>
      <c r="F915" t="s">
        <v>396</v>
      </c>
      <c r="G915" t="s">
        <v>397</v>
      </c>
      <c r="H915" t="s">
        <v>532</v>
      </c>
      <c r="I915" t="s">
        <v>399</v>
      </c>
      <c r="J915" t="s">
        <v>400</v>
      </c>
      <c r="K915" t="s">
        <v>595</v>
      </c>
      <c r="L915" t="s">
        <v>585</v>
      </c>
      <c r="M915" t="s">
        <v>403</v>
      </c>
      <c r="N915">
        <v>1</v>
      </c>
      <c r="O915">
        <v>1</v>
      </c>
      <c r="P915" t="s">
        <v>2912</v>
      </c>
      <c r="Q915" t="s">
        <v>405</v>
      </c>
      <c r="R915" t="s">
        <v>675</v>
      </c>
      <c r="S915" t="s">
        <v>2913</v>
      </c>
      <c r="T915" t="s">
        <v>408</v>
      </c>
      <c r="U915">
        <v>50950081908</v>
      </c>
      <c r="W915">
        <v>5120</v>
      </c>
      <c r="X915" t="s">
        <v>409</v>
      </c>
      <c r="Y915" t="s">
        <v>410</v>
      </c>
      <c r="Z915" t="s">
        <v>410</v>
      </c>
      <c r="AA915" t="s">
        <v>411</v>
      </c>
      <c r="AB915" t="s">
        <v>412</v>
      </c>
      <c r="AC915" t="s">
        <v>411</v>
      </c>
      <c r="AD915">
        <v>46118</v>
      </c>
      <c r="AE915">
        <v>46174</v>
      </c>
      <c r="AF915">
        <v>46125</v>
      </c>
      <c r="AG915" t="s">
        <v>590</v>
      </c>
      <c r="AH915">
        <v>6183824</v>
      </c>
      <c r="AI915">
        <v>46121</v>
      </c>
      <c r="AJ915">
        <v>46122</v>
      </c>
      <c r="AK915">
        <v>5120</v>
      </c>
      <c r="AL915" t="s">
        <v>396</v>
      </c>
      <c r="AM915" t="s">
        <v>2914</v>
      </c>
      <c r="AN915">
        <v>46122</v>
      </c>
      <c r="AO915">
        <v>46122.433206018519</v>
      </c>
      <c r="AP915" t="s">
        <v>51</v>
      </c>
      <c r="AQ915">
        <v>7.3719999999999994E-2</v>
      </c>
      <c r="AR915">
        <v>377.45</v>
      </c>
      <c r="AS915" t="s">
        <v>51</v>
      </c>
      <c r="AT915">
        <v>377.45</v>
      </c>
      <c r="AU915" t="s">
        <v>415</v>
      </c>
      <c r="AV915" t="s">
        <v>416</v>
      </c>
      <c r="AW915" t="s">
        <v>2848</v>
      </c>
      <c r="AX915">
        <v>46128</v>
      </c>
      <c r="AY915">
        <v>46177</v>
      </c>
      <c r="AZ915" t="s">
        <v>2849</v>
      </c>
      <c r="BA915" t="s">
        <v>2219</v>
      </c>
      <c r="BB915" t="s">
        <v>2850</v>
      </c>
      <c r="BC915">
        <v>320</v>
      </c>
      <c r="BD915" t="s">
        <v>521</v>
      </c>
      <c r="BE915">
        <v>5.0347999999999997</v>
      </c>
      <c r="BF915">
        <v>4.7347999999999999</v>
      </c>
      <c r="BG915" t="s">
        <v>522</v>
      </c>
      <c r="BH915">
        <v>295</v>
      </c>
      <c r="BI915">
        <v>195</v>
      </c>
      <c r="BJ915">
        <v>100</v>
      </c>
      <c r="BK915">
        <v>64</v>
      </c>
      <c r="BL915" t="s">
        <v>521</v>
      </c>
      <c r="BM915">
        <v>110.556032</v>
      </c>
      <c r="BN915">
        <v>75.756032000000005</v>
      </c>
      <c r="BO915">
        <v>110.556032</v>
      </c>
      <c r="BP915" t="s">
        <v>522</v>
      </c>
      <c r="BQ915">
        <v>1200</v>
      </c>
      <c r="BR915">
        <v>800</v>
      </c>
      <c r="BS915">
        <v>573</v>
      </c>
      <c r="BT915">
        <v>0</v>
      </c>
      <c r="BU915">
        <v>1</v>
      </c>
      <c r="BV915">
        <v>1</v>
      </c>
      <c r="BW915">
        <v>16</v>
      </c>
      <c r="BX915">
        <v>0</v>
      </c>
      <c r="BY915">
        <v>16</v>
      </c>
      <c r="BZ915">
        <v>0</v>
      </c>
      <c r="CA915">
        <v>5120</v>
      </c>
      <c r="CB915">
        <v>5120</v>
      </c>
      <c r="CC915">
        <v>75.756032000000005</v>
      </c>
      <c r="CD915" t="s">
        <v>600</v>
      </c>
      <c r="CE915" t="s">
        <v>601</v>
      </c>
      <c r="CG915" t="s">
        <v>421</v>
      </c>
      <c r="CN915" t="str">
        <v>M01</v>
      </c>
      <c r="CO915" t="str">
        <v>1102-0039190EN</v>
      </c>
      <c r="CP915" t="str">
        <v>TGBU5221360</v>
      </c>
      <c r="CQ915" s="23">
        <v>2793.56</v>
      </c>
      <c r="CR915" s="25">
        <f t="shared" si="37"/>
        <v>0.21191381806410586</v>
      </c>
      <c r="CS915" s="21">
        <f t="shared" si="38"/>
        <v>529.78454516026466</v>
      </c>
    </row>
    <row r="916" spans="2:97" x14ac:dyDescent="0.35">
      <c r="B916" t="s">
        <v>3497</v>
      </c>
      <c r="C916" t="s">
        <v>2915</v>
      </c>
      <c r="D916" t="s">
        <v>395</v>
      </c>
      <c r="E916" t="s">
        <v>395</v>
      </c>
      <c r="F916" t="s">
        <v>396</v>
      </c>
      <c r="G916" t="s">
        <v>397</v>
      </c>
      <c r="H916" t="s">
        <v>398</v>
      </c>
      <c r="I916" t="s">
        <v>399</v>
      </c>
      <c r="J916" t="s">
        <v>400</v>
      </c>
      <c r="K916" t="s">
        <v>515</v>
      </c>
      <c r="L916" t="s">
        <v>585</v>
      </c>
      <c r="M916" t="s">
        <v>403</v>
      </c>
      <c r="N916">
        <v>1</v>
      </c>
      <c r="O916">
        <v>1</v>
      </c>
      <c r="P916" t="s">
        <v>1321</v>
      </c>
      <c r="Q916" t="s">
        <v>424</v>
      </c>
      <c r="R916" t="s">
        <v>691</v>
      </c>
      <c r="S916" t="s">
        <v>1322</v>
      </c>
      <c r="T916" t="s">
        <v>408</v>
      </c>
      <c r="U916">
        <v>50950081985</v>
      </c>
      <c r="W916">
        <v>18000</v>
      </c>
      <c r="X916" t="s">
        <v>409</v>
      </c>
      <c r="Y916" t="s">
        <v>410</v>
      </c>
      <c r="Z916" t="s">
        <v>410</v>
      </c>
      <c r="AA916" t="s">
        <v>411</v>
      </c>
      <c r="AB916" t="s">
        <v>412</v>
      </c>
      <c r="AC916" t="s">
        <v>411</v>
      </c>
      <c r="AD916">
        <v>46118</v>
      </c>
      <c r="AE916">
        <v>46188</v>
      </c>
      <c r="AF916">
        <v>46125</v>
      </c>
      <c r="AG916" t="s">
        <v>590</v>
      </c>
      <c r="AH916">
        <v>6183825</v>
      </c>
      <c r="AI916">
        <v>46121</v>
      </c>
      <c r="AJ916">
        <v>46122</v>
      </c>
      <c r="AK916">
        <v>18000</v>
      </c>
      <c r="AL916" t="s">
        <v>396</v>
      </c>
      <c r="AM916" t="s">
        <v>2916</v>
      </c>
      <c r="AN916">
        <v>46122</v>
      </c>
      <c r="AO916">
        <v>46122.433206018519</v>
      </c>
      <c r="AP916" t="s">
        <v>51</v>
      </c>
      <c r="AQ916">
        <v>6.3979999999999995E-2</v>
      </c>
      <c r="AR916">
        <v>1151.6400000000001</v>
      </c>
      <c r="AS916" t="s">
        <v>51</v>
      </c>
      <c r="AT916">
        <v>1151.6400000000001</v>
      </c>
      <c r="AU916" t="s">
        <v>415</v>
      </c>
      <c r="AV916" t="s">
        <v>416</v>
      </c>
      <c r="AW916" t="s">
        <v>2848</v>
      </c>
      <c r="AX916">
        <v>46128</v>
      </c>
      <c r="AY916">
        <v>46177</v>
      </c>
      <c r="AZ916" t="s">
        <v>2849</v>
      </c>
      <c r="BA916" t="s">
        <v>2219</v>
      </c>
      <c r="BB916" t="s">
        <v>2850</v>
      </c>
      <c r="BC916">
        <v>900</v>
      </c>
      <c r="BD916" t="s">
        <v>521</v>
      </c>
      <c r="BE916">
        <v>3.0463</v>
      </c>
      <c r="BF916">
        <v>1.4462999999999999</v>
      </c>
      <c r="BG916" t="s">
        <v>522</v>
      </c>
      <c r="BH916">
        <v>395</v>
      </c>
      <c r="BI916">
        <v>295</v>
      </c>
      <c r="BJ916">
        <v>150</v>
      </c>
      <c r="BK916">
        <v>48</v>
      </c>
      <c r="BL916" t="s">
        <v>521</v>
      </c>
      <c r="BM916">
        <v>84.926000000000002</v>
      </c>
      <c r="BN916">
        <v>28.925999999999998</v>
      </c>
      <c r="BO916">
        <v>84.926000000000002</v>
      </c>
      <c r="BP916" t="s">
        <v>522</v>
      </c>
      <c r="BQ916">
        <v>1200</v>
      </c>
      <c r="BR916">
        <v>800</v>
      </c>
      <c r="BS916">
        <v>1060</v>
      </c>
      <c r="BT916">
        <v>0</v>
      </c>
      <c r="BU916">
        <v>1</v>
      </c>
      <c r="BV916">
        <v>1</v>
      </c>
      <c r="BW916">
        <v>20</v>
      </c>
      <c r="BX916">
        <v>0</v>
      </c>
      <c r="BY916">
        <v>20</v>
      </c>
      <c r="BZ916">
        <v>0</v>
      </c>
      <c r="CA916">
        <v>18000</v>
      </c>
      <c r="CB916">
        <v>18000</v>
      </c>
      <c r="CC916">
        <v>28.925999999999998</v>
      </c>
      <c r="CD916" t="s">
        <v>694</v>
      </c>
      <c r="CE916" t="s">
        <v>695</v>
      </c>
      <c r="CG916" t="s">
        <v>421</v>
      </c>
      <c r="CN916" t="str">
        <v>M45</v>
      </c>
      <c r="CO916" t="str">
        <v>WPSP61D0120EN</v>
      </c>
      <c r="CP916" t="str">
        <v>TGBU5221360</v>
      </c>
      <c r="CQ916" s="23">
        <v>13.456</v>
      </c>
      <c r="CR916" s="25">
        <f t="shared" si="37"/>
        <v>1.0207449762563211E-3</v>
      </c>
      <c r="CS916" s="21">
        <f t="shared" si="38"/>
        <v>2.5518624406408028</v>
      </c>
    </row>
    <row r="917" spans="2:97" x14ac:dyDescent="0.35">
      <c r="B917" t="s">
        <v>299</v>
      </c>
      <c r="C917" t="s">
        <v>2917</v>
      </c>
      <c r="D917" t="s">
        <v>395</v>
      </c>
      <c r="E917" t="s">
        <v>395</v>
      </c>
      <c r="F917" t="s">
        <v>396</v>
      </c>
      <c r="G917" t="s">
        <v>397</v>
      </c>
      <c r="H917" t="s">
        <v>532</v>
      </c>
      <c r="I917" t="s">
        <v>399</v>
      </c>
      <c r="J917" t="s">
        <v>400</v>
      </c>
      <c r="K917" t="s">
        <v>607</v>
      </c>
      <c r="L917" t="s">
        <v>585</v>
      </c>
      <c r="M917" t="s">
        <v>403</v>
      </c>
      <c r="N917">
        <v>1</v>
      </c>
      <c r="O917">
        <v>1</v>
      </c>
      <c r="P917" t="s">
        <v>1314</v>
      </c>
      <c r="Q917" t="s">
        <v>430</v>
      </c>
      <c r="R917" t="s">
        <v>1315</v>
      </c>
      <c r="S917" t="s">
        <v>1316</v>
      </c>
      <c r="T917" t="s">
        <v>408</v>
      </c>
      <c r="U917">
        <v>50950081954</v>
      </c>
      <c r="W917">
        <v>13500</v>
      </c>
      <c r="X917" t="s">
        <v>409</v>
      </c>
      <c r="Y917" t="s">
        <v>410</v>
      </c>
      <c r="Z917" t="s">
        <v>410</v>
      </c>
      <c r="AA917" t="s">
        <v>411</v>
      </c>
      <c r="AB917" t="s">
        <v>412</v>
      </c>
      <c r="AC917" t="s">
        <v>411</v>
      </c>
      <c r="AD917">
        <v>46118</v>
      </c>
      <c r="AE917">
        <v>46188</v>
      </c>
      <c r="AF917">
        <v>46125</v>
      </c>
      <c r="AG917" t="s">
        <v>590</v>
      </c>
      <c r="AH917">
        <v>6183826</v>
      </c>
      <c r="AI917">
        <v>46121</v>
      </c>
      <c r="AJ917">
        <v>46122</v>
      </c>
      <c r="AK917">
        <v>13500</v>
      </c>
      <c r="AL917" t="s">
        <v>396</v>
      </c>
      <c r="AM917" t="s">
        <v>2918</v>
      </c>
      <c r="AN917">
        <v>46122</v>
      </c>
      <c r="AO917">
        <v>46122.433206018519</v>
      </c>
      <c r="AP917" t="s">
        <v>51</v>
      </c>
      <c r="AQ917">
        <v>0.12689</v>
      </c>
      <c r="AR917">
        <v>1713.02</v>
      </c>
      <c r="AS917" t="s">
        <v>51</v>
      </c>
      <c r="AT917">
        <v>1713.02</v>
      </c>
      <c r="AU917" t="s">
        <v>415</v>
      </c>
      <c r="AV917" t="s">
        <v>416</v>
      </c>
      <c r="AW917" t="s">
        <v>2848</v>
      </c>
      <c r="AX917">
        <v>46128</v>
      </c>
      <c r="AY917">
        <v>46177</v>
      </c>
      <c r="AZ917" t="s">
        <v>2849</v>
      </c>
      <c r="BA917" t="s">
        <v>2219</v>
      </c>
      <c r="BB917" t="s">
        <v>2850</v>
      </c>
      <c r="BC917">
        <v>1500</v>
      </c>
      <c r="BD917" t="s">
        <v>521</v>
      </c>
      <c r="BE917">
        <v>9.6994000000000007</v>
      </c>
      <c r="BF917">
        <v>9.1484000000000005</v>
      </c>
      <c r="BG917" t="s">
        <v>522</v>
      </c>
      <c r="BH917">
        <v>368</v>
      </c>
      <c r="BI917">
        <v>257</v>
      </c>
      <c r="BJ917">
        <v>136</v>
      </c>
      <c r="BK917">
        <v>27</v>
      </c>
      <c r="BL917" t="s">
        <v>521</v>
      </c>
      <c r="BM917">
        <v>116.29415</v>
      </c>
      <c r="BN917">
        <v>82.335149999999999</v>
      </c>
      <c r="BO917">
        <v>116.29415</v>
      </c>
      <c r="BP917" t="s">
        <v>522</v>
      </c>
      <c r="BQ917">
        <v>1140</v>
      </c>
      <c r="BR917">
        <v>800</v>
      </c>
      <c r="BS917">
        <v>565</v>
      </c>
      <c r="BT917">
        <v>0</v>
      </c>
      <c r="BU917">
        <v>1</v>
      </c>
      <c r="BV917">
        <v>1</v>
      </c>
      <c r="BW917">
        <v>9</v>
      </c>
      <c r="BX917">
        <v>0</v>
      </c>
      <c r="BY917">
        <v>9</v>
      </c>
      <c r="BZ917">
        <v>0</v>
      </c>
      <c r="CA917">
        <v>13500</v>
      </c>
      <c r="CB917">
        <v>13500</v>
      </c>
      <c r="CC917">
        <v>82.335149999999999</v>
      </c>
      <c r="CD917" t="s">
        <v>1318</v>
      </c>
      <c r="CE917" t="s">
        <v>1319</v>
      </c>
      <c r="CG917" t="s">
        <v>421</v>
      </c>
      <c r="CN917" t="str">
        <v>M45</v>
      </c>
      <c r="CO917" t="str">
        <v>AYSP61AS872EN</v>
      </c>
      <c r="CP917" t="str">
        <v>TGBU5221360</v>
      </c>
      <c r="CQ917" s="23">
        <v>596.18010000000004</v>
      </c>
      <c r="CR917" s="25">
        <f t="shared" si="37"/>
        <v>4.5225017985953568E-2</v>
      </c>
      <c r="CS917" s="21">
        <f t="shared" si="38"/>
        <v>113.06254496488393</v>
      </c>
    </row>
    <row r="918" spans="2:97" x14ac:dyDescent="0.35">
      <c r="B918" t="s">
        <v>299</v>
      </c>
      <c r="C918" t="s">
        <v>2919</v>
      </c>
      <c r="D918" t="s">
        <v>395</v>
      </c>
      <c r="E918" t="s">
        <v>395</v>
      </c>
      <c r="F918" t="s">
        <v>396</v>
      </c>
      <c r="G918" t="s">
        <v>397</v>
      </c>
      <c r="H918" t="s">
        <v>532</v>
      </c>
      <c r="I918" t="s">
        <v>399</v>
      </c>
      <c r="J918" t="s">
        <v>400</v>
      </c>
      <c r="K918" t="s">
        <v>607</v>
      </c>
      <c r="L918" t="s">
        <v>585</v>
      </c>
      <c r="M918" t="s">
        <v>403</v>
      </c>
      <c r="N918">
        <v>1</v>
      </c>
      <c r="O918">
        <v>1</v>
      </c>
      <c r="P918" t="s">
        <v>608</v>
      </c>
      <c r="Q918" t="s">
        <v>405</v>
      </c>
      <c r="R918" t="s">
        <v>609</v>
      </c>
      <c r="S918" t="s">
        <v>610</v>
      </c>
      <c r="T918" t="s">
        <v>408</v>
      </c>
      <c r="U918">
        <v>50950081960</v>
      </c>
      <c r="W918">
        <v>17600</v>
      </c>
      <c r="X918" t="s">
        <v>409</v>
      </c>
      <c r="Y918" t="s">
        <v>410</v>
      </c>
      <c r="Z918" t="s">
        <v>410</v>
      </c>
      <c r="AA918" t="s">
        <v>411</v>
      </c>
      <c r="AB918" t="s">
        <v>412</v>
      </c>
      <c r="AC918" t="s">
        <v>411</v>
      </c>
      <c r="AD918">
        <v>46125</v>
      </c>
      <c r="AE918">
        <v>46181</v>
      </c>
      <c r="AF918">
        <v>46125</v>
      </c>
      <c r="AG918" t="s">
        <v>590</v>
      </c>
      <c r="AH918">
        <v>6183827</v>
      </c>
      <c r="AI918">
        <v>46121</v>
      </c>
      <c r="AJ918">
        <v>46122</v>
      </c>
      <c r="AK918">
        <v>17600</v>
      </c>
      <c r="AL918" t="s">
        <v>396</v>
      </c>
      <c r="AM918" t="s">
        <v>2920</v>
      </c>
      <c r="AN918">
        <v>46122</v>
      </c>
      <c r="AO918">
        <v>46122.433206018519</v>
      </c>
      <c r="AP918" t="s">
        <v>51</v>
      </c>
      <c r="AQ918">
        <v>0.12169000000000001</v>
      </c>
      <c r="AR918">
        <v>2141.7399999999998</v>
      </c>
      <c r="AS918" t="s">
        <v>51</v>
      </c>
      <c r="AT918">
        <v>2141.7399999999998</v>
      </c>
      <c r="AU918" t="s">
        <v>415</v>
      </c>
      <c r="AV918" t="s">
        <v>416</v>
      </c>
      <c r="AW918" t="s">
        <v>2848</v>
      </c>
      <c r="AX918">
        <v>46128</v>
      </c>
      <c r="AY918">
        <v>46177</v>
      </c>
      <c r="AZ918" t="s">
        <v>2849</v>
      </c>
      <c r="BA918" t="s">
        <v>2219</v>
      </c>
      <c r="BB918" t="s">
        <v>2850</v>
      </c>
      <c r="BC918">
        <v>880</v>
      </c>
      <c r="BD918" t="s">
        <v>521</v>
      </c>
      <c r="BE918">
        <v>13.593999999999999</v>
      </c>
      <c r="BF918">
        <v>11.994</v>
      </c>
      <c r="BG918" t="s">
        <v>522</v>
      </c>
      <c r="BH918">
        <v>395</v>
      </c>
      <c r="BI918">
        <v>295</v>
      </c>
      <c r="BJ918">
        <v>230</v>
      </c>
      <c r="BK918">
        <v>40</v>
      </c>
      <c r="BL918" t="s">
        <v>521</v>
      </c>
      <c r="BM918">
        <v>302.87920000000003</v>
      </c>
      <c r="BN918">
        <v>239.8792</v>
      </c>
      <c r="BO918">
        <v>302.87920000000003</v>
      </c>
      <c r="BP918" t="s">
        <v>522</v>
      </c>
      <c r="BQ918">
        <v>1200</v>
      </c>
      <c r="BR918">
        <v>1000</v>
      </c>
      <c r="BS918">
        <v>1075</v>
      </c>
      <c r="BT918">
        <v>0</v>
      </c>
      <c r="BU918">
        <v>1</v>
      </c>
      <c r="BV918">
        <v>1</v>
      </c>
      <c r="BW918">
        <v>20</v>
      </c>
      <c r="BX918">
        <v>0</v>
      </c>
      <c r="BY918">
        <v>20</v>
      </c>
      <c r="BZ918">
        <v>0</v>
      </c>
      <c r="CA918">
        <v>17600</v>
      </c>
      <c r="CB918">
        <v>17600</v>
      </c>
      <c r="CC918">
        <v>239.8792</v>
      </c>
      <c r="CD918" t="s">
        <v>612</v>
      </c>
      <c r="CE918" t="s">
        <v>613</v>
      </c>
      <c r="CG918" t="s">
        <v>421</v>
      </c>
      <c r="CN918" t="str">
        <v>M23</v>
      </c>
      <c r="CO918" t="str">
        <v>1401-1060059-92EN</v>
      </c>
      <c r="CP918" t="str">
        <v>TGBU5221360</v>
      </c>
      <c r="CQ918" s="23">
        <v>214.04</v>
      </c>
      <c r="CR918" s="25">
        <f t="shared" si="37"/>
        <v>1.6236641997466036E-2</v>
      </c>
      <c r="CS918" s="21">
        <f t="shared" si="38"/>
        <v>40.591604993665094</v>
      </c>
    </row>
    <row r="919" spans="2:97" x14ac:dyDescent="0.35">
      <c r="B919" t="s">
        <v>3497</v>
      </c>
      <c r="C919" t="s">
        <v>2921</v>
      </c>
      <c r="D919" t="s">
        <v>395</v>
      </c>
      <c r="E919" t="s">
        <v>395</v>
      </c>
      <c r="F919" t="s">
        <v>396</v>
      </c>
      <c r="G919" t="s">
        <v>397</v>
      </c>
      <c r="H919" t="s">
        <v>398</v>
      </c>
      <c r="I919" t="s">
        <v>399</v>
      </c>
      <c r="J919" t="s">
        <v>400</v>
      </c>
      <c r="K919" t="s">
        <v>515</v>
      </c>
      <c r="L919" t="s">
        <v>585</v>
      </c>
      <c r="M919" t="s">
        <v>403</v>
      </c>
      <c r="N919">
        <v>1</v>
      </c>
      <c r="O919">
        <v>1</v>
      </c>
      <c r="P919" t="s">
        <v>1829</v>
      </c>
      <c r="Q919" t="s">
        <v>424</v>
      </c>
      <c r="R919" t="s">
        <v>691</v>
      </c>
      <c r="S919" t="s">
        <v>1830</v>
      </c>
      <c r="T919" t="s">
        <v>408</v>
      </c>
      <c r="U919">
        <v>50950081963</v>
      </c>
      <c r="W919">
        <v>17280</v>
      </c>
      <c r="X919" t="s">
        <v>409</v>
      </c>
      <c r="Y919" t="s">
        <v>410</v>
      </c>
      <c r="Z919" t="s">
        <v>410</v>
      </c>
      <c r="AA919" t="s">
        <v>411</v>
      </c>
      <c r="AB919" t="s">
        <v>412</v>
      </c>
      <c r="AC919" t="s">
        <v>411</v>
      </c>
      <c r="AD919">
        <v>46118</v>
      </c>
      <c r="AE919">
        <v>46188</v>
      </c>
      <c r="AF919">
        <v>46125</v>
      </c>
      <c r="AG919" t="s">
        <v>590</v>
      </c>
      <c r="AH919">
        <v>6183828</v>
      </c>
      <c r="AI919">
        <v>46121</v>
      </c>
      <c r="AJ919">
        <v>46122</v>
      </c>
      <c r="AK919">
        <v>17280</v>
      </c>
      <c r="AL919" t="s">
        <v>396</v>
      </c>
      <c r="AM919" t="s">
        <v>2922</v>
      </c>
      <c r="AN919">
        <v>46122</v>
      </c>
      <c r="AO919">
        <v>46122.433206018519</v>
      </c>
      <c r="AP919" t="s">
        <v>51</v>
      </c>
      <c r="AQ919">
        <v>6.719E-2</v>
      </c>
      <c r="AR919">
        <v>1161.04</v>
      </c>
      <c r="AS919" t="s">
        <v>51</v>
      </c>
      <c r="AT919">
        <v>1161.04</v>
      </c>
      <c r="AU919" t="s">
        <v>415</v>
      </c>
      <c r="AV919" t="s">
        <v>416</v>
      </c>
      <c r="AW919" t="s">
        <v>2848</v>
      </c>
      <c r="AX919">
        <v>46128</v>
      </c>
      <c r="AY919">
        <v>46177</v>
      </c>
      <c r="AZ919" t="s">
        <v>2849</v>
      </c>
      <c r="BA919" t="s">
        <v>2219</v>
      </c>
      <c r="BB919" t="s">
        <v>2850</v>
      </c>
      <c r="BC919">
        <v>1080</v>
      </c>
      <c r="BD919" t="s">
        <v>521</v>
      </c>
      <c r="BE919">
        <v>4.016</v>
      </c>
      <c r="BF919">
        <v>2.4159999999999999</v>
      </c>
      <c r="BG919" t="s">
        <v>522</v>
      </c>
      <c r="BH919">
        <v>395</v>
      </c>
      <c r="BI919">
        <v>295</v>
      </c>
      <c r="BJ919">
        <v>150</v>
      </c>
      <c r="BK919">
        <v>48</v>
      </c>
      <c r="BL919" t="s">
        <v>521</v>
      </c>
      <c r="BM919">
        <v>88.255359999999996</v>
      </c>
      <c r="BN919">
        <v>38.655360000000002</v>
      </c>
      <c r="BO919">
        <v>88.255359999999996</v>
      </c>
      <c r="BP919" t="s">
        <v>522</v>
      </c>
      <c r="BQ919">
        <v>1200</v>
      </c>
      <c r="BR919">
        <v>800</v>
      </c>
      <c r="BS919">
        <v>1060</v>
      </c>
      <c r="BT919">
        <v>0</v>
      </c>
      <c r="BU919">
        <v>1</v>
      </c>
      <c r="BV919">
        <v>1</v>
      </c>
      <c r="BW919">
        <v>16</v>
      </c>
      <c r="BX919">
        <v>0</v>
      </c>
      <c r="BY919">
        <v>16</v>
      </c>
      <c r="BZ919">
        <v>0</v>
      </c>
      <c r="CA919">
        <v>17280</v>
      </c>
      <c r="CB919">
        <v>17280</v>
      </c>
      <c r="CC919">
        <v>38.655360000000002</v>
      </c>
      <c r="CD919" t="s">
        <v>694</v>
      </c>
      <c r="CE919" t="s">
        <v>695</v>
      </c>
      <c r="CG919" t="s">
        <v>421</v>
      </c>
      <c r="CN919" t="str">
        <v>M01</v>
      </c>
      <c r="CO919" t="str">
        <v>1200-1030990EN0002</v>
      </c>
      <c r="CP919" t="str">
        <v>TGBU7107819</v>
      </c>
      <c r="CQ919" s="23">
        <v>576.17280000000005</v>
      </c>
      <c r="CR919" s="25">
        <f t="shared" si="37"/>
        <v>8.4012672450347589E-2</v>
      </c>
      <c r="CS919" s="21">
        <f t="shared" si="38"/>
        <v>210.03168112586897</v>
      </c>
    </row>
    <row r="920" spans="2:97" x14ac:dyDescent="0.35">
      <c r="B920" t="s">
        <v>3497</v>
      </c>
      <c r="C920" t="s">
        <v>2923</v>
      </c>
      <c r="D920" t="s">
        <v>395</v>
      </c>
      <c r="E920" t="s">
        <v>395</v>
      </c>
      <c r="F920" t="s">
        <v>396</v>
      </c>
      <c r="G920" t="s">
        <v>397</v>
      </c>
      <c r="H920" t="s">
        <v>398</v>
      </c>
      <c r="I920" t="s">
        <v>399</v>
      </c>
      <c r="J920" t="s">
        <v>400</v>
      </c>
      <c r="K920" t="s">
        <v>515</v>
      </c>
      <c r="L920" t="s">
        <v>585</v>
      </c>
      <c r="M920" t="s">
        <v>403</v>
      </c>
      <c r="N920">
        <v>1</v>
      </c>
      <c r="O920">
        <v>1</v>
      </c>
      <c r="P920" t="s">
        <v>2630</v>
      </c>
      <c r="Q920" t="s">
        <v>424</v>
      </c>
      <c r="R920" t="s">
        <v>691</v>
      </c>
      <c r="S920" t="s">
        <v>2631</v>
      </c>
      <c r="T920" t="s">
        <v>408</v>
      </c>
      <c r="U920">
        <v>50950082061</v>
      </c>
      <c r="W920">
        <v>25920</v>
      </c>
      <c r="X920" t="s">
        <v>409</v>
      </c>
      <c r="Y920" t="s">
        <v>410</v>
      </c>
      <c r="Z920" t="s">
        <v>410</v>
      </c>
      <c r="AA920" t="s">
        <v>411</v>
      </c>
      <c r="AB920" t="s">
        <v>412</v>
      </c>
      <c r="AC920" t="s">
        <v>411</v>
      </c>
      <c r="AD920">
        <v>46118</v>
      </c>
      <c r="AE920">
        <v>46174</v>
      </c>
      <c r="AF920">
        <v>46125</v>
      </c>
      <c r="AG920" t="s">
        <v>590</v>
      </c>
      <c r="AH920">
        <v>6183829</v>
      </c>
      <c r="AI920">
        <v>46121</v>
      </c>
      <c r="AJ920">
        <v>46122</v>
      </c>
      <c r="AK920">
        <v>25920</v>
      </c>
      <c r="AL920" t="s">
        <v>396</v>
      </c>
      <c r="AM920" t="s">
        <v>2924</v>
      </c>
      <c r="AN920">
        <v>46122</v>
      </c>
      <c r="AO920">
        <v>46122.433206018519</v>
      </c>
      <c r="AP920" t="s">
        <v>51</v>
      </c>
      <c r="AQ920">
        <v>6.7369999999999999E-2</v>
      </c>
      <c r="AR920">
        <v>1746.23</v>
      </c>
      <c r="AS920" t="s">
        <v>51</v>
      </c>
      <c r="AT920">
        <v>1746.23</v>
      </c>
      <c r="AU920" t="s">
        <v>415</v>
      </c>
      <c r="AV920" t="s">
        <v>416</v>
      </c>
      <c r="AW920" t="s">
        <v>2848</v>
      </c>
      <c r="AX920">
        <v>46128</v>
      </c>
      <c r="AY920">
        <v>46177</v>
      </c>
      <c r="AZ920" t="s">
        <v>2849</v>
      </c>
      <c r="BA920" t="s">
        <v>2219</v>
      </c>
      <c r="BB920" t="s">
        <v>2850</v>
      </c>
      <c r="BC920">
        <v>1080</v>
      </c>
      <c r="BD920" t="s">
        <v>521</v>
      </c>
      <c r="BE920">
        <v>4.0278</v>
      </c>
      <c r="BF920">
        <v>2.4278</v>
      </c>
      <c r="BG920" t="s">
        <v>522</v>
      </c>
      <c r="BH920">
        <v>395</v>
      </c>
      <c r="BI920">
        <v>295</v>
      </c>
      <c r="BJ920">
        <v>150</v>
      </c>
      <c r="BK920">
        <v>48</v>
      </c>
      <c r="BL920" t="s">
        <v>521</v>
      </c>
      <c r="BM920">
        <v>120.66816</v>
      </c>
      <c r="BN920">
        <v>58.268160000000002</v>
      </c>
      <c r="BO920">
        <v>120.66816</v>
      </c>
      <c r="BP920" t="s">
        <v>522</v>
      </c>
      <c r="BQ920">
        <v>1200</v>
      </c>
      <c r="BR920">
        <v>800</v>
      </c>
      <c r="BS920">
        <v>1060</v>
      </c>
      <c r="BT920">
        <v>0</v>
      </c>
      <c r="BU920">
        <v>1</v>
      </c>
      <c r="BV920">
        <v>1</v>
      </c>
      <c r="BW920">
        <v>24</v>
      </c>
      <c r="BX920">
        <v>0</v>
      </c>
      <c r="BY920">
        <v>24</v>
      </c>
      <c r="BZ920">
        <v>0</v>
      </c>
      <c r="CA920">
        <v>25920</v>
      </c>
      <c r="CB920">
        <v>25920</v>
      </c>
      <c r="CC920">
        <v>58.268160000000002</v>
      </c>
      <c r="CD920" t="s">
        <v>694</v>
      </c>
      <c r="CE920" t="s">
        <v>695</v>
      </c>
      <c r="CG920" t="s">
        <v>421</v>
      </c>
      <c r="CN920" t="str">
        <v>M19</v>
      </c>
      <c r="CO920" t="str">
        <v>1275-5YY0783EN</v>
      </c>
      <c r="CP920" t="str">
        <v>TGBU7107819</v>
      </c>
      <c r="CQ920" s="23">
        <v>1586.5024000000001</v>
      </c>
      <c r="CR920" s="25">
        <f t="shared" si="37"/>
        <v>0.23133043849499718</v>
      </c>
      <c r="CS920" s="21">
        <f t="shared" si="38"/>
        <v>578.32609623749295</v>
      </c>
    </row>
    <row r="921" spans="2:97" x14ac:dyDescent="0.35">
      <c r="B921" t="s">
        <v>298</v>
      </c>
      <c r="C921" t="s">
        <v>2925</v>
      </c>
      <c r="D921" t="s">
        <v>395</v>
      </c>
      <c r="E921" t="s">
        <v>395</v>
      </c>
      <c r="F921" t="s">
        <v>396</v>
      </c>
      <c r="G921" t="s">
        <v>397</v>
      </c>
      <c r="H921" t="s">
        <v>398</v>
      </c>
      <c r="I921" t="s">
        <v>399</v>
      </c>
      <c r="J921" t="s">
        <v>400</v>
      </c>
      <c r="K921" t="s">
        <v>515</v>
      </c>
      <c r="L921" t="s">
        <v>585</v>
      </c>
      <c r="M921" t="s">
        <v>403</v>
      </c>
      <c r="N921">
        <v>1</v>
      </c>
      <c r="O921">
        <v>1</v>
      </c>
      <c r="P921" t="s">
        <v>1343</v>
      </c>
      <c r="Q921" t="s">
        <v>405</v>
      </c>
      <c r="R921" t="s">
        <v>1344</v>
      </c>
      <c r="S921" t="s">
        <v>1265</v>
      </c>
      <c r="T921" t="s">
        <v>408</v>
      </c>
      <c r="U921">
        <v>50950082309</v>
      </c>
      <c r="W921">
        <v>10000</v>
      </c>
      <c r="X921" t="s">
        <v>409</v>
      </c>
      <c r="Y921" t="s">
        <v>410</v>
      </c>
      <c r="Z921" t="s">
        <v>410</v>
      </c>
      <c r="AA921" t="s">
        <v>411</v>
      </c>
      <c r="AB921" t="s">
        <v>412</v>
      </c>
      <c r="AC921" t="s">
        <v>411</v>
      </c>
      <c r="AD921">
        <v>46118</v>
      </c>
      <c r="AE921">
        <v>46181</v>
      </c>
      <c r="AF921">
        <v>46125</v>
      </c>
      <c r="AG921" t="s">
        <v>590</v>
      </c>
      <c r="AH921">
        <v>6183830</v>
      </c>
      <c r="AI921">
        <v>46121</v>
      </c>
      <c r="AJ921">
        <v>46122</v>
      </c>
      <c r="AK921">
        <v>10000</v>
      </c>
      <c r="AL921" t="s">
        <v>396</v>
      </c>
      <c r="AM921" t="s">
        <v>2926</v>
      </c>
      <c r="AN921">
        <v>46122</v>
      </c>
      <c r="AO921">
        <v>46122.433206018519</v>
      </c>
      <c r="AP921" t="s">
        <v>51</v>
      </c>
      <c r="AQ921">
        <v>1.09E-3</v>
      </c>
      <c r="AR921">
        <v>10.9</v>
      </c>
      <c r="AS921" t="s">
        <v>51</v>
      </c>
      <c r="AT921">
        <v>10.9</v>
      </c>
      <c r="AU921" t="s">
        <v>415</v>
      </c>
      <c r="AV921" t="s">
        <v>416</v>
      </c>
      <c r="AW921" t="s">
        <v>2848</v>
      </c>
      <c r="AX921">
        <v>46128</v>
      </c>
      <c r="AY921">
        <v>46177</v>
      </c>
      <c r="AZ921" t="s">
        <v>2849</v>
      </c>
      <c r="BA921" t="s">
        <v>2219</v>
      </c>
      <c r="BB921" t="s">
        <v>2850</v>
      </c>
      <c r="BC921">
        <v>80000</v>
      </c>
      <c r="BD921" t="s">
        <v>521</v>
      </c>
      <c r="BE921">
        <v>1.85</v>
      </c>
      <c r="BF921">
        <v>1.1499999999999999</v>
      </c>
      <c r="BG921" t="s">
        <v>522</v>
      </c>
      <c r="BH921">
        <v>398</v>
      </c>
      <c r="BI921">
        <v>375</v>
      </c>
      <c r="BJ921">
        <v>234</v>
      </c>
      <c r="BK921">
        <v>8</v>
      </c>
      <c r="BL921" t="s">
        <v>521</v>
      </c>
      <c r="BM921">
        <v>9.85</v>
      </c>
      <c r="BN921">
        <v>1.1499999999999999</v>
      </c>
      <c r="BO921">
        <v>9.85</v>
      </c>
      <c r="BP921" t="s">
        <v>522</v>
      </c>
      <c r="BQ921">
        <v>800</v>
      </c>
      <c r="BR921">
        <v>300</v>
      </c>
      <c r="BS921">
        <v>625</v>
      </c>
      <c r="BT921">
        <v>0</v>
      </c>
      <c r="BU921">
        <v>1</v>
      </c>
      <c r="BV921">
        <v>1</v>
      </c>
      <c r="BW921">
        <v>0</v>
      </c>
      <c r="BX921">
        <v>1</v>
      </c>
      <c r="BY921">
        <v>1</v>
      </c>
      <c r="BZ921">
        <v>0</v>
      </c>
      <c r="CA921">
        <v>10000</v>
      </c>
      <c r="CB921">
        <v>10000</v>
      </c>
      <c r="CC921">
        <v>1.1499999999999999</v>
      </c>
      <c r="CD921" t="s">
        <v>1346</v>
      </c>
      <c r="CE921" t="s">
        <v>1347</v>
      </c>
      <c r="CG921" t="s">
        <v>421</v>
      </c>
      <c r="CN921" t="str">
        <v>M01</v>
      </c>
      <c r="CO921" t="str">
        <v>1438-1010107EN</v>
      </c>
      <c r="CP921" t="str">
        <v>TGBU7107819</v>
      </c>
      <c r="CQ921" s="23">
        <v>285.62560000000002</v>
      </c>
      <c r="CR921" s="25">
        <f t="shared" si="37"/>
        <v>4.1647523062931811E-2</v>
      </c>
      <c r="CS921" s="21">
        <f t="shared" si="38"/>
        <v>104.11880765732953</v>
      </c>
    </row>
    <row r="922" spans="2:97" x14ac:dyDescent="0.35">
      <c r="B922" t="s">
        <v>298</v>
      </c>
      <c r="C922" t="s">
        <v>2927</v>
      </c>
      <c r="D922" t="s">
        <v>395</v>
      </c>
      <c r="E922" t="s">
        <v>395</v>
      </c>
      <c r="F922" t="s">
        <v>396</v>
      </c>
      <c r="G922" t="s">
        <v>397</v>
      </c>
      <c r="H922" t="s">
        <v>398</v>
      </c>
      <c r="I922" t="s">
        <v>399</v>
      </c>
      <c r="J922" t="s">
        <v>400</v>
      </c>
      <c r="K922" t="s">
        <v>595</v>
      </c>
      <c r="L922" t="s">
        <v>585</v>
      </c>
      <c r="M922" t="s">
        <v>403</v>
      </c>
      <c r="N922">
        <v>1</v>
      </c>
      <c r="O922">
        <v>1</v>
      </c>
      <c r="P922" t="s">
        <v>726</v>
      </c>
      <c r="Q922" t="s">
        <v>405</v>
      </c>
      <c r="R922" t="s">
        <v>675</v>
      </c>
      <c r="S922" t="s">
        <v>676</v>
      </c>
      <c r="T922" t="s">
        <v>408</v>
      </c>
      <c r="U922">
        <v>50950082317</v>
      </c>
      <c r="W922">
        <v>8000</v>
      </c>
      <c r="X922" t="s">
        <v>409</v>
      </c>
      <c r="Y922" t="s">
        <v>410</v>
      </c>
      <c r="Z922" t="s">
        <v>410</v>
      </c>
      <c r="AA922" t="s">
        <v>411</v>
      </c>
      <c r="AB922" t="s">
        <v>412</v>
      </c>
      <c r="AC922" t="s">
        <v>411</v>
      </c>
      <c r="AD922">
        <v>46118</v>
      </c>
      <c r="AE922">
        <v>46174</v>
      </c>
      <c r="AF922">
        <v>46125</v>
      </c>
      <c r="AG922" t="s">
        <v>590</v>
      </c>
      <c r="AH922">
        <v>6183831</v>
      </c>
      <c r="AI922">
        <v>46121</v>
      </c>
      <c r="AJ922">
        <v>46122</v>
      </c>
      <c r="AK922">
        <v>8000</v>
      </c>
      <c r="AL922" t="s">
        <v>396</v>
      </c>
      <c r="AM922" t="s">
        <v>2928</v>
      </c>
      <c r="AN922">
        <v>46122</v>
      </c>
      <c r="AO922">
        <v>46122.433206018519</v>
      </c>
      <c r="AP922" t="s">
        <v>51</v>
      </c>
      <c r="AQ922">
        <v>0.12222</v>
      </c>
      <c r="AR922">
        <v>977.76</v>
      </c>
      <c r="AS922" t="s">
        <v>51</v>
      </c>
      <c r="AT922">
        <v>977.76</v>
      </c>
      <c r="AU922" t="s">
        <v>415</v>
      </c>
      <c r="AV922" t="s">
        <v>416</v>
      </c>
      <c r="AW922" t="s">
        <v>2848</v>
      </c>
      <c r="AX922">
        <v>46128</v>
      </c>
      <c r="AY922">
        <v>46177</v>
      </c>
      <c r="AZ922" t="s">
        <v>2849</v>
      </c>
      <c r="BA922" t="s">
        <v>2219</v>
      </c>
      <c r="BB922" t="s">
        <v>2850</v>
      </c>
      <c r="BC922">
        <v>2000</v>
      </c>
      <c r="BD922" t="s">
        <v>521</v>
      </c>
      <c r="BE922">
        <v>10.0184</v>
      </c>
      <c r="BF922">
        <v>9.6904000000000003</v>
      </c>
      <c r="BG922" t="s">
        <v>522</v>
      </c>
      <c r="BH922">
        <v>296</v>
      </c>
      <c r="BI922">
        <v>195</v>
      </c>
      <c r="BJ922">
        <v>145</v>
      </c>
      <c r="BK922">
        <v>12</v>
      </c>
      <c r="BL922" t="s">
        <v>521</v>
      </c>
      <c r="BM922">
        <v>48.073599999999999</v>
      </c>
      <c r="BN922">
        <v>38.761600000000001</v>
      </c>
      <c r="BO922">
        <v>48.073599999999999</v>
      </c>
      <c r="BP922" t="s">
        <v>522</v>
      </c>
      <c r="BQ922">
        <v>800</v>
      </c>
      <c r="BR922">
        <v>300</v>
      </c>
      <c r="BS922">
        <v>608</v>
      </c>
      <c r="BT922">
        <v>0</v>
      </c>
      <c r="BU922">
        <v>1</v>
      </c>
      <c r="BV922">
        <v>1</v>
      </c>
      <c r="BW922">
        <v>4</v>
      </c>
      <c r="BX922">
        <v>0</v>
      </c>
      <c r="BY922">
        <v>4</v>
      </c>
      <c r="BZ922">
        <v>0</v>
      </c>
      <c r="CA922">
        <v>8000</v>
      </c>
      <c r="CB922">
        <v>8000</v>
      </c>
      <c r="CC922">
        <v>38.761600000000001</v>
      </c>
      <c r="CD922" t="s">
        <v>523</v>
      </c>
      <c r="CE922" t="s">
        <v>728</v>
      </c>
      <c r="CG922" t="s">
        <v>421</v>
      </c>
      <c r="CN922" t="str">
        <v>M01</v>
      </c>
      <c r="CO922" t="str">
        <v>1438-1010133EN</v>
      </c>
      <c r="CP922" t="str">
        <v>TGBU7107819</v>
      </c>
      <c r="CQ922" s="23">
        <v>384.36959999999999</v>
      </c>
      <c r="CR922" s="25">
        <f t="shared" si="37"/>
        <v>5.6045542768890025E-2</v>
      </c>
      <c r="CS922" s="21">
        <f t="shared" si="38"/>
        <v>140.11385692222507</v>
      </c>
    </row>
    <row r="923" spans="2:97" x14ac:dyDescent="0.35">
      <c r="B923" s="34" t="s">
        <v>298</v>
      </c>
      <c r="C923" t="s">
        <v>2594</v>
      </c>
      <c r="D923" t="s">
        <v>395</v>
      </c>
      <c r="E923" t="s">
        <v>395</v>
      </c>
      <c r="F923" t="s">
        <v>396</v>
      </c>
      <c r="G923" t="s">
        <v>397</v>
      </c>
      <c r="H923" t="s">
        <v>398</v>
      </c>
      <c r="I923" t="s">
        <v>399</v>
      </c>
      <c r="J923" t="s">
        <v>400</v>
      </c>
      <c r="K923" t="s">
        <v>607</v>
      </c>
      <c r="L923" t="s">
        <v>746</v>
      </c>
      <c r="M923" t="s">
        <v>403</v>
      </c>
      <c r="N923">
        <v>2</v>
      </c>
      <c r="O923">
        <v>1</v>
      </c>
      <c r="P923" t="s">
        <v>2595</v>
      </c>
      <c r="Q923" t="s">
        <v>405</v>
      </c>
      <c r="R923" t="s">
        <v>2591</v>
      </c>
      <c r="S923" t="s">
        <v>2281</v>
      </c>
      <c r="T923" t="s">
        <v>408</v>
      </c>
      <c r="U923">
        <v>50950082540</v>
      </c>
      <c r="W923">
        <v>16000</v>
      </c>
      <c r="X923" t="s">
        <v>409</v>
      </c>
      <c r="Y923" t="s">
        <v>410</v>
      </c>
      <c r="Z923" t="s">
        <v>410</v>
      </c>
      <c r="AA923" t="s">
        <v>411</v>
      </c>
      <c r="AB923" t="s">
        <v>412</v>
      </c>
      <c r="AC923" t="s">
        <v>411</v>
      </c>
      <c r="AD923">
        <v>46121</v>
      </c>
      <c r="AE923">
        <v>46111</v>
      </c>
      <c r="AF923">
        <v>46125</v>
      </c>
      <c r="AG923" t="s">
        <v>590</v>
      </c>
      <c r="AH923">
        <v>6183832</v>
      </c>
      <c r="AI923">
        <v>46121</v>
      </c>
      <c r="AJ923">
        <v>46122</v>
      </c>
      <c r="AK923">
        <v>16000</v>
      </c>
      <c r="AL923" t="s">
        <v>396</v>
      </c>
      <c r="AM923" t="s">
        <v>2929</v>
      </c>
      <c r="AN923">
        <v>46122</v>
      </c>
      <c r="AO923">
        <v>46122.433206018519</v>
      </c>
      <c r="AP923" t="s">
        <v>51</v>
      </c>
      <c r="AQ923">
        <v>4.684E-2</v>
      </c>
      <c r="AR923">
        <v>749.44</v>
      </c>
      <c r="AS923" t="s">
        <v>51</v>
      </c>
      <c r="AT923">
        <v>749.44</v>
      </c>
      <c r="AU923" t="s">
        <v>415</v>
      </c>
      <c r="AV923" t="s">
        <v>416</v>
      </c>
      <c r="AW923" t="s">
        <v>2848</v>
      </c>
      <c r="AX923">
        <v>46128</v>
      </c>
      <c r="AY923">
        <v>46177</v>
      </c>
      <c r="AZ923" t="s">
        <v>2849</v>
      </c>
      <c r="BA923" t="s">
        <v>2219</v>
      </c>
      <c r="BB923" t="s">
        <v>2850</v>
      </c>
      <c r="BC923">
        <v>3000</v>
      </c>
      <c r="BD923" t="s">
        <v>521</v>
      </c>
      <c r="BE923">
        <v>16.8582</v>
      </c>
      <c r="BF923">
        <v>16.4682</v>
      </c>
      <c r="BG923" t="s">
        <v>522</v>
      </c>
      <c r="BH923">
        <v>368</v>
      </c>
      <c r="BI923">
        <v>257</v>
      </c>
      <c r="BJ923">
        <v>136</v>
      </c>
      <c r="BK923">
        <v>6</v>
      </c>
      <c r="BL923" t="s">
        <v>521</v>
      </c>
      <c r="BM923">
        <v>98.170400000000001</v>
      </c>
      <c r="BN923">
        <v>87.830399999999997</v>
      </c>
      <c r="BO923">
        <v>98.170400000000001</v>
      </c>
      <c r="BP923" t="s">
        <v>522</v>
      </c>
      <c r="BQ923">
        <v>800</v>
      </c>
      <c r="BR923">
        <v>300</v>
      </c>
      <c r="BS923">
        <v>608</v>
      </c>
      <c r="BT923">
        <v>0</v>
      </c>
      <c r="BU923">
        <v>1</v>
      </c>
      <c r="BV923">
        <v>1</v>
      </c>
      <c r="BW923">
        <v>5</v>
      </c>
      <c r="BX923">
        <v>1</v>
      </c>
      <c r="BY923">
        <v>6</v>
      </c>
      <c r="BZ923">
        <v>0</v>
      </c>
      <c r="CA923">
        <v>16000</v>
      </c>
      <c r="CB923">
        <v>16000</v>
      </c>
      <c r="CC923">
        <v>87.830399999999997</v>
      </c>
      <c r="CD923" t="s">
        <v>523</v>
      </c>
      <c r="CE923" t="s">
        <v>653</v>
      </c>
      <c r="CG923" t="s">
        <v>421</v>
      </c>
      <c r="CN923" t="str">
        <v>M45</v>
      </c>
      <c r="CO923" t="str">
        <v>1100-12C0005EN</v>
      </c>
      <c r="CP923" t="str">
        <v>TGBU7107819</v>
      </c>
      <c r="CQ923" s="23">
        <v>688.55319999999995</v>
      </c>
      <c r="CR923" s="25">
        <f t="shared" si="37"/>
        <v>0.10039903733088175</v>
      </c>
      <c r="CS923" s="21">
        <f t="shared" si="38"/>
        <v>250.99759332720438</v>
      </c>
    </row>
    <row r="924" spans="2:97" x14ac:dyDescent="0.35">
      <c r="B924" t="s">
        <v>295</v>
      </c>
      <c r="C924" t="s">
        <v>2930</v>
      </c>
      <c r="D924" t="s">
        <v>395</v>
      </c>
      <c r="E924" t="s">
        <v>395</v>
      </c>
      <c r="F924" t="s">
        <v>396</v>
      </c>
      <c r="G924" t="s">
        <v>397</v>
      </c>
      <c r="H924" t="s">
        <v>398</v>
      </c>
      <c r="I924" t="s">
        <v>399</v>
      </c>
      <c r="J924" t="s">
        <v>400</v>
      </c>
      <c r="K924" t="s">
        <v>607</v>
      </c>
      <c r="L924" t="s">
        <v>746</v>
      </c>
      <c r="M924" t="s">
        <v>403</v>
      </c>
      <c r="N924">
        <v>1</v>
      </c>
      <c r="O924">
        <v>1</v>
      </c>
      <c r="P924" t="s">
        <v>2931</v>
      </c>
      <c r="Q924" t="s">
        <v>405</v>
      </c>
      <c r="R924" t="s">
        <v>1350</v>
      </c>
      <c r="S924" t="s">
        <v>518</v>
      </c>
      <c r="T924" t="s">
        <v>408</v>
      </c>
      <c r="U924">
        <v>50950082594</v>
      </c>
      <c r="W924">
        <v>21000</v>
      </c>
      <c r="X924" t="s">
        <v>409</v>
      </c>
      <c r="Y924" t="s">
        <v>410</v>
      </c>
      <c r="Z924" t="s">
        <v>410</v>
      </c>
      <c r="AA924" t="s">
        <v>411</v>
      </c>
      <c r="AB924" t="s">
        <v>412</v>
      </c>
      <c r="AC924" t="s">
        <v>411</v>
      </c>
      <c r="AD924">
        <v>46118</v>
      </c>
      <c r="AE924">
        <v>46174</v>
      </c>
      <c r="AF924">
        <v>46125</v>
      </c>
      <c r="AG924" t="s">
        <v>590</v>
      </c>
      <c r="AH924">
        <v>6183833</v>
      </c>
      <c r="AI924">
        <v>46121</v>
      </c>
      <c r="AJ924">
        <v>46122</v>
      </c>
      <c r="AK924">
        <v>21000</v>
      </c>
      <c r="AL924" t="s">
        <v>396</v>
      </c>
      <c r="AM924" t="s">
        <v>2932</v>
      </c>
      <c r="AN924">
        <v>46122</v>
      </c>
      <c r="AO924">
        <v>46122.433206018519</v>
      </c>
      <c r="AP924" t="s">
        <v>51</v>
      </c>
      <c r="AQ924">
        <v>9.7970000000000002E-2</v>
      </c>
      <c r="AR924">
        <v>2057.37</v>
      </c>
      <c r="AS924" t="s">
        <v>51</v>
      </c>
      <c r="AT924">
        <v>2057.37</v>
      </c>
      <c r="AU924" t="s">
        <v>415</v>
      </c>
      <c r="AV924" t="s">
        <v>416</v>
      </c>
      <c r="AW924" t="s">
        <v>2848</v>
      </c>
      <c r="AX924">
        <v>46128</v>
      </c>
      <c r="AY924">
        <v>46177</v>
      </c>
      <c r="AZ924" t="s">
        <v>2849</v>
      </c>
      <c r="BA924" t="s">
        <v>2219</v>
      </c>
      <c r="BB924" t="s">
        <v>2850</v>
      </c>
      <c r="BC924">
        <v>5250</v>
      </c>
      <c r="BD924" t="s">
        <v>521</v>
      </c>
      <c r="BE924">
        <v>13.4336</v>
      </c>
      <c r="BF924">
        <v>13.0436</v>
      </c>
      <c r="BG924" t="s">
        <v>522</v>
      </c>
      <c r="BH924">
        <v>368</v>
      </c>
      <c r="BI924">
        <v>257</v>
      </c>
      <c r="BJ924">
        <v>136</v>
      </c>
      <c r="BK924">
        <v>6</v>
      </c>
      <c r="BL924" t="s">
        <v>521</v>
      </c>
      <c r="BM924">
        <v>61.734499999999997</v>
      </c>
      <c r="BN924">
        <v>52.174500000000002</v>
      </c>
      <c r="BO924">
        <v>61.734499999999997</v>
      </c>
      <c r="BP924" t="s">
        <v>522</v>
      </c>
      <c r="BQ924">
        <v>800</v>
      </c>
      <c r="BR924">
        <v>300</v>
      </c>
      <c r="BS924">
        <v>608</v>
      </c>
      <c r="BT924">
        <v>0</v>
      </c>
      <c r="BU924">
        <v>1</v>
      </c>
      <c r="BV924">
        <v>1</v>
      </c>
      <c r="BW924">
        <v>4</v>
      </c>
      <c r="BX924">
        <v>0</v>
      </c>
      <c r="BY924">
        <v>4</v>
      </c>
      <c r="BZ924">
        <v>0</v>
      </c>
      <c r="CA924">
        <v>21000</v>
      </c>
      <c r="CB924">
        <v>21000</v>
      </c>
      <c r="CC924">
        <v>52.174500000000002</v>
      </c>
      <c r="CD924" t="s">
        <v>523</v>
      </c>
      <c r="CE924" t="s">
        <v>653</v>
      </c>
      <c r="CG924" t="s">
        <v>421</v>
      </c>
      <c r="CN924" t="str">
        <v>M45</v>
      </c>
      <c r="CO924" t="str">
        <v>1100-12C0005EN</v>
      </c>
      <c r="CP924" t="str">
        <v>TGBU7107819</v>
      </c>
      <c r="CQ924" s="23">
        <v>820.86383999999998</v>
      </c>
      <c r="CR924" s="25">
        <f t="shared" si="37"/>
        <v>0.11969146220761293</v>
      </c>
      <c r="CS924" s="21">
        <f t="shared" si="38"/>
        <v>299.22865551903232</v>
      </c>
    </row>
    <row r="925" spans="2:97" x14ac:dyDescent="0.35">
      <c r="B925" t="s">
        <v>295</v>
      </c>
      <c r="C925" t="s">
        <v>2833</v>
      </c>
      <c r="D925" t="s">
        <v>575</v>
      </c>
      <c r="E925" t="s">
        <v>395</v>
      </c>
      <c r="F925" t="s">
        <v>396</v>
      </c>
      <c r="G925" t="s">
        <v>397</v>
      </c>
      <c r="H925" t="s">
        <v>398</v>
      </c>
      <c r="I925" t="s">
        <v>399</v>
      </c>
      <c r="J925" t="s">
        <v>400</v>
      </c>
      <c r="K925" t="s">
        <v>566</v>
      </c>
      <c r="L925" t="s">
        <v>1268</v>
      </c>
      <c r="M925" t="s">
        <v>751</v>
      </c>
      <c r="N925">
        <v>1</v>
      </c>
      <c r="O925">
        <v>3</v>
      </c>
      <c r="P925" t="s">
        <v>2834</v>
      </c>
      <c r="Q925" t="s">
        <v>430</v>
      </c>
      <c r="R925" t="s">
        <v>2835</v>
      </c>
      <c r="S925" t="s">
        <v>2836</v>
      </c>
      <c r="T925" t="s">
        <v>408</v>
      </c>
      <c r="U925">
        <v>50950082652</v>
      </c>
      <c r="W925">
        <v>3312</v>
      </c>
      <c r="X925" t="s">
        <v>448</v>
      </c>
      <c r="Y925" t="s">
        <v>410</v>
      </c>
      <c r="Z925" t="s">
        <v>410</v>
      </c>
      <c r="AA925" t="s">
        <v>411</v>
      </c>
      <c r="AB925" t="s">
        <v>412</v>
      </c>
      <c r="AC925" t="s">
        <v>411</v>
      </c>
      <c r="AD925">
        <v>46138</v>
      </c>
      <c r="AE925">
        <v>46111</v>
      </c>
      <c r="AF925">
        <v>46125</v>
      </c>
      <c r="AG925" t="s">
        <v>570</v>
      </c>
      <c r="AH925">
        <v>6186065</v>
      </c>
      <c r="AI925">
        <v>46122</v>
      </c>
      <c r="AJ925">
        <v>46123</v>
      </c>
      <c r="AK925">
        <v>3312</v>
      </c>
      <c r="AL925" t="s">
        <v>396</v>
      </c>
      <c r="AM925" t="s">
        <v>2933</v>
      </c>
      <c r="AN925">
        <v>46123</v>
      </c>
      <c r="AO925">
        <v>46123.399421296293</v>
      </c>
      <c r="AP925" t="s">
        <v>51</v>
      </c>
      <c r="AQ925">
        <v>0.45693</v>
      </c>
      <c r="AR925">
        <v>1513.35</v>
      </c>
      <c r="AS925" t="s">
        <v>51</v>
      </c>
      <c r="AT925">
        <v>1513.35</v>
      </c>
      <c r="AU925" t="s">
        <v>450</v>
      </c>
      <c r="AV925" t="s">
        <v>1597</v>
      </c>
      <c r="AW925" t="s">
        <v>1613</v>
      </c>
      <c r="AX925">
        <v>46125</v>
      </c>
      <c r="AY925">
        <v>46130</v>
      </c>
      <c r="BA925" t="s">
        <v>448</v>
      </c>
      <c r="BB925" t="s">
        <v>2934</v>
      </c>
      <c r="BC925">
        <v>69</v>
      </c>
      <c r="BD925" t="s">
        <v>521</v>
      </c>
      <c r="BE925">
        <v>6.2408999999999999</v>
      </c>
      <c r="BF925">
        <v>5.3475000000000001</v>
      </c>
      <c r="BG925" t="s">
        <v>522</v>
      </c>
      <c r="BH925">
        <v>395</v>
      </c>
      <c r="BI925">
        <v>295</v>
      </c>
      <c r="BJ925">
        <v>120</v>
      </c>
      <c r="BK925">
        <v>48</v>
      </c>
      <c r="BL925" t="s">
        <v>521</v>
      </c>
      <c r="BM925">
        <v>324.56319999999999</v>
      </c>
      <c r="BN925">
        <v>256.68</v>
      </c>
      <c r="BO925">
        <v>324.56319999999999</v>
      </c>
      <c r="BP925" t="s">
        <v>522</v>
      </c>
      <c r="BQ925">
        <v>1200</v>
      </c>
      <c r="BR925">
        <v>800</v>
      </c>
      <c r="BS925">
        <v>1025</v>
      </c>
      <c r="BT925">
        <v>1</v>
      </c>
      <c r="BU925">
        <v>0</v>
      </c>
      <c r="BV925">
        <v>1</v>
      </c>
      <c r="BW925">
        <v>48</v>
      </c>
      <c r="BX925">
        <v>0</v>
      </c>
      <c r="BY925">
        <v>48</v>
      </c>
      <c r="BZ925">
        <v>3312</v>
      </c>
      <c r="CA925">
        <v>0</v>
      </c>
      <c r="CB925">
        <v>3312</v>
      </c>
      <c r="CC925">
        <v>256.68</v>
      </c>
      <c r="CD925" t="s">
        <v>2839</v>
      </c>
      <c r="CE925" t="s">
        <v>2840</v>
      </c>
      <c r="CG925" t="s">
        <v>421</v>
      </c>
      <c r="CN925" t="str">
        <v>M01</v>
      </c>
      <c r="CO925" t="str">
        <v>1277-1030069EN</v>
      </c>
      <c r="CP925" t="str">
        <v>TGBU7107819</v>
      </c>
      <c r="CQ925" s="23">
        <v>152.58000000000001</v>
      </c>
      <c r="CR925" s="25">
        <f t="shared" si="37"/>
        <v>2.2247932499545334E-2</v>
      </c>
      <c r="CS925" s="21">
        <f t="shared" si="38"/>
        <v>55.619831248863335</v>
      </c>
    </row>
    <row r="926" spans="2:97" x14ac:dyDescent="0.35">
      <c r="B926" t="s">
        <v>299</v>
      </c>
      <c r="C926" t="s">
        <v>2935</v>
      </c>
      <c r="D926" t="s">
        <v>395</v>
      </c>
      <c r="E926" t="s">
        <v>395</v>
      </c>
      <c r="F926" t="s">
        <v>396</v>
      </c>
      <c r="G926" t="s">
        <v>397</v>
      </c>
      <c r="H926" t="s">
        <v>398</v>
      </c>
      <c r="I926" t="s">
        <v>399</v>
      </c>
      <c r="J926" t="s">
        <v>749</v>
      </c>
      <c r="K926" t="s">
        <v>777</v>
      </c>
      <c r="L926" t="s">
        <v>778</v>
      </c>
      <c r="M926" t="s">
        <v>403</v>
      </c>
      <c r="N926">
        <v>1</v>
      </c>
      <c r="O926">
        <v>1</v>
      </c>
      <c r="P926" t="s">
        <v>1367</v>
      </c>
      <c r="Q926" t="s">
        <v>645</v>
      </c>
      <c r="R926" t="s">
        <v>536</v>
      </c>
      <c r="S926" t="s">
        <v>1368</v>
      </c>
      <c r="T926" t="s">
        <v>408</v>
      </c>
      <c r="U926">
        <v>50950078353</v>
      </c>
      <c r="W926">
        <v>4704</v>
      </c>
      <c r="X926" t="s">
        <v>409</v>
      </c>
      <c r="Y926" t="s">
        <v>410</v>
      </c>
      <c r="Z926" t="s">
        <v>410</v>
      </c>
      <c r="AA926" t="s">
        <v>411</v>
      </c>
      <c r="AB926" t="s">
        <v>769</v>
      </c>
      <c r="AC926" t="s">
        <v>411</v>
      </c>
      <c r="AD926">
        <v>46123</v>
      </c>
      <c r="AE926">
        <v>46181</v>
      </c>
      <c r="AF926">
        <v>46126</v>
      </c>
      <c r="AG926" t="s">
        <v>781</v>
      </c>
      <c r="AH926">
        <v>6176016</v>
      </c>
      <c r="AI926">
        <v>46116</v>
      </c>
      <c r="AJ926">
        <v>46118</v>
      </c>
      <c r="AK926">
        <v>4704</v>
      </c>
      <c r="AL926" t="s">
        <v>396</v>
      </c>
      <c r="AM926" t="s">
        <v>2936</v>
      </c>
      <c r="AN926">
        <v>46118</v>
      </c>
      <c r="AO926">
        <v>46118.598715277774</v>
      </c>
      <c r="AP926" t="s">
        <v>51</v>
      </c>
      <c r="AQ926">
        <v>3.2110699999999999</v>
      </c>
      <c r="AR926">
        <v>15104.88</v>
      </c>
      <c r="AS926" t="s">
        <v>51</v>
      </c>
      <c r="AT926">
        <v>15104.88</v>
      </c>
      <c r="AU926" t="s">
        <v>415</v>
      </c>
      <c r="AV926" t="s">
        <v>416</v>
      </c>
      <c r="AW926" t="s">
        <v>2937</v>
      </c>
      <c r="AX926">
        <v>46125</v>
      </c>
      <c r="AY926">
        <v>46174</v>
      </c>
      <c r="AZ926" t="s">
        <v>2938</v>
      </c>
      <c r="BA926" t="s">
        <v>560</v>
      </c>
      <c r="BB926" t="s">
        <v>2939</v>
      </c>
      <c r="BC926">
        <v>14</v>
      </c>
      <c r="BD926" t="s">
        <v>521</v>
      </c>
      <c r="BE926">
        <v>3.2919999999999998</v>
      </c>
      <c r="BF926">
        <v>1.792</v>
      </c>
      <c r="BG926" t="s">
        <v>522</v>
      </c>
      <c r="BH926">
        <v>595</v>
      </c>
      <c r="BI926">
        <v>395</v>
      </c>
      <c r="BJ926">
        <v>145</v>
      </c>
      <c r="BK926">
        <v>24</v>
      </c>
      <c r="BL926" t="s">
        <v>521</v>
      </c>
      <c r="BM926">
        <v>104.008</v>
      </c>
      <c r="BN926">
        <v>43.008000000000003</v>
      </c>
      <c r="BO926">
        <v>1456.1120000000001</v>
      </c>
      <c r="BP926" t="s">
        <v>522</v>
      </c>
      <c r="BQ926">
        <v>1200</v>
      </c>
      <c r="BR926">
        <v>800</v>
      </c>
      <c r="BS926">
        <v>1030</v>
      </c>
      <c r="BT926">
        <v>14</v>
      </c>
      <c r="BU926">
        <v>0</v>
      </c>
      <c r="BV926">
        <v>14</v>
      </c>
      <c r="BW926">
        <v>336</v>
      </c>
      <c r="BX926">
        <v>0</v>
      </c>
      <c r="BY926">
        <v>336</v>
      </c>
      <c r="BZ926">
        <v>4704</v>
      </c>
      <c r="CA926">
        <v>0</v>
      </c>
      <c r="CB926">
        <v>4704</v>
      </c>
      <c r="CC926">
        <v>602.11199999999997</v>
      </c>
      <c r="CD926" t="s">
        <v>783</v>
      </c>
      <c r="CE926" t="s">
        <v>1370</v>
      </c>
      <c r="CG926" t="s">
        <v>421</v>
      </c>
      <c r="CN926" t="str">
        <v>M45</v>
      </c>
      <c r="CO926" t="str">
        <v>1459-12C0018EN</v>
      </c>
      <c r="CP926" t="str">
        <v>TGBU7107819</v>
      </c>
      <c r="CQ926" s="23">
        <v>2363.4979199999998</v>
      </c>
      <c r="CR926" s="25">
        <f t="shared" si="37"/>
        <v>0.34462539118479352</v>
      </c>
      <c r="CS926" s="21">
        <f t="shared" si="38"/>
        <v>861.56347796198384</v>
      </c>
    </row>
    <row r="927" spans="2:97" x14ac:dyDescent="0.35">
      <c r="B927" t="s">
        <v>299</v>
      </c>
      <c r="C927" t="s">
        <v>2940</v>
      </c>
      <c r="D927" t="s">
        <v>395</v>
      </c>
      <c r="E927" t="s">
        <v>395</v>
      </c>
      <c r="F927" t="s">
        <v>396</v>
      </c>
      <c r="G927" t="s">
        <v>397</v>
      </c>
      <c r="H927" t="s">
        <v>398</v>
      </c>
      <c r="I927" t="s">
        <v>399</v>
      </c>
      <c r="J927" t="s">
        <v>749</v>
      </c>
      <c r="K927" t="s">
        <v>777</v>
      </c>
      <c r="L927" t="s">
        <v>778</v>
      </c>
      <c r="M927" t="s">
        <v>403</v>
      </c>
      <c r="N927">
        <v>1</v>
      </c>
      <c r="O927">
        <v>1</v>
      </c>
      <c r="P927" t="s">
        <v>1367</v>
      </c>
      <c r="Q927" t="s">
        <v>645</v>
      </c>
      <c r="R927" t="s">
        <v>536</v>
      </c>
      <c r="S927" t="s">
        <v>1368</v>
      </c>
      <c r="T927" t="s">
        <v>408</v>
      </c>
      <c r="U927">
        <v>50950079348</v>
      </c>
      <c r="W927">
        <v>3360</v>
      </c>
      <c r="X927" t="s">
        <v>409</v>
      </c>
      <c r="Y927" t="s">
        <v>410</v>
      </c>
      <c r="Z927" t="s">
        <v>410</v>
      </c>
      <c r="AA927" t="s">
        <v>411</v>
      </c>
      <c r="AB927" t="s">
        <v>769</v>
      </c>
      <c r="AC927" t="s">
        <v>411</v>
      </c>
      <c r="AD927">
        <v>46123</v>
      </c>
      <c r="AE927">
        <v>46181</v>
      </c>
      <c r="AF927">
        <v>46126</v>
      </c>
      <c r="AG927" t="s">
        <v>781</v>
      </c>
      <c r="AH927">
        <v>6176017</v>
      </c>
      <c r="AI927">
        <v>46116</v>
      </c>
      <c r="AJ927">
        <v>46118</v>
      </c>
      <c r="AK927">
        <v>3360</v>
      </c>
      <c r="AL927" t="s">
        <v>396</v>
      </c>
      <c r="AM927" t="s">
        <v>2941</v>
      </c>
      <c r="AN927">
        <v>46118</v>
      </c>
      <c r="AO927">
        <v>46118.598715277774</v>
      </c>
      <c r="AP927" t="s">
        <v>51</v>
      </c>
      <c r="AQ927">
        <v>3.2110699999999999</v>
      </c>
      <c r="AR927">
        <v>10789.2</v>
      </c>
      <c r="AS927" t="s">
        <v>51</v>
      </c>
      <c r="AT927">
        <v>10789.2</v>
      </c>
      <c r="AU927" t="s">
        <v>415</v>
      </c>
      <c r="AV927" t="s">
        <v>416</v>
      </c>
      <c r="AW927" t="s">
        <v>2937</v>
      </c>
      <c r="AX927">
        <v>46125</v>
      </c>
      <c r="AY927">
        <v>46174</v>
      </c>
      <c r="AZ927" t="s">
        <v>2938</v>
      </c>
      <c r="BA927" t="s">
        <v>560</v>
      </c>
      <c r="BB927" t="s">
        <v>2939</v>
      </c>
      <c r="BC927">
        <v>14</v>
      </c>
      <c r="BD927" t="s">
        <v>521</v>
      </c>
      <c r="BE927">
        <v>3.2919999999999998</v>
      </c>
      <c r="BF927">
        <v>1.792</v>
      </c>
      <c r="BG927" t="s">
        <v>522</v>
      </c>
      <c r="BH927">
        <v>595</v>
      </c>
      <c r="BI927">
        <v>395</v>
      </c>
      <c r="BJ927">
        <v>145</v>
      </c>
      <c r="BK927">
        <v>24</v>
      </c>
      <c r="BL927" t="s">
        <v>521</v>
      </c>
      <c r="BM927">
        <v>104.008</v>
      </c>
      <c r="BN927">
        <v>43.008000000000003</v>
      </c>
      <c r="BO927">
        <v>1040.08</v>
      </c>
      <c r="BP927" t="s">
        <v>522</v>
      </c>
      <c r="BQ927">
        <v>1200</v>
      </c>
      <c r="BR927">
        <v>800</v>
      </c>
      <c r="BS927">
        <v>1030</v>
      </c>
      <c r="BT927">
        <v>10</v>
      </c>
      <c r="BU927">
        <v>0</v>
      </c>
      <c r="BV927">
        <v>10</v>
      </c>
      <c r="BW927">
        <v>240</v>
      </c>
      <c r="BX927">
        <v>0</v>
      </c>
      <c r="BY927">
        <v>240</v>
      </c>
      <c r="BZ927">
        <v>3360</v>
      </c>
      <c r="CA927">
        <v>0</v>
      </c>
      <c r="CB927">
        <v>3360</v>
      </c>
      <c r="CC927">
        <v>430.08</v>
      </c>
      <c r="CD927" t="s">
        <v>783</v>
      </c>
      <c r="CE927" t="s">
        <v>1370</v>
      </c>
      <c r="CG927" t="s">
        <v>421</v>
      </c>
      <c r="CN927" t="str">
        <v>M19</v>
      </c>
      <c r="CO927" t="str">
        <v>1307-5YY0182EN</v>
      </c>
      <c r="CP927" t="str">
        <v>TGBU8955558</v>
      </c>
      <c r="CQ927" s="23">
        <v>419.688064</v>
      </c>
      <c r="CR927" s="25">
        <f t="shared" si="37"/>
        <v>2.9145773905019604E-2</v>
      </c>
      <c r="CS927" s="21">
        <f t="shared" si="38"/>
        <v>72.86443476254901</v>
      </c>
    </row>
    <row r="928" spans="2:97" x14ac:dyDescent="0.35">
      <c r="B928" t="s">
        <v>296</v>
      </c>
      <c r="C928" t="s">
        <v>2687</v>
      </c>
      <c r="D928" t="s">
        <v>395</v>
      </c>
      <c r="E928" t="s">
        <v>395</v>
      </c>
      <c r="F928" t="s">
        <v>396</v>
      </c>
      <c r="G928" t="s">
        <v>397</v>
      </c>
      <c r="H928" t="s">
        <v>398</v>
      </c>
      <c r="I928" t="s">
        <v>399</v>
      </c>
      <c r="J928" t="s">
        <v>749</v>
      </c>
      <c r="K928" t="s">
        <v>629</v>
      </c>
      <c r="L928" t="s">
        <v>787</v>
      </c>
      <c r="M928" t="s">
        <v>403</v>
      </c>
      <c r="N928">
        <v>1</v>
      </c>
      <c r="O928">
        <v>3</v>
      </c>
      <c r="P928" t="s">
        <v>875</v>
      </c>
      <c r="Q928" t="s">
        <v>430</v>
      </c>
      <c r="R928" t="s">
        <v>876</v>
      </c>
      <c r="S928" t="s">
        <v>877</v>
      </c>
      <c r="T928" t="s">
        <v>408</v>
      </c>
      <c r="U928">
        <v>50950078932</v>
      </c>
      <c r="W928">
        <v>28800</v>
      </c>
      <c r="X928" t="s">
        <v>409</v>
      </c>
      <c r="Y928" t="s">
        <v>410</v>
      </c>
      <c r="Z928" t="s">
        <v>410</v>
      </c>
      <c r="AA928" t="s">
        <v>411</v>
      </c>
      <c r="AB928" t="s">
        <v>769</v>
      </c>
      <c r="AC928" t="s">
        <v>411</v>
      </c>
      <c r="AD928">
        <v>46118</v>
      </c>
      <c r="AE928">
        <v>46153</v>
      </c>
      <c r="AF928">
        <v>46126</v>
      </c>
      <c r="AG928" t="s">
        <v>754</v>
      </c>
      <c r="AH928">
        <v>6176018</v>
      </c>
      <c r="AI928">
        <v>46116</v>
      </c>
      <c r="AJ928">
        <v>46118</v>
      </c>
      <c r="AK928">
        <v>28800</v>
      </c>
      <c r="AL928" t="s">
        <v>396</v>
      </c>
      <c r="AM928" t="s">
        <v>2942</v>
      </c>
      <c r="AN928">
        <v>46118</v>
      </c>
      <c r="AO928">
        <v>46118.598715277774</v>
      </c>
      <c r="AP928" t="s">
        <v>51</v>
      </c>
      <c r="AQ928">
        <v>0.12105</v>
      </c>
      <c r="AR928">
        <v>3486.24</v>
      </c>
      <c r="AS928" t="s">
        <v>51</v>
      </c>
      <c r="AT928">
        <v>3486.24</v>
      </c>
      <c r="AU928" t="s">
        <v>415</v>
      </c>
      <c r="AV928" t="s">
        <v>416</v>
      </c>
      <c r="AW928" t="s">
        <v>2937</v>
      </c>
      <c r="AX928">
        <v>46125</v>
      </c>
      <c r="AY928">
        <v>46174</v>
      </c>
      <c r="AZ928" t="s">
        <v>2938</v>
      </c>
      <c r="BA928" t="s">
        <v>560</v>
      </c>
      <c r="BB928" t="s">
        <v>2939</v>
      </c>
      <c r="BC928">
        <v>160</v>
      </c>
      <c r="BD928" t="s">
        <v>521</v>
      </c>
      <c r="BE928">
        <v>6.3452000000000002</v>
      </c>
      <c r="BF928">
        <v>4.7952000000000004</v>
      </c>
      <c r="BG928" t="s">
        <v>522</v>
      </c>
      <c r="BH928">
        <v>595</v>
      </c>
      <c r="BI928">
        <v>495</v>
      </c>
      <c r="BJ928">
        <v>190</v>
      </c>
      <c r="BK928">
        <v>20</v>
      </c>
      <c r="BL928" t="s">
        <v>521</v>
      </c>
      <c r="BM928">
        <v>153.904</v>
      </c>
      <c r="BN928">
        <v>95.903999999999996</v>
      </c>
      <c r="BO928">
        <v>1385.136</v>
      </c>
      <c r="BP928" t="s">
        <v>522</v>
      </c>
      <c r="BQ928">
        <v>1200</v>
      </c>
      <c r="BR928">
        <v>1000</v>
      </c>
      <c r="BS928">
        <v>1110</v>
      </c>
      <c r="BT928">
        <v>9</v>
      </c>
      <c r="BU928">
        <v>0</v>
      </c>
      <c r="BV928">
        <v>9</v>
      </c>
      <c r="BW928">
        <v>180</v>
      </c>
      <c r="BX928">
        <v>0</v>
      </c>
      <c r="BY928">
        <v>180</v>
      </c>
      <c r="BZ928">
        <v>28800</v>
      </c>
      <c r="CA928">
        <v>0</v>
      </c>
      <c r="CB928">
        <v>28800</v>
      </c>
      <c r="CC928">
        <v>863.13599999999997</v>
      </c>
      <c r="CD928" t="s">
        <v>592</v>
      </c>
      <c r="CE928" t="s">
        <v>879</v>
      </c>
      <c r="CG928" t="s">
        <v>421</v>
      </c>
      <c r="CN928" t="str">
        <v>M45</v>
      </c>
      <c r="CO928" t="str">
        <v>1100-12C0005EN</v>
      </c>
      <c r="CP928" t="str">
        <v>TGBU8955558</v>
      </c>
      <c r="CQ928" s="23">
        <v>1641.72768</v>
      </c>
      <c r="CR928" s="25">
        <f t="shared" si="37"/>
        <v>0.11401187662771456</v>
      </c>
      <c r="CS928" s="21">
        <f t="shared" si="38"/>
        <v>285.0296915692864</v>
      </c>
    </row>
    <row r="929" spans="2:97" x14ac:dyDescent="0.35">
      <c r="B929" t="s">
        <v>296</v>
      </c>
      <c r="C929" t="s">
        <v>2800</v>
      </c>
      <c r="D929" t="s">
        <v>395</v>
      </c>
      <c r="E929" t="s">
        <v>395</v>
      </c>
      <c r="F929" t="s">
        <v>396</v>
      </c>
      <c r="G929" t="s">
        <v>397</v>
      </c>
      <c r="H929" t="s">
        <v>398</v>
      </c>
      <c r="I929" t="s">
        <v>399</v>
      </c>
      <c r="J929" t="s">
        <v>749</v>
      </c>
      <c r="K929" t="s">
        <v>629</v>
      </c>
      <c r="L929" t="s">
        <v>787</v>
      </c>
      <c r="M929" t="s">
        <v>403</v>
      </c>
      <c r="N929">
        <v>1</v>
      </c>
      <c r="O929">
        <v>2</v>
      </c>
      <c r="P929" t="s">
        <v>881</v>
      </c>
      <c r="Q929" t="s">
        <v>645</v>
      </c>
      <c r="R929" t="s">
        <v>882</v>
      </c>
      <c r="S929" t="s">
        <v>883</v>
      </c>
      <c r="T929" t="s">
        <v>408</v>
      </c>
      <c r="U929">
        <v>50950079682</v>
      </c>
      <c r="W929">
        <v>6600</v>
      </c>
      <c r="X929" t="s">
        <v>409</v>
      </c>
      <c r="Y929" t="s">
        <v>410</v>
      </c>
      <c r="Z929" t="s">
        <v>410</v>
      </c>
      <c r="AA929" t="s">
        <v>411</v>
      </c>
      <c r="AB929" t="s">
        <v>769</v>
      </c>
      <c r="AC929" t="s">
        <v>411</v>
      </c>
      <c r="AD929">
        <v>46111</v>
      </c>
      <c r="AE929">
        <v>46202</v>
      </c>
      <c r="AF929">
        <v>46126</v>
      </c>
      <c r="AG929" t="s">
        <v>754</v>
      </c>
      <c r="AH929">
        <v>6176019</v>
      </c>
      <c r="AI929">
        <v>46116</v>
      </c>
      <c r="AJ929">
        <v>46118</v>
      </c>
      <c r="AK929">
        <v>6600</v>
      </c>
      <c r="AL929" t="s">
        <v>396</v>
      </c>
      <c r="AM929" t="s">
        <v>2943</v>
      </c>
      <c r="AN929">
        <v>46118</v>
      </c>
      <c r="AO929">
        <v>46118.598715277774</v>
      </c>
      <c r="AP929" t="s">
        <v>51</v>
      </c>
      <c r="AQ929">
        <v>0.20003000000000001</v>
      </c>
      <c r="AR929">
        <v>1320.2</v>
      </c>
      <c r="AS929" t="s">
        <v>51</v>
      </c>
      <c r="AT929">
        <v>1320.2</v>
      </c>
      <c r="AU929" t="s">
        <v>415</v>
      </c>
      <c r="AV929" t="s">
        <v>416</v>
      </c>
      <c r="AW929" t="s">
        <v>2937</v>
      </c>
      <c r="AX929">
        <v>46125</v>
      </c>
      <c r="AY929">
        <v>46174</v>
      </c>
      <c r="AZ929" t="s">
        <v>2938</v>
      </c>
      <c r="BA929" t="s">
        <v>560</v>
      </c>
      <c r="BB929" t="s">
        <v>2939</v>
      </c>
      <c r="BC929">
        <v>264</v>
      </c>
      <c r="BD929" t="s">
        <v>521</v>
      </c>
      <c r="BE929">
        <v>5.2203999999999997</v>
      </c>
      <c r="BF929">
        <v>3.8304</v>
      </c>
      <c r="BG929" t="s">
        <v>522</v>
      </c>
      <c r="BH929">
        <v>595</v>
      </c>
      <c r="BI929">
        <v>395</v>
      </c>
      <c r="BJ929">
        <v>175</v>
      </c>
      <c r="BK929">
        <v>25</v>
      </c>
      <c r="BL929" t="s">
        <v>521</v>
      </c>
      <c r="BM929">
        <v>157.5094</v>
      </c>
      <c r="BN929">
        <v>95.759399999999999</v>
      </c>
      <c r="BO929">
        <v>157.5094</v>
      </c>
      <c r="BP929" t="s">
        <v>522</v>
      </c>
      <c r="BQ929">
        <v>1200</v>
      </c>
      <c r="BR929">
        <v>1000</v>
      </c>
      <c r="BS929">
        <v>1035</v>
      </c>
      <c r="BT929">
        <v>1</v>
      </c>
      <c r="BU929">
        <v>0</v>
      </c>
      <c r="BV929">
        <v>1</v>
      </c>
      <c r="BW929">
        <v>25</v>
      </c>
      <c r="BX929">
        <v>0</v>
      </c>
      <c r="BY929">
        <v>25</v>
      </c>
      <c r="BZ929">
        <v>6600</v>
      </c>
      <c r="CA929">
        <v>0</v>
      </c>
      <c r="CB929">
        <v>6600</v>
      </c>
      <c r="CC929">
        <v>95.759399999999999</v>
      </c>
      <c r="CD929" t="s">
        <v>885</v>
      </c>
      <c r="CE929" t="s">
        <v>886</v>
      </c>
      <c r="CG929" t="s">
        <v>421</v>
      </c>
      <c r="CN929" t="str">
        <v>M19</v>
      </c>
      <c r="CO929" t="str">
        <v>1330-5YY0182EN</v>
      </c>
      <c r="CP929" t="str">
        <v>TGBU8955558</v>
      </c>
      <c r="CQ929" s="23">
        <v>351.27120000000002</v>
      </c>
      <c r="CR929" s="25">
        <f t="shared" si="37"/>
        <v>2.439447735769994E-2</v>
      </c>
      <c r="CS929" s="21">
        <f t="shared" si="38"/>
        <v>60.986193394249852</v>
      </c>
    </row>
    <row r="930" spans="2:97" x14ac:dyDescent="0.35">
      <c r="B930" t="s">
        <v>299</v>
      </c>
      <c r="C930" t="s">
        <v>1380</v>
      </c>
      <c r="D930" t="s">
        <v>965</v>
      </c>
      <c r="E930" t="s">
        <v>395</v>
      </c>
      <c r="F930" t="s">
        <v>396</v>
      </c>
      <c r="G930" t="s">
        <v>397</v>
      </c>
      <c r="H930" t="s">
        <v>398</v>
      </c>
      <c r="I930" t="s">
        <v>399</v>
      </c>
      <c r="J930" t="s">
        <v>749</v>
      </c>
      <c r="K930" t="s">
        <v>809</v>
      </c>
      <c r="L930" t="s">
        <v>787</v>
      </c>
      <c r="M930" t="s">
        <v>403</v>
      </c>
      <c r="N930">
        <v>1</v>
      </c>
      <c r="O930">
        <v>21</v>
      </c>
      <c r="P930" t="s">
        <v>810</v>
      </c>
      <c r="Q930" t="s">
        <v>405</v>
      </c>
      <c r="R930" t="s">
        <v>811</v>
      </c>
      <c r="S930" t="s">
        <v>812</v>
      </c>
      <c r="T930" t="s">
        <v>408</v>
      </c>
      <c r="U930">
        <v>50950080270</v>
      </c>
      <c r="W930">
        <v>960</v>
      </c>
      <c r="X930" t="s">
        <v>409</v>
      </c>
      <c r="Y930" t="s">
        <v>410</v>
      </c>
      <c r="Z930" t="s">
        <v>410</v>
      </c>
      <c r="AA930" t="s">
        <v>411</v>
      </c>
      <c r="AB930" t="s">
        <v>769</v>
      </c>
      <c r="AC930" t="s">
        <v>411</v>
      </c>
      <c r="AD930">
        <v>46116</v>
      </c>
      <c r="AE930">
        <v>46125</v>
      </c>
      <c r="AF930">
        <v>46126</v>
      </c>
      <c r="AG930" t="s">
        <v>754</v>
      </c>
      <c r="AH930">
        <v>6176020</v>
      </c>
      <c r="AI930">
        <v>46116</v>
      </c>
      <c r="AJ930">
        <v>46118</v>
      </c>
      <c r="AK930">
        <v>960</v>
      </c>
      <c r="AL930" t="s">
        <v>396</v>
      </c>
      <c r="AM930" t="s">
        <v>2944</v>
      </c>
      <c r="AN930">
        <v>46118</v>
      </c>
      <c r="AO930">
        <v>46118.598715277774</v>
      </c>
      <c r="AP930" t="s">
        <v>51</v>
      </c>
      <c r="AQ930">
        <v>2.0436299999999998</v>
      </c>
      <c r="AR930">
        <v>1961.88</v>
      </c>
      <c r="AS930" t="s">
        <v>51</v>
      </c>
      <c r="AT930">
        <v>1961.88</v>
      </c>
      <c r="AU930" t="s">
        <v>415</v>
      </c>
      <c r="AV930" t="s">
        <v>416</v>
      </c>
      <c r="AW930" t="s">
        <v>2937</v>
      </c>
      <c r="AX930">
        <v>46125</v>
      </c>
      <c r="AY930">
        <v>46174</v>
      </c>
      <c r="AZ930" t="s">
        <v>2938</v>
      </c>
      <c r="BA930" t="s">
        <v>560</v>
      </c>
      <c r="BB930" t="s">
        <v>2939</v>
      </c>
      <c r="BC930">
        <v>16</v>
      </c>
      <c r="BD930" t="s">
        <v>521</v>
      </c>
      <c r="BE930">
        <v>4.9545000000000003</v>
      </c>
      <c r="BF930">
        <v>3.7555000000000001</v>
      </c>
      <c r="BG930" t="s">
        <v>522</v>
      </c>
      <c r="BH930">
        <v>495</v>
      </c>
      <c r="BI930">
        <v>395</v>
      </c>
      <c r="BJ930">
        <v>190</v>
      </c>
      <c r="BK930">
        <v>30</v>
      </c>
      <c r="BL930" t="s">
        <v>521</v>
      </c>
      <c r="BM930">
        <v>175.63499999999999</v>
      </c>
      <c r="BN930">
        <v>112.66500000000001</v>
      </c>
      <c r="BO930">
        <v>351.27120000000002</v>
      </c>
      <c r="BP930" t="s">
        <v>522</v>
      </c>
      <c r="BQ930">
        <v>1200</v>
      </c>
      <c r="BR930">
        <v>1000</v>
      </c>
      <c r="BS930">
        <v>1120</v>
      </c>
      <c r="BT930">
        <v>2</v>
      </c>
      <c r="BU930">
        <v>0</v>
      </c>
      <c r="BV930">
        <v>2</v>
      </c>
      <c r="BW930">
        <v>60</v>
      </c>
      <c r="BX930">
        <v>0</v>
      </c>
      <c r="BY930">
        <v>60</v>
      </c>
      <c r="BZ930">
        <v>960</v>
      </c>
      <c r="CA930">
        <v>0</v>
      </c>
      <c r="CB930">
        <v>960</v>
      </c>
      <c r="CC930">
        <v>225.3312</v>
      </c>
      <c r="CD930" t="s">
        <v>806</v>
      </c>
      <c r="CE930" t="s">
        <v>816</v>
      </c>
      <c r="CG930" t="s">
        <v>421</v>
      </c>
      <c r="CN930" t="str">
        <v>M45</v>
      </c>
      <c r="CO930" t="str">
        <v>1210-10C0133EN</v>
      </c>
      <c r="CP930" t="str">
        <v>TGBU8955558</v>
      </c>
      <c r="CQ930" s="23">
        <v>283.06</v>
      </c>
      <c r="CR930" s="25">
        <f t="shared" si="37"/>
        <v>1.9657463409669066E-2</v>
      </c>
      <c r="CS930" s="21">
        <f t="shared" si="38"/>
        <v>49.143658524172665</v>
      </c>
    </row>
    <row r="931" spans="2:97" x14ac:dyDescent="0.35">
      <c r="B931" t="s">
        <v>299</v>
      </c>
      <c r="C931" t="s">
        <v>2945</v>
      </c>
      <c r="D931" t="s">
        <v>395</v>
      </c>
      <c r="E931" t="s">
        <v>395</v>
      </c>
      <c r="F931" t="s">
        <v>396</v>
      </c>
      <c r="G931" t="s">
        <v>397</v>
      </c>
      <c r="H931" t="s">
        <v>398</v>
      </c>
      <c r="I931" t="s">
        <v>399</v>
      </c>
      <c r="J931" t="s">
        <v>749</v>
      </c>
      <c r="K931" t="s">
        <v>629</v>
      </c>
      <c r="L931" t="s">
        <v>787</v>
      </c>
      <c r="M931" t="s">
        <v>403</v>
      </c>
      <c r="N931">
        <v>1</v>
      </c>
      <c r="O931">
        <v>1</v>
      </c>
      <c r="P931" t="s">
        <v>1127</v>
      </c>
      <c r="Q931" t="s">
        <v>405</v>
      </c>
      <c r="R931" t="s">
        <v>1128</v>
      </c>
      <c r="S931" t="s">
        <v>1129</v>
      </c>
      <c r="T931" t="s">
        <v>408</v>
      </c>
      <c r="U931">
        <v>50950081193</v>
      </c>
      <c r="W931">
        <v>4800</v>
      </c>
      <c r="X931" t="s">
        <v>409</v>
      </c>
      <c r="Y931" t="s">
        <v>410</v>
      </c>
      <c r="Z931" t="s">
        <v>410</v>
      </c>
      <c r="AA931" t="s">
        <v>411</v>
      </c>
      <c r="AB931" t="s">
        <v>769</v>
      </c>
      <c r="AC931" t="s">
        <v>411</v>
      </c>
      <c r="AD931">
        <v>46116</v>
      </c>
      <c r="AE931">
        <v>46174</v>
      </c>
      <c r="AF931">
        <v>46126</v>
      </c>
      <c r="AG931" t="s">
        <v>754</v>
      </c>
      <c r="AH931">
        <v>6176021</v>
      </c>
      <c r="AI931">
        <v>46116</v>
      </c>
      <c r="AJ931">
        <v>46118</v>
      </c>
      <c r="AK931">
        <v>4800</v>
      </c>
      <c r="AL931" t="s">
        <v>396</v>
      </c>
      <c r="AM931" t="s">
        <v>2946</v>
      </c>
      <c r="AN931">
        <v>46118</v>
      </c>
      <c r="AO931">
        <v>46118.598715277774</v>
      </c>
      <c r="AP931" t="s">
        <v>51</v>
      </c>
      <c r="AQ931">
        <v>2.4201600000000001</v>
      </c>
      <c r="AR931">
        <v>11616.76</v>
      </c>
      <c r="AS931" t="s">
        <v>51</v>
      </c>
      <c r="AT931">
        <v>11616.76</v>
      </c>
      <c r="AU931" t="s">
        <v>415</v>
      </c>
      <c r="AV931" t="s">
        <v>416</v>
      </c>
      <c r="AW931" t="s">
        <v>2937</v>
      </c>
      <c r="AX931">
        <v>46125</v>
      </c>
      <c r="AY931">
        <v>46174</v>
      </c>
      <c r="AZ931" t="s">
        <v>2938</v>
      </c>
      <c r="BA931" t="s">
        <v>560</v>
      </c>
      <c r="BB931" t="s">
        <v>2939</v>
      </c>
      <c r="BC931">
        <v>80</v>
      </c>
      <c r="BD931" t="s">
        <v>521</v>
      </c>
      <c r="BE931">
        <v>9.6</v>
      </c>
      <c r="BF931">
        <v>5.67</v>
      </c>
      <c r="BG931" t="s">
        <v>522</v>
      </c>
      <c r="BH931">
        <v>520</v>
      </c>
      <c r="BI931">
        <v>330</v>
      </c>
      <c r="BJ931">
        <v>190</v>
      </c>
      <c r="BK931">
        <v>30</v>
      </c>
      <c r="BL931" t="s">
        <v>521</v>
      </c>
      <c r="BM931">
        <v>314</v>
      </c>
      <c r="BN931">
        <v>170.1</v>
      </c>
      <c r="BO931">
        <v>628</v>
      </c>
      <c r="BP931" t="s">
        <v>522</v>
      </c>
      <c r="BQ931">
        <v>1066</v>
      </c>
      <c r="BR931">
        <v>1066</v>
      </c>
      <c r="BS931">
        <v>1100</v>
      </c>
      <c r="BT931">
        <v>2</v>
      </c>
      <c r="BU931">
        <v>0</v>
      </c>
      <c r="BV931">
        <v>2</v>
      </c>
      <c r="BW931">
        <v>60</v>
      </c>
      <c r="BX931">
        <v>0</v>
      </c>
      <c r="BY931">
        <v>60</v>
      </c>
      <c r="BZ931">
        <v>4800</v>
      </c>
      <c r="CA931">
        <v>0</v>
      </c>
      <c r="CB931">
        <v>4800</v>
      </c>
      <c r="CC931">
        <v>340.2</v>
      </c>
      <c r="CD931" t="s">
        <v>1131</v>
      </c>
      <c r="CE931" t="s">
        <v>1132</v>
      </c>
      <c r="CG931" t="s">
        <v>421</v>
      </c>
      <c r="CN931" t="str">
        <v>M45</v>
      </c>
      <c r="CO931" t="str">
        <v>1205-12C0015EN</v>
      </c>
      <c r="CP931" t="str">
        <v>TGBU8955558</v>
      </c>
      <c r="CQ931" s="23">
        <v>34.801549999999999</v>
      </c>
      <c r="CR931" s="25">
        <f t="shared" si="37"/>
        <v>2.4168381110887035E-3</v>
      </c>
      <c r="CS931" s="21">
        <f t="shared" si="38"/>
        <v>6.0420952777217591</v>
      </c>
    </row>
    <row r="932" spans="2:97" x14ac:dyDescent="0.35">
      <c r="B932" t="s">
        <v>299</v>
      </c>
      <c r="C932" t="s">
        <v>2766</v>
      </c>
      <c r="D932" t="s">
        <v>395</v>
      </c>
      <c r="E932" t="s">
        <v>395</v>
      </c>
      <c r="F932" t="s">
        <v>396</v>
      </c>
      <c r="G932" t="s">
        <v>397</v>
      </c>
      <c r="H932" t="s">
        <v>398</v>
      </c>
      <c r="I932" t="s">
        <v>399</v>
      </c>
      <c r="J932" t="s">
        <v>749</v>
      </c>
      <c r="K932" t="s">
        <v>845</v>
      </c>
      <c r="L932" t="s">
        <v>787</v>
      </c>
      <c r="M932" t="s">
        <v>403</v>
      </c>
      <c r="N932">
        <v>1</v>
      </c>
      <c r="O932">
        <v>3</v>
      </c>
      <c r="P932" t="s">
        <v>853</v>
      </c>
      <c r="Q932" t="s">
        <v>789</v>
      </c>
      <c r="R932" t="s">
        <v>847</v>
      </c>
      <c r="S932" t="s">
        <v>854</v>
      </c>
      <c r="T932" t="s">
        <v>408</v>
      </c>
      <c r="U932">
        <v>50950081281</v>
      </c>
      <c r="W932">
        <v>9504</v>
      </c>
      <c r="X932" t="s">
        <v>409</v>
      </c>
      <c r="Y932" t="s">
        <v>410</v>
      </c>
      <c r="Z932" t="s">
        <v>410</v>
      </c>
      <c r="AA932" t="s">
        <v>411</v>
      </c>
      <c r="AB932" t="s">
        <v>769</v>
      </c>
      <c r="AC932" t="s">
        <v>411</v>
      </c>
      <c r="AD932">
        <v>46109</v>
      </c>
      <c r="AE932">
        <v>46167</v>
      </c>
      <c r="AF932">
        <v>46126</v>
      </c>
      <c r="AG932" t="s">
        <v>754</v>
      </c>
      <c r="AH932">
        <v>6176022</v>
      </c>
      <c r="AI932">
        <v>46116</v>
      </c>
      <c r="AJ932">
        <v>46118</v>
      </c>
      <c r="AK932">
        <v>9504</v>
      </c>
      <c r="AL932" t="s">
        <v>396</v>
      </c>
      <c r="AM932" t="s">
        <v>2947</v>
      </c>
      <c r="AN932">
        <v>46118</v>
      </c>
      <c r="AO932">
        <v>46118.598715277774</v>
      </c>
      <c r="AP932" t="s">
        <v>51</v>
      </c>
      <c r="AQ932">
        <v>0.83796999999999999</v>
      </c>
      <c r="AR932">
        <v>7964.08</v>
      </c>
      <c r="AS932" t="s">
        <v>51</v>
      </c>
      <c r="AT932">
        <v>7964.08</v>
      </c>
      <c r="AU932" t="s">
        <v>415</v>
      </c>
      <c r="AV932" t="s">
        <v>416</v>
      </c>
      <c r="AW932" t="s">
        <v>2937</v>
      </c>
      <c r="AX932">
        <v>46125</v>
      </c>
      <c r="AY932">
        <v>46174</v>
      </c>
      <c r="AZ932" t="s">
        <v>2938</v>
      </c>
      <c r="BA932" t="s">
        <v>560</v>
      </c>
      <c r="BB932" t="s">
        <v>2939</v>
      </c>
      <c r="BC932">
        <v>33</v>
      </c>
      <c r="BD932" t="s">
        <v>521</v>
      </c>
      <c r="BE932">
        <v>12.9557</v>
      </c>
      <c r="BF932">
        <v>12.005699999999999</v>
      </c>
      <c r="BG932" t="s">
        <v>522</v>
      </c>
      <c r="BH932">
        <v>495</v>
      </c>
      <c r="BI932">
        <v>395</v>
      </c>
      <c r="BJ932">
        <v>150</v>
      </c>
      <c r="BK932">
        <v>36</v>
      </c>
      <c r="BL932" t="s">
        <v>521</v>
      </c>
      <c r="BM932">
        <v>493.40519999999998</v>
      </c>
      <c r="BN932">
        <v>432.20519999999999</v>
      </c>
      <c r="BO932">
        <v>3947.2502399999998</v>
      </c>
      <c r="BP932" t="s">
        <v>522</v>
      </c>
      <c r="BQ932">
        <v>1200</v>
      </c>
      <c r="BR932">
        <v>1000</v>
      </c>
      <c r="BS932">
        <v>1053</v>
      </c>
      <c r="BT932">
        <v>8</v>
      </c>
      <c r="BU932">
        <v>0</v>
      </c>
      <c r="BV932">
        <v>8</v>
      </c>
      <c r="BW932">
        <v>288</v>
      </c>
      <c r="BX932">
        <v>0</v>
      </c>
      <c r="BY932">
        <v>288</v>
      </c>
      <c r="BZ932">
        <v>9504</v>
      </c>
      <c r="CA932">
        <v>0</v>
      </c>
      <c r="CB932">
        <v>9504</v>
      </c>
      <c r="CC932">
        <v>3457.6502399999999</v>
      </c>
      <c r="CD932" t="s">
        <v>856</v>
      </c>
      <c r="CE932" t="s">
        <v>857</v>
      </c>
      <c r="CG932" t="s">
        <v>421</v>
      </c>
      <c r="CN932" t="str">
        <v>M45</v>
      </c>
      <c r="CO932" t="str">
        <v>1205-12C0014EN</v>
      </c>
      <c r="CP932" t="str">
        <v>TGBU8955558</v>
      </c>
      <c r="CQ932" s="23">
        <v>31.227699999999999</v>
      </c>
      <c r="CR932" s="25">
        <f t="shared" si="37"/>
        <v>2.168647530976198E-3</v>
      </c>
      <c r="CS932" s="21">
        <f t="shared" si="38"/>
        <v>5.4216188274404953</v>
      </c>
    </row>
    <row r="933" spans="2:97" x14ac:dyDescent="0.35">
      <c r="B933" t="s">
        <v>297</v>
      </c>
      <c r="C933" t="s">
        <v>2948</v>
      </c>
      <c r="D933" t="s">
        <v>395</v>
      </c>
      <c r="E933" t="s">
        <v>395</v>
      </c>
      <c r="F933" t="s">
        <v>396</v>
      </c>
      <c r="G933" t="s">
        <v>397</v>
      </c>
      <c r="H933" t="s">
        <v>398</v>
      </c>
      <c r="I933" t="s">
        <v>399</v>
      </c>
      <c r="J933" t="s">
        <v>749</v>
      </c>
      <c r="K933" t="s">
        <v>629</v>
      </c>
      <c r="L933" t="s">
        <v>787</v>
      </c>
      <c r="M933" t="s">
        <v>403</v>
      </c>
      <c r="N933">
        <v>1</v>
      </c>
      <c r="O933">
        <v>1</v>
      </c>
      <c r="P933" t="s">
        <v>1593</v>
      </c>
      <c r="Q933" t="s">
        <v>430</v>
      </c>
      <c r="R933" t="s">
        <v>905</v>
      </c>
      <c r="S933" t="s">
        <v>906</v>
      </c>
      <c r="T933" t="s">
        <v>408</v>
      </c>
      <c r="U933">
        <v>50950081630</v>
      </c>
      <c r="W933">
        <v>12000</v>
      </c>
      <c r="X933" t="s">
        <v>409</v>
      </c>
      <c r="Y933" t="s">
        <v>410</v>
      </c>
      <c r="Z933" t="s">
        <v>410</v>
      </c>
      <c r="AA933" t="s">
        <v>411</v>
      </c>
      <c r="AB933" t="s">
        <v>769</v>
      </c>
      <c r="AC933" t="s">
        <v>411</v>
      </c>
      <c r="AD933">
        <v>46123</v>
      </c>
      <c r="AE933">
        <v>46181</v>
      </c>
      <c r="AF933">
        <v>46126</v>
      </c>
      <c r="AG933" t="s">
        <v>754</v>
      </c>
      <c r="AH933">
        <v>6176023</v>
      </c>
      <c r="AI933">
        <v>46116</v>
      </c>
      <c r="AJ933">
        <v>46118</v>
      </c>
      <c r="AK933">
        <v>12000</v>
      </c>
      <c r="AL933" t="s">
        <v>396</v>
      </c>
      <c r="AM933" t="s">
        <v>2949</v>
      </c>
      <c r="AN933">
        <v>46118</v>
      </c>
      <c r="AO933">
        <v>46118.598715277774</v>
      </c>
      <c r="AP933" t="s">
        <v>51</v>
      </c>
      <c r="AQ933">
        <v>0.1226</v>
      </c>
      <c r="AR933">
        <v>1471.2</v>
      </c>
      <c r="AS933" t="s">
        <v>51</v>
      </c>
      <c r="AT933">
        <v>1471.2</v>
      </c>
      <c r="AU933" t="s">
        <v>415</v>
      </c>
      <c r="AV933" t="s">
        <v>416</v>
      </c>
      <c r="AW933" t="s">
        <v>2937</v>
      </c>
      <c r="AX933">
        <v>46125</v>
      </c>
      <c r="AY933">
        <v>46174</v>
      </c>
      <c r="AZ933" t="s">
        <v>2938</v>
      </c>
      <c r="BA933" t="s">
        <v>560</v>
      </c>
      <c r="BB933" t="s">
        <v>2939</v>
      </c>
      <c r="BC933">
        <v>1200</v>
      </c>
      <c r="BD933" t="s">
        <v>521</v>
      </c>
      <c r="BE933">
        <v>7.4042000000000003</v>
      </c>
      <c r="BF933">
        <v>6.4931999999999999</v>
      </c>
      <c r="BG933" t="s">
        <v>522</v>
      </c>
      <c r="BH933">
        <v>395</v>
      </c>
      <c r="BI933">
        <v>295</v>
      </c>
      <c r="BJ933">
        <v>270</v>
      </c>
      <c r="BK933">
        <v>30</v>
      </c>
      <c r="BL933" t="s">
        <v>521</v>
      </c>
      <c r="BM933">
        <v>101.042</v>
      </c>
      <c r="BN933">
        <v>64.932000000000002</v>
      </c>
      <c r="BO933">
        <v>101.042</v>
      </c>
      <c r="BP933" t="s">
        <v>522</v>
      </c>
      <c r="BQ933">
        <v>1200</v>
      </c>
      <c r="BR933">
        <v>1000</v>
      </c>
      <c r="BS933">
        <v>984</v>
      </c>
      <c r="BT933">
        <v>0</v>
      </c>
      <c r="BU933">
        <v>1</v>
      </c>
      <c r="BV933">
        <v>1</v>
      </c>
      <c r="BW933">
        <v>10</v>
      </c>
      <c r="BX933">
        <v>0</v>
      </c>
      <c r="BY933">
        <v>10</v>
      </c>
      <c r="BZ933">
        <v>0</v>
      </c>
      <c r="CA933">
        <v>12000</v>
      </c>
      <c r="CB933">
        <v>12000</v>
      </c>
      <c r="CC933">
        <v>64.932000000000002</v>
      </c>
      <c r="CD933" t="s">
        <v>908</v>
      </c>
      <c r="CE933" t="s">
        <v>909</v>
      </c>
      <c r="CG933" t="s">
        <v>421</v>
      </c>
      <c r="CN933" t="str">
        <v>M45</v>
      </c>
      <c r="CO933" t="str">
        <v>1205-12C0016EN</v>
      </c>
      <c r="CP933" t="str">
        <v>TGBU8955558</v>
      </c>
      <c r="CQ933" s="23">
        <v>50.076000000000001</v>
      </c>
      <c r="CR933" s="25">
        <f t="shared" si="37"/>
        <v>3.4775918098727764E-3</v>
      </c>
      <c r="CS933" s="21">
        <f t="shared" si="38"/>
        <v>8.6939795246819411</v>
      </c>
    </row>
    <row r="934" spans="2:97" x14ac:dyDescent="0.35">
      <c r="B934" t="s">
        <v>297</v>
      </c>
      <c r="C934" t="s">
        <v>2950</v>
      </c>
      <c r="D934" t="s">
        <v>395</v>
      </c>
      <c r="E934" t="s">
        <v>395</v>
      </c>
      <c r="F934" t="s">
        <v>396</v>
      </c>
      <c r="G934" t="s">
        <v>397</v>
      </c>
      <c r="H934" t="s">
        <v>398</v>
      </c>
      <c r="I934" t="s">
        <v>399</v>
      </c>
      <c r="J934" t="s">
        <v>749</v>
      </c>
      <c r="K934" t="s">
        <v>629</v>
      </c>
      <c r="L934" t="s">
        <v>787</v>
      </c>
      <c r="M934" t="s">
        <v>403</v>
      </c>
      <c r="N934">
        <v>1</v>
      </c>
      <c r="O934">
        <v>1</v>
      </c>
      <c r="P934" t="s">
        <v>2203</v>
      </c>
      <c r="Q934" t="s">
        <v>789</v>
      </c>
      <c r="R934" t="s">
        <v>2204</v>
      </c>
      <c r="S934" t="s">
        <v>1484</v>
      </c>
      <c r="T934" t="s">
        <v>408</v>
      </c>
      <c r="U934">
        <v>50950081740</v>
      </c>
      <c r="W934">
        <v>48000</v>
      </c>
      <c r="X934" t="s">
        <v>409</v>
      </c>
      <c r="Y934" t="s">
        <v>410</v>
      </c>
      <c r="Z934" t="s">
        <v>410</v>
      </c>
      <c r="AA934" t="s">
        <v>411</v>
      </c>
      <c r="AB934" t="s">
        <v>769</v>
      </c>
      <c r="AC934" t="s">
        <v>411</v>
      </c>
      <c r="AD934">
        <v>46123</v>
      </c>
      <c r="AE934">
        <v>46181</v>
      </c>
      <c r="AF934">
        <v>46126</v>
      </c>
      <c r="AG934" t="s">
        <v>754</v>
      </c>
      <c r="AH934">
        <v>6176024</v>
      </c>
      <c r="AI934">
        <v>46116</v>
      </c>
      <c r="AJ934">
        <v>46118</v>
      </c>
      <c r="AK934">
        <v>48000</v>
      </c>
      <c r="AL934" t="s">
        <v>396</v>
      </c>
      <c r="AM934" t="s">
        <v>2951</v>
      </c>
      <c r="AN934">
        <v>46118</v>
      </c>
      <c r="AO934">
        <v>46118.598715277774</v>
      </c>
      <c r="AP934" t="s">
        <v>51</v>
      </c>
      <c r="AQ934">
        <v>4.4010000000000001E-2</v>
      </c>
      <c r="AR934">
        <v>2112.48</v>
      </c>
      <c r="AS934" t="s">
        <v>51</v>
      </c>
      <c r="AT934">
        <v>2112.48</v>
      </c>
      <c r="AU934" t="s">
        <v>415</v>
      </c>
      <c r="AV934" t="s">
        <v>416</v>
      </c>
      <c r="AW934" t="s">
        <v>2937</v>
      </c>
      <c r="AX934">
        <v>46125</v>
      </c>
      <c r="AY934">
        <v>46174</v>
      </c>
      <c r="AZ934" t="s">
        <v>2938</v>
      </c>
      <c r="BA934" t="s">
        <v>560</v>
      </c>
      <c r="BB934" t="s">
        <v>2939</v>
      </c>
      <c r="BC934">
        <v>1200</v>
      </c>
      <c r="BD934" t="s">
        <v>521</v>
      </c>
      <c r="BE934">
        <v>5.9470000000000001</v>
      </c>
      <c r="BF934">
        <v>5.04</v>
      </c>
      <c r="BG934" t="s">
        <v>522</v>
      </c>
      <c r="BH934">
        <v>395</v>
      </c>
      <c r="BI934">
        <v>295</v>
      </c>
      <c r="BJ934">
        <v>270</v>
      </c>
      <c r="BK934">
        <v>30</v>
      </c>
      <c r="BL934" t="s">
        <v>521</v>
      </c>
      <c r="BM934">
        <v>205.41</v>
      </c>
      <c r="BN934">
        <v>151.19999999999999</v>
      </c>
      <c r="BO934">
        <v>291.88</v>
      </c>
      <c r="BP934" t="s">
        <v>522</v>
      </c>
      <c r="BQ934">
        <v>1200</v>
      </c>
      <c r="BR934">
        <v>1000</v>
      </c>
      <c r="BS934">
        <v>968</v>
      </c>
      <c r="BT934">
        <v>1</v>
      </c>
      <c r="BU934">
        <v>1</v>
      </c>
      <c r="BV934">
        <v>2</v>
      </c>
      <c r="BW934">
        <v>40</v>
      </c>
      <c r="BX934">
        <v>0</v>
      </c>
      <c r="BY934">
        <v>40</v>
      </c>
      <c r="BZ934">
        <v>36000</v>
      </c>
      <c r="CA934">
        <v>12000</v>
      </c>
      <c r="CB934">
        <v>48000</v>
      </c>
      <c r="CC934">
        <v>201.6</v>
      </c>
      <c r="CD934" t="s">
        <v>1151</v>
      </c>
      <c r="CE934" t="s">
        <v>634</v>
      </c>
      <c r="CG934" t="s">
        <v>421</v>
      </c>
      <c r="CN934" t="str">
        <v>M19</v>
      </c>
      <c r="CO934" t="str">
        <v>1307-5YY0174EN</v>
      </c>
      <c r="CP934" t="str">
        <v>TGBU8955558</v>
      </c>
      <c r="CQ934" s="23">
        <v>403.34800000000001</v>
      </c>
      <c r="CR934" s="25">
        <f t="shared" si="37"/>
        <v>2.801101728030523E-2</v>
      </c>
      <c r="CS934" s="21">
        <f t="shared" si="38"/>
        <v>70.027543200763077</v>
      </c>
    </row>
    <row r="935" spans="2:97" x14ac:dyDescent="0.35">
      <c r="B935" t="s">
        <v>299</v>
      </c>
      <c r="C935" t="s">
        <v>2952</v>
      </c>
      <c r="D935" t="s">
        <v>395</v>
      </c>
      <c r="E935" t="s">
        <v>395</v>
      </c>
      <c r="F935" t="s">
        <v>396</v>
      </c>
      <c r="G935" t="s">
        <v>397</v>
      </c>
      <c r="H935" t="s">
        <v>398</v>
      </c>
      <c r="I935" t="s">
        <v>399</v>
      </c>
      <c r="J935" t="s">
        <v>749</v>
      </c>
      <c r="K935" t="s">
        <v>629</v>
      </c>
      <c r="L935" t="s">
        <v>787</v>
      </c>
      <c r="M935" t="s">
        <v>403</v>
      </c>
      <c r="N935">
        <v>1</v>
      </c>
      <c r="O935">
        <v>1</v>
      </c>
      <c r="P935" t="s">
        <v>2953</v>
      </c>
      <c r="Q935" t="s">
        <v>430</v>
      </c>
      <c r="R935" t="s">
        <v>2954</v>
      </c>
      <c r="S935" t="s">
        <v>2955</v>
      </c>
      <c r="T935" t="s">
        <v>408</v>
      </c>
      <c r="U935">
        <v>50950081914</v>
      </c>
      <c r="W935">
        <v>3200</v>
      </c>
      <c r="X935" t="s">
        <v>409</v>
      </c>
      <c r="Y935" t="s">
        <v>410</v>
      </c>
      <c r="Z935" t="s">
        <v>410</v>
      </c>
      <c r="AA935" t="s">
        <v>411</v>
      </c>
      <c r="AB935" t="s">
        <v>769</v>
      </c>
      <c r="AC935" t="s">
        <v>411</v>
      </c>
      <c r="AD935">
        <v>46123</v>
      </c>
      <c r="AE935">
        <v>46181</v>
      </c>
      <c r="AF935">
        <v>46126</v>
      </c>
      <c r="AG935" t="s">
        <v>754</v>
      </c>
      <c r="AH935">
        <v>6176025</v>
      </c>
      <c r="AI935">
        <v>46116</v>
      </c>
      <c r="AJ935">
        <v>46118</v>
      </c>
      <c r="AK935">
        <v>3200</v>
      </c>
      <c r="AL935" t="s">
        <v>396</v>
      </c>
      <c r="AM935" t="s">
        <v>2956</v>
      </c>
      <c r="AN935">
        <v>46118</v>
      </c>
      <c r="AO935">
        <v>46118.598715277774</v>
      </c>
      <c r="AP935" t="s">
        <v>51</v>
      </c>
      <c r="AQ935">
        <v>0.14854999999999999</v>
      </c>
      <c r="AR935">
        <v>475.36</v>
      </c>
      <c r="AS935" t="s">
        <v>51</v>
      </c>
      <c r="AT935">
        <v>475.36</v>
      </c>
      <c r="AU935" t="s">
        <v>415</v>
      </c>
      <c r="AV935" t="s">
        <v>416</v>
      </c>
      <c r="AW935" t="s">
        <v>2937</v>
      </c>
      <c r="AX935">
        <v>46125</v>
      </c>
      <c r="AY935">
        <v>46174</v>
      </c>
      <c r="AZ935" t="s">
        <v>2938</v>
      </c>
      <c r="BA935" t="s">
        <v>560</v>
      </c>
      <c r="BB935" t="s">
        <v>2939</v>
      </c>
      <c r="BC935">
        <v>400</v>
      </c>
      <c r="BD935" t="s">
        <v>521</v>
      </c>
      <c r="BE935">
        <v>5.2080000000000002</v>
      </c>
      <c r="BF935">
        <v>4.3380000000000001</v>
      </c>
      <c r="BG935" t="s">
        <v>522</v>
      </c>
      <c r="BH935">
        <v>595</v>
      </c>
      <c r="BI935">
        <v>395</v>
      </c>
      <c r="BJ935">
        <v>190</v>
      </c>
      <c r="BK935">
        <v>25</v>
      </c>
      <c r="BL935" t="s">
        <v>521</v>
      </c>
      <c r="BM935">
        <v>68.664000000000001</v>
      </c>
      <c r="BN935">
        <v>34.704000000000001</v>
      </c>
      <c r="BO935">
        <v>68.664000000000001</v>
      </c>
      <c r="BP935" t="s">
        <v>522</v>
      </c>
      <c r="BQ935">
        <v>1200</v>
      </c>
      <c r="BR935">
        <v>1000</v>
      </c>
      <c r="BS935">
        <v>1088</v>
      </c>
      <c r="BT935">
        <v>0</v>
      </c>
      <c r="BU935">
        <v>1</v>
      </c>
      <c r="BV935">
        <v>1</v>
      </c>
      <c r="BW935">
        <v>8</v>
      </c>
      <c r="BX935">
        <v>0</v>
      </c>
      <c r="BY935">
        <v>8</v>
      </c>
      <c r="BZ935">
        <v>0</v>
      </c>
      <c r="CA935">
        <v>3200</v>
      </c>
      <c r="CB935">
        <v>3200</v>
      </c>
      <c r="CC935">
        <v>34.704000000000001</v>
      </c>
      <c r="CD935" t="s">
        <v>842</v>
      </c>
      <c r="CE935" t="s">
        <v>898</v>
      </c>
      <c r="CG935" t="s">
        <v>421</v>
      </c>
      <c r="CN935" t="str">
        <v>M19</v>
      </c>
      <c r="CO935" t="str">
        <v>1307-5YY0174EN</v>
      </c>
      <c r="CP935" t="str">
        <v>TGBU8955558</v>
      </c>
      <c r="CQ935" s="23">
        <v>806.69600000000003</v>
      </c>
      <c r="CR935" s="25">
        <f t="shared" si="37"/>
        <v>5.6022034560610459E-2</v>
      </c>
      <c r="CS935" s="21">
        <f t="shared" si="38"/>
        <v>140.05508640152615</v>
      </c>
    </row>
    <row r="936" spans="2:97" x14ac:dyDescent="0.35">
      <c r="B936" t="s">
        <v>299</v>
      </c>
      <c r="C936" t="s">
        <v>2957</v>
      </c>
      <c r="D936" t="s">
        <v>395</v>
      </c>
      <c r="E936" t="s">
        <v>395</v>
      </c>
      <c r="F936" t="s">
        <v>396</v>
      </c>
      <c r="G936" t="s">
        <v>397</v>
      </c>
      <c r="H936" t="s">
        <v>398</v>
      </c>
      <c r="I936" t="s">
        <v>399</v>
      </c>
      <c r="J936" t="s">
        <v>749</v>
      </c>
      <c r="K936" t="s">
        <v>777</v>
      </c>
      <c r="L936" t="s">
        <v>778</v>
      </c>
      <c r="M936" t="s">
        <v>403</v>
      </c>
      <c r="N936">
        <v>1</v>
      </c>
      <c r="O936">
        <v>1</v>
      </c>
      <c r="P936" t="s">
        <v>2055</v>
      </c>
      <c r="Q936" t="s">
        <v>645</v>
      </c>
      <c r="R936" t="s">
        <v>536</v>
      </c>
      <c r="S936" t="s">
        <v>2056</v>
      </c>
      <c r="T936" t="s">
        <v>408</v>
      </c>
      <c r="U936">
        <v>50950078247</v>
      </c>
      <c r="W936">
        <v>1008</v>
      </c>
      <c r="X936" t="s">
        <v>409</v>
      </c>
      <c r="Y936" t="s">
        <v>410</v>
      </c>
      <c r="Z936" t="s">
        <v>410</v>
      </c>
      <c r="AA936" t="s">
        <v>411</v>
      </c>
      <c r="AB936" t="s">
        <v>769</v>
      </c>
      <c r="AC936" t="s">
        <v>411</v>
      </c>
      <c r="AD936">
        <v>46123</v>
      </c>
      <c r="AE936">
        <v>46181</v>
      </c>
      <c r="AF936">
        <v>46126</v>
      </c>
      <c r="AG936" t="s">
        <v>781</v>
      </c>
      <c r="AH936">
        <v>6178792</v>
      </c>
      <c r="AI936">
        <v>46119</v>
      </c>
      <c r="AJ936">
        <v>46120</v>
      </c>
      <c r="AK936">
        <v>1008</v>
      </c>
      <c r="AL936" t="s">
        <v>396</v>
      </c>
      <c r="AM936" t="s">
        <v>2958</v>
      </c>
      <c r="AN936">
        <v>46120</v>
      </c>
      <c r="AO936">
        <v>46120.442361111112</v>
      </c>
      <c r="AP936" t="s">
        <v>51</v>
      </c>
      <c r="AQ936">
        <v>3.4422700000000002</v>
      </c>
      <c r="AR936">
        <v>3469.8</v>
      </c>
      <c r="AS936" t="s">
        <v>51</v>
      </c>
      <c r="AT936">
        <v>3469.8</v>
      </c>
      <c r="AU936" t="s">
        <v>415</v>
      </c>
      <c r="AV936" t="s">
        <v>416</v>
      </c>
      <c r="AW936" t="s">
        <v>2937</v>
      </c>
      <c r="AX936">
        <v>46125</v>
      </c>
      <c r="AY936">
        <v>46174</v>
      </c>
      <c r="AZ936" t="s">
        <v>2959</v>
      </c>
      <c r="BA936" t="s">
        <v>560</v>
      </c>
      <c r="BB936" t="s">
        <v>2960</v>
      </c>
      <c r="BC936">
        <v>14</v>
      </c>
      <c r="BD936" t="s">
        <v>521</v>
      </c>
      <c r="BE936">
        <v>3.4628000000000001</v>
      </c>
      <c r="BF936">
        <v>1.9628000000000001</v>
      </c>
      <c r="BG936" t="s">
        <v>522</v>
      </c>
      <c r="BH936">
        <v>595</v>
      </c>
      <c r="BI936">
        <v>395</v>
      </c>
      <c r="BJ936">
        <v>145</v>
      </c>
      <c r="BK936">
        <v>24</v>
      </c>
      <c r="BL936" t="s">
        <v>521</v>
      </c>
      <c r="BM936">
        <v>108.10720000000001</v>
      </c>
      <c r="BN936">
        <v>47.107199999999999</v>
      </c>
      <c r="BO936">
        <v>324.32159999999999</v>
      </c>
      <c r="BP936" t="s">
        <v>522</v>
      </c>
      <c r="BQ936">
        <v>1200</v>
      </c>
      <c r="BR936">
        <v>800</v>
      </c>
      <c r="BS936">
        <v>1030</v>
      </c>
      <c r="BT936">
        <v>3</v>
      </c>
      <c r="BU936">
        <v>0</v>
      </c>
      <c r="BV936">
        <v>3</v>
      </c>
      <c r="BW936">
        <v>72</v>
      </c>
      <c r="BX936">
        <v>0</v>
      </c>
      <c r="BY936">
        <v>72</v>
      </c>
      <c r="BZ936">
        <v>1008</v>
      </c>
      <c r="CA936">
        <v>0</v>
      </c>
      <c r="CB936">
        <v>1008</v>
      </c>
      <c r="CC936">
        <v>141.32159999999999</v>
      </c>
      <c r="CD936" t="s">
        <v>783</v>
      </c>
      <c r="CE936" t="s">
        <v>1370</v>
      </c>
      <c r="CG936" t="s">
        <v>421</v>
      </c>
      <c r="CN936" t="str">
        <v>MCS</v>
      </c>
      <c r="CO936" t="str">
        <v>1209-5YY0205-T2EN</v>
      </c>
      <c r="CP936" t="str">
        <v>TGBU8955558</v>
      </c>
      <c r="CQ936" s="23">
        <v>34.771099999999997</v>
      </c>
      <c r="CR936" s="25">
        <f t="shared" si="37"/>
        <v>2.414723471928015E-3</v>
      </c>
      <c r="CS936" s="21">
        <f t="shared" si="38"/>
        <v>6.0368086798200373</v>
      </c>
    </row>
    <row r="937" spans="2:97" x14ac:dyDescent="0.35">
      <c r="B937" t="s">
        <v>299</v>
      </c>
      <c r="C937" t="s">
        <v>2935</v>
      </c>
      <c r="D937" t="s">
        <v>395</v>
      </c>
      <c r="E937" t="s">
        <v>395</v>
      </c>
      <c r="F937" t="s">
        <v>396</v>
      </c>
      <c r="G937" t="s">
        <v>397</v>
      </c>
      <c r="H937" t="s">
        <v>398</v>
      </c>
      <c r="I937" t="s">
        <v>399</v>
      </c>
      <c r="J937" t="s">
        <v>749</v>
      </c>
      <c r="K937" t="s">
        <v>777</v>
      </c>
      <c r="L937" t="s">
        <v>778</v>
      </c>
      <c r="M937" t="s">
        <v>403</v>
      </c>
      <c r="N937">
        <v>1</v>
      </c>
      <c r="O937">
        <v>2</v>
      </c>
      <c r="P937" t="s">
        <v>1367</v>
      </c>
      <c r="Q937" t="s">
        <v>645</v>
      </c>
      <c r="R937" t="s">
        <v>536</v>
      </c>
      <c r="S937" t="s">
        <v>1368</v>
      </c>
      <c r="T937" t="s">
        <v>408</v>
      </c>
      <c r="U937">
        <v>50950078353</v>
      </c>
      <c r="W937">
        <v>336</v>
      </c>
      <c r="X937" t="s">
        <v>409</v>
      </c>
      <c r="Y937" t="s">
        <v>410</v>
      </c>
      <c r="Z937" t="s">
        <v>410</v>
      </c>
      <c r="AA937" t="s">
        <v>411</v>
      </c>
      <c r="AB937" t="s">
        <v>769</v>
      </c>
      <c r="AC937" t="s">
        <v>411</v>
      </c>
      <c r="AD937">
        <v>46123</v>
      </c>
      <c r="AE937">
        <v>46181</v>
      </c>
      <c r="AF937">
        <v>46126</v>
      </c>
      <c r="AG937" t="s">
        <v>781</v>
      </c>
      <c r="AH937">
        <v>6178793</v>
      </c>
      <c r="AI937">
        <v>46119</v>
      </c>
      <c r="AJ937">
        <v>46120</v>
      </c>
      <c r="AK937">
        <v>336</v>
      </c>
      <c r="AL937" t="s">
        <v>396</v>
      </c>
      <c r="AM937" t="s">
        <v>2961</v>
      </c>
      <c r="AN937">
        <v>46120</v>
      </c>
      <c r="AO937">
        <v>46120.442361111112</v>
      </c>
      <c r="AP937" t="s">
        <v>51</v>
      </c>
      <c r="AQ937">
        <v>3.2110699999999999</v>
      </c>
      <c r="AR937">
        <v>1078.92</v>
      </c>
      <c r="AS937" t="s">
        <v>51</v>
      </c>
      <c r="AT937">
        <v>1078.92</v>
      </c>
      <c r="AU937" t="s">
        <v>415</v>
      </c>
      <c r="AV937" t="s">
        <v>416</v>
      </c>
      <c r="AW937" t="s">
        <v>2937</v>
      </c>
      <c r="AX937">
        <v>46125</v>
      </c>
      <c r="AY937">
        <v>46174</v>
      </c>
      <c r="AZ937" t="s">
        <v>2959</v>
      </c>
      <c r="BA937" t="s">
        <v>560</v>
      </c>
      <c r="BB937" t="s">
        <v>2960</v>
      </c>
      <c r="BC937">
        <v>14</v>
      </c>
      <c r="BD937" t="s">
        <v>521</v>
      </c>
      <c r="BE937">
        <v>3.2919999999999998</v>
      </c>
      <c r="BF937">
        <v>1.792</v>
      </c>
      <c r="BG937" t="s">
        <v>522</v>
      </c>
      <c r="BH937">
        <v>595</v>
      </c>
      <c r="BI937">
        <v>395</v>
      </c>
      <c r="BJ937">
        <v>145</v>
      </c>
      <c r="BK937">
        <v>24</v>
      </c>
      <c r="BL937" t="s">
        <v>521</v>
      </c>
      <c r="BM937">
        <v>104.008</v>
      </c>
      <c r="BN937">
        <v>43.008000000000003</v>
      </c>
      <c r="BO937">
        <v>104.008</v>
      </c>
      <c r="BP937" t="s">
        <v>522</v>
      </c>
      <c r="BQ937">
        <v>1200</v>
      </c>
      <c r="BR937">
        <v>800</v>
      </c>
      <c r="BS937">
        <v>1030</v>
      </c>
      <c r="BT937">
        <v>1</v>
      </c>
      <c r="BU937">
        <v>0</v>
      </c>
      <c r="BV937">
        <v>1</v>
      </c>
      <c r="BW937">
        <v>24</v>
      </c>
      <c r="BX937">
        <v>0</v>
      </c>
      <c r="BY937">
        <v>24</v>
      </c>
      <c r="BZ937">
        <v>336</v>
      </c>
      <c r="CA937">
        <v>0</v>
      </c>
      <c r="CB937">
        <v>336</v>
      </c>
      <c r="CC937">
        <v>43.008000000000003</v>
      </c>
      <c r="CD937" t="s">
        <v>783</v>
      </c>
      <c r="CE937" t="s">
        <v>1370</v>
      </c>
      <c r="CG937" t="s">
        <v>421</v>
      </c>
      <c r="CN937" t="str">
        <v>M19</v>
      </c>
      <c r="CO937" t="str">
        <v>1330-5YY0256EN</v>
      </c>
      <c r="CP937" t="str">
        <v>TGBU8955558</v>
      </c>
      <c r="CQ937" s="23">
        <v>217.00200000000001</v>
      </c>
      <c r="CR937" s="25">
        <f t="shared" si="37"/>
        <v>1.5069981187115829E-2</v>
      </c>
      <c r="CS937" s="21">
        <f t="shared" si="38"/>
        <v>37.674952967789572</v>
      </c>
    </row>
    <row r="938" spans="2:97" x14ac:dyDescent="0.35">
      <c r="B938" t="s">
        <v>299</v>
      </c>
      <c r="C938" t="s">
        <v>2940</v>
      </c>
      <c r="D938" t="s">
        <v>395</v>
      </c>
      <c r="E938" t="s">
        <v>395</v>
      </c>
      <c r="F938" t="s">
        <v>396</v>
      </c>
      <c r="G938" t="s">
        <v>397</v>
      </c>
      <c r="H938" t="s">
        <v>398</v>
      </c>
      <c r="I938" t="s">
        <v>399</v>
      </c>
      <c r="J938" t="s">
        <v>749</v>
      </c>
      <c r="K938" t="s">
        <v>777</v>
      </c>
      <c r="L938" t="s">
        <v>778</v>
      </c>
      <c r="M938" t="s">
        <v>403</v>
      </c>
      <c r="N938">
        <v>1</v>
      </c>
      <c r="O938">
        <v>2</v>
      </c>
      <c r="P938" t="s">
        <v>1367</v>
      </c>
      <c r="Q938" t="s">
        <v>645</v>
      </c>
      <c r="R938" t="s">
        <v>536</v>
      </c>
      <c r="S938" t="s">
        <v>1368</v>
      </c>
      <c r="T938" t="s">
        <v>408</v>
      </c>
      <c r="U938">
        <v>50950079348</v>
      </c>
      <c r="W938">
        <v>1680</v>
      </c>
      <c r="X938" t="s">
        <v>409</v>
      </c>
      <c r="Y938" t="s">
        <v>410</v>
      </c>
      <c r="Z938" t="s">
        <v>410</v>
      </c>
      <c r="AA938" t="s">
        <v>411</v>
      </c>
      <c r="AB938" t="s">
        <v>769</v>
      </c>
      <c r="AC938" t="s">
        <v>411</v>
      </c>
      <c r="AD938">
        <v>46123</v>
      </c>
      <c r="AE938">
        <v>46181</v>
      </c>
      <c r="AF938">
        <v>46126</v>
      </c>
      <c r="AG938" t="s">
        <v>781</v>
      </c>
      <c r="AH938">
        <v>6178794</v>
      </c>
      <c r="AI938">
        <v>46119</v>
      </c>
      <c r="AJ938">
        <v>46120</v>
      </c>
      <c r="AK938">
        <v>1680</v>
      </c>
      <c r="AL938" t="s">
        <v>396</v>
      </c>
      <c r="AM938" t="s">
        <v>2962</v>
      </c>
      <c r="AN938">
        <v>46120</v>
      </c>
      <c r="AO938">
        <v>46120.442361111112</v>
      </c>
      <c r="AP938" t="s">
        <v>51</v>
      </c>
      <c r="AQ938">
        <v>3.2110699999999999</v>
      </c>
      <c r="AR938">
        <v>5394.6</v>
      </c>
      <c r="AS938" t="s">
        <v>51</v>
      </c>
      <c r="AT938">
        <v>5394.6</v>
      </c>
      <c r="AU938" t="s">
        <v>415</v>
      </c>
      <c r="AV938" t="s">
        <v>416</v>
      </c>
      <c r="AW938" t="s">
        <v>2937</v>
      </c>
      <c r="AX938">
        <v>46125</v>
      </c>
      <c r="AY938">
        <v>46174</v>
      </c>
      <c r="AZ938" t="s">
        <v>2959</v>
      </c>
      <c r="BA938" t="s">
        <v>560</v>
      </c>
      <c r="BB938" t="s">
        <v>2960</v>
      </c>
      <c r="BC938">
        <v>14</v>
      </c>
      <c r="BD938" t="s">
        <v>521</v>
      </c>
      <c r="BE938">
        <v>3.2919999999999998</v>
      </c>
      <c r="BF938">
        <v>1.792</v>
      </c>
      <c r="BG938" t="s">
        <v>522</v>
      </c>
      <c r="BH938">
        <v>595</v>
      </c>
      <c r="BI938">
        <v>395</v>
      </c>
      <c r="BJ938">
        <v>145</v>
      </c>
      <c r="BK938">
        <v>24</v>
      </c>
      <c r="BL938" t="s">
        <v>521</v>
      </c>
      <c r="BM938">
        <v>104.008</v>
      </c>
      <c r="BN938">
        <v>43.008000000000003</v>
      </c>
      <c r="BO938">
        <v>520.04</v>
      </c>
      <c r="BP938" t="s">
        <v>522</v>
      </c>
      <c r="BQ938">
        <v>1200</v>
      </c>
      <c r="BR938">
        <v>800</v>
      </c>
      <c r="BS938">
        <v>1030</v>
      </c>
      <c r="BT938">
        <v>5</v>
      </c>
      <c r="BU938">
        <v>0</v>
      </c>
      <c r="BV938">
        <v>5</v>
      </c>
      <c r="BW938">
        <v>120</v>
      </c>
      <c r="BX938">
        <v>0</v>
      </c>
      <c r="BY938">
        <v>120</v>
      </c>
      <c r="BZ938">
        <v>1680</v>
      </c>
      <c r="CA938">
        <v>0</v>
      </c>
      <c r="CB938">
        <v>1680</v>
      </c>
      <c r="CC938">
        <v>215.04</v>
      </c>
      <c r="CD938" t="s">
        <v>783</v>
      </c>
      <c r="CE938" t="s">
        <v>1370</v>
      </c>
      <c r="CG938" t="s">
        <v>421</v>
      </c>
      <c r="CN938" t="str">
        <v>M19</v>
      </c>
      <c r="CO938" t="str">
        <v>1330-5YY0168EN</v>
      </c>
      <c r="CP938" t="str">
        <v>TGBU8955558</v>
      </c>
      <c r="CQ938" s="23">
        <v>256.99200000000002</v>
      </c>
      <c r="CR938" s="25">
        <f t="shared" si="37"/>
        <v>1.7847137838541909E-2</v>
      </c>
      <c r="CS938" s="21">
        <f t="shared" si="38"/>
        <v>44.617844596354772</v>
      </c>
    </row>
    <row r="939" spans="2:97" x14ac:dyDescent="0.35">
      <c r="B939" t="s">
        <v>299</v>
      </c>
      <c r="C939" t="s">
        <v>2963</v>
      </c>
      <c r="D939" t="s">
        <v>395</v>
      </c>
      <c r="E939" t="s">
        <v>395</v>
      </c>
      <c r="F939" t="s">
        <v>396</v>
      </c>
      <c r="G939" t="s">
        <v>397</v>
      </c>
      <c r="H939" t="s">
        <v>398</v>
      </c>
      <c r="I939" t="s">
        <v>399</v>
      </c>
      <c r="J939" t="s">
        <v>749</v>
      </c>
      <c r="K939" t="s">
        <v>533</v>
      </c>
      <c r="L939" t="s">
        <v>778</v>
      </c>
      <c r="M939" t="s">
        <v>403</v>
      </c>
      <c r="N939">
        <v>1</v>
      </c>
      <c r="O939">
        <v>1</v>
      </c>
      <c r="P939" t="s">
        <v>1425</v>
      </c>
      <c r="Q939" t="s">
        <v>430</v>
      </c>
      <c r="R939" t="s">
        <v>536</v>
      </c>
      <c r="S939" t="s">
        <v>1426</v>
      </c>
      <c r="T939" t="s">
        <v>408</v>
      </c>
      <c r="U939">
        <v>50950080359</v>
      </c>
      <c r="W939">
        <v>16200</v>
      </c>
      <c r="X939" t="s">
        <v>409</v>
      </c>
      <c r="Y939" t="s">
        <v>410</v>
      </c>
      <c r="Z939" t="s">
        <v>410</v>
      </c>
      <c r="AA939" t="s">
        <v>411</v>
      </c>
      <c r="AB939" t="s">
        <v>769</v>
      </c>
      <c r="AC939" t="s">
        <v>411</v>
      </c>
      <c r="AD939">
        <v>46116</v>
      </c>
      <c r="AE939">
        <v>46174</v>
      </c>
      <c r="AF939">
        <v>46126</v>
      </c>
      <c r="AG939" t="s">
        <v>781</v>
      </c>
      <c r="AH939">
        <v>6178795</v>
      </c>
      <c r="AI939">
        <v>46119</v>
      </c>
      <c r="AJ939">
        <v>46120</v>
      </c>
      <c r="AK939">
        <v>16200</v>
      </c>
      <c r="AL939" t="s">
        <v>396</v>
      </c>
      <c r="AM939" t="s">
        <v>2964</v>
      </c>
      <c r="AN939">
        <v>46120</v>
      </c>
      <c r="AO939">
        <v>46120.442361111112</v>
      </c>
      <c r="AP939" t="s">
        <v>51</v>
      </c>
      <c r="AQ939">
        <v>0.83614999999999995</v>
      </c>
      <c r="AR939">
        <v>13545.64</v>
      </c>
      <c r="AS939" t="s">
        <v>51</v>
      </c>
      <c r="AT939">
        <v>13545.64</v>
      </c>
      <c r="AU939" t="s">
        <v>415</v>
      </c>
      <c r="AV939" t="s">
        <v>416</v>
      </c>
      <c r="AW939" t="s">
        <v>2937</v>
      </c>
      <c r="AX939">
        <v>46125</v>
      </c>
      <c r="AY939">
        <v>46174</v>
      </c>
      <c r="AZ939" t="s">
        <v>2959</v>
      </c>
      <c r="BA939" t="s">
        <v>560</v>
      </c>
      <c r="BB939" t="s">
        <v>2960</v>
      </c>
      <c r="BC939">
        <v>270</v>
      </c>
      <c r="BD939" t="s">
        <v>521</v>
      </c>
      <c r="BE939">
        <v>14.847799999999999</v>
      </c>
      <c r="BF939">
        <v>13.1058</v>
      </c>
      <c r="BG939" t="s">
        <v>522</v>
      </c>
      <c r="BH939">
        <v>395</v>
      </c>
      <c r="BI939">
        <v>295</v>
      </c>
      <c r="BJ939">
        <v>150</v>
      </c>
      <c r="BK939">
        <v>60</v>
      </c>
      <c r="BL939" t="s">
        <v>521</v>
      </c>
      <c r="BM939">
        <v>917.86800000000005</v>
      </c>
      <c r="BN939">
        <v>786.34799999999996</v>
      </c>
      <c r="BO939">
        <v>917.86800000000005</v>
      </c>
      <c r="BP939" t="s">
        <v>522</v>
      </c>
      <c r="BQ939">
        <v>1200</v>
      </c>
      <c r="BR939">
        <v>1000</v>
      </c>
      <c r="BS939">
        <v>1058</v>
      </c>
      <c r="BT939">
        <v>1</v>
      </c>
      <c r="BU939">
        <v>0</v>
      </c>
      <c r="BV939">
        <v>1</v>
      </c>
      <c r="BW939">
        <v>60</v>
      </c>
      <c r="BX939">
        <v>0</v>
      </c>
      <c r="BY939">
        <v>60</v>
      </c>
      <c r="BZ939">
        <v>16200</v>
      </c>
      <c r="CA939">
        <v>0</v>
      </c>
      <c r="CB939">
        <v>16200</v>
      </c>
      <c r="CC939">
        <v>786.34799999999996</v>
      </c>
      <c r="CD939" t="s">
        <v>799</v>
      </c>
      <c r="CE939" t="s">
        <v>1428</v>
      </c>
      <c r="CG939" t="s">
        <v>421</v>
      </c>
      <c r="CN939" t="str">
        <v>M19</v>
      </c>
      <c r="CO939" t="str">
        <v>1330-5YY0176EN</v>
      </c>
      <c r="CP939" t="str">
        <v>TGBU8955558</v>
      </c>
      <c r="CQ939" s="23">
        <v>821.26080000000002</v>
      </c>
      <c r="CR939" s="25">
        <f t="shared" si="37"/>
        <v>5.7033505708314648E-2</v>
      </c>
      <c r="CS939" s="21">
        <f t="shared" si="38"/>
        <v>142.58376427078662</v>
      </c>
    </row>
    <row r="940" spans="2:97" x14ac:dyDescent="0.35">
      <c r="B940" t="s">
        <v>299</v>
      </c>
      <c r="C940" t="s">
        <v>2965</v>
      </c>
      <c r="D940" t="s">
        <v>395</v>
      </c>
      <c r="E940" t="s">
        <v>395</v>
      </c>
      <c r="F940" t="s">
        <v>396</v>
      </c>
      <c r="G940" t="s">
        <v>397</v>
      </c>
      <c r="H940" t="s">
        <v>398</v>
      </c>
      <c r="I940" t="s">
        <v>399</v>
      </c>
      <c r="J940" t="s">
        <v>749</v>
      </c>
      <c r="K940" t="s">
        <v>533</v>
      </c>
      <c r="L940" t="s">
        <v>778</v>
      </c>
      <c r="M940" t="s">
        <v>403</v>
      </c>
      <c r="N940">
        <v>1</v>
      </c>
      <c r="O940">
        <v>1</v>
      </c>
      <c r="P940" t="s">
        <v>1922</v>
      </c>
      <c r="Q940" t="s">
        <v>430</v>
      </c>
      <c r="R940" t="s">
        <v>536</v>
      </c>
      <c r="S940" t="s">
        <v>1923</v>
      </c>
      <c r="T940" t="s">
        <v>408</v>
      </c>
      <c r="U940">
        <v>50950080381</v>
      </c>
      <c r="W940">
        <v>23520</v>
      </c>
      <c r="X940" t="s">
        <v>409</v>
      </c>
      <c r="Y940" t="s">
        <v>410</v>
      </c>
      <c r="Z940" t="s">
        <v>410</v>
      </c>
      <c r="AA940" t="s">
        <v>411</v>
      </c>
      <c r="AB940" t="s">
        <v>769</v>
      </c>
      <c r="AC940" t="s">
        <v>411</v>
      </c>
      <c r="AD940">
        <v>46116</v>
      </c>
      <c r="AE940">
        <v>46174</v>
      </c>
      <c r="AF940">
        <v>46126</v>
      </c>
      <c r="AG940" t="s">
        <v>781</v>
      </c>
      <c r="AH940">
        <v>6178796</v>
      </c>
      <c r="AI940">
        <v>46119</v>
      </c>
      <c r="AJ940">
        <v>46120</v>
      </c>
      <c r="AK940">
        <v>23520</v>
      </c>
      <c r="AL940" t="s">
        <v>396</v>
      </c>
      <c r="AM940" t="s">
        <v>2966</v>
      </c>
      <c r="AN940">
        <v>46120</v>
      </c>
      <c r="AO940">
        <v>46120.442361111112</v>
      </c>
      <c r="AP940" t="s">
        <v>51</v>
      </c>
      <c r="AQ940">
        <v>0.45350000000000001</v>
      </c>
      <c r="AR940">
        <v>10666.32</v>
      </c>
      <c r="AS940" t="s">
        <v>51</v>
      </c>
      <c r="AT940">
        <v>10666.32</v>
      </c>
      <c r="AU940" t="s">
        <v>415</v>
      </c>
      <c r="AV940" t="s">
        <v>416</v>
      </c>
      <c r="AW940" t="s">
        <v>2937</v>
      </c>
      <c r="AX940">
        <v>46125</v>
      </c>
      <c r="AY940">
        <v>46174</v>
      </c>
      <c r="AZ940" t="s">
        <v>2959</v>
      </c>
      <c r="BA940" t="s">
        <v>560</v>
      </c>
      <c r="BB940" t="s">
        <v>2960</v>
      </c>
      <c r="BC940">
        <v>392</v>
      </c>
      <c r="BD940" t="s">
        <v>521</v>
      </c>
      <c r="BE940">
        <v>10.1358</v>
      </c>
      <c r="BF940">
        <v>8.5378000000000007</v>
      </c>
      <c r="BG940" t="s">
        <v>522</v>
      </c>
      <c r="BH940">
        <v>395</v>
      </c>
      <c r="BI940">
        <v>295</v>
      </c>
      <c r="BJ940">
        <v>150</v>
      </c>
      <c r="BK940">
        <v>60</v>
      </c>
      <c r="BL940" t="s">
        <v>521</v>
      </c>
      <c r="BM940">
        <v>635.14559999999994</v>
      </c>
      <c r="BN940">
        <v>512.26559999999995</v>
      </c>
      <c r="BO940">
        <v>635.14559999999994</v>
      </c>
      <c r="BP940" t="s">
        <v>522</v>
      </c>
      <c r="BQ940">
        <v>1200</v>
      </c>
      <c r="BR940">
        <v>1000</v>
      </c>
      <c r="BS940">
        <v>1058</v>
      </c>
      <c r="BT940">
        <v>1</v>
      </c>
      <c r="BU940">
        <v>0</v>
      </c>
      <c r="BV940">
        <v>1</v>
      </c>
      <c r="BW940">
        <v>60</v>
      </c>
      <c r="BX940">
        <v>0</v>
      </c>
      <c r="BY940">
        <v>60</v>
      </c>
      <c r="BZ940">
        <v>23520</v>
      </c>
      <c r="CA940">
        <v>0</v>
      </c>
      <c r="CB940">
        <v>23520</v>
      </c>
      <c r="CC940">
        <v>512.26559999999995</v>
      </c>
      <c r="CD940" t="s">
        <v>799</v>
      </c>
      <c r="CE940" t="s">
        <v>1925</v>
      </c>
      <c r="CG940" t="s">
        <v>421</v>
      </c>
      <c r="CN940" t="str">
        <v>M19</v>
      </c>
      <c r="CO940" t="str">
        <v>1301-5YY0306EN0093</v>
      </c>
      <c r="CP940" t="str">
        <v>TGBU8955558</v>
      </c>
      <c r="CQ940" s="23">
        <v>1973.6251199999999</v>
      </c>
      <c r="CR940" s="25">
        <f t="shared" si="37"/>
        <v>0.13706091846535617</v>
      </c>
      <c r="CS940" s="21">
        <f t="shared" si="38"/>
        <v>342.65229616339042</v>
      </c>
    </row>
    <row r="941" spans="2:97" x14ac:dyDescent="0.35">
      <c r="B941" t="s">
        <v>296</v>
      </c>
      <c r="C941" t="s">
        <v>2967</v>
      </c>
      <c r="D941" t="s">
        <v>395</v>
      </c>
      <c r="E941" t="s">
        <v>395</v>
      </c>
      <c r="F941" t="s">
        <v>396</v>
      </c>
      <c r="G941" t="s">
        <v>397</v>
      </c>
      <c r="H941" t="s">
        <v>398</v>
      </c>
      <c r="I941" t="s">
        <v>399</v>
      </c>
      <c r="J941" t="s">
        <v>749</v>
      </c>
      <c r="K941" t="s">
        <v>629</v>
      </c>
      <c r="L941" t="s">
        <v>787</v>
      </c>
      <c r="M941" t="s">
        <v>403</v>
      </c>
      <c r="N941">
        <v>1</v>
      </c>
      <c r="O941">
        <v>1</v>
      </c>
      <c r="P941" t="s">
        <v>875</v>
      </c>
      <c r="Q941" t="s">
        <v>430</v>
      </c>
      <c r="R941" t="s">
        <v>876</v>
      </c>
      <c r="S941" t="s">
        <v>877</v>
      </c>
      <c r="T941" t="s">
        <v>408</v>
      </c>
      <c r="U941">
        <v>50950078859</v>
      </c>
      <c r="W941">
        <v>16000</v>
      </c>
      <c r="X941" t="s">
        <v>409</v>
      </c>
      <c r="Y941" t="s">
        <v>410</v>
      </c>
      <c r="Z941" t="s">
        <v>410</v>
      </c>
      <c r="AA941" t="s">
        <v>411</v>
      </c>
      <c r="AB941" t="s">
        <v>769</v>
      </c>
      <c r="AC941" t="s">
        <v>411</v>
      </c>
      <c r="AD941">
        <v>46125</v>
      </c>
      <c r="AE941">
        <v>46160</v>
      </c>
      <c r="AF941">
        <v>46126</v>
      </c>
      <c r="AG941" t="s">
        <v>754</v>
      </c>
      <c r="AH941">
        <v>6178797</v>
      </c>
      <c r="AI941">
        <v>46119</v>
      </c>
      <c r="AJ941">
        <v>46120</v>
      </c>
      <c r="AK941">
        <v>16000</v>
      </c>
      <c r="AL941" t="s">
        <v>396</v>
      </c>
      <c r="AM941" t="s">
        <v>2968</v>
      </c>
      <c r="AN941">
        <v>46120</v>
      </c>
      <c r="AO941">
        <v>46120.442361111112</v>
      </c>
      <c r="AP941" t="s">
        <v>51</v>
      </c>
      <c r="AQ941">
        <v>0.12105</v>
      </c>
      <c r="AR941">
        <v>1936.8</v>
      </c>
      <c r="AS941" t="s">
        <v>51</v>
      </c>
      <c r="AT941">
        <v>1936.8</v>
      </c>
      <c r="AU941" t="s">
        <v>415</v>
      </c>
      <c r="AV941" t="s">
        <v>416</v>
      </c>
      <c r="AW941" t="s">
        <v>2937</v>
      </c>
      <c r="AX941">
        <v>46125</v>
      </c>
      <c r="AY941">
        <v>46174</v>
      </c>
      <c r="AZ941" t="s">
        <v>2959</v>
      </c>
      <c r="BA941" t="s">
        <v>560</v>
      </c>
      <c r="BB941" t="s">
        <v>2960</v>
      </c>
      <c r="BC941">
        <v>160</v>
      </c>
      <c r="BD941" t="s">
        <v>521</v>
      </c>
      <c r="BE941">
        <v>6.3452000000000002</v>
      </c>
      <c r="BF941">
        <v>4.7952000000000004</v>
      </c>
      <c r="BG941" t="s">
        <v>522</v>
      </c>
      <c r="BH941">
        <v>595</v>
      </c>
      <c r="BI941">
        <v>495</v>
      </c>
      <c r="BJ941">
        <v>190</v>
      </c>
      <c r="BK941">
        <v>20</v>
      </c>
      <c r="BL941" t="s">
        <v>521</v>
      </c>
      <c r="BM941">
        <v>153.904</v>
      </c>
      <c r="BN941">
        <v>95.903999999999996</v>
      </c>
      <c r="BO941">
        <v>769.52</v>
      </c>
      <c r="BP941" t="s">
        <v>522</v>
      </c>
      <c r="BQ941">
        <v>1200</v>
      </c>
      <c r="BR941">
        <v>1000</v>
      </c>
      <c r="BS941">
        <v>1110</v>
      </c>
      <c r="BT941">
        <v>5</v>
      </c>
      <c r="BU941">
        <v>0</v>
      </c>
      <c r="BV941">
        <v>5</v>
      </c>
      <c r="BW941">
        <v>100</v>
      </c>
      <c r="BX941">
        <v>0</v>
      </c>
      <c r="BY941">
        <v>100</v>
      </c>
      <c r="BZ941">
        <v>16000</v>
      </c>
      <c r="CA941">
        <v>0</v>
      </c>
      <c r="CB941">
        <v>16000</v>
      </c>
      <c r="CC941">
        <v>479.52</v>
      </c>
      <c r="CD941" t="s">
        <v>592</v>
      </c>
      <c r="CE941" t="s">
        <v>879</v>
      </c>
      <c r="CG941" t="s">
        <v>421</v>
      </c>
      <c r="CN941" t="str">
        <v>M19</v>
      </c>
      <c r="CO941" t="str">
        <v>1301-5YY0322EN0093</v>
      </c>
      <c r="CP941" t="str">
        <v>TGBU8955558</v>
      </c>
      <c r="CQ941" s="23">
        <v>2673.5093999999999</v>
      </c>
      <c r="CR941" s="25">
        <f t="shared" si="37"/>
        <v>0.18566527664066379</v>
      </c>
      <c r="CS941" s="21">
        <f t="shared" si="38"/>
        <v>464.16319160165949</v>
      </c>
    </row>
    <row r="942" spans="2:97" x14ac:dyDescent="0.35">
      <c r="B942" t="s">
        <v>296</v>
      </c>
      <c r="C942" t="s">
        <v>2800</v>
      </c>
      <c r="D942" t="s">
        <v>395</v>
      </c>
      <c r="E942" t="s">
        <v>395</v>
      </c>
      <c r="F942" t="s">
        <v>396</v>
      </c>
      <c r="G942" t="s">
        <v>397</v>
      </c>
      <c r="H942" t="s">
        <v>398</v>
      </c>
      <c r="I942" t="s">
        <v>399</v>
      </c>
      <c r="J942" t="s">
        <v>749</v>
      </c>
      <c r="K942" t="s">
        <v>629</v>
      </c>
      <c r="L942" t="s">
        <v>787</v>
      </c>
      <c r="M942" t="s">
        <v>403</v>
      </c>
      <c r="N942">
        <v>1</v>
      </c>
      <c r="O942">
        <v>3</v>
      </c>
      <c r="P942" t="s">
        <v>881</v>
      </c>
      <c r="Q942" t="s">
        <v>645</v>
      </c>
      <c r="R942" t="s">
        <v>882</v>
      </c>
      <c r="S942" t="s">
        <v>883</v>
      </c>
      <c r="T942" t="s">
        <v>408</v>
      </c>
      <c r="U942">
        <v>50950079682</v>
      </c>
      <c r="W942">
        <v>6600</v>
      </c>
      <c r="X942" t="s">
        <v>409</v>
      </c>
      <c r="Y942" t="s">
        <v>410</v>
      </c>
      <c r="Z942" t="s">
        <v>410</v>
      </c>
      <c r="AA942" t="s">
        <v>411</v>
      </c>
      <c r="AB942" t="s">
        <v>769</v>
      </c>
      <c r="AC942" t="s">
        <v>411</v>
      </c>
      <c r="AD942">
        <v>46111</v>
      </c>
      <c r="AE942">
        <v>46202</v>
      </c>
      <c r="AF942">
        <v>46126</v>
      </c>
      <c r="AG942" t="s">
        <v>754</v>
      </c>
      <c r="AH942">
        <v>6178798</v>
      </c>
      <c r="AI942">
        <v>46119</v>
      </c>
      <c r="AJ942">
        <v>46120</v>
      </c>
      <c r="AK942">
        <v>6600</v>
      </c>
      <c r="AL942" t="s">
        <v>396</v>
      </c>
      <c r="AM942" t="s">
        <v>2969</v>
      </c>
      <c r="AN942">
        <v>46120</v>
      </c>
      <c r="AO942">
        <v>46120.442361111112</v>
      </c>
      <c r="AP942" t="s">
        <v>51</v>
      </c>
      <c r="AQ942">
        <v>0.20003000000000001</v>
      </c>
      <c r="AR942">
        <v>1320.2</v>
      </c>
      <c r="AS942" t="s">
        <v>51</v>
      </c>
      <c r="AT942">
        <v>1320.2</v>
      </c>
      <c r="AU942" t="s">
        <v>415</v>
      </c>
      <c r="AV942" t="s">
        <v>416</v>
      </c>
      <c r="AW942" t="s">
        <v>2937</v>
      </c>
      <c r="AX942">
        <v>46125</v>
      </c>
      <c r="AY942">
        <v>46174</v>
      </c>
      <c r="AZ942" t="s">
        <v>2959</v>
      </c>
      <c r="BA942" t="s">
        <v>560</v>
      </c>
      <c r="BB942" t="s">
        <v>2960</v>
      </c>
      <c r="BC942">
        <v>264</v>
      </c>
      <c r="BD942" t="s">
        <v>521</v>
      </c>
      <c r="BE942">
        <v>5.2203999999999997</v>
      </c>
      <c r="BF942">
        <v>3.8304</v>
      </c>
      <c r="BG942" t="s">
        <v>522</v>
      </c>
      <c r="BH942">
        <v>595</v>
      </c>
      <c r="BI942">
        <v>395</v>
      </c>
      <c r="BJ942">
        <v>175</v>
      </c>
      <c r="BK942">
        <v>25</v>
      </c>
      <c r="BL942" t="s">
        <v>521</v>
      </c>
      <c r="BM942">
        <v>157.5094</v>
      </c>
      <c r="BN942">
        <v>95.759399999999999</v>
      </c>
      <c r="BO942">
        <v>157.5094</v>
      </c>
      <c r="BP942" t="s">
        <v>522</v>
      </c>
      <c r="BQ942">
        <v>1200</v>
      </c>
      <c r="BR942">
        <v>1000</v>
      </c>
      <c r="BS942">
        <v>1035</v>
      </c>
      <c r="BT942">
        <v>1</v>
      </c>
      <c r="BU942">
        <v>0</v>
      </c>
      <c r="BV942">
        <v>1</v>
      </c>
      <c r="BW942">
        <v>25</v>
      </c>
      <c r="BX942">
        <v>0</v>
      </c>
      <c r="BY942">
        <v>25</v>
      </c>
      <c r="BZ942">
        <v>6600</v>
      </c>
      <c r="CA942">
        <v>0</v>
      </c>
      <c r="CB942">
        <v>6600</v>
      </c>
      <c r="CC942">
        <v>95.759399999999999</v>
      </c>
      <c r="CD942" t="s">
        <v>885</v>
      </c>
      <c r="CE942" t="s">
        <v>886</v>
      </c>
      <c r="CG942" t="s">
        <v>421</v>
      </c>
      <c r="CN942" t="str">
        <v>M19</v>
      </c>
      <c r="CO942" t="str">
        <v>1330-5YY0183EN</v>
      </c>
      <c r="CP942" t="str">
        <v>TGBU8955558</v>
      </c>
      <c r="CQ942" s="23">
        <v>1288.4880000000001</v>
      </c>
      <c r="CR942" s="25">
        <f t="shared" si="37"/>
        <v>8.9480695660982393E-2</v>
      </c>
      <c r="CS942" s="21">
        <f t="shared" si="38"/>
        <v>223.70173915245599</v>
      </c>
    </row>
    <row r="943" spans="2:97" x14ac:dyDescent="0.35">
      <c r="B943" t="s">
        <v>296</v>
      </c>
      <c r="C943" t="s">
        <v>2747</v>
      </c>
      <c r="D943" t="s">
        <v>395</v>
      </c>
      <c r="E943" t="s">
        <v>395</v>
      </c>
      <c r="F943" t="s">
        <v>396</v>
      </c>
      <c r="G943" t="s">
        <v>397</v>
      </c>
      <c r="H943" t="s">
        <v>398</v>
      </c>
      <c r="I943" t="s">
        <v>399</v>
      </c>
      <c r="J943" t="s">
        <v>749</v>
      </c>
      <c r="K943" t="s">
        <v>629</v>
      </c>
      <c r="L943" t="s">
        <v>787</v>
      </c>
      <c r="M943" t="s">
        <v>403</v>
      </c>
      <c r="N943">
        <v>1</v>
      </c>
      <c r="O943">
        <v>2</v>
      </c>
      <c r="P943" t="s">
        <v>802</v>
      </c>
      <c r="Q943" t="s">
        <v>405</v>
      </c>
      <c r="R943" t="s">
        <v>803</v>
      </c>
      <c r="S943" t="s">
        <v>804</v>
      </c>
      <c r="T943" t="s">
        <v>408</v>
      </c>
      <c r="U943">
        <v>50950079979</v>
      </c>
      <c r="W943">
        <v>14400</v>
      </c>
      <c r="X943" t="s">
        <v>409</v>
      </c>
      <c r="Y943" t="s">
        <v>410</v>
      </c>
      <c r="Z943" t="s">
        <v>410</v>
      </c>
      <c r="AA943" t="s">
        <v>411</v>
      </c>
      <c r="AB943" t="s">
        <v>769</v>
      </c>
      <c r="AC943" t="s">
        <v>411</v>
      </c>
      <c r="AD943">
        <v>46118</v>
      </c>
      <c r="AE943">
        <v>46167</v>
      </c>
      <c r="AF943">
        <v>46126</v>
      </c>
      <c r="AG943" t="s">
        <v>754</v>
      </c>
      <c r="AH943">
        <v>6178799</v>
      </c>
      <c r="AI943">
        <v>46119</v>
      </c>
      <c r="AJ943">
        <v>46120</v>
      </c>
      <c r="AK943">
        <v>14400</v>
      </c>
      <c r="AL943" t="s">
        <v>396</v>
      </c>
      <c r="AM943" t="s">
        <v>2970</v>
      </c>
      <c r="AN943">
        <v>46120</v>
      </c>
      <c r="AO943">
        <v>46120.442361111112</v>
      </c>
      <c r="AP943" t="s">
        <v>51</v>
      </c>
      <c r="AQ943">
        <v>0.31907000000000002</v>
      </c>
      <c r="AR943">
        <v>4594.6099999999997</v>
      </c>
      <c r="AS943" t="s">
        <v>51</v>
      </c>
      <c r="AT943">
        <v>4594.6099999999997</v>
      </c>
      <c r="AU943" t="s">
        <v>415</v>
      </c>
      <c r="AV943" t="s">
        <v>416</v>
      </c>
      <c r="AW943" t="s">
        <v>2937</v>
      </c>
      <c r="AX943">
        <v>46125</v>
      </c>
      <c r="AY943">
        <v>46174</v>
      </c>
      <c r="AZ943" t="s">
        <v>2959</v>
      </c>
      <c r="BA943" t="s">
        <v>560</v>
      </c>
      <c r="BB943" t="s">
        <v>2960</v>
      </c>
      <c r="BC943">
        <v>288</v>
      </c>
      <c r="BD943" t="s">
        <v>521</v>
      </c>
      <c r="BE943">
        <v>13.2311</v>
      </c>
      <c r="BF943">
        <v>11.8161</v>
      </c>
      <c r="BG943" t="s">
        <v>522</v>
      </c>
      <c r="BH943">
        <v>395</v>
      </c>
      <c r="BI943">
        <v>295</v>
      </c>
      <c r="BJ943">
        <v>160</v>
      </c>
      <c r="BK943">
        <v>60</v>
      </c>
      <c r="BL943" t="s">
        <v>521</v>
      </c>
      <c r="BM943">
        <v>688.55319999999995</v>
      </c>
      <c r="BN943">
        <v>590.80319999999995</v>
      </c>
      <c r="BO943">
        <v>688.55319999999995</v>
      </c>
      <c r="BP943" t="s">
        <v>522</v>
      </c>
      <c r="BQ943">
        <v>1200</v>
      </c>
      <c r="BR943">
        <v>1000</v>
      </c>
      <c r="BS943">
        <v>1120</v>
      </c>
      <c r="BT943">
        <v>0</v>
      </c>
      <c r="BU943">
        <v>1</v>
      </c>
      <c r="BV943">
        <v>1</v>
      </c>
      <c r="BW943">
        <v>50</v>
      </c>
      <c r="BX943">
        <v>0</v>
      </c>
      <c r="BY943">
        <v>50</v>
      </c>
      <c r="BZ943">
        <v>0</v>
      </c>
      <c r="CA943">
        <v>14400</v>
      </c>
      <c r="CB943">
        <v>14400</v>
      </c>
      <c r="CC943">
        <v>590.80319999999995</v>
      </c>
      <c r="CD943" t="s">
        <v>806</v>
      </c>
      <c r="CE943" t="s">
        <v>807</v>
      </c>
      <c r="CG943" t="s">
        <v>421</v>
      </c>
      <c r="CN943" t="str">
        <v>MCS</v>
      </c>
      <c r="CO943" t="str">
        <v>1326-5YY0036EN</v>
      </c>
      <c r="CP943" t="str">
        <v>TGBU8955558</v>
      </c>
      <c r="CQ943" s="23">
        <v>48.875</v>
      </c>
      <c r="CR943" s="25">
        <f t="shared" si="37"/>
        <v>3.3941868301687827E-3</v>
      </c>
      <c r="CS943" s="21">
        <f t="shared" si="38"/>
        <v>8.4854670754219566</v>
      </c>
    </row>
    <row r="944" spans="2:97" x14ac:dyDescent="0.35">
      <c r="B944" t="s">
        <v>299</v>
      </c>
      <c r="C944" t="s">
        <v>1380</v>
      </c>
      <c r="D944" t="s">
        <v>965</v>
      </c>
      <c r="E944" t="s">
        <v>395</v>
      </c>
      <c r="F944" t="s">
        <v>396</v>
      </c>
      <c r="G944" t="s">
        <v>397</v>
      </c>
      <c r="H944" t="s">
        <v>398</v>
      </c>
      <c r="I944" t="s">
        <v>399</v>
      </c>
      <c r="J944" t="s">
        <v>749</v>
      </c>
      <c r="K944" t="s">
        <v>809</v>
      </c>
      <c r="L944" t="s">
        <v>787</v>
      </c>
      <c r="M944" t="s">
        <v>403</v>
      </c>
      <c r="N944">
        <v>1</v>
      </c>
      <c r="O944">
        <v>22</v>
      </c>
      <c r="P944" t="s">
        <v>810</v>
      </c>
      <c r="Q944" t="s">
        <v>405</v>
      </c>
      <c r="R944" t="s">
        <v>811</v>
      </c>
      <c r="S944" t="s">
        <v>812</v>
      </c>
      <c r="T944" t="s">
        <v>408</v>
      </c>
      <c r="U944">
        <v>50950080270</v>
      </c>
      <c r="W944">
        <v>1440</v>
      </c>
      <c r="X944" t="s">
        <v>409</v>
      </c>
      <c r="Y944" t="s">
        <v>410</v>
      </c>
      <c r="Z944" t="s">
        <v>410</v>
      </c>
      <c r="AA944" t="s">
        <v>411</v>
      </c>
      <c r="AB944" t="s">
        <v>769</v>
      </c>
      <c r="AC944" t="s">
        <v>411</v>
      </c>
      <c r="AD944">
        <v>46116</v>
      </c>
      <c r="AE944">
        <v>46125</v>
      </c>
      <c r="AF944">
        <v>46126</v>
      </c>
      <c r="AG944" t="s">
        <v>754</v>
      </c>
      <c r="AH944">
        <v>6178800</v>
      </c>
      <c r="AI944">
        <v>46119</v>
      </c>
      <c r="AJ944">
        <v>46120</v>
      </c>
      <c r="AK944">
        <v>1440</v>
      </c>
      <c r="AL944" t="s">
        <v>396</v>
      </c>
      <c r="AM944" t="s">
        <v>2971</v>
      </c>
      <c r="AN944">
        <v>46120</v>
      </c>
      <c r="AO944">
        <v>46120.442361111112</v>
      </c>
      <c r="AP944" t="s">
        <v>51</v>
      </c>
      <c r="AQ944">
        <v>2.0436299999999998</v>
      </c>
      <c r="AR944">
        <v>2942.82</v>
      </c>
      <c r="AS944" t="s">
        <v>51</v>
      </c>
      <c r="AT944">
        <v>2942.82</v>
      </c>
      <c r="AU944" t="s">
        <v>415</v>
      </c>
      <c r="AV944" t="s">
        <v>416</v>
      </c>
      <c r="AW944" t="s">
        <v>2937</v>
      </c>
      <c r="AX944">
        <v>46125</v>
      </c>
      <c r="AY944">
        <v>46174</v>
      </c>
      <c r="AZ944" t="s">
        <v>2959</v>
      </c>
      <c r="BA944" t="s">
        <v>560</v>
      </c>
      <c r="BB944" t="s">
        <v>2960</v>
      </c>
      <c r="BC944">
        <v>16</v>
      </c>
      <c r="BD944" t="s">
        <v>521</v>
      </c>
      <c r="BE944">
        <v>4.9545000000000003</v>
      </c>
      <c r="BF944">
        <v>3.7555000000000001</v>
      </c>
      <c r="BG944" t="s">
        <v>522</v>
      </c>
      <c r="BH944">
        <v>495</v>
      </c>
      <c r="BI944">
        <v>395</v>
      </c>
      <c r="BJ944">
        <v>190</v>
      </c>
      <c r="BK944">
        <v>30</v>
      </c>
      <c r="BL944" t="s">
        <v>521</v>
      </c>
      <c r="BM944">
        <v>175.63499999999999</v>
      </c>
      <c r="BN944">
        <v>112.66500000000001</v>
      </c>
      <c r="BO944">
        <v>526.90679999999998</v>
      </c>
      <c r="BP944" t="s">
        <v>522</v>
      </c>
      <c r="BQ944">
        <v>1200</v>
      </c>
      <c r="BR944">
        <v>1000</v>
      </c>
      <c r="BS944">
        <v>1120</v>
      </c>
      <c r="BT944">
        <v>3</v>
      </c>
      <c r="BU944">
        <v>0</v>
      </c>
      <c r="BV944">
        <v>3</v>
      </c>
      <c r="BW944">
        <v>90</v>
      </c>
      <c r="BX944">
        <v>0</v>
      </c>
      <c r="BY944">
        <v>90</v>
      </c>
      <c r="BZ944">
        <v>1440</v>
      </c>
      <c r="CA944">
        <v>0</v>
      </c>
      <c r="CB944">
        <v>1440</v>
      </c>
      <c r="CC944">
        <v>337.99680000000001</v>
      </c>
      <c r="CD944" t="s">
        <v>806</v>
      </c>
      <c r="CE944" t="s">
        <v>816</v>
      </c>
      <c r="CG944" t="s">
        <v>421</v>
      </c>
      <c r="CN944" t="str">
        <v>MCS</v>
      </c>
      <c r="CO944" t="str">
        <v>1326-5YY0039EN</v>
      </c>
      <c r="CP944" t="str">
        <v>TGBU8955558</v>
      </c>
      <c r="CQ944" s="23">
        <v>76.675799999999995</v>
      </c>
      <c r="CR944" s="25">
        <f t="shared" si="37"/>
        <v>5.3248489115632841E-3</v>
      </c>
      <c r="CS944" s="21">
        <f t="shared" si="38"/>
        <v>13.312122278908211</v>
      </c>
    </row>
    <row r="945" spans="2:97" x14ac:dyDescent="0.35">
      <c r="B945" t="s">
        <v>299</v>
      </c>
      <c r="C945" t="s">
        <v>2698</v>
      </c>
      <c r="D945" t="s">
        <v>395</v>
      </c>
      <c r="E945" t="s">
        <v>823</v>
      </c>
      <c r="F945" t="s">
        <v>396</v>
      </c>
      <c r="G945" t="s">
        <v>397</v>
      </c>
      <c r="H945" t="s">
        <v>398</v>
      </c>
      <c r="I945" t="s">
        <v>399</v>
      </c>
      <c r="J945" t="s">
        <v>749</v>
      </c>
      <c r="K945" t="s">
        <v>809</v>
      </c>
      <c r="L945" t="s">
        <v>787</v>
      </c>
      <c r="M945" t="s">
        <v>403</v>
      </c>
      <c r="N945">
        <v>1</v>
      </c>
      <c r="O945">
        <v>3</v>
      </c>
      <c r="P945" t="s">
        <v>824</v>
      </c>
      <c r="Q945" t="s">
        <v>424</v>
      </c>
      <c r="R945" t="s">
        <v>811</v>
      </c>
      <c r="S945" t="s">
        <v>825</v>
      </c>
      <c r="T945" t="s">
        <v>408</v>
      </c>
      <c r="U945">
        <v>50950081268</v>
      </c>
      <c r="W945">
        <v>1440</v>
      </c>
      <c r="X945" t="s">
        <v>409</v>
      </c>
      <c r="Y945" t="s">
        <v>410</v>
      </c>
      <c r="Z945" t="s">
        <v>410</v>
      </c>
      <c r="AA945" t="s">
        <v>411</v>
      </c>
      <c r="AB945" t="s">
        <v>769</v>
      </c>
      <c r="AC945" t="s">
        <v>411</v>
      </c>
      <c r="AD945">
        <v>46102</v>
      </c>
      <c r="AE945">
        <v>46160</v>
      </c>
      <c r="AF945">
        <v>46126</v>
      </c>
      <c r="AG945" t="s">
        <v>754</v>
      </c>
      <c r="AH945">
        <v>6178801</v>
      </c>
      <c r="AI945">
        <v>46119</v>
      </c>
      <c r="AJ945">
        <v>46120</v>
      </c>
      <c r="AK945">
        <v>1440</v>
      </c>
      <c r="AL945" t="s">
        <v>396</v>
      </c>
      <c r="AM945" t="s">
        <v>2972</v>
      </c>
      <c r="AN945">
        <v>46120</v>
      </c>
      <c r="AO945">
        <v>46120.442361111112</v>
      </c>
      <c r="AP945" t="s">
        <v>51</v>
      </c>
      <c r="AQ945">
        <v>1.3411999999999999</v>
      </c>
      <c r="AR945">
        <v>1931.33</v>
      </c>
      <c r="AS945" t="s">
        <v>51</v>
      </c>
      <c r="AT945">
        <v>1931.33</v>
      </c>
      <c r="AU945" t="s">
        <v>415</v>
      </c>
      <c r="AV945" t="s">
        <v>416</v>
      </c>
      <c r="AW945" t="s">
        <v>2937</v>
      </c>
      <c r="AX945">
        <v>46125</v>
      </c>
      <c r="AY945">
        <v>46174</v>
      </c>
      <c r="AZ945" t="s">
        <v>2959</v>
      </c>
      <c r="BA945" t="s">
        <v>560</v>
      </c>
      <c r="BB945" t="s">
        <v>2960</v>
      </c>
      <c r="BC945">
        <v>48</v>
      </c>
      <c r="BD945" t="s">
        <v>521</v>
      </c>
      <c r="BE945">
        <v>8.2250999999999994</v>
      </c>
      <c r="BF945">
        <v>6.7651000000000003</v>
      </c>
      <c r="BG945" t="s">
        <v>522</v>
      </c>
      <c r="BH945">
        <v>495</v>
      </c>
      <c r="BI945">
        <v>395</v>
      </c>
      <c r="BJ945">
        <v>190</v>
      </c>
      <c r="BK945">
        <v>30</v>
      </c>
      <c r="BL945" t="s">
        <v>521</v>
      </c>
      <c r="BM945">
        <v>273.75360000000001</v>
      </c>
      <c r="BN945">
        <v>202.95359999999999</v>
      </c>
      <c r="BO945">
        <v>273.75360000000001</v>
      </c>
      <c r="BP945" t="s">
        <v>522</v>
      </c>
      <c r="BQ945">
        <v>1200</v>
      </c>
      <c r="BR945">
        <v>1000</v>
      </c>
      <c r="BS945">
        <v>1120</v>
      </c>
      <c r="BT945">
        <v>1</v>
      </c>
      <c r="BU945">
        <v>0</v>
      </c>
      <c r="BV945">
        <v>1</v>
      </c>
      <c r="BW945">
        <v>30</v>
      </c>
      <c r="BX945">
        <v>0</v>
      </c>
      <c r="BY945">
        <v>30</v>
      </c>
      <c r="BZ945">
        <v>1440</v>
      </c>
      <c r="CA945">
        <v>0</v>
      </c>
      <c r="CB945">
        <v>1440</v>
      </c>
      <c r="CC945">
        <v>202.95359999999999</v>
      </c>
      <c r="CD945" t="s">
        <v>806</v>
      </c>
      <c r="CE945" t="s">
        <v>821</v>
      </c>
      <c r="CG945" t="s">
        <v>421</v>
      </c>
      <c r="CN945" t="str">
        <v>M19</v>
      </c>
      <c r="CO945" t="str">
        <v>1330-5YY0112EN</v>
      </c>
      <c r="CP945" t="str">
        <v>TGBU8955558</v>
      </c>
      <c r="CQ945" s="23">
        <v>2073.4795199999999</v>
      </c>
      <c r="CR945" s="25">
        <f t="shared" si="37"/>
        <v>0.14399543487281202</v>
      </c>
      <c r="CS945" s="21">
        <f t="shared" si="38"/>
        <v>359.98858718203007</v>
      </c>
    </row>
    <row r="946" spans="2:97" x14ac:dyDescent="0.35">
      <c r="B946" t="s">
        <v>299</v>
      </c>
      <c r="C946" t="s">
        <v>2766</v>
      </c>
      <c r="D946" t="s">
        <v>395</v>
      </c>
      <c r="E946" t="s">
        <v>395</v>
      </c>
      <c r="F946" t="s">
        <v>396</v>
      </c>
      <c r="G946" t="s">
        <v>397</v>
      </c>
      <c r="H946" t="s">
        <v>398</v>
      </c>
      <c r="I946" t="s">
        <v>399</v>
      </c>
      <c r="J946" t="s">
        <v>749</v>
      </c>
      <c r="K946" t="s">
        <v>845</v>
      </c>
      <c r="L946" t="s">
        <v>787</v>
      </c>
      <c r="M946" t="s">
        <v>403</v>
      </c>
      <c r="N946">
        <v>1</v>
      </c>
      <c r="O946">
        <v>4</v>
      </c>
      <c r="P946" t="s">
        <v>853</v>
      </c>
      <c r="Q946" t="s">
        <v>789</v>
      </c>
      <c r="R946" t="s">
        <v>847</v>
      </c>
      <c r="S946" t="s">
        <v>854</v>
      </c>
      <c r="T946" t="s">
        <v>408</v>
      </c>
      <c r="U946">
        <v>50950081281</v>
      </c>
      <c r="W946">
        <v>4752</v>
      </c>
      <c r="X946" t="s">
        <v>409</v>
      </c>
      <c r="Y946" t="s">
        <v>410</v>
      </c>
      <c r="Z946" t="s">
        <v>410</v>
      </c>
      <c r="AA946" t="s">
        <v>411</v>
      </c>
      <c r="AB946" t="s">
        <v>769</v>
      </c>
      <c r="AC946" t="s">
        <v>411</v>
      </c>
      <c r="AD946">
        <v>46109</v>
      </c>
      <c r="AE946">
        <v>46167</v>
      </c>
      <c r="AF946">
        <v>46126</v>
      </c>
      <c r="AG946" t="s">
        <v>754</v>
      </c>
      <c r="AH946">
        <v>6178802</v>
      </c>
      <c r="AI946">
        <v>46119</v>
      </c>
      <c r="AJ946">
        <v>46120</v>
      </c>
      <c r="AK946">
        <v>4752</v>
      </c>
      <c r="AL946" t="s">
        <v>396</v>
      </c>
      <c r="AM946" t="s">
        <v>2973</v>
      </c>
      <c r="AN946">
        <v>46120</v>
      </c>
      <c r="AO946">
        <v>46120.442361111112</v>
      </c>
      <c r="AP946" t="s">
        <v>51</v>
      </c>
      <c r="AQ946">
        <v>0.83796999999999999</v>
      </c>
      <c r="AR946">
        <v>3982.04</v>
      </c>
      <c r="AS946" t="s">
        <v>51</v>
      </c>
      <c r="AT946">
        <v>3982.04</v>
      </c>
      <c r="AU946" t="s">
        <v>415</v>
      </c>
      <c r="AV946" t="s">
        <v>416</v>
      </c>
      <c r="AW946" t="s">
        <v>2937</v>
      </c>
      <c r="AX946">
        <v>46125</v>
      </c>
      <c r="AY946">
        <v>46174</v>
      </c>
      <c r="AZ946" t="s">
        <v>2959</v>
      </c>
      <c r="BA946" t="s">
        <v>560</v>
      </c>
      <c r="BB946" t="s">
        <v>2960</v>
      </c>
      <c r="BC946">
        <v>33</v>
      </c>
      <c r="BD946" t="s">
        <v>521</v>
      </c>
      <c r="BE946">
        <v>12.9557</v>
      </c>
      <c r="BF946">
        <v>12.005699999999999</v>
      </c>
      <c r="BG946" t="s">
        <v>522</v>
      </c>
      <c r="BH946">
        <v>495</v>
      </c>
      <c r="BI946">
        <v>395</v>
      </c>
      <c r="BJ946">
        <v>150</v>
      </c>
      <c r="BK946">
        <v>36</v>
      </c>
      <c r="BL946" t="s">
        <v>521</v>
      </c>
      <c r="BM946">
        <v>493.40519999999998</v>
      </c>
      <c r="BN946">
        <v>432.20519999999999</v>
      </c>
      <c r="BO946">
        <v>1973.6251199999999</v>
      </c>
      <c r="BP946" t="s">
        <v>522</v>
      </c>
      <c r="BQ946">
        <v>1200</v>
      </c>
      <c r="BR946">
        <v>1000</v>
      </c>
      <c r="BS946">
        <v>1053</v>
      </c>
      <c r="BT946">
        <v>4</v>
      </c>
      <c r="BU946">
        <v>0</v>
      </c>
      <c r="BV946">
        <v>4</v>
      </c>
      <c r="BW946">
        <v>144</v>
      </c>
      <c r="BX946">
        <v>0</v>
      </c>
      <c r="BY946">
        <v>144</v>
      </c>
      <c r="BZ946">
        <v>4752</v>
      </c>
      <c r="CA946">
        <v>0</v>
      </c>
      <c r="CB946">
        <v>4752</v>
      </c>
      <c r="CC946">
        <v>1728.82512</v>
      </c>
      <c r="CD946" t="s">
        <v>856</v>
      </c>
      <c r="CE946" t="s">
        <v>857</v>
      </c>
      <c r="CG946" t="s">
        <v>421</v>
      </c>
      <c r="CN946" t="str">
        <v>M46</v>
      </c>
      <c r="CO946" t="str">
        <v>1318-EQN0001EN</v>
      </c>
      <c r="CP946" t="str">
        <v>TGBU8955558</v>
      </c>
      <c r="CQ946" s="23">
        <v>31.702000000000002</v>
      </c>
      <c r="CR946" s="25">
        <f t="shared" si="37"/>
        <v>2.2015859005628797E-3</v>
      </c>
      <c r="CS946" s="21">
        <f t="shared" si="38"/>
        <v>5.5039647514071994</v>
      </c>
    </row>
    <row r="947" spans="2:97" x14ac:dyDescent="0.35">
      <c r="B947" t="s">
        <v>296</v>
      </c>
      <c r="C947" t="s">
        <v>2808</v>
      </c>
      <c r="D947" t="s">
        <v>395</v>
      </c>
      <c r="E947" t="s">
        <v>395</v>
      </c>
      <c r="F947" t="s">
        <v>396</v>
      </c>
      <c r="G947" t="s">
        <v>397</v>
      </c>
      <c r="H947" t="s">
        <v>398</v>
      </c>
      <c r="I947" t="s">
        <v>399</v>
      </c>
      <c r="J947" t="s">
        <v>749</v>
      </c>
      <c r="K947" t="s">
        <v>629</v>
      </c>
      <c r="L947" t="s">
        <v>787</v>
      </c>
      <c r="M947" t="s">
        <v>403</v>
      </c>
      <c r="N947">
        <v>1</v>
      </c>
      <c r="O947">
        <v>1</v>
      </c>
      <c r="P947" t="s">
        <v>838</v>
      </c>
      <c r="Q947" t="s">
        <v>424</v>
      </c>
      <c r="R947" t="s">
        <v>839</v>
      </c>
      <c r="S947" t="s">
        <v>840</v>
      </c>
      <c r="T947" t="s">
        <v>408</v>
      </c>
      <c r="U947">
        <v>50950081433</v>
      </c>
      <c r="W947">
        <v>57120</v>
      </c>
      <c r="X947" t="s">
        <v>409</v>
      </c>
      <c r="Y947" t="s">
        <v>410</v>
      </c>
      <c r="Z947" t="s">
        <v>410</v>
      </c>
      <c r="AA947" t="s">
        <v>411</v>
      </c>
      <c r="AB947" t="s">
        <v>769</v>
      </c>
      <c r="AC947" t="s">
        <v>411</v>
      </c>
      <c r="AD947">
        <v>46123</v>
      </c>
      <c r="AE947">
        <v>46181</v>
      </c>
      <c r="AF947">
        <v>46126</v>
      </c>
      <c r="AG947" t="s">
        <v>754</v>
      </c>
      <c r="AH947">
        <v>6178803</v>
      </c>
      <c r="AI947">
        <v>46119</v>
      </c>
      <c r="AJ947">
        <v>46120</v>
      </c>
      <c r="AK947">
        <v>57120</v>
      </c>
      <c r="AL947" t="s">
        <v>396</v>
      </c>
      <c r="AM947" t="s">
        <v>2974</v>
      </c>
      <c r="AN947">
        <v>46120</v>
      </c>
      <c r="AO947">
        <v>46120.442361111112</v>
      </c>
      <c r="AP947" t="s">
        <v>51</v>
      </c>
      <c r="AQ947">
        <v>0.12119000000000001</v>
      </c>
      <c r="AR947">
        <v>6922.4</v>
      </c>
      <c r="AS947" t="s">
        <v>51</v>
      </c>
      <c r="AT947">
        <v>6922.4</v>
      </c>
      <c r="AU947" t="s">
        <v>415</v>
      </c>
      <c r="AV947" t="s">
        <v>416</v>
      </c>
      <c r="AW947" t="s">
        <v>2937</v>
      </c>
      <c r="AX947">
        <v>46125</v>
      </c>
      <c r="AY947">
        <v>46174</v>
      </c>
      <c r="AZ947" t="s">
        <v>2959</v>
      </c>
      <c r="BA947" t="s">
        <v>560</v>
      </c>
      <c r="BB947" t="s">
        <v>2960</v>
      </c>
      <c r="BC947">
        <v>280</v>
      </c>
      <c r="BD947" t="s">
        <v>521</v>
      </c>
      <c r="BE947">
        <v>8.6920999999999999</v>
      </c>
      <c r="BF947">
        <v>7.1620999999999997</v>
      </c>
      <c r="BG947" t="s">
        <v>522</v>
      </c>
      <c r="BH947">
        <v>595</v>
      </c>
      <c r="BI947">
        <v>495</v>
      </c>
      <c r="BJ947">
        <v>310</v>
      </c>
      <c r="BK947">
        <v>12</v>
      </c>
      <c r="BL947" t="s">
        <v>521</v>
      </c>
      <c r="BM947">
        <v>131.30520000000001</v>
      </c>
      <c r="BN947">
        <v>85.9452</v>
      </c>
      <c r="BO947">
        <v>2232.1924800000002</v>
      </c>
      <c r="BP947" t="s">
        <v>522</v>
      </c>
      <c r="BQ947">
        <v>1200</v>
      </c>
      <c r="BR947">
        <v>1000</v>
      </c>
      <c r="BS947">
        <v>1088</v>
      </c>
      <c r="BT947">
        <v>17</v>
      </c>
      <c r="BU947">
        <v>0</v>
      </c>
      <c r="BV947">
        <v>17</v>
      </c>
      <c r="BW947">
        <v>204</v>
      </c>
      <c r="BX947">
        <v>0</v>
      </c>
      <c r="BY947">
        <v>204</v>
      </c>
      <c r="BZ947">
        <v>57120</v>
      </c>
      <c r="CA947">
        <v>0</v>
      </c>
      <c r="CB947">
        <v>57120</v>
      </c>
      <c r="CC947">
        <v>1461.07248</v>
      </c>
      <c r="CD947" t="s">
        <v>842</v>
      </c>
      <c r="CE947" t="s">
        <v>843</v>
      </c>
      <c r="CG947" t="s">
        <v>421</v>
      </c>
      <c r="CN947" t="str">
        <v>M01</v>
      </c>
      <c r="CO947" t="str">
        <v>1108-0033100EN0018</v>
      </c>
      <c r="CP947" t="str">
        <v>TGBU8955558</v>
      </c>
      <c r="CQ947" s="23">
        <v>17.655999999999999</v>
      </c>
      <c r="CR947" s="25">
        <f t="shared" si="37"/>
        <v>1.2261434818099236E-3</v>
      </c>
      <c r="CS947" s="21">
        <f t="shared" si="38"/>
        <v>3.065358704524809</v>
      </c>
    </row>
    <row r="948" spans="2:97" x14ac:dyDescent="0.35">
      <c r="B948" t="s">
        <v>299</v>
      </c>
      <c r="C948" t="s">
        <v>2975</v>
      </c>
      <c r="D948" t="s">
        <v>395</v>
      </c>
      <c r="E948" t="s">
        <v>395</v>
      </c>
      <c r="F948" t="s">
        <v>396</v>
      </c>
      <c r="G948" t="s">
        <v>397</v>
      </c>
      <c r="H948" t="s">
        <v>398</v>
      </c>
      <c r="I948" t="s">
        <v>399</v>
      </c>
      <c r="J948" t="s">
        <v>749</v>
      </c>
      <c r="K948" t="s">
        <v>809</v>
      </c>
      <c r="L948" t="s">
        <v>787</v>
      </c>
      <c r="M948" t="s">
        <v>403</v>
      </c>
      <c r="N948">
        <v>1</v>
      </c>
      <c r="O948">
        <v>1</v>
      </c>
      <c r="P948" t="s">
        <v>1171</v>
      </c>
      <c r="Q948" t="s">
        <v>424</v>
      </c>
      <c r="R948" t="s">
        <v>811</v>
      </c>
      <c r="S948" t="s">
        <v>1172</v>
      </c>
      <c r="T948" t="s">
        <v>408</v>
      </c>
      <c r="U948">
        <v>50950082145</v>
      </c>
      <c r="W948">
        <v>480</v>
      </c>
      <c r="X948" t="s">
        <v>409</v>
      </c>
      <c r="Y948" t="s">
        <v>410</v>
      </c>
      <c r="Z948" t="s">
        <v>410</v>
      </c>
      <c r="AA948" t="s">
        <v>411</v>
      </c>
      <c r="AB948" t="s">
        <v>769</v>
      </c>
      <c r="AC948" t="s">
        <v>411</v>
      </c>
      <c r="AD948">
        <v>46109</v>
      </c>
      <c r="AE948">
        <v>46167</v>
      </c>
      <c r="AF948">
        <v>46126</v>
      </c>
      <c r="AG948" t="s">
        <v>754</v>
      </c>
      <c r="AH948">
        <v>6178804</v>
      </c>
      <c r="AI948">
        <v>46119</v>
      </c>
      <c r="AJ948">
        <v>46120</v>
      </c>
      <c r="AK948">
        <v>480</v>
      </c>
      <c r="AL948" t="s">
        <v>396</v>
      </c>
      <c r="AM948" t="s">
        <v>2976</v>
      </c>
      <c r="AN948">
        <v>46120</v>
      </c>
      <c r="AO948">
        <v>46120.442361111112</v>
      </c>
      <c r="AP948" t="s">
        <v>51</v>
      </c>
      <c r="AQ948">
        <v>2.47784</v>
      </c>
      <c r="AR948">
        <v>1189.3599999999999</v>
      </c>
      <c r="AS948" t="s">
        <v>51</v>
      </c>
      <c r="AT948">
        <v>1189.3599999999999</v>
      </c>
      <c r="AU948" t="s">
        <v>415</v>
      </c>
      <c r="AV948" t="s">
        <v>416</v>
      </c>
      <c r="AW948" t="s">
        <v>2937</v>
      </c>
      <c r="AX948">
        <v>46125</v>
      </c>
      <c r="AY948">
        <v>46174</v>
      </c>
      <c r="AZ948" t="s">
        <v>2959</v>
      </c>
      <c r="BA948" t="s">
        <v>560</v>
      </c>
      <c r="BB948" t="s">
        <v>2960</v>
      </c>
      <c r="BC948">
        <v>16</v>
      </c>
      <c r="BD948" t="s">
        <v>521</v>
      </c>
      <c r="BE948">
        <v>6.3556999999999997</v>
      </c>
      <c r="BF948">
        <v>5.1566999999999998</v>
      </c>
      <c r="BG948" t="s">
        <v>522</v>
      </c>
      <c r="BH948">
        <v>495</v>
      </c>
      <c r="BI948">
        <v>395</v>
      </c>
      <c r="BJ948">
        <v>190</v>
      </c>
      <c r="BK948">
        <v>30</v>
      </c>
      <c r="BL948" t="s">
        <v>521</v>
      </c>
      <c r="BM948">
        <v>217.67016000000001</v>
      </c>
      <c r="BN948">
        <v>154.70016000000001</v>
      </c>
      <c r="BO948">
        <v>217.67016000000001</v>
      </c>
      <c r="BP948" t="s">
        <v>522</v>
      </c>
      <c r="BQ948">
        <v>1200</v>
      </c>
      <c r="BR948">
        <v>1000</v>
      </c>
      <c r="BS948">
        <v>1120</v>
      </c>
      <c r="BT948">
        <v>1</v>
      </c>
      <c r="BU948">
        <v>0</v>
      </c>
      <c r="BV948">
        <v>1</v>
      </c>
      <c r="BW948">
        <v>30</v>
      </c>
      <c r="BX948">
        <v>0</v>
      </c>
      <c r="BY948">
        <v>30</v>
      </c>
      <c r="BZ948">
        <v>480</v>
      </c>
      <c r="CA948">
        <v>0</v>
      </c>
      <c r="CB948">
        <v>480</v>
      </c>
      <c r="CC948">
        <v>154.70016000000001</v>
      </c>
      <c r="CD948" t="s">
        <v>806</v>
      </c>
      <c r="CE948" t="s">
        <v>816</v>
      </c>
      <c r="CG948" t="s">
        <v>421</v>
      </c>
      <c r="CN948" t="str">
        <v>MCS</v>
      </c>
      <c r="CO948" t="str">
        <v>1205-1030761EN</v>
      </c>
      <c r="CP948" t="str">
        <v>TGBU8955558</v>
      </c>
      <c r="CQ948" s="23">
        <v>93.283100000000005</v>
      </c>
      <c r="CR948" s="25">
        <f t="shared" si="37"/>
        <v>6.4781640817865487E-3</v>
      </c>
      <c r="CS948" s="21">
        <f t="shared" si="38"/>
        <v>16.195410204466373</v>
      </c>
    </row>
    <row r="949" spans="2:97" x14ac:dyDescent="0.35">
      <c r="B949" t="s">
        <v>295</v>
      </c>
      <c r="C949" t="s">
        <v>2977</v>
      </c>
      <c r="D949" t="s">
        <v>575</v>
      </c>
      <c r="E949" t="s">
        <v>395</v>
      </c>
      <c r="F949" t="s">
        <v>396</v>
      </c>
      <c r="G949" t="s">
        <v>397</v>
      </c>
      <c r="H949" t="s">
        <v>398</v>
      </c>
      <c r="I949" t="s">
        <v>399</v>
      </c>
      <c r="J949" t="s">
        <v>749</v>
      </c>
      <c r="K949" t="s">
        <v>566</v>
      </c>
      <c r="L949" t="s">
        <v>2978</v>
      </c>
      <c r="M949" t="s">
        <v>751</v>
      </c>
      <c r="N949">
        <v>1</v>
      </c>
      <c r="O949">
        <v>1</v>
      </c>
      <c r="P949" t="s">
        <v>2979</v>
      </c>
      <c r="Q949" t="s">
        <v>637</v>
      </c>
      <c r="R949" t="s">
        <v>552</v>
      </c>
      <c r="S949" t="s">
        <v>569</v>
      </c>
      <c r="T949" t="s">
        <v>408</v>
      </c>
      <c r="U949">
        <v>50950082653</v>
      </c>
      <c r="W949">
        <v>25650</v>
      </c>
      <c r="X949" t="s">
        <v>448</v>
      </c>
      <c r="Y949" t="s">
        <v>410</v>
      </c>
      <c r="Z949" t="s">
        <v>410</v>
      </c>
      <c r="AA949" t="s">
        <v>411</v>
      </c>
      <c r="AB949" t="s">
        <v>412</v>
      </c>
      <c r="AC949" t="s">
        <v>411</v>
      </c>
      <c r="AD949">
        <v>46119</v>
      </c>
      <c r="AE949">
        <v>46111</v>
      </c>
      <c r="AF949">
        <v>46122</v>
      </c>
      <c r="AG949" t="s">
        <v>2980</v>
      </c>
      <c r="AH949">
        <v>6178901</v>
      </c>
      <c r="AI949">
        <v>46119</v>
      </c>
      <c r="AJ949">
        <v>46120</v>
      </c>
      <c r="AK949">
        <v>25650</v>
      </c>
      <c r="AL949" t="s">
        <v>396</v>
      </c>
      <c r="AM949" t="s">
        <v>2981</v>
      </c>
      <c r="AN949">
        <v>46120</v>
      </c>
      <c r="AO949">
        <v>46120.405370370368</v>
      </c>
      <c r="AP949" t="s">
        <v>51</v>
      </c>
      <c r="AQ949">
        <v>0.51249</v>
      </c>
      <c r="AR949">
        <v>13145.37</v>
      </c>
      <c r="AS949" t="s">
        <v>51</v>
      </c>
      <c r="AT949">
        <v>13145.37</v>
      </c>
      <c r="AU949" t="s">
        <v>450</v>
      </c>
      <c r="AV949" t="s">
        <v>1597</v>
      </c>
      <c r="AW949" t="s">
        <v>451</v>
      </c>
      <c r="AX949">
        <v>46122</v>
      </c>
      <c r="AY949">
        <v>46127</v>
      </c>
      <c r="BA949" t="s">
        <v>448</v>
      </c>
      <c r="BB949" t="s">
        <v>2982</v>
      </c>
      <c r="BC949">
        <v>1350</v>
      </c>
      <c r="BD949" t="s">
        <v>521</v>
      </c>
      <c r="BE949">
        <v>27.267299999999999</v>
      </c>
      <c r="BF949">
        <v>17.597300000000001</v>
      </c>
      <c r="BG949" t="s">
        <v>522</v>
      </c>
      <c r="BH949">
        <v>760</v>
      </c>
      <c r="BI949">
        <v>320</v>
      </c>
      <c r="BJ949">
        <v>190</v>
      </c>
      <c r="BK949">
        <v>15</v>
      </c>
      <c r="BL949" t="s">
        <v>521</v>
      </c>
      <c r="BM949">
        <v>429.0095</v>
      </c>
      <c r="BN949">
        <v>263.95949999999999</v>
      </c>
      <c r="BO949">
        <v>558.07775000000004</v>
      </c>
      <c r="BP949" t="s">
        <v>522</v>
      </c>
      <c r="BQ949">
        <v>1070</v>
      </c>
      <c r="BR949">
        <v>750</v>
      </c>
      <c r="BS949">
        <v>1100</v>
      </c>
      <c r="BT949">
        <v>1</v>
      </c>
      <c r="BU949">
        <v>1</v>
      </c>
      <c r="BV949">
        <v>2</v>
      </c>
      <c r="BW949">
        <v>19</v>
      </c>
      <c r="BX949">
        <v>0</v>
      </c>
      <c r="BY949">
        <v>19</v>
      </c>
      <c r="BZ949">
        <v>20250</v>
      </c>
      <c r="CA949">
        <v>5400</v>
      </c>
      <c r="CB949">
        <v>25650</v>
      </c>
      <c r="CC949">
        <v>334.34775000000002</v>
      </c>
      <c r="CD949" t="s">
        <v>2983</v>
      </c>
      <c r="CE949" t="s">
        <v>2984</v>
      </c>
      <c r="CG949" t="s">
        <v>421</v>
      </c>
      <c r="CN949" t="str">
        <v>MCS</v>
      </c>
      <c r="CO949" t="str">
        <v>1205-1030761EN</v>
      </c>
      <c r="CP949" t="str">
        <v>TGBU8955558</v>
      </c>
      <c r="CQ949" s="23">
        <v>93.283100000000005</v>
      </c>
      <c r="CR949" s="25">
        <f t="shared" si="37"/>
        <v>6.4781640817865487E-3</v>
      </c>
      <c r="CS949" s="21">
        <f t="shared" si="38"/>
        <v>16.195410204466373</v>
      </c>
    </row>
    <row r="950" spans="2:97" x14ac:dyDescent="0.35">
      <c r="B950" s="34" t="s">
        <v>297</v>
      </c>
      <c r="C950" t="s">
        <v>921</v>
      </c>
      <c r="D950" t="s">
        <v>549</v>
      </c>
      <c r="E950" t="s">
        <v>395</v>
      </c>
      <c r="F950" t="s">
        <v>396</v>
      </c>
      <c r="G950" t="s">
        <v>397</v>
      </c>
      <c r="H950" t="s">
        <v>398</v>
      </c>
      <c r="I950" t="s">
        <v>399</v>
      </c>
      <c r="J950" t="s">
        <v>749</v>
      </c>
      <c r="K950" t="s">
        <v>922</v>
      </c>
      <c r="L950" t="s">
        <v>766</v>
      </c>
      <c r="M950" t="s">
        <v>403</v>
      </c>
      <c r="N950">
        <v>6</v>
      </c>
      <c r="O950">
        <v>1</v>
      </c>
      <c r="P950" t="s">
        <v>923</v>
      </c>
      <c r="Q950" t="s">
        <v>645</v>
      </c>
      <c r="R950" t="s">
        <v>924</v>
      </c>
      <c r="S950" t="s">
        <v>925</v>
      </c>
      <c r="T950" t="s">
        <v>408</v>
      </c>
      <c r="U950">
        <v>50950080751</v>
      </c>
      <c r="W950">
        <v>11520</v>
      </c>
      <c r="X950" t="s">
        <v>409</v>
      </c>
      <c r="Y950" t="s">
        <v>410</v>
      </c>
      <c r="Z950" t="s">
        <v>410</v>
      </c>
      <c r="AA950" t="s">
        <v>411</v>
      </c>
      <c r="AB950" t="s">
        <v>554</v>
      </c>
      <c r="AC950" t="s">
        <v>411</v>
      </c>
      <c r="AD950">
        <v>46115</v>
      </c>
      <c r="AE950">
        <v>46153</v>
      </c>
      <c r="AF950">
        <v>46127</v>
      </c>
      <c r="AG950" t="s">
        <v>926</v>
      </c>
      <c r="AH950">
        <v>6181427</v>
      </c>
      <c r="AI950">
        <v>46120</v>
      </c>
      <c r="AJ950">
        <v>46121</v>
      </c>
      <c r="AK950">
        <v>11520</v>
      </c>
      <c r="AL950" t="s">
        <v>396</v>
      </c>
      <c r="AM950" t="s">
        <v>2985</v>
      </c>
      <c r="AN950">
        <v>46121</v>
      </c>
      <c r="AO950">
        <v>46121.402731481481</v>
      </c>
      <c r="AP950" t="s">
        <v>51</v>
      </c>
      <c r="AQ950">
        <v>0.62368999999999997</v>
      </c>
      <c r="AR950">
        <v>7184.92</v>
      </c>
      <c r="AS950" t="s">
        <v>51</v>
      </c>
      <c r="AT950">
        <v>7184.92</v>
      </c>
      <c r="AU950" t="s">
        <v>415</v>
      </c>
      <c r="AV950" t="s">
        <v>557</v>
      </c>
      <c r="AW950" t="s">
        <v>2986</v>
      </c>
      <c r="AX950">
        <v>46127</v>
      </c>
      <c r="AY950">
        <v>46176</v>
      </c>
      <c r="AZ950" t="s">
        <v>2987</v>
      </c>
      <c r="BA950" t="s">
        <v>560</v>
      </c>
      <c r="BB950" t="s">
        <v>2988</v>
      </c>
      <c r="BC950">
        <v>288</v>
      </c>
      <c r="BD950" t="s">
        <v>521</v>
      </c>
      <c r="BE950">
        <v>9.8219999999999992</v>
      </c>
      <c r="BF950">
        <v>8.3520000000000003</v>
      </c>
      <c r="BG950" t="s">
        <v>522</v>
      </c>
      <c r="BH950">
        <v>400</v>
      </c>
      <c r="BI950">
        <v>300</v>
      </c>
      <c r="BJ950">
        <v>160</v>
      </c>
      <c r="BK950">
        <v>40</v>
      </c>
      <c r="BL950" t="s">
        <v>521</v>
      </c>
      <c r="BM950">
        <v>417.88</v>
      </c>
      <c r="BN950">
        <v>334.08</v>
      </c>
      <c r="BO950">
        <v>417.88</v>
      </c>
      <c r="BP950" t="s">
        <v>522</v>
      </c>
      <c r="BQ950">
        <v>1200</v>
      </c>
      <c r="BR950">
        <v>800</v>
      </c>
      <c r="BS950">
        <v>970</v>
      </c>
      <c r="BT950">
        <v>1</v>
      </c>
      <c r="BU950">
        <v>0</v>
      </c>
      <c r="BV950">
        <v>1</v>
      </c>
      <c r="BW950">
        <v>40</v>
      </c>
      <c r="BX950">
        <v>0</v>
      </c>
      <c r="BY950">
        <v>40</v>
      </c>
      <c r="BZ950">
        <v>11520</v>
      </c>
      <c r="CA950">
        <v>0</v>
      </c>
      <c r="CB950">
        <v>11520</v>
      </c>
      <c r="CC950">
        <v>334.08</v>
      </c>
      <c r="CD950" t="s">
        <v>930</v>
      </c>
      <c r="CE950" t="s">
        <v>931</v>
      </c>
      <c r="CG950" t="s">
        <v>421</v>
      </c>
      <c r="CN950" t="str">
        <v>MCS</v>
      </c>
      <c r="CO950" t="str">
        <v>1205-1030762EN</v>
      </c>
      <c r="CP950" t="str">
        <v>TGBU8955558</v>
      </c>
      <c r="CQ950" s="23">
        <v>95.203100000000006</v>
      </c>
      <c r="CR950" s="25">
        <f t="shared" si="37"/>
        <v>6.6115009352683708E-3</v>
      </c>
      <c r="CS950" s="21">
        <f t="shared" si="38"/>
        <v>16.528752338170928</v>
      </c>
    </row>
    <row r="951" spans="2:97" x14ac:dyDescent="0.35">
      <c r="B951" s="34" t="s">
        <v>297</v>
      </c>
      <c r="C951" t="s">
        <v>921</v>
      </c>
      <c r="D951" t="s">
        <v>549</v>
      </c>
      <c r="E951" t="s">
        <v>395</v>
      </c>
      <c r="F951" t="s">
        <v>396</v>
      </c>
      <c r="G951" t="s">
        <v>397</v>
      </c>
      <c r="H951" t="s">
        <v>398</v>
      </c>
      <c r="I951" t="s">
        <v>399</v>
      </c>
      <c r="J951" t="s">
        <v>749</v>
      </c>
      <c r="K951" t="s">
        <v>922</v>
      </c>
      <c r="L951" t="s">
        <v>766</v>
      </c>
      <c r="M951" t="s">
        <v>403</v>
      </c>
      <c r="N951">
        <v>5</v>
      </c>
      <c r="O951">
        <v>1</v>
      </c>
      <c r="P951" t="s">
        <v>923</v>
      </c>
      <c r="Q951" t="s">
        <v>645</v>
      </c>
      <c r="R951" t="s">
        <v>924</v>
      </c>
      <c r="S951" t="s">
        <v>925</v>
      </c>
      <c r="T951" t="s">
        <v>408</v>
      </c>
      <c r="U951">
        <v>50950080751</v>
      </c>
      <c r="W951">
        <v>11520</v>
      </c>
      <c r="X951" t="s">
        <v>409</v>
      </c>
      <c r="Y951" t="s">
        <v>410</v>
      </c>
      <c r="Z951" t="s">
        <v>410</v>
      </c>
      <c r="AA951" t="s">
        <v>411</v>
      </c>
      <c r="AB951" t="s">
        <v>554</v>
      </c>
      <c r="AC951" t="s">
        <v>411</v>
      </c>
      <c r="AD951">
        <v>46113</v>
      </c>
      <c r="AE951">
        <v>46153</v>
      </c>
      <c r="AF951">
        <v>46127</v>
      </c>
      <c r="AG951" t="s">
        <v>926</v>
      </c>
      <c r="AH951">
        <v>6181427</v>
      </c>
      <c r="AI951">
        <v>46120</v>
      </c>
      <c r="AJ951">
        <v>46121</v>
      </c>
      <c r="AK951">
        <v>11520</v>
      </c>
      <c r="AL951" t="s">
        <v>396</v>
      </c>
      <c r="AM951" t="s">
        <v>2985</v>
      </c>
      <c r="AN951">
        <v>46121</v>
      </c>
      <c r="AO951">
        <v>46121.402731481481</v>
      </c>
      <c r="AP951" t="s">
        <v>51</v>
      </c>
      <c r="AQ951">
        <v>0.62368999999999997</v>
      </c>
      <c r="AR951">
        <v>7184.91</v>
      </c>
      <c r="AS951" t="s">
        <v>51</v>
      </c>
      <c r="AT951">
        <v>7184.91</v>
      </c>
      <c r="AU951" t="s">
        <v>415</v>
      </c>
      <c r="AV951" t="s">
        <v>557</v>
      </c>
      <c r="AW951" t="s">
        <v>2986</v>
      </c>
      <c r="AX951">
        <v>46127</v>
      </c>
      <c r="AY951">
        <v>46176</v>
      </c>
      <c r="AZ951" t="s">
        <v>2987</v>
      </c>
      <c r="BA951" t="s">
        <v>560</v>
      </c>
      <c r="BB951" t="s">
        <v>2988</v>
      </c>
      <c r="BC951">
        <v>288</v>
      </c>
      <c r="BD951" t="s">
        <v>521</v>
      </c>
      <c r="BE951">
        <v>9.8219999999999992</v>
      </c>
      <c r="BF951">
        <v>8.3520000000000003</v>
      </c>
      <c r="BG951" t="s">
        <v>522</v>
      </c>
      <c r="BH951">
        <v>400</v>
      </c>
      <c r="BI951">
        <v>300</v>
      </c>
      <c r="BJ951">
        <v>160</v>
      </c>
      <c r="BK951">
        <v>40</v>
      </c>
      <c r="BL951" t="s">
        <v>521</v>
      </c>
      <c r="BM951">
        <v>417.88</v>
      </c>
      <c r="BN951">
        <v>334.08</v>
      </c>
      <c r="BO951">
        <v>417.88</v>
      </c>
      <c r="BP951" t="s">
        <v>522</v>
      </c>
      <c r="BQ951">
        <v>1200</v>
      </c>
      <c r="BR951">
        <v>800</v>
      </c>
      <c r="BS951">
        <v>970</v>
      </c>
      <c r="BT951">
        <v>1</v>
      </c>
      <c r="BU951">
        <v>0</v>
      </c>
      <c r="BV951">
        <v>1</v>
      </c>
      <c r="BW951">
        <v>40</v>
      </c>
      <c r="BX951">
        <v>0</v>
      </c>
      <c r="BY951">
        <v>40</v>
      </c>
      <c r="BZ951">
        <v>11520</v>
      </c>
      <c r="CA951">
        <v>0</v>
      </c>
      <c r="CB951">
        <v>11520</v>
      </c>
      <c r="CC951">
        <v>334.08</v>
      </c>
      <c r="CD951" t="s">
        <v>930</v>
      </c>
      <c r="CE951" t="s">
        <v>931</v>
      </c>
      <c r="CG951" t="s">
        <v>421</v>
      </c>
      <c r="CN951" t="str">
        <v>M19</v>
      </c>
      <c r="CO951" t="str">
        <v>1271-5YY0098EN</v>
      </c>
      <c r="CP951" t="str">
        <v>TGBU8955558</v>
      </c>
      <c r="CQ951" s="23">
        <v>523.48</v>
      </c>
      <c r="CR951" s="25">
        <f t="shared" si="37"/>
        <v>3.6353737531595993E-2</v>
      </c>
      <c r="CS951" s="21">
        <f t="shared" si="38"/>
        <v>90.884343828989984</v>
      </c>
    </row>
    <row r="952" spans="2:97" x14ac:dyDescent="0.35">
      <c r="B952" t="s">
        <v>297</v>
      </c>
      <c r="C952" t="s">
        <v>2989</v>
      </c>
      <c r="D952" t="s">
        <v>549</v>
      </c>
      <c r="E952" t="s">
        <v>395</v>
      </c>
      <c r="F952" t="s">
        <v>396</v>
      </c>
      <c r="G952" t="s">
        <v>397</v>
      </c>
      <c r="H952" t="s">
        <v>398</v>
      </c>
      <c r="I952" t="s">
        <v>399</v>
      </c>
      <c r="J952" t="s">
        <v>749</v>
      </c>
      <c r="K952" t="s">
        <v>1081</v>
      </c>
      <c r="L952" t="s">
        <v>766</v>
      </c>
      <c r="M952" t="s">
        <v>403</v>
      </c>
      <c r="N952">
        <v>1</v>
      </c>
      <c r="O952">
        <v>1</v>
      </c>
      <c r="P952" t="s">
        <v>2990</v>
      </c>
      <c r="Q952" t="s">
        <v>424</v>
      </c>
      <c r="R952" t="s">
        <v>2991</v>
      </c>
      <c r="S952" t="s">
        <v>2992</v>
      </c>
      <c r="T952" t="s">
        <v>408</v>
      </c>
      <c r="U952">
        <v>50950081506</v>
      </c>
      <c r="W952">
        <v>6720</v>
      </c>
      <c r="X952" t="s">
        <v>409</v>
      </c>
      <c r="Y952" t="s">
        <v>410</v>
      </c>
      <c r="Z952" t="s">
        <v>410</v>
      </c>
      <c r="AA952" t="s">
        <v>411</v>
      </c>
      <c r="AB952" t="s">
        <v>554</v>
      </c>
      <c r="AC952" t="s">
        <v>411</v>
      </c>
      <c r="AD952">
        <v>46120</v>
      </c>
      <c r="AE952">
        <v>46174</v>
      </c>
      <c r="AF952">
        <v>46127</v>
      </c>
      <c r="AG952" t="s">
        <v>770</v>
      </c>
      <c r="AH952">
        <v>6181428</v>
      </c>
      <c r="AI952">
        <v>46120</v>
      </c>
      <c r="AJ952">
        <v>46121</v>
      </c>
      <c r="AK952">
        <v>6720</v>
      </c>
      <c r="AL952" t="s">
        <v>396</v>
      </c>
      <c r="AM952" t="s">
        <v>2993</v>
      </c>
      <c r="AN952">
        <v>46121</v>
      </c>
      <c r="AO952">
        <v>46121.402731481481</v>
      </c>
      <c r="AP952" t="s">
        <v>51</v>
      </c>
      <c r="AQ952">
        <v>0.98509000000000002</v>
      </c>
      <c r="AR952">
        <v>6619.8</v>
      </c>
      <c r="AS952" t="s">
        <v>51</v>
      </c>
      <c r="AT952">
        <v>6619.8</v>
      </c>
      <c r="AU952" t="s">
        <v>415</v>
      </c>
      <c r="AV952" t="s">
        <v>557</v>
      </c>
      <c r="AW952" t="s">
        <v>2986</v>
      </c>
      <c r="AX952">
        <v>46127</v>
      </c>
      <c r="AY952">
        <v>46176</v>
      </c>
      <c r="AZ952" t="s">
        <v>2987</v>
      </c>
      <c r="BA952" t="s">
        <v>560</v>
      </c>
      <c r="BB952" t="s">
        <v>2988</v>
      </c>
      <c r="BC952">
        <v>210</v>
      </c>
      <c r="BD952" t="s">
        <v>521</v>
      </c>
      <c r="BE952">
        <v>14.195</v>
      </c>
      <c r="BF952">
        <v>12.6</v>
      </c>
      <c r="BG952" t="s">
        <v>522</v>
      </c>
      <c r="BH952">
        <v>398</v>
      </c>
      <c r="BI952">
        <v>298</v>
      </c>
      <c r="BJ952">
        <v>210</v>
      </c>
      <c r="BK952">
        <v>32</v>
      </c>
      <c r="BL952" t="s">
        <v>521</v>
      </c>
      <c r="BM952">
        <v>484.24</v>
      </c>
      <c r="BN952">
        <v>403.2</v>
      </c>
      <c r="BO952">
        <v>484.24</v>
      </c>
      <c r="BP952" t="s">
        <v>522</v>
      </c>
      <c r="BQ952">
        <v>1200</v>
      </c>
      <c r="BR952">
        <v>800</v>
      </c>
      <c r="BS952">
        <v>1000</v>
      </c>
      <c r="BT952">
        <v>1</v>
      </c>
      <c r="BU952">
        <v>0</v>
      </c>
      <c r="BV952">
        <v>1</v>
      </c>
      <c r="BW952">
        <v>32</v>
      </c>
      <c r="BX952">
        <v>0</v>
      </c>
      <c r="BY952">
        <v>32</v>
      </c>
      <c r="BZ952">
        <v>6720</v>
      </c>
      <c r="CA952">
        <v>0</v>
      </c>
      <c r="CB952">
        <v>6720</v>
      </c>
      <c r="CC952">
        <v>403.2</v>
      </c>
      <c r="CD952" t="s">
        <v>759</v>
      </c>
      <c r="CE952" t="s">
        <v>2994</v>
      </c>
      <c r="CG952" t="s">
        <v>421</v>
      </c>
      <c r="CN952" t="str">
        <v>M23</v>
      </c>
      <c r="CO952" t="str">
        <v>1318-1E90170EN</v>
      </c>
      <c r="CP952" t="str">
        <v>TGBU8955558</v>
      </c>
      <c r="CQ952" s="23">
        <v>46.629600000000003</v>
      </c>
      <c r="CR952" s="25">
        <f t="shared" si="37"/>
        <v>3.2382521578729058E-3</v>
      </c>
      <c r="CS952" s="21">
        <f t="shared" si="38"/>
        <v>8.0956303946822636</v>
      </c>
    </row>
    <row r="953" spans="2:97" x14ac:dyDescent="0.35">
      <c r="B953" t="s">
        <v>296</v>
      </c>
      <c r="C953" t="s">
        <v>2995</v>
      </c>
      <c r="D953" t="s">
        <v>395</v>
      </c>
      <c r="E953" t="s">
        <v>395</v>
      </c>
      <c r="F953" t="s">
        <v>396</v>
      </c>
      <c r="G953" t="s">
        <v>397</v>
      </c>
      <c r="H953" t="s">
        <v>398</v>
      </c>
      <c r="I953" t="s">
        <v>399</v>
      </c>
      <c r="J953" t="s">
        <v>749</v>
      </c>
      <c r="K953" t="s">
        <v>515</v>
      </c>
      <c r="L953" t="s">
        <v>787</v>
      </c>
      <c r="M953" t="s">
        <v>403</v>
      </c>
      <c r="N953">
        <v>1</v>
      </c>
      <c r="O953">
        <v>1</v>
      </c>
      <c r="P953" t="s">
        <v>996</v>
      </c>
      <c r="Q953" t="s">
        <v>424</v>
      </c>
      <c r="R953" t="s">
        <v>997</v>
      </c>
      <c r="S953" t="s">
        <v>998</v>
      </c>
      <c r="T953" t="s">
        <v>408</v>
      </c>
      <c r="U953">
        <v>50950077344</v>
      </c>
      <c r="W953">
        <v>23000</v>
      </c>
      <c r="X953" t="s">
        <v>409</v>
      </c>
      <c r="Y953" t="s">
        <v>410</v>
      </c>
      <c r="Z953" t="s">
        <v>410</v>
      </c>
      <c r="AA953" t="s">
        <v>411</v>
      </c>
      <c r="AB953" t="s">
        <v>554</v>
      </c>
      <c r="AC953" t="s">
        <v>411</v>
      </c>
      <c r="AD953">
        <v>46118</v>
      </c>
      <c r="AE953">
        <v>46125</v>
      </c>
      <c r="AF953">
        <v>46127</v>
      </c>
      <c r="AG953" t="s">
        <v>754</v>
      </c>
      <c r="AH953">
        <v>6181429</v>
      </c>
      <c r="AI953">
        <v>46120</v>
      </c>
      <c r="AJ953">
        <v>46121</v>
      </c>
      <c r="AK953">
        <v>23000</v>
      </c>
      <c r="AL953" t="s">
        <v>396</v>
      </c>
      <c r="AM953" t="s">
        <v>2996</v>
      </c>
      <c r="AN953">
        <v>46121</v>
      </c>
      <c r="AO953">
        <v>46121.402731481481</v>
      </c>
      <c r="AP953" t="s">
        <v>51</v>
      </c>
      <c r="AQ953">
        <v>0.25383</v>
      </c>
      <c r="AR953">
        <v>5838.09</v>
      </c>
      <c r="AS953" t="s">
        <v>51</v>
      </c>
      <c r="AT953">
        <v>5838.09</v>
      </c>
      <c r="AU953" t="s">
        <v>415</v>
      </c>
      <c r="AV953" t="s">
        <v>557</v>
      </c>
      <c r="AW953" t="s">
        <v>2986</v>
      </c>
      <c r="AX953">
        <v>46127</v>
      </c>
      <c r="AY953">
        <v>46176</v>
      </c>
      <c r="AZ953" t="s">
        <v>2987</v>
      </c>
      <c r="BA953" t="s">
        <v>560</v>
      </c>
      <c r="BB953" t="s">
        <v>2988</v>
      </c>
      <c r="BC953">
        <v>1000</v>
      </c>
      <c r="BD953" t="s">
        <v>521</v>
      </c>
      <c r="BE953">
        <v>11.22</v>
      </c>
      <c r="BF953">
        <v>10.5</v>
      </c>
      <c r="BG953" t="s">
        <v>522</v>
      </c>
      <c r="BH953">
        <v>395</v>
      </c>
      <c r="BI953">
        <v>295</v>
      </c>
      <c r="BJ953">
        <v>220</v>
      </c>
      <c r="BK953">
        <v>32</v>
      </c>
      <c r="BL953" t="s">
        <v>521</v>
      </c>
      <c r="BM953">
        <v>283.06</v>
      </c>
      <c r="BN953">
        <v>241.5</v>
      </c>
      <c r="BO953">
        <v>283.06</v>
      </c>
      <c r="BP953" t="s">
        <v>522</v>
      </c>
      <c r="BQ953">
        <v>1200</v>
      </c>
      <c r="BR953">
        <v>800</v>
      </c>
      <c r="BS953">
        <v>1040</v>
      </c>
      <c r="BT953">
        <v>0</v>
      </c>
      <c r="BU953">
        <v>1</v>
      </c>
      <c r="BV953">
        <v>1</v>
      </c>
      <c r="BW953">
        <v>23</v>
      </c>
      <c r="BX953">
        <v>0</v>
      </c>
      <c r="BY953">
        <v>23</v>
      </c>
      <c r="BZ953">
        <v>0</v>
      </c>
      <c r="CA953">
        <v>23000</v>
      </c>
      <c r="CB953">
        <v>23000</v>
      </c>
      <c r="CC953">
        <v>241.5</v>
      </c>
      <c r="CD953" t="s">
        <v>1000</v>
      </c>
      <c r="CE953" t="s">
        <v>620</v>
      </c>
      <c r="CG953" t="s">
        <v>421</v>
      </c>
      <c r="CN953" t="str">
        <v>M23</v>
      </c>
      <c r="CO953" t="str">
        <v>1318-1E90169EN</v>
      </c>
      <c r="CP953" t="str">
        <v>TGBU8955558</v>
      </c>
      <c r="CQ953" s="23">
        <v>11.808</v>
      </c>
      <c r="CR953" s="25">
        <f t="shared" si="37"/>
        <v>8.2002164891320679E-4</v>
      </c>
      <c r="CS953" s="21">
        <f t="shared" si="38"/>
        <v>2.0500541222830169</v>
      </c>
    </row>
    <row r="954" spans="2:97" x14ac:dyDescent="0.35">
      <c r="B954" t="s">
        <v>299</v>
      </c>
      <c r="C954" t="s">
        <v>2997</v>
      </c>
      <c r="D954" t="s">
        <v>395</v>
      </c>
      <c r="E954" t="s">
        <v>395</v>
      </c>
      <c r="F954" t="s">
        <v>396</v>
      </c>
      <c r="G954" t="s">
        <v>397</v>
      </c>
      <c r="H954" t="s">
        <v>398</v>
      </c>
      <c r="I954" t="s">
        <v>399</v>
      </c>
      <c r="J954" t="s">
        <v>749</v>
      </c>
      <c r="K954" t="s">
        <v>526</v>
      </c>
      <c r="L954" t="s">
        <v>787</v>
      </c>
      <c r="M954" t="s">
        <v>403</v>
      </c>
      <c r="N954">
        <v>1</v>
      </c>
      <c r="O954">
        <v>1</v>
      </c>
      <c r="P954" t="s">
        <v>966</v>
      </c>
      <c r="Q954" t="s">
        <v>424</v>
      </c>
      <c r="R954" t="s">
        <v>959</v>
      </c>
      <c r="S954" t="s">
        <v>967</v>
      </c>
      <c r="T954" t="s">
        <v>408</v>
      </c>
      <c r="U954">
        <v>50950079529</v>
      </c>
      <c r="W954">
        <v>57024</v>
      </c>
      <c r="X954" t="s">
        <v>409</v>
      </c>
      <c r="Y954" t="s">
        <v>410</v>
      </c>
      <c r="Z954" t="s">
        <v>410</v>
      </c>
      <c r="AA954" t="s">
        <v>411</v>
      </c>
      <c r="AB954" t="s">
        <v>554</v>
      </c>
      <c r="AC954" t="s">
        <v>411</v>
      </c>
      <c r="AD954">
        <v>46116</v>
      </c>
      <c r="AE954">
        <v>46132</v>
      </c>
      <c r="AF954">
        <v>46127</v>
      </c>
      <c r="AG954" t="s">
        <v>754</v>
      </c>
      <c r="AH954">
        <v>6181430</v>
      </c>
      <c r="AI954">
        <v>46120</v>
      </c>
      <c r="AJ954">
        <v>46121</v>
      </c>
      <c r="AK954">
        <v>57024</v>
      </c>
      <c r="AL954" t="s">
        <v>396</v>
      </c>
      <c r="AM954" t="s">
        <v>2998</v>
      </c>
      <c r="AN954">
        <v>46121</v>
      </c>
      <c r="AO954">
        <v>46121.402731481481</v>
      </c>
      <c r="AP954" t="s">
        <v>51</v>
      </c>
      <c r="AQ954">
        <v>5.3010000000000002E-2</v>
      </c>
      <c r="AR954">
        <v>3022.84</v>
      </c>
      <c r="AS954" t="s">
        <v>51</v>
      </c>
      <c r="AT954">
        <v>3022.84</v>
      </c>
      <c r="AU954" t="s">
        <v>415</v>
      </c>
      <c r="AV954" t="s">
        <v>557</v>
      </c>
      <c r="AW954" t="s">
        <v>2986</v>
      </c>
      <c r="AX954">
        <v>46127</v>
      </c>
      <c r="AY954">
        <v>46176</v>
      </c>
      <c r="AZ954" t="s">
        <v>2987</v>
      </c>
      <c r="BA954" t="s">
        <v>560</v>
      </c>
      <c r="BB954" t="s">
        <v>2988</v>
      </c>
      <c r="BC954">
        <v>594</v>
      </c>
      <c r="BD954" t="s">
        <v>521</v>
      </c>
      <c r="BE954">
        <v>8.2226999999999997</v>
      </c>
      <c r="BF954">
        <v>7.9726999999999997</v>
      </c>
      <c r="BG954" t="s">
        <v>522</v>
      </c>
      <c r="BH954">
        <v>286</v>
      </c>
      <c r="BI954">
        <v>190</v>
      </c>
      <c r="BJ954">
        <v>72</v>
      </c>
      <c r="BK954">
        <v>48</v>
      </c>
      <c r="BL954" t="s">
        <v>521</v>
      </c>
      <c r="BM954">
        <v>419.68959999999998</v>
      </c>
      <c r="BN954">
        <v>382.68959999999998</v>
      </c>
      <c r="BO954">
        <v>839.37612799999999</v>
      </c>
      <c r="BP954" t="s">
        <v>522</v>
      </c>
      <c r="BQ954">
        <v>1200</v>
      </c>
      <c r="BR954">
        <v>800</v>
      </c>
      <c r="BS954">
        <v>378</v>
      </c>
      <c r="BT954">
        <v>2</v>
      </c>
      <c r="BU954">
        <v>0</v>
      </c>
      <c r="BV954">
        <v>2</v>
      </c>
      <c r="BW954">
        <v>96</v>
      </c>
      <c r="BX954">
        <v>0</v>
      </c>
      <c r="BY954">
        <v>96</v>
      </c>
      <c r="BZ954">
        <v>57024</v>
      </c>
      <c r="CA954">
        <v>0</v>
      </c>
      <c r="CB954">
        <v>57024</v>
      </c>
      <c r="CC954">
        <v>765.37612799999999</v>
      </c>
      <c r="CD954" t="s">
        <v>969</v>
      </c>
      <c r="CE954" t="s">
        <v>970</v>
      </c>
      <c r="CG954" t="s">
        <v>421</v>
      </c>
      <c r="CN954" t="str">
        <v>M01</v>
      </c>
      <c r="CO954" t="str">
        <v>1318-3030003EN</v>
      </c>
      <c r="CP954" t="str">
        <v>TIIU2575610</v>
      </c>
      <c r="CQ954" s="23">
        <v>20</v>
      </c>
      <c r="CR954" s="25">
        <f t="shared" si="37"/>
        <v>1.5081303743934885E-3</v>
      </c>
      <c r="CS954" s="21">
        <f t="shared" si="38"/>
        <v>3.7703259359837213</v>
      </c>
    </row>
    <row r="955" spans="2:97" x14ac:dyDescent="0.35">
      <c r="B955" t="s">
        <v>298</v>
      </c>
      <c r="C955" t="s">
        <v>2999</v>
      </c>
      <c r="D955" t="s">
        <v>395</v>
      </c>
      <c r="E955" t="s">
        <v>395</v>
      </c>
      <c r="F955" t="s">
        <v>396</v>
      </c>
      <c r="G955" t="s">
        <v>397</v>
      </c>
      <c r="H955" t="s">
        <v>398</v>
      </c>
      <c r="I955" t="s">
        <v>399</v>
      </c>
      <c r="J955" t="s">
        <v>749</v>
      </c>
      <c r="K955" t="s">
        <v>629</v>
      </c>
      <c r="L955" t="s">
        <v>787</v>
      </c>
      <c r="M955" t="s">
        <v>403</v>
      </c>
      <c r="N955">
        <v>1</v>
      </c>
      <c r="O955">
        <v>1</v>
      </c>
      <c r="P955" t="s">
        <v>1432</v>
      </c>
      <c r="Q955" t="s">
        <v>405</v>
      </c>
      <c r="R955" t="s">
        <v>1433</v>
      </c>
      <c r="S955" t="s">
        <v>1434</v>
      </c>
      <c r="T955" t="s">
        <v>408</v>
      </c>
      <c r="U955">
        <v>50950079365</v>
      </c>
      <c r="W955">
        <v>8424</v>
      </c>
      <c r="X955" t="s">
        <v>409</v>
      </c>
      <c r="Y955" t="s">
        <v>410</v>
      </c>
      <c r="Z955" t="s">
        <v>410</v>
      </c>
      <c r="AA955" t="s">
        <v>411</v>
      </c>
      <c r="AB955" t="s">
        <v>554</v>
      </c>
      <c r="AC955" t="s">
        <v>411</v>
      </c>
      <c r="AD955">
        <v>46123</v>
      </c>
      <c r="AE955">
        <v>46181</v>
      </c>
      <c r="AF955">
        <v>46127</v>
      </c>
      <c r="AG955" t="s">
        <v>754</v>
      </c>
      <c r="AH955">
        <v>6181431</v>
      </c>
      <c r="AI955">
        <v>46120</v>
      </c>
      <c r="AJ955">
        <v>46121</v>
      </c>
      <c r="AK955">
        <v>8424</v>
      </c>
      <c r="AL955" t="s">
        <v>396</v>
      </c>
      <c r="AM955" t="s">
        <v>3000</v>
      </c>
      <c r="AN955">
        <v>46121</v>
      </c>
      <c r="AO955">
        <v>46121.402731481481</v>
      </c>
      <c r="AP955" t="s">
        <v>51</v>
      </c>
      <c r="AQ955">
        <v>0.99585000000000001</v>
      </c>
      <c r="AR955">
        <v>8389.0400000000009</v>
      </c>
      <c r="AS955" t="s">
        <v>51</v>
      </c>
      <c r="AT955">
        <v>8389.0400000000009</v>
      </c>
      <c r="AU955" t="s">
        <v>415</v>
      </c>
      <c r="AV955" t="s">
        <v>557</v>
      </c>
      <c r="AW955" t="s">
        <v>2986</v>
      </c>
      <c r="AX955">
        <v>46127</v>
      </c>
      <c r="AY955">
        <v>46176</v>
      </c>
      <c r="AZ955" t="s">
        <v>2987</v>
      </c>
      <c r="BA955" t="s">
        <v>560</v>
      </c>
      <c r="BB955" t="s">
        <v>2988</v>
      </c>
      <c r="BC955">
        <v>351</v>
      </c>
      <c r="BD955" t="s">
        <v>521</v>
      </c>
      <c r="BE955">
        <v>16.555700000000002</v>
      </c>
      <c r="BF955">
        <v>13.855700000000001</v>
      </c>
      <c r="BG955" t="s">
        <v>522</v>
      </c>
      <c r="BH955">
        <v>495</v>
      </c>
      <c r="BI955">
        <v>395</v>
      </c>
      <c r="BJ955">
        <v>240</v>
      </c>
      <c r="BK955">
        <v>24</v>
      </c>
      <c r="BL955" t="s">
        <v>521</v>
      </c>
      <c r="BM955">
        <v>424.3374</v>
      </c>
      <c r="BN955">
        <v>332.53739999999999</v>
      </c>
      <c r="BO955">
        <v>424.3374</v>
      </c>
      <c r="BP955" t="s">
        <v>522</v>
      </c>
      <c r="BQ955">
        <v>1200</v>
      </c>
      <c r="BR955">
        <v>1000</v>
      </c>
      <c r="BS955">
        <v>1120</v>
      </c>
      <c r="BT955">
        <v>1</v>
      </c>
      <c r="BU955">
        <v>0</v>
      </c>
      <c r="BV955">
        <v>1</v>
      </c>
      <c r="BW955">
        <v>24</v>
      </c>
      <c r="BX955">
        <v>0</v>
      </c>
      <c r="BY955">
        <v>24</v>
      </c>
      <c r="BZ955">
        <v>8424</v>
      </c>
      <c r="CA955">
        <v>0</v>
      </c>
      <c r="CB955">
        <v>8424</v>
      </c>
      <c r="CC955">
        <v>332.53739999999999</v>
      </c>
      <c r="CD955" t="s">
        <v>806</v>
      </c>
      <c r="CE955" t="s">
        <v>1436</v>
      </c>
      <c r="CG955" t="s">
        <v>421</v>
      </c>
      <c r="CN955" t="str">
        <v>M01</v>
      </c>
      <c r="CO955" t="str">
        <v>1318-1030030EN</v>
      </c>
      <c r="CP955" t="str">
        <v>TIIU2575610</v>
      </c>
      <c r="CQ955" s="23">
        <v>20</v>
      </c>
      <c r="CR955" s="25">
        <f t="shared" si="37"/>
        <v>1.5081303743934885E-3</v>
      </c>
      <c r="CS955" s="21">
        <f t="shared" si="38"/>
        <v>3.7703259359837213</v>
      </c>
    </row>
    <row r="956" spans="2:97" x14ac:dyDescent="0.35">
      <c r="B956" t="s">
        <v>296</v>
      </c>
      <c r="C956" t="s">
        <v>2800</v>
      </c>
      <c r="D956" t="s">
        <v>395</v>
      </c>
      <c r="E956" t="s">
        <v>395</v>
      </c>
      <c r="F956" t="s">
        <v>396</v>
      </c>
      <c r="G956" t="s">
        <v>397</v>
      </c>
      <c r="H956" t="s">
        <v>398</v>
      </c>
      <c r="I956" t="s">
        <v>399</v>
      </c>
      <c r="J956" t="s">
        <v>749</v>
      </c>
      <c r="K956" t="s">
        <v>629</v>
      </c>
      <c r="L956" t="s">
        <v>787</v>
      </c>
      <c r="M956" t="s">
        <v>403</v>
      </c>
      <c r="N956">
        <v>1</v>
      </c>
      <c r="O956">
        <v>4</v>
      </c>
      <c r="P956" t="s">
        <v>881</v>
      </c>
      <c r="Q956" t="s">
        <v>645</v>
      </c>
      <c r="R956" t="s">
        <v>882</v>
      </c>
      <c r="S956" t="s">
        <v>883</v>
      </c>
      <c r="T956" t="s">
        <v>408</v>
      </c>
      <c r="U956">
        <v>50950079682</v>
      </c>
      <c r="W956">
        <v>6600</v>
      </c>
      <c r="X956" t="s">
        <v>409</v>
      </c>
      <c r="Y956" t="s">
        <v>410</v>
      </c>
      <c r="Z956" t="s">
        <v>410</v>
      </c>
      <c r="AA956" t="s">
        <v>411</v>
      </c>
      <c r="AB956" t="s">
        <v>554</v>
      </c>
      <c r="AC956" t="s">
        <v>411</v>
      </c>
      <c r="AD956">
        <v>46111</v>
      </c>
      <c r="AE956">
        <v>46202</v>
      </c>
      <c r="AF956">
        <v>46127</v>
      </c>
      <c r="AG956" t="s">
        <v>754</v>
      </c>
      <c r="AH956">
        <v>6181432</v>
      </c>
      <c r="AI956">
        <v>46120</v>
      </c>
      <c r="AJ956">
        <v>46121</v>
      </c>
      <c r="AK956">
        <v>6600</v>
      </c>
      <c r="AL956" t="s">
        <v>396</v>
      </c>
      <c r="AM956" t="s">
        <v>3001</v>
      </c>
      <c r="AN956">
        <v>46121</v>
      </c>
      <c r="AO956">
        <v>46121.402731481481</v>
      </c>
      <c r="AP956" t="s">
        <v>51</v>
      </c>
      <c r="AQ956">
        <v>0.20003000000000001</v>
      </c>
      <c r="AR956">
        <v>1320.2</v>
      </c>
      <c r="AS956" t="s">
        <v>51</v>
      </c>
      <c r="AT956">
        <v>1320.2</v>
      </c>
      <c r="AU956" t="s">
        <v>415</v>
      </c>
      <c r="AV956" t="s">
        <v>557</v>
      </c>
      <c r="AW956" t="s">
        <v>2986</v>
      </c>
      <c r="AX956">
        <v>46127</v>
      </c>
      <c r="AY956">
        <v>46176</v>
      </c>
      <c r="AZ956" t="s">
        <v>2987</v>
      </c>
      <c r="BA956" t="s">
        <v>560</v>
      </c>
      <c r="BB956" t="s">
        <v>2988</v>
      </c>
      <c r="BC956">
        <v>264</v>
      </c>
      <c r="BD956" t="s">
        <v>521</v>
      </c>
      <c r="BE956">
        <v>5.2203999999999997</v>
      </c>
      <c r="BF956">
        <v>3.8304</v>
      </c>
      <c r="BG956" t="s">
        <v>522</v>
      </c>
      <c r="BH956">
        <v>595</v>
      </c>
      <c r="BI956">
        <v>395</v>
      </c>
      <c r="BJ956">
        <v>175</v>
      </c>
      <c r="BK956">
        <v>25</v>
      </c>
      <c r="BL956" t="s">
        <v>521</v>
      </c>
      <c r="BM956">
        <v>157.5094</v>
      </c>
      <c r="BN956">
        <v>95.759399999999999</v>
      </c>
      <c r="BO956">
        <v>157.5094</v>
      </c>
      <c r="BP956" t="s">
        <v>522</v>
      </c>
      <c r="BQ956">
        <v>1200</v>
      </c>
      <c r="BR956">
        <v>1000</v>
      </c>
      <c r="BS956">
        <v>1035</v>
      </c>
      <c r="BT956">
        <v>1</v>
      </c>
      <c r="BU956">
        <v>0</v>
      </c>
      <c r="BV956">
        <v>1</v>
      </c>
      <c r="BW956">
        <v>25</v>
      </c>
      <c r="BX956">
        <v>0</v>
      </c>
      <c r="BY956">
        <v>25</v>
      </c>
      <c r="BZ956">
        <v>6600</v>
      </c>
      <c r="CA956">
        <v>0</v>
      </c>
      <c r="CB956">
        <v>6600</v>
      </c>
      <c r="CC956">
        <v>95.759399999999999</v>
      </c>
      <c r="CD956" t="s">
        <v>885</v>
      </c>
      <c r="CE956" t="s">
        <v>886</v>
      </c>
      <c r="CG956" t="s">
        <v>421</v>
      </c>
      <c r="CN956" t="str">
        <v>M01</v>
      </c>
      <c r="CO956" t="str">
        <v>1318-3030002EN</v>
      </c>
      <c r="CP956" t="str">
        <v>TIIU2575610</v>
      </c>
      <c r="CQ956" s="23">
        <v>10</v>
      </c>
      <c r="CR956" s="25">
        <f t="shared" si="37"/>
        <v>7.5406518719674427E-4</v>
      </c>
      <c r="CS956" s="21">
        <f t="shared" si="38"/>
        <v>1.8851629679918607</v>
      </c>
    </row>
    <row r="957" spans="2:97" x14ac:dyDescent="0.35">
      <c r="B957" t="s">
        <v>299</v>
      </c>
      <c r="C957" t="s">
        <v>3002</v>
      </c>
      <c r="D957" t="s">
        <v>395</v>
      </c>
      <c r="E957" t="s">
        <v>395</v>
      </c>
      <c r="F957" t="s">
        <v>396</v>
      </c>
      <c r="G957" t="s">
        <v>397</v>
      </c>
      <c r="H957" t="s">
        <v>398</v>
      </c>
      <c r="I957" t="s">
        <v>399</v>
      </c>
      <c r="J957" t="s">
        <v>749</v>
      </c>
      <c r="K957" t="s">
        <v>629</v>
      </c>
      <c r="L957" t="s">
        <v>787</v>
      </c>
      <c r="M957" t="s">
        <v>403</v>
      </c>
      <c r="N957">
        <v>1</v>
      </c>
      <c r="O957">
        <v>1</v>
      </c>
      <c r="P957" t="s">
        <v>3003</v>
      </c>
      <c r="Q957" t="s">
        <v>430</v>
      </c>
      <c r="R957" t="s">
        <v>3004</v>
      </c>
      <c r="S957" t="s">
        <v>2955</v>
      </c>
      <c r="T957" t="s">
        <v>408</v>
      </c>
      <c r="U957">
        <v>50950080186</v>
      </c>
      <c r="W957">
        <v>2640</v>
      </c>
      <c r="X957" t="s">
        <v>409</v>
      </c>
      <c r="Y957" t="s">
        <v>410</v>
      </c>
      <c r="Z957" t="s">
        <v>410</v>
      </c>
      <c r="AA957" t="s">
        <v>411</v>
      </c>
      <c r="AB957" t="s">
        <v>554</v>
      </c>
      <c r="AC957" t="s">
        <v>411</v>
      </c>
      <c r="AD957">
        <v>46111</v>
      </c>
      <c r="AE957">
        <v>46097</v>
      </c>
      <c r="AF957">
        <v>46127</v>
      </c>
      <c r="AG957" t="s">
        <v>754</v>
      </c>
      <c r="AH957">
        <v>6181433</v>
      </c>
      <c r="AI957">
        <v>46120</v>
      </c>
      <c r="AJ957">
        <v>46121</v>
      </c>
      <c r="AK957">
        <v>2640</v>
      </c>
      <c r="AL957" t="s">
        <v>396</v>
      </c>
      <c r="AM957" t="s">
        <v>3005</v>
      </c>
      <c r="AN957">
        <v>46121</v>
      </c>
      <c r="AO957">
        <v>46121.402731481481</v>
      </c>
      <c r="AP957" t="s">
        <v>51</v>
      </c>
      <c r="AQ957">
        <v>0.99109999999999998</v>
      </c>
      <c r="AR957">
        <v>2616.5</v>
      </c>
      <c r="AS957" t="s">
        <v>51</v>
      </c>
      <c r="AT957">
        <v>2616.5</v>
      </c>
      <c r="AU957" t="s">
        <v>415</v>
      </c>
      <c r="AV957" t="s">
        <v>557</v>
      </c>
      <c r="AW957" t="s">
        <v>2986</v>
      </c>
      <c r="AX957">
        <v>46127</v>
      </c>
      <c r="AY957">
        <v>46176</v>
      </c>
      <c r="AZ957" t="s">
        <v>2987</v>
      </c>
      <c r="BA957" t="s">
        <v>560</v>
      </c>
      <c r="BB957" t="s">
        <v>2988</v>
      </c>
      <c r="BC957">
        <v>44</v>
      </c>
      <c r="BD957" t="s">
        <v>521</v>
      </c>
      <c r="BE957">
        <v>11.8749</v>
      </c>
      <c r="BF957">
        <v>11.209899999999999</v>
      </c>
      <c r="BG957" t="s">
        <v>522</v>
      </c>
      <c r="BH957">
        <v>395</v>
      </c>
      <c r="BI957">
        <v>295</v>
      </c>
      <c r="BJ957">
        <v>120</v>
      </c>
      <c r="BK957">
        <v>70</v>
      </c>
      <c r="BL957" t="s">
        <v>521</v>
      </c>
      <c r="BM957">
        <v>739.49279999999999</v>
      </c>
      <c r="BN957">
        <v>672.59280000000001</v>
      </c>
      <c r="BO957">
        <v>739.49279999999999</v>
      </c>
      <c r="BP957" t="s">
        <v>522</v>
      </c>
      <c r="BQ957">
        <v>1200</v>
      </c>
      <c r="BR957">
        <v>1000</v>
      </c>
      <c r="BS957">
        <v>1000</v>
      </c>
      <c r="BT957">
        <v>0</v>
      </c>
      <c r="BU957">
        <v>1</v>
      </c>
      <c r="BV957">
        <v>1</v>
      </c>
      <c r="BW957">
        <v>60</v>
      </c>
      <c r="BX957">
        <v>0</v>
      </c>
      <c r="BY957">
        <v>60</v>
      </c>
      <c r="BZ957">
        <v>0</v>
      </c>
      <c r="CA957">
        <v>2640</v>
      </c>
      <c r="CB957">
        <v>2640</v>
      </c>
      <c r="CC957">
        <v>672.59280000000001</v>
      </c>
      <c r="CD957" t="s">
        <v>850</v>
      </c>
      <c r="CE957" t="s">
        <v>3006</v>
      </c>
      <c r="CG957" t="s">
        <v>421</v>
      </c>
      <c r="CN957" t="str">
        <v>M01</v>
      </c>
      <c r="CO957" t="str">
        <v>1307-1030122EN</v>
      </c>
      <c r="CP957" t="str">
        <v>TIIU2575610</v>
      </c>
      <c r="CQ957" s="23">
        <v>4000</v>
      </c>
      <c r="CR957" s="25">
        <f t="shared" si="37"/>
        <v>0.30162607487869769</v>
      </c>
      <c r="CS957" s="21">
        <f t="shared" si="38"/>
        <v>754.0651871967442</v>
      </c>
    </row>
    <row r="958" spans="2:97" x14ac:dyDescent="0.35">
      <c r="B958" t="s">
        <v>299</v>
      </c>
      <c r="C958" t="s">
        <v>1380</v>
      </c>
      <c r="D958" t="s">
        <v>965</v>
      </c>
      <c r="E958" t="s">
        <v>395</v>
      </c>
      <c r="F958" t="s">
        <v>396</v>
      </c>
      <c r="G958" t="s">
        <v>397</v>
      </c>
      <c r="H958" t="s">
        <v>398</v>
      </c>
      <c r="I958" t="s">
        <v>399</v>
      </c>
      <c r="J958" t="s">
        <v>749</v>
      </c>
      <c r="K958" t="s">
        <v>809</v>
      </c>
      <c r="L958" t="s">
        <v>787</v>
      </c>
      <c r="M958" t="s">
        <v>403</v>
      </c>
      <c r="N958">
        <v>1</v>
      </c>
      <c r="O958">
        <v>23</v>
      </c>
      <c r="P958" t="s">
        <v>810</v>
      </c>
      <c r="Q958" t="s">
        <v>405</v>
      </c>
      <c r="R958" t="s">
        <v>811</v>
      </c>
      <c r="S958" t="s">
        <v>812</v>
      </c>
      <c r="T958" t="s">
        <v>408</v>
      </c>
      <c r="U958">
        <v>50950080270</v>
      </c>
      <c r="W958">
        <v>2880</v>
      </c>
      <c r="X958" t="s">
        <v>409</v>
      </c>
      <c r="Y958" t="s">
        <v>410</v>
      </c>
      <c r="Z958" t="s">
        <v>410</v>
      </c>
      <c r="AA958" t="s">
        <v>411</v>
      </c>
      <c r="AB958" t="s">
        <v>554</v>
      </c>
      <c r="AC958" t="s">
        <v>411</v>
      </c>
      <c r="AD958">
        <v>46116</v>
      </c>
      <c r="AE958">
        <v>46125</v>
      </c>
      <c r="AF958">
        <v>46127</v>
      </c>
      <c r="AG958" t="s">
        <v>754</v>
      </c>
      <c r="AH958">
        <v>6181434</v>
      </c>
      <c r="AI958">
        <v>46120</v>
      </c>
      <c r="AJ958">
        <v>46121</v>
      </c>
      <c r="AK958">
        <v>2880</v>
      </c>
      <c r="AL958" t="s">
        <v>396</v>
      </c>
      <c r="AM958" t="s">
        <v>3007</v>
      </c>
      <c r="AN958">
        <v>46121</v>
      </c>
      <c r="AO958">
        <v>46121.402731481481</v>
      </c>
      <c r="AP958" t="s">
        <v>51</v>
      </c>
      <c r="AQ958">
        <v>2.0436299999999998</v>
      </c>
      <c r="AR958">
        <v>5885.64</v>
      </c>
      <c r="AS958" t="s">
        <v>51</v>
      </c>
      <c r="AT958">
        <v>5885.64</v>
      </c>
      <c r="AU958" t="s">
        <v>415</v>
      </c>
      <c r="AV958" t="s">
        <v>557</v>
      </c>
      <c r="AW958" t="s">
        <v>2986</v>
      </c>
      <c r="AX958">
        <v>46127</v>
      </c>
      <c r="AY958">
        <v>46176</v>
      </c>
      <c r="AZ958" t="s">
        <v>2987</v>
      </c>
      <c r="BA958" t="s">
        <v>560</v>
      </c>
      <c r="BB958" t="s">
        <v>2988</v>
      </c>
      <c r="BC958">
        <v>16</v>
      </c>
      <c r="BD958" t="s">
        <v>521</v>
      </c>
      <c r="BE958">
        <v>4.9545000000000003</v>
      </c>
      <c r="BF958">
        <v>3.7555000000000001</v>
      </c>
      <c r="BG958" t="s">
        <v>522</v>
      </c>
      <c r="BH958">
        <v>495</v>
      </c>
      <c r="BI958">
        <v>395</v>
      </c>
      <c r="BJ958">
        <v>190</v>
      </c>
      <c r="BK958">
        <v>30</v>
      </c>
      <c r="BL958" t="s">
        <v>521</v>
      </c>
      <c r="BM958">
        <v>175.63499999999999</v>
      </c>
      <c r="BN958">
        <v>112.66500000000001</v>
      </c>
      <c r="BO958">
        <v>1053.8136</v>
      </c>
      <c r="BP958" t="s">
        <v>522</v>
      </c>
      <c r="BQ958">
        <v>1200</v>
      </c>
      <c r="BR958">
        <v>1000</v>
      </c>
      <c r="BS958">
        <v>1120</v>
      </c>
      <c r="BT958">
        <v>6</v>
      </c>
      <c r="BU958">
        <v>0</v>
      </c>
      <c r="BV958">
        <v>6</v>
      </c>
      <c r="BW958">
        <v>180</v>
      </c>
      <c r="BX958">
        <v>0</v>
      </c>
      <c r="BY958">
        <v>180</v>
      </c>
      <c r="BZ958">
        <v>2880</v>
      </c>
      <c r="CA958">
        <v>0</v>
      </c>
      <c r="CB958">
        <v>2880</v>
      </c>
      <c r="CC958">
        <v>675.99360000000001</v>
      </c>
      <c r="CD958" t="s">
        <v>806</v>
      </c>
      <c r="CE958" t="s">
        <v>816</v>
      </c>
      <c r="CG958" t="s">
        <v>421</v>
      </c>
      <c r="CN958" t="str">
        <v>M01</v>
      </c>
      <c r="CO958" t="str">
        <v>1318-1030018EN</v>
      </c>
      <c r="CP958" t="str">
        <v>TIIU2575610</v>
      </c>
      <c r="CQ958" s="23">
        <v>10</v>
      </c>
      <c r="CR958" s="25">
        <f t="shared" si="37"/>
        <v>7.5406518719674427E-4</v>
      </c>
      <c r="CS958" s="21">
        <f t="shared" si="38"/>
        <v>1.8851629679918607</v>
      </c>
    </row>
    <row r="959" spans="2:97" x14ac:dyDescent="0.35">
      <c r="B959" t="s">
        <v>299</v>
      </c>
      <c r="C959" t="s">
        <v>2671</v>
      </c>
      <c r="D959" t="s">
        <v>395</v>
      </c>
      <c r="E959" t="s">
        <v>395</v>
      </c>
      <c r="F959" t="s">
        <v>396</v>
      </c>
      <c r="G959" t="s">
        <v>397</v>
      </c>
      <c r="H959" t="s">
        <v>398</v>
      </c>
      <c r="I959" t="s">
        <v>399</v>
      </c>
      <c r="J959" t="s">
        <v>749</v>
      </c>
      <c r="K959" t="s">
        <v>809</v>
      </c>
      <c r="L959" t="s">
        <v>787</v>
      </c>
      <c r="M959" t="s">
        <v>403</v>
      </c>
      <c r="N959">
        <v>1</v>
      </c>
      <c r="O959">
        <v>4</v>
      </c>
      <c r="P959" t="s">
        <v>828</v>
      </c>
      <c r="Q959" t="s">
        <v>587</v>
      </c>
      <c r="R959" t="s">
        <v>811</v>
      </c>
      <c r="S959" t="s">
        <v>829</v>
      </c>
      <c r="T959" t="s">
        <v>408</v>
      </c>
      <c r="U959">
        <v>50950081266</v>
      </c>
      <c r="W959">
        <v>480</v>
      </c>
      <c r="X959" t="s">
        <v>409</v>
      </c>
      <c r="Y959" t="s">
        <v>410</v>
      </c>
      <c r="Z959" t="s">
        <v>410</v>
      </c>
      <c r="AA959" t="s">
        <v>411</v>
      </c>
      <c r="AB959" t="s">
        <v>554</v>
      </c>
      <c r="AC959" t="s">
        <v>411</v>
      </c>
      <c r="AD959">
        <v>46119</v>
      </c>
      <c r="AE959">
        <v>46174</v>
      </c>
      <c r="AF959">
        <v>46127</v>
      </c>
      <c r="AG959" t="s">
        <v>754</v>
      </c>
      <c r="AH959">
        <v>6181435</v>
      </c>
      <c r="AI959">
        <v>46120</v>
      </c>
      <c r="AJ959">
        <v>46121</v>
      </c>
      <c r="AK959">
        <v>480</v>
      </c>
      <c r="AL959" t="s">
        <v>396</v>
      </c>
      <c r="AM959" t="s">
        <v>3008</v>
      </c>
      <c r="AN959">
        <v>46121</v>
      </c>
      <c r="AO959">
        <v>46121.402731481481</v>
      </c>
      <c r="AP959" t="s">
        <v>51</v>
      </c>
      <c r="AQ959">
        <v>1.98325</v>
      </c>
      <c r="AR959">
        <v>951.96</v>
      </c>
      <c r="AS959" t="s">
        <v>51</v>
      </c>
      <c r="AT959">
        <v>951.96</v>
      </c>
      <c r="AU959" t="s">
        <v>415</v>
      </c>
      <c r="AV959" t="s">
        <v>557</v>
      </c>
      <c r="AW959" t="s">
        <v>2986</v>
      </c>
      <c r="AX959">
        <v>46127</v>
      </c>
      <c r="AY959">
        <v>46176</v>
      </c>
      <c r="AZ959" t="s">
        <v>2987</v>
      </c>
      <c r="BA959" t="s">
        <v>560</v>
      </c>
      <c r="BB959" t="s">
        <v>2988</v>
      </c>
      <c r="BC959">
        <v>16</v>
      </c>
      <c r="BD959" t="s">
        <v>521</v>
      </c>
      <c r="BE959">
        <v>4.9409000000000001</v>
      </c>
      <c r="BF959">
        <v>3.7418999999999998</v>
      </c>
      <c r="BG959" t="s">
        <v>522</v>
      </c>
      <c r="BH959">
        <v>495</v>
      </c>
      <c r="BI959">
        <v>395</v>
      </c>
      <c r="BJ959">
        <v>190</v>
      </c>
      <c r="BK959">
        <v>30</v>
      </c>
      <c r="BL959" t="s">
        <v>521</v>
      </c>
      <c r="BM959">
        <v>175.2276</v>
      </c>
      <c r="BN959">
        <v>112.2576</v>
      </c>
      <c r="BO959">
        <v>175.2276</v>
      </c>
      <c r="BP959" t="s">
        <v>522</v>
      </c>
      <c r="BQ959">
        <v>1200</v>
      </c>
      <c r="BR959">
        <v>1000</v>
      </c>
      <c r="BS959">
        <v>1120</v>
      </c>
      <c r="BT959">
        <v>1</v>
      </c>
      <c r="BU959">
        <v>0</v>
      </c>
      <c r="BV959">
        <v>1</v>
      </c>
      <c r="BW959">
        <v>30</v>
      </c>
      <c r="BX959">
        <v>0</v>
      </c>
      <c r="BY959">
        <v>30</v>
      </c>
      <c r="BZ959">
        <v>480</v>
      </c>
      <c r="CA959">
        <v>0</v>
      </c>
      <c r="CB959">
        <v>480</v>
      </c>
      <c r="CC959">
        <v>112.2576</v>
      </c>
      <c r="CD959" t="s">
        <v>806</v>
      </c>
      <c r="CE959" t="s">
        <v>816</v>
      </c>
      <c r="CG959" t="s">
        <v>421</v>
      </c>
      <c r="CN959" t="str">
        <v>MCS</v>
      </c>
      <c r="CO959" t="str">
        <v>0070-5050006</v>
      </c>
      <c r="CP959" t="str">
        <v>TIIU2575610</v>
      </c>
      <c r="CQ959" s="23">
        <v>3999.9999999999995</v>
      </c>
      <c r="CR959" s="25">
        <f t="shared" si="37"/>
        <v>0.30162607487869769</v>
      </c>
      <c r="CS959" s="21">
        <f t="shared" si="38"/>
        <v>754.0651871967442</v>
      </c>
    </row>
    <row r="960" spans="2:97" x14ac:dyDescent="0.35">
      <c r="B960" t="s">
        <v>299</v>
      </c>
      <c r="C960" t="s">
        <v>2698</v>
      </c>
      <c r="D960" t="s">
        <v>395</v>
      </c>
      <c r="E960" t="s">
        <v>823</v>
      </c>
      <c r="F960" t="s">
        <v>396</v>
      </c>
      <c r="G960" t="s">
        <v>397</v>
      </c>
      <c r="H960" t="s">
        <v>398</v>
      </c>
      <c r="I960" t="s">
        <v>399</v>
      </c>
      <c r="J960" t="s">
        <v>749</v>
      </c>
      <c r="K960" t="s">
        <v>809</v>
      </c>
      <c r="L960" t="s">
        <v>787</v>
      </c>
      <c r="M960" t="s">
        <v>403</v>
      </c>
      <c r="N960">
        <v>1</v>
      </c>
      <c r="O960">
        <v>4</v>
      </c>
      <c r="P960" t="s">
        <v>824</v>
      </c>
      <c r="Q960" t="s">
        <v>424</v>
      </c>
      <c r="R960" t="s">
        <v>811</v>
      </c>
      <c r="S960" t="s">
        <v>825</v>
      </c>
      <c r="T960" t="s">
        <v>408</v>
      </c>
      <c r="U960">
        <v>50950081268</v>
      </c>
      <c r="W960">
        <v>1440</v>
      </c>
      <c r="X960" t="s">
        <v>409</v>
      </c>
      <c r="Y960" t="s">
        <v>410</v>
      </c>
      <c r="Z960" t="s">
        <v>410</v>
      </c>
      <c r="AA960" t="s">
        <v>411</v>
      </c>
      <c r="AB960" t="s">
        <v>554</v>
      </c>
      <c r="AC960" t="s">
        <v>411</v>
      </c>
      <c r="AD960">
        <v>46102</v>
      </c>
      <c r="AE960">
        <v>46160</v>
      </c>
      <c r="AF960">
        <v>46127</v>
      </c>
      <c r="AG960" t="s">
        <v>754</v>
      </c>
      <c r="AH960">
        <v>6181436</v>
      </c>
      <c r="AI960">
        <v>46120</v>
      </c>
      <c r="AJ960">
        <v>46121</v>
      </c>
      <c r="AK960">
        <v>1440</v>
      </c>
      <c r="AL960" t="s">
        <v>396</v>
      </c>
      <c r="AM960" t="s">
        <v>3009</v>
      </c>
      <c r="AN960">
        <v>46121</v>
      </c>
      <c r="AO960">
        <v>46121.402731481481</v>
      </c>
      <c r="AP960" t="s">
        <v>51</v>
      </c>
      <c r="AQ960">
        <v>1.3411999999999999</v>
      </c>
      <c r="AR960">
        <v>1931.33</v>
      </c>
      <c r="AS960" t="s">
        <v>51</v>
      </c>
      <c r="AT960">
        <v>1931.33</v>
      </c>
      <c r="AU960" t="s">
        <v>415</v>
      </c>
      <c r="AV960" t="s">
        <v>557</v>
      </c>
      <c r="AW960" t="s">
        <v>2986</v>
      </c>
      <c r="AX960">
        <v>46127</v>
      </c>
      <c r="AY960">
        <v>46176</v>
      </c>
      <c r="AZ960" t="s">
        <v>2987</v>
      </c>
      <c r="BA960" t="s">
        <v>560</v>
      </c>
      <c r="BB960" t="s">
        <v>2988</v>
      </c>
      <c r="BC960">
        <v>48</v>
      </c>
      <c r="BD960" t="s">
        <v>521</v>
      </c>
      <c r="BE960">
        <v>8.2250999999999994</v>
      </c>
      <c r="BF960">
        <v>6.7651000000000003</v>
      </c>
      <c r="BG960" t="s">
        <v>522</v>
      </c>
      <c r="BH960">
        <v>495</v>
      </c>
      <c r="BI960">
        <v>395</v>
      </c>
      <c r="BJ960">
        <v>190</v>
      </c>
      <c r="BK960">
        <v>30</v>
      </c>
      <c r="BL960" t="s">
        <v>521</v>
      </c>
      <c r="BM960">
        <v>273.75360000000001</v>
      </c>
      <c r="BN960">
        <v>202.95359999999999</v>
      </c>
      <c r="BO960">
        <v>273.75360000000001</v>
      </c>
      <c r="BP960" t="s">
        <v>522</v>
      </c>
      <c r="BQ960">
        <v>1200</v>
      </c>
      <c r="BR960">
        <v>1000</v>
      </c>
      <c r="BS960">
        <v>1120</v>
      </c>
      <c r="BT960">
        <v>1</v>
      </c>
      <c r="BU960">
        <v>0</v>
      </c>
      <c r="BV960">
        <v>1</v>
      </c>
      <c r="BW960">
        <v>30</v>
      </c>
      <c r="BX960">
        <v>0</v>
      </c>
      <c r="BY960">
        <v>30</v>
      </c>
      <c r="BZ960">
        <v>1440</v>
      </c>
      <c r="CA960">
        <v>0</v>
      </c>
      <c r="CB960">
        <v>1440</v>
      </c>
      <c r="CC960">
        <v>202.95359999999999</v>
      </c>
      <c r="CD960" t="s">
        <v>806</v>
      </c>
      <c r="CE960" t="s">
        <v>821</v>
      </c>
      <c r="CG960" t="s">
        <v>421</v>
      </c>
      <c r="CN960" t="str">
        <v>MCS</v>
      </c>
      <c r="CO960" t="str">
        <v>0070-1100018</v>
      </c>
      <c r="CP960" t="str">
        <v>TIIU2575610</v>
      </c>
      <c r="CQ960" s="23">
        <v>500.00134835217881</v>
      </c>
      <c r="CR960" s="25">
        <f t="shared" si="37"/>
        <v>3.7703361034381024E-2</v>
      </c>
      <c r="CS960" s="21">
        <f t="shared" si="38"/>
        <v>94.258402585952552</v>
      </c>
    </row>
    <row r="961" spans="2:97" x14ac:dyDescent="0.35">
      <c r="B961" t="s">
        <v>299</v>
      </c>
      <c r="C961" t="s">
        <v>3010</v>
      </c>
      <c r="D961" t="s">
        <v>395</v>
      </c>
      <c r="E961" t="s">
        <v>823</v>
      </c>
      <c r="F961" t="s">
        <v>396</v>
      </c>
      <c r="G961" t="s">
        <v>397</v>
      </c>
      <c r="H961" t="s">
        <v>398</v>
      </c>
      <c r="I961" t="s">
        <v>399</v>
      </c>
      <c r="J961" t="s">
        <v>749</v>
      </c>
      <c r="K961" t="s">
        <v>809</v>
      </c>
      <c r="L961" t="s">
        <v>787</v>
      </c>
      <c r="M961" t="s">
        <v>403</v>
      </c>
      <c r="N961">
        <v>1</v>
      </c>
      <c r="O961">
        <v>1</v>
      </c>
      <c r="P961" t="s">
        <v>1073</v>
      </c>
      <c r="Q961" t="s">
        <v>637</v>
      </c>
      <c r="R961" t="s">
        <v>811</v>
      </c>
      <c r="S961" t="s">
        <v>1074</v>
      </c>
      <c r="T961" t="s">
        <v>408</v>
      </c>
      <c r="U961">
        <v>50950081214</v>
      </c>
      <c r="W961">
        <v>2880</v>
      </c>
      <c r="X961" t="s">
        <v>409</v>
      </c>
      <c r="Y961" t="s">
        <v>410</v>
      </c>
      <c r="Z961" t="s">
        <v>410</v>
      </c>
      <c r="AA961" t="s">
        <v>411</v>
      </c>
      <c r="AB961" t="s">
        <v>554</v>
      </c>
      <c r="AC961" t="s">
        <v>411</v>
      </c>
      <c r="AD961">
        <v>46132</v>
      </c>
      <c r="AE961">
        <v>46146</v>
      </c>
      <c r="AF961">
        <v>46127</v>
      </c>
      <c r="AG961" t="s">
        <v>754</v>
      </c>
      <c r="AH961">
        <v>6181437</v>
      </c>
      <c r="AI961">
        <v>46120</v>
      </c>
      <c r="AJ961">
        <v>46121</v>
      </c>
      <c r="AK961">
        <v>2880</v>
      </c>
      <c r="AL961" t="s">
        <v>396</v>
      </c>
      <c r="AM961" t="s">
        <v>3011</v>
      </c>
      <c r="AN961">
        <v>46121</v>
      </c>
      <c r="AO961">
        <v>46121.402731481481</v>
      </c>
      <c r="AP961" t="s">
        <v>51</v>
      </c>
      <c r="AQ961">
        <v>2.1514799999999998</v>
      </c>
      <c r="AR961">
        <v>6196.26</v>
      </c>
      <c r="AS961" t="s">
        <v>51</v>
      </c>
      <c r="AT961">
        <v>6196.26</v>
      </c>
      <c r="AU961" t="s">
        <v>415</v>
      </c>
      <c r="AV961" t="s">
        <v>557</v>
      </c>
      <c r="AW961" t="s">
        <v>2986</v>
      </c>
      <c r="AX961">
        <v>46127</v>
      </c>
      <c r="AY961">
        <v>46176</v>
      </c>
      <c r="AZ961" t="s">
        <v>2987</v>
      </c>
      <c r="BA961" t="s">
        <v>560</v>
      </c>
      <c r="BB961" t="s">
        <v>2988</v>
      </c>
      <c r="BC961">
        <v>16</v>
      </c>
      <c r="BD961" t="s">
        <v>521</v>
      </c>
      <c r="BE961">
        <v>5.8639999999999999</v>
      </c>
      <c r="BF961">
        <v>4.665</v>
      </c>
      <c r="BG961" t="s">
        <v>522</v>
      </c>
      <c r="BH961">
        <v>495</v>
      </c>
      <c r="BI961">
        <v>395</v>
      </c>
      <c r="BJ961">
        <v>190</v>
      </c>
      <c r="BK961">
        <v>30</v>
      </c>
      <c r="BL961" t="s">
        <v>521</v>
      </c>
      <c r="BM961">
        <v>202.92</v>
      </c>
      <c r="BN961">
        <v>139.94999999999999</v>
      </c>
      <c r="BO961">
        <v>1217.5128</v>
      </c>
      <c r="BP961" t="s">
        <v>522</v>
      </c>
      <c r="BQ961">
        <v>1200</v>
      </c>
      <c r="BR961">
        <v>1000</v>
      </c>
      <c r="BS961">
        <v>1120</v>
      </c>
      <c r="BT961">
        <v>6</v>
      </c>
      <c r="BU961">
        <v>0</v>
      </c>
      <c r="BV961">
        <v>6</v>
      </c>
      <c r="BW961">
        <v>180</v>
      </c>
      <c r="BX961">
        <v>0</v>
      </c>
      <c r="BY961">
        <v>180</v>
      </c>
      <c r="BZ961">
        <v>2880</v>
      </c>
      <c r="CA961">
        <v>0</v>
      </c>
      <c r="CB961">
        <v>2880</v>
      </c>
      <c r="CC961">
        <v>839.69280000000003</v>
      </c>
      <c r="CD961" t="s">
        <v>806</v>
      </c>
      <c r="CE961" t="s">
        <v>816</v>
      </c>
      <c r="CG961" t="s">
        <v>421</v>
      </c>
      <c r="CN961" t="str">
        <v>M45</v>
      </c>
      <c r="CO961" t="str">
        <v>1318-11A0060EN</v>
      </c>
      <c r="CP961" t="str">
        <v>TIIU2575610</v>
      </c>
      <c r="CQ961" s="23">
        <v>50</v>
      </c>
      <c r="CR961" s="25">
        <f t="shared" si="37"/>
        <v>3.7703259359837212E-3</v>
      </c>
      <c r="CS961" s="21">
        <f t="shared" si="38"/>
        <v>9.4258148399593029</v>
      </c>
    </row>
    <row r="962" spans="2:97" x14ac:dyDescent="0.35">
      <c r="B962" t="s">
        <v>297</v>
      </c>
      <c r="C962" t="s">
        <v>2081</v>
      </c>
      <c r="D962" t="s">
        <v>395</v>
      </c>
      <c r="E962" t="s">
        <v>395</v>
      </c>
      <c r="F962" t="s">
        <v>396</v>
      </c>
      <c r="G962" t="s">
        <v>397</v>
      </c>
      <c r="H962" t="s">
        <v>398</v>
      </c>
      <c r="I962" t="s">
        <v>399</v>
      </c>
      <c r="J962" t="s">
        <v>749</v>
      </c>
      <c r="K962" t="s">
        <v>845</v>
      </c>
      <c r="L962" t="s">
        <v>787</v>
      </c>
      <c r="M962" t="s">
        <v>403</v>
      </c>
      <c r="N962">
        <v>2</v>
      </c>
      <c r="O962">
        <v>3</v>
      </c>
      <c r="P962" t="s">
        <v>1416</v>
      </c>
      <c r="Q962" t="s">
        <v>424</v>
      </c>
      <c r="R962" t="s">
        <v>1031</v>
      </c>
      <c r="S962" t="s">
        <v>1417</v>
      </c>
      <c r="T962" t="s">
        <v>408</v>
      </c>
      <c r="U962">
        <v>50950081503</v>
      </c>
      <c r="W962">
        <v>40000</v>
      </c>
      <c r="X962" t="s">
        <v>409</v>
      </c>
      <c r="Y962" t="s">
        <v>410</v>
      </c>
      <c r="Z962" t="s">
        <v>410</v>
      </c>
      <c r="AA962" t="s">
        <v>411</v>
      </c>
      <c r="AB962" t="s">
        <v>554</v>
      </c>
      <c r="AC962" t="s">
        <v>411</v>
      </c>
      <c r="AD962">
        <v>46118</v>
      </c>
      <c r="AE962">
        <v>46153</v>
      </c>
      <c r="AF962">
        <v>46127</v>
      </c>
      <c r="AG962" t="s">
        <v>754</v>
      </c>
      <c r="AH962">
        <v>6181438</v>
      </c>
      <c r="AI962">
        <v>46120</v>
      </c>
      <c r="AJ962">
        <v>46121</v>
      </c>
      <c r="AK962">
        <v>40000</v>
      </c>
      <c r="AL962" t="s">
        <v>396</v>
      </c>
      <c r="AM962" t="s">
        <v>3012</v>
      </c>
      <c r="AN962">
        <v>46121</v>
      </c>
      <c r="AO962">
        <v>46121.402731481481</v>
      </c>
      <c r="AP962" t="s">
        <v>51</v>
      </c>
      <c r="AQ962">
        <v>3.3090000000000001E-2</v>
      </c>
      <c r="AR962">
        <v>1323.6</v>
      </c>
      <c r="AS962" t="s">
        <v>51</v>
      </c>
      <c r="AT962">
        <v>1323.6</v>
      </c>
      <c r="AU962" t="s">
        <v>415</v>
      </c>
      <c r="AV962" t="s">
        <v>557</v>
      </c>
      <c r="AW962" t="s">
        <v>2986</v>
      </c>
      <c r="AX962">
        <v>46127</v>
      </c>
      <c r="AY962">
        <v>46176</v>
      </c>
      <c r="AZ962" t="s">
        <v>2987</v>
      </c>
      <c r="BA962" t="s">
        <v>560</v>
      </c>
      <c r="BB962" t="s">
        <v>2988</v>
      </c>
      <c r="BC962">
        <v>500</v>
      </c>
      <c r="BD962" t="s">
        <v>521</v>
      </c>
      <c r="BE962">
        <v>8.5429999999999993</v>
      </c>
      <c r="BF962">
        <v>7.62</v>
      </c>
      <c r="BG962" t="s">
        <v>522</v>
      </c>
      <c r="BH962">
        <v>395</v>
      </c>
      <c r="BI962">
        <v>295</v>
      </c>
      <c r="BJ962">
        <v>220</v>
      </c>
      <c r="BK962">
        <v>40</v>
      </c>
      <c r="BL962" t="s">
        <v>521</v>
      </c>
      <c r="BM962">
        <v>368.72</v>
      </c>
      <c r="BN962">
        <v>304.8</v>
      </c>
      <c r="BO962">
        <v>737.44</v>
      </c>
      <c r="BP962" t="s">
        <v>522</v>
      </c>
      <c r="BQ962">
        <v>1200</v>
      </c>
      <c r="BR962">
        <v>1000</v>
      </c>
      <c r="BS962">
        <v>1053</v>
      </c>
      <c r="BT962">
        <v>2</v>
      </c>
      <c r="BU962">
        <v>0</v>
      </c>
      <c r="BV962">
        <v>2</v>
      </c>
      <c r="BW962">
        <v>80</v>
      </c>
      <c r="BX962">
        <v>0</v>
      </c>
      <c r="BY962">
        <v>80</v>
      </c>
      <c r="BZ962">
        <v>40000</v>
      </c>
      <c r="CA962">
        <v>0</v>
      </c>
      <c r="CB962">
        <v>40000</v>
      </c>
      <c r="CC962">
        <v>609.6</v>
      </c>
      <c r="CD962" t="s">
        <v>856</v>
      </c>
      <c r="CE962" t="s">
        <v>1034</v>
      </c>
      <c r="CG962" t="s">
        <v>421</v>
      </c>
      <c r="CN962" t="str">
        <v>MCS</v>
      </c>
      <c r="CO962" t="str">
        <v>0070-G130008EN</v>
      </c>
      <c r="CP962" t="str">
        <v>TIIU2575610</v>
      </c>
      <c r="CQ962" s="23">
        <v>1000.0000000000001</v>
      </c>
      <c r="CR962" s="25">
        <f t="shared" si="37"/>
        <v>7.5406518719674437E-2</v>
      </c>
      <c r="CS962" s="21">
        <f t="shared" si="38"/>
        <v>188.51629679918608</v>
      </c>
    </row>
    <row r="963" spans="2:97" x14ac:dyDescent="0.35">
      <c r="B963" t="s">
        <v>296</v>
      </c>
      <c r="C963" t="s">
        <v>1652</v>
      </c>
      <c r="D963" t="s">
        <v>395</v>
      </c>
      <c r="E963" t="s">
        <v>395</v>
      </c>
      <c r="F963" t="s">
        <v>396</v>
      </c>
      <c r="G963" t="s">
        <v>397</v>
      </c>
      <c r="H963" t="s">
        <v>398</v>
      </c>
      <c r="I963" t="s">
        <v>399</v>
      </c>
      <c r="J963" t="s">
        <v>749</v>
      </c>
      <c r="K963" t="s">
        <v>1142</v>
      </c>
      <c r="L963" t="s">
        <v>787</v>
      </c>
      <c r="M963" t="s">
        <v>403</v>
      </c>
      <c r="N963">
        <v>2</v>
      </c>
      <c r="O963">
        <v>3</v>
      </c>
      <c r="P963" t="s">
        <v>1653</v>
      </c>
      <c r="Q963" t="s">
        <v>430</v>
      </c>
      <c r="R963" t="s">
        <v>1654</v>
      </c>
      <c r="S963" t="s">
        <v>1655</v>
      </c>
      <c r="T963" t="s">
        <v>408</v>
      </c>
      <c r="U963">
        <v>50950081518</v>
      </c>
      <c r="W963">
        <v>18000</v>
      </c>
      <c r="X963" t="s">
        <v>409</v>
      </c>
      <c r="Y963" t="s">
        <v>410</v>
      </c>
      <c r="Z963" t="s">
        <v>410</v>
      </c>
      <c r="AA963" t="s">
        <v>411</v>
      </c>
      <c r="AB963" t="s">
        <v>554</v>
      </c>
      <c r="AC963" t="s">
        <v>411</v>
      </c>
      <c r="AD963">
        <v>46125</v>
      </c>
      <c r="AE963">
        <v>46167</v>
      </c>
      <c r="AF963">
        <v>46127</v>
      </c>
      <c r="AG963" t="s">
        <v>754</v>
      </c>
      <c r="AH963">
        <v>6181439</v>
      </c>
      <c r="AI963">
        <v>46120</v>
      </c>
      <c r="AJ963">
        <v>46121</v>
      </c>
      <c r="AK963">
        <v>18000</v>
      </c>
      <c r="AL963" t="s">
        <v>396</v>
      </c>
      <c r="AM963" t="s">
        <v>3013</v>
      </c>
      <c r="AN963">
        <v>46121</v>
      </c>
      <c r="AO963">
        <v>46121.402731481481</v>
      </c>
      <c r="AP963" t="s">
        <v>51</v>
      </c>
      <c r="AQ963">
        <v>4.2209999999999998E-2</v>
      </c>
      <c r="AR963">
        <v>759.78</v>
      </c>
      <c r="AS963" t="s">
        <v>51</v>
      </c>
      <c r="AT963">
        <v>759.78</v>
      </c>
      <c r="AU963" t="s">
        <v>415</v>
      </c>
      <c r="AV963" t="s">
        <v>557</v>
      </c>
      <c r="AW963" t="s">
        <v>2986</v>
      </c>
      <c r="AX963">
        <v>46127</v>
      </c>
      <c r="AY963">
        <v>46176</v>
      </c>
      <c r="AZ963" t="s">
        <v>2987</v>
      </c>
      <c r="BA963" t="s">
        <v>560</v>
      </c>
      <c r="BB963" t="s">
        <v>2988</v>
      </c>
      <c r="BC963">
        <v>9000</v>
      </c>
      <c r="BD963" t="s">
        <v>521</v>
      </c>
      <c r="BE963">
        <v>473.2</v>
      </c>
      <c r="BF963">
        <v>452.7</v>
      </c>
      <c r="BG963" t="s">
        <v>522</v>
      </c>
      <c r="BH963">
        <v>1050</v>
      </c>
      <c r="BI963">
        <v>480</v>
      </c>
      <c r="BJ963">
        <v>460</v>
      </c>
      <c r="BK963">
        <v>1</v>
      </c>
      <c r="BL963" t="s">
        <v>521</v>
      </c>
      <c r="BM963">
        <v>473.20010000000002</v>
      </c>
      <c r="BN963">
        <v>452.7</v>
      </c>
      <c r="BO963">
        <v>946.40020000000004</v>
      </c>
      <c r="BP963" t="s">
        <v>522</v>
      </c>
      <c r="BQ963">
        <v>1050</v>
      </c>
      <c r="BR963">
        <v>480</v>
      </c>
      <c r="BS963">
        <v>480</v>
      </c>
      <c r="BT963">
        <v>2</v>
      </c>
      <c r="BU963">
        <v>0</v>
      </c>
      <c r="BV963">
        <v>2</v>
      </c>
      <c r="BW963">
        <v>2</v>
      </c>
      <c r="BX963">
        <v>0</v>
      </c>
      <c r="BY963">
        <v>2</v>
      </c>
      <c r="BZ963">
        <v>18000</v>
      </c>
      <c r="CA963">
        <v>0</v>
      </c>
      <c r="CB963">
        <v>18000</v>
      </c>
      <c r="CC963">
        <v>905.4</v>
      </c>
      <c r="CD963" t="s">
        <v>641</v>
      </c>
      <c r="CE963" t="s">
        <v>1147</v>
      </c>
      <c r="CG963" t="s">
        <v>421</v>
      </c>
      <c r="CN963" t="str">
        <v>MCS</v>
      </c>
      <c r="CO963" t="str">
        <v>0070-G130008EN</v>
      </c>
      <c r="CP963" t="str">
        <v>TIIU2575610</v>
      </c>
      <c r="CQ963" s="23">
        <v>1000.0000000000001</v>
      </c>
      <c r="CR963" s="25">
        <f t="shared" si="37"/>
        <v>7.5406518719674437E-2</v>
      </c>
      <c r="CS963" s="21">
        <f t="shared" si="38"/>
        <v>188.51629679918608</v>
      </c>
    </row>
    <row r="964" spans="2:97" x14ac:dyDescent="0.35">
      <c r="B964" t="s">
        <v>296</v>
      </c>
      <c r="C964" t="s">
        <v>1652</v>
      </c>
      <c r="D964" t="s">
        <v>395</v>
      </c>
      <c r="E964" t="s">
        <v>395</v>
      </c>
      <c r="F964" t="s">
        <v>396</v>
      </c>
      <c r="G964" t="s">
        <v>397</v>
      </c>
      <c r="H964" t="s">
        <v>398</v>
      </c>
      <c r="I964" t="s">
        <v>399</v>
      </c>
      <c r="J964" t="s">
        <v>749</v>
      </c>
      <c r="K964" t="s">
        <v>1142</v>
      </c>
      <c r="L964" t="s">
        <v>787</v>
      </c>
      <c r="M964" t="s">
        <v>403</v>
      </c>
      <c r="N964">
        <v>3</v>
      </c>
      <c r="O964">
        <v>3</v>
      </c>
      <c r="P964" t="s">
        <v>1653</v>
      </c>
      <c r="Q964" t="s">
        <v>430</v>
      </c>
      <c r="R964" t="s">
        <v>1654</v>
      </c>
      <c r="S964" t="s">
        <v>1655</v>
      </c>
      <c r="T964" t="s">
        <v>408</v>
      </c>
      <c r="U964">
        <v>50950081518</v>
      </c>
      <c r="W964">
        <v>9000</v>
      </c>
      <c r="X964" t="s">
        <v>409</v>
      </c>
      <c r="Y964" t="s">
        <v>410</v>
      </c>
      <c r="Z964" t="s">
        <v>410</v>
      </c>
      <c r="AA964" t="s">
        <v>411</v>
      </c>
      <c r="AB964" t="s">
        <v>554</v>
      </c>
      <c r="AC964" t="s">
        <v>411</v>
      </c>
      <c r="AD964">
        <v>46118</v>
      </c>
      <c r="AE964">
        <v>46160</v>
      </c>
      <c r="AF964">
        <v>46127</v>
      </c>
      <c r="AG964" t="s">
        <v>754</v>
      </c>
      <c r="AH964">
        <v>6181439</v>
      </c>
      <c r="AI964">
        <v>46120</v>
      </c>
      <c r="AJ964">
        <v>46121</v>
      </c>
      <c r="AK964">
        <v>9000</v>
      </c>
      <c r="AL964" t="s">
        <v>396</v>
      </c>
      <c r="AM964" t="s">
        <v>3013</v>
      </c>
      <c r="AN964">
        <v>46121</v>
      </c>
      <c r="AO964">
        <v>46121.402731481481</v>
      </c>
      <c r="AP964" t="s">
        <v>51</v>
      </c>
      <c r="AQ964">
        <v>4.2209999999999998E-2</v>
      </c>
      <c r="AR964">
        <v>379.89</v>
      </c>
      <c r="AS964" t="s">
        <v>51</v>
      </c>
      <c r="AT964">
        <v>379.89</v>
      </c>
      <c r="AU964" t="s">
        <v>415</v>
      </c>
      <c r="AV964" t="s">
        <v>557</v>
      </c>
      <c r="AW964" t="s">
        <v>2986</v>
      </c>
      <c r="AX964">
        <v>46127</v>
      </c>
      <c r="AY964">
        <v>46176</v>
      </c>
      <c r="AZ964" t="s">
        <v>2987</v>
      </c>
      <c r="BA964" t="s">
        <v>560</v>
      </c>
      <c r="BB964" t="s">
        <v>2988</v>
      </c>
      <c r="BC964">
        <v>9000</v>
      </c>
      <c r="BD964" t="s">
        <v>521</v>
      </c>
      <c r="BE964">
        <v>473.2</v>
      </c>
      <c r="BF964">
        <v>452.7</v>
      </c>
      <c r="BG964" t="s">
        <v>522</v>
      </c>
      <c r="BH964">
        <v>1050</v>
      </c>
      <c r="BI964">
        <v>480</v>
      </c>
      <c r="BJ964">
        <v>460</v>
      </c>
      <c r="BK964">
        <v>1</v>
      </c>
      <c r="BL964" t="s">
        <v>521</v>
      </c>
      <c r="BM964">
        <v>473.20010000000002</v>
      </c>
      <c r="BN964">
        <v>452.7</v>
      </c>
      <c r="BO964">
        <v>473.20010000000002</v>
      </c>
      <c r="BP964" t="s">
        <v>522</v>
      </c>
      <c r="BQ964">
        <v>1050</v>
      </c>
      <c r="BR964">
        <v>480</v>
      </c>
      <c r="BS964">
        <v>480</v>
      </c>
      <c r="BT964">
        <v>1</v>
      </c>
      <c r="BU964">
        <v>0</v>
      </c>
      <c r="BV964">
        <v>1</v>
      </c>
      <c r="BW964">
        <v>1</v>
      </c>
      <c r="BX964">
        <v>0</v>
      </c>
      <c r="BY964">
        <v>1</v>
      </c>
      <c r="BZ964">
        <v>9000</v>
      </c>
      <c r="CA964">
        <v>0</v>
      </c>
      <c r="CB964">
        <v>9000</v>
      </c>
      <c r="CC964">
        <v>452.7</v>
      </c>
      <c r="CD964" t="s">
        <v>641</v>
      </c>
      <c r="CE964" t="s">
        <v>1147</v>
      </c>
      <c r="CG964" t="s">
        <v>421</v>
      </c>
      <c r="CN964" t="str">
        <v>M19</v>
      </c>
      <c r="CO964" t="str">
        <v>1275-5YY0696EN</v>
      </c>
      <c r="CP964" t="str">
        <v>TIIU2575610</v>
      </c>
      <c r="CQ964" s="23">
        <v>224.11760000000001</v>
      </c>
      <c r="CR964" s="25">
        <f t="shared" si="37"/>
        <v>1.6899927999808505E-2</v>
      </c>
      <c r="CS964" s="21">
        <f t="shared" si="38"/>
        <v>42.249819999521264</v>
      </c>
    </row>
    <row r="965" spans="2:97" x14ac:dyDescent="0.35">
      <c r="B965" t="s">
        <v>296</v>
      </c>
      <c r="C965" t="s">
        <v>1962</v>
      </c>
      <c r="D965" t="s">
        <v>395</v>
      </c>
      <c r="E965" t="s">
        <v>395</v>
      </c>
      <c r="F965" t="s">
        <v>396</v>
      </c>
      <c r="G965" t="s">
        <v>397</v>
      </c>
      <c r="H965" t="s">
        <v>398</v>
      </c>
      <c r="I965" t="s">
        <v>399</v>
      </c>
      <c r="J965" t="s">
        <v>749</v>
      </c>
      <c r="K965" t="s">
        <v>1142</v>
      </c>
      <c r="L965" t="s">
        <v>787</v>
      </c>
      <c r="M965" t="s">
        <v>403</v>
      </c>
      <c r="N965">
        <v>1</v>
      </c>
      <c r="O965">
        <v>2</v>
      </c>
      <c r="P965" t="s">
        <v>1963</v>
      </c>
      <c r="Q965" t="s">
        <v>424</v>
      </c>
      <c r="R965" t="s">
        <v>1164</v>
      </c>
      <c r="S965" t="s">
        <v>1165</v>
      </c>
      <c r="T965" t="s">
        <v>408</v>
      </c>
      <c r="U965">
        <v>50950081519</v>
      </c>
      <c r="W965">
        <v>3000</v>
      </c>
      <c r="X965" t="s">
        <v>409</v>
      </c>
      <c r="Y965" t="s">
        <v>410</v>
      </c>
      <c r="Z965" t="s">
        <v>410</v>
      </c>
      <c r="AA965" t="s">
        <v>411</v>
      </c>
      <c r="AB965" t="s">
        <v>554</v>
      </c>
      <c r="AC965" t="s">
        <v>411</v>
      </c>
      <c r="AD965">
        <v>46125</v>
      </c>
      <c r="AE965">
        <v>46160</v>
      </c>
      <c r="AF965">
        <v>46127</v>
      </c>
      <c r="AG965" t="s">
        <v>754</v>
      </c>
      <c r="AH965">
        <v>6181440</v>
      </c>
      <c r="AI965">
        <v>46120</v>
      </c>
      <c r="AJ965">
        <v>46121</v>
      </c>
      <c r="AK965">
        <v>3000</v>
      </c>
      <c r="AL965" t="s">
        <v>396</v>
      </c>
      <c r="AM965" t="s">
        <v>3014</v>
      </c>
      <c r="AN965">
        <v>46121</v>
      </c>
      <c r="AO965">
        <v>46121.402731481481</v>
      </c>
      <c r="AP965" t="s">
        <v>51</v>
      </c>
      <c r="AQ965">
        <v>0.27694000000000002</v>
      </c>
      <c r="AR965">
        <v>830.82</v>
      </c>
      <c r="AS965" t="s">
        <v>51</v>
      </c>
      <c r="AT965">
        <v>830.82</v>
      </c>
      <c r="AU965" t="s">
        <v>415</v>
      </c>
      <c r="AV965" t="s">
        <v>557</v>
      </c>
      <c r="AW965" t="s">
        <v>2986</v>
      </c>
      <c r="AX965">
        <v>46127</v>
      </c>
      <c r="AY965">
        <v>46176</v>
      </c>
      <c r="AZ965" t="s">
        <v>2987</v>
      </c>
      <c r="BA965" t="s">
        <v>560</v>
      </c>
      <c r="BB965" t="s">
        <v>2988</v>
      </c>
      <c r="BC965">
        <v>3000</v>
      </c>
      <c r="BD965" t="s">
        <v>521</v>
      </c>
      <c r="BE965">
        <v>394.3</v>
      </c>
      <c r="BF965">
        <v>373.8</v>
      </c>
      <c r="BG965" t="s">
        <v>522</v>
      </c>
      <c r="BH965">
        <v>1050</v>
      </c>
      <c r="BI965">
        <v>480</v>
      </c>
      <c r="BJ965">
        <v>460</v>
      </c>
      <c r="BK965">
        <v>1</v>
      </c>
      <c r="BL965" t="s">
        <v>521</v>
      </c>
      <c r="BM965">
        <v>394.30009999999999</v>
      </c>
      <c r="BN965">
        <v>373.8</v>
      </c>
      <c r="BO965">
        <v>394.30009999999999</v>
      </c>
      <c r="BP965" t="s">
        <v>522</v>
      </c>
      <c r="BQ965">
        <v>1050</v>
      </c>
      <c r="BR965">
        <v>480</v>
      </c>
      <c r="BS965">
        <v>480</v>
      </c>
      <c r="BT965">
        <v>1</v>
      </c>
      <c r="BU965">
        <v>0</v>
      </c>
      <c r="BV965">
        <v>1</v>
      </c>
      <c r="BW965">
        <v>1</v>
      </c>
      <c r="BX965">
        <v>0</v>
      </c>
      <c r="BY965">
        <v>1</v>
      </c>
      <c r="BZ965">
        <v>3000</v>
      </c>
      <c r="CA965">
        <v>0</v>
      </c>
      <c r="CB965">
        <v>3000</v>
      </c>
      <c r="CC965">
        <v>373.8</v>
      </c>
      <c r="CD965" t="s">
        <v>641</v>
      </c>
      <c r="CE965" t="s">
        <v>1147</v>
      </c>
      <c r="CG965" t="s">
        <v>421</v>
      </c>
      <c r="CN965" t="str">
        <v>M01</v>
      </c>
      <c r="CO965" t="str">
        <v>1318-1030113EN</v>
      </c>
      <c r="CP965" t="str">
        <v>TIIU2575610</v>
      </c>
      <c r="CQ965" s="23">
        <v>32.853999999999999</v>
      </c>
      <c r="CR965" s="25">
        <f t="shared" si="37"/>
        <v>2.4774057660161834E-3</v>
      </c>
      <c r="CS965" s="21">
        <f t="shared" si="38"/>
        <v>6.1935144150404584</v>
      </c>
    </row>
    <row r="966" spans="2:97" x14ac:dyDescent="0.35">
      <c r="B966" t="s">
        <v>296</v>
      </c>
      <c r="C966" t="s">
        <v>1962</v>
      </c>
      <c r="D966" t="s">
        <v>395</v>
      </c>
      <c r="E966" t="s">
        <v>395</v>
      </c>
      <c r="F966" t="s">
        <v>396</v>
      </c>
      <c r="G966" t="s">
        <v>397</v>
      </c>
      <c r="H966" t="s">
        <v>398</v>
      </c>
      <c r="I966" t="s">
        <v>399</v>
      </c>
      <c r="J966" t="s">
        <v>749</v>
      </c>
      <c r="K966" t="s">
        <v>1142</v>
      </c>
      <c r="L966" t="s">
        <v>787</v>
      </c>
      <c r="M966" t="s">
        <v>403</v>
      </c>
      <c r="N966">
        <v>5</v>
      </c>
      <c r="O966">
        <v>2</v>
      </c>
      <c r="P966" t="s">
        <v>1963</v>
      </c>
      <c r="Q966" t="s">
        <v>424</v>
      </c>
      <c r="R966" t="s">
        <v>1164</v>
      </c>
      <c r="S966" t="s">
        <v>1165</v>
      </c>
      <c r="T966" t="s">
        <v>408</v>
      </c>
      <c r="U966">
        <v>50950081519</v>
      </c>
      <c r="W966">
        <v>12000</v>
      </c>
      <c r="X966" t="s">
        <v>409</v>
      </c>
      <c r="Y966" t="s">
        <v>410</v>
      </c>
      <c r="Z966" t="s">
        <v>410</v>
      </c>
      <c r="AA966" t="s">
        <v>411</v>
      </c>
      <c r="AB966" t="s">
        <v>554</v>
      </c>
      <c r="AC966" t="s">
        <v>411</v>
      </c>
      <c r="AD966">
        <v>46118</v>
      </c>
      <c r="AE966">
        <v>46146</v>
      </c>
      <c r="AF966">
        <v>46127</v>
      </c>
      <c r="AG966" t="s">
        <v>754</v>
      </c>
      <c r="AH966">
        <v>6181440</v>
      </c>
      <c r="AI966">
        <v>46120</v>
      </c>
      <c r="AJ966">
        <v>46121</v>
      </c>
      <c r="AK966">
        <v>12000</v>
      </c>
      <c r="AL966" t="s">
        <v>396</v>
      </c>
      <c r="AM966" t="s">
        <v>3014</v>
      </c>
      <c r="AN966">
        <v>46121</v>
      </c>
      <c r="AO966">
        <v>46121.402731481481</v>
      </c>
      <c r="AP966" t="s">
        <v>51</v>
      </c>
      <c r="AQ966">
        <v>0.27694000000000002</v>
      </c>
      <c r="AR966">
        <v>3323.28</v>
      </c>
      <c r="AS966" t="s">
        <v>51</v>
      </c>
      <c r="AT966">
        <v>3323.28</v>
      </c>
      <c r="AU966" t="s">
        <v>415</v>
      </c>
      <c r="AV966" t="s">
        <v>557</v>
      </c>
      <c r="AW966" t="s">
        <v>2986</v>
      </c>
      <c r="AX966">
        <v>46127</v>
      </c>
      <c r="AY966">
        <v>46176</v>
      </c>
      <c r="AZ966" t="s">
        <v>2987</v>
      </c>
      <c r="BA966" t="s">
        <v>560</v>
      </c>
      <c r="BB966" t="s">
        <v>2988</v>
      </c>
      <c r="BC966">
        <v>3000</v>
      </c>
      <c r="BD966" t="s">
        <v>521</v>
      </c>
      <c r="BE966">
        <v>394.3</v>
      </c>
      <c r="BF966">
        <v>373.8</v>
      </c>
      <c r="BG966" t="s">
        <v>522</v>
      </c>
      <c r="BH966">
        <v>1050</v>
      </c>
      <c r="BI966">
        <v>480</v>
      </c>
      <c r="BJ966">
        <v>460</v>
      </c>
      <c r="BK966">
        <v>1</v>
      </c>
      <c r="BL966" t="s">
        <v>521</v>
      </c>
      <c r="BM966">
        <v>394.30009999999999</v>
      </c>
      <c r="BN966">
        <v>373.8</v>
      </c>
      <c r="BO966">
        <v>1577.2003999999999</v>
      </c>
      <c r="BP966" t="s">
        <v>522</v>
      </c>
      <c r="BQ966">
        <v>1050</v>
      </c>
      <c r="BR966">
        <v>480</v>
      </c>
      <c r="BS966">
        <v>480</v>
      </c>
      <c r="BT966">
        <v>4</v>
      </c>
      <c r="BU966">
        <v>0</v>
      </c>
      <c r="BV966">
        <v>4</v>
      </c>
      <c r="BW966">
        <v>4</v>
      </c>
      <c r="BX966">
        <v>0</v>
      </c>
      <c r="BY966">
        <v>4</v>
      </c>
      <c r="BZ966">
        <v>12000</v>
      </c>
      <c r="CA966">
        <v>0</v>
      </c>
      <c r="CB966">
        <v>12000</v>
      </c>
      <c r="CC966">
        <v>1495.2</v>
      </c>
      <c r="CD966" t="s">
        <v>641</v>
      </c>
      <c r="CE966" t="s">
        <v>1147</v>
      </c>
      <c r="CG966" t="s">
        <v>421</v>
      </c>
      <c r="CN966" t="str">
        <v>M01</v>
      </c>
      <c r="CO966" t="str">
        <v>1102-0039190EN</v>
      </c>
      <c r="CP966" t="str">
        <v>TIIU2575610</v>
      </c>
      <c r="CQ966" s="23">
        <v>2394.48</v>
      </c>
      <c r="CR966" s="25">
        <f t="shared" ref="CR966:CR1029" si="39">IFERROR(CQ966/(SUMIFS(CQ:CQ,CP:CP,CP966)),100%)</f>
        <v>0.18055940094388603</v>
      </c>
      <c r="CS966" s="21">
        <f t="shared" si="38"/>
        <v>451.39850235971511</v>
      </c>
    </row>
    <row r="967" spans="2:97" x14ac:dyDescent="0.35">
      <c r="B967" t="s">
        <v>297</v>
      </c>
      <c r="C967" t="s">
        <v>2435</v>
      </c>
      <c r="D967" t="s">
        <v>395</v>
      </c>
      <c r="E967" t="s">
        <v>395</v>
      </c>
      <c r="F967" t="s">
        <v>396</v>
      </c>
      <c r="G967" t="s">
        <v>397</v>
      </c>
      <c r="H967" t="s">
        <v>398</v>
      </c>
      <c r="I967" t="s">
        <v>399</v>
      </c>
      <c r="J967" t="s">
        <v>749</v>
      </c>
      <c r="K967" t="s">
        <v>845</v>
      </c>
      <c r="L967" t="s">
        <v>787</v>
      </c>
      <c r="M967" t="s">
        <v>403</v>
      </c>
      <c r="N967">
        <v>2</v>
      </c>
      <c r="O967">
        <v>1</v>
      </c>
      <c r="P967" t="s">
        <v>1416</v>
      </c>
      <c r="Q967" t="s">
        <v>424</v>
      </c>
      <c r="R967" t="s">
        <v>1031</v>
      </c>
      <c r="S967" t="s">
        <v>1417</v>
      </c>
      <c r="T967" t="s">
        <v>408</v>
      </c>
      <c r="U967">
        <v>50950081708</v>
      </c>
      <c r="W967">
        <v>80000</v>
      </c>
      <c r="X967" t="s">
        <v>409</v>
      </c>
      <c r="Y967" t="s">
        <v>410</v>
      </c>
      <c r="Z967" t="s">
        <v>410</v>
      </c>
      <c r="AA967" t="s">
        <v>411</v>
      </c>
      <c r="AB967" t="s">
        <v>554</v>
      </c>
      <c r="AC967" t="s">
        <v>411</v>
      </c>
      <c r="AD967">
        <v>46123</v>
      </c>
      <c r="AE967">
        <v>46181</v>
      </c>
      <c r="AF967">
        <v>46127</v>
      </c>
      <c r="AG967" t="s">
        <v>754</v>
      </c>
      <c r="AH967">
        <v>6181441</v>
      </c>
      <c r="AI967">
        <v>46120</v>
      </c>
      <c r="AJ967">
        <v>46121</v>
      </c>
      <c r="AK967">
        <v>80000</v>
      </c>
      <c r="AL967" t="s">
        <v>396</v>
      </c>
      <c r="AM967" t="s">
        <v>3015</v>
      </c>
      <c r="AN967">
        <v>46121</v>
      </c>
      <c r="AO967">
        <v>46121.402731481481</v>
      </c>
      <c r="AP967" t="s">
        <v>51</v>
      </c>
      <c r="AQ967">
        <v>3.3090000000000001E-2</v>
      </c>
      <c r="AR967">
        <v>2647.2</v>
      </c>
      <c r="AS967" t="s">
        <v>51</v>
      </c>
      <c r="AT967">
        <v>2647.2</v>
      </c>
      <c r="AU967" t="s">
        <v>415</v>
      </c>
      <c r="AV967" t="s">
        <v>557</v>
      </c>
      <c r="AW967" t="s">
        <v>2986</v>
      </c>
      <c r="AX967">
        <v>46127</v>
      </c>
      <c r="AY967">
        <v>46176</v>
      </c>
      <c r="AZ967" t="s">
        <v>2987</v>
      </c>
      <c r="BA967" t="s">
        <v>560</v>
      </c>
      <c r="BB967" t="s">
        <v>2988</v>
      </c>
      <c r="BC967">
        <v>500</v>
      </c>
      <c r="BD967" t="s">
        <v>521</v>
      </c>
      <c r="BE967">
        <v>8.5429999999999993</v>
      </c>
      <c r="BF967">
        <v>7.62</v>
      </c>
      <c r="BG967" t="s">
        <v>522</v>
      </c>
      <c r="BH967">
        <v>395</v>
      </c>
      <c r="BI967">
        <v>295</v>
      </c>
      <c r="BJ967">
        <v>220</v>
      </c>
      <c r="BK967">
        <v>40</v>
      </c>
      <c r="BL967" t="s">
        <v>521</v>
      </c>
      <c r="BM967">
        <v>368.72</v>
      </c>
      <c r="BN967">
        <v>304.8</v>
      </c>
      <c r="BO967">
        <v>1474.88</v>
      </c>
      <c r="BP967" t="s">
        <v>522</v>
      </c>
      <c r="BQ967">
        <v>1200</v>
      </c>
      <c r="BR967">
        <v>1000</v>
      </c>
      <c r="BS967">
        <v>1053</v>
      </c>
      <c r="BT967">
        <v>4</v>
      </c>
      <c r="BU967">
        <v>0</v>
      </c>
      <c r="BV967">
        <v>4</v>
      </c>
      <c r="BW967">
        <v>160</v>
      </c>
      <c r="BX967">
        <v>0</v>
      </c>
      <c r="BY967">
        <v>160</v>
      </c>
      <c r="BZ967">
        <v>80000</v>
      </c>
      <c r="CA967">
        <v>0</v>
      </c>
      <c r="CB967">
        <v>80000</v>
      </c>
      <c r="CC967">
        <v>1219.2</v>
      </c>
      <c r="CD967" t="s">
        <v>856</v>
      </c>
      <c r="CE967" t="s">
        <v>1034</v>
      </c>
      <c r="CG967" t="s">
        <v>421</v>
      </c>
      <c r="CN967" t="str">
        <v>M45</v>
      </c>
      <c r="CO967" t="str">
        <v>1446-12B0001EN</v>
      </c>
      <c r="CP967" t="str">
        <v>TRHU4923520</v>
      </c>
      <c r="CQ967" s="23">
        <v>50</v>
      </c>
      <c r="CR967" s="25">
        <f t="shared" si="39"/>
        <v>4.9540171732503401E-3</v>
      </c>
      <c r="CS967" s="21">
        <f t="shared" ref="CS967:CS1030" si="40">CR967*$CS$2</f>
        <v>12.385042933125851</v>
      </c>
    </row>
    <row r="968" spans="2:97" x14ac:dyDescent="0.35">
      <c r="B968" t="s">
        <v>297</v>
      </c>
      <c r="C968" t="s">
        <v>2711</v>
      </c>
      <c r="D968" t="s">
        <v>395</v>
      </c>
      <c r="E968" t="s">
        <v>395</v>
      </c>
      <c r="F968" t="s">
        <v>396</v>
      </c>
      <c r="G968" t="s">
        <v>397</v>
      </c>
      <c r="H968" t="s">
        <v>398</v>
      </c>
      <c r="I968" t="s">
        <v>399</v>
      </c>
      <c r="J968" t="s">
        <v>749</v>
      </c>
      <c r="K968" t="s">
        <v>629</v>
      </c>
      <c r="L968" t="s">
        <v>787</v>
      </c>
      <c r="M968" t="s">
        <v>403</v>
      </c>
      <c r="N968">
        <v>1</v>
      </c>
      <c r="O968">
        <v>1</v>
      </c>
      <c r="P968" t="s">
        <v>1944</v>
      </c>
      <c r="Q968" t="s">
        <v>424</v>
      </c>
      <c r="R968" t="s">
        <v>1112</v>
      </c>
      <c r="S968" t="s">
        <v>1113</v>
      </c>
      <c r="T968" t="s">
        <v>408</v>
      </c>
      <c r="U968">
        <v>50950081751</v>
      </c>
      <c r="W968">
        <v>9600</v>
      </c>
      <c r="X968" t="s">
        <v>409</v>
      </c>
      <c r="Y968" t="s">
        <v>410</v>
      </c>
      <c r="Z968" t="s">
        <v>410</v>
      </c>
      <c r="AA968" t="s">
        <v>411</v>
      </c>
      <c r="AB968" t="s">
        <v>554</v>
      </c>
      <c r="AC968" t="s">
        <v>411</v>
      </c>
      <c r="AD968">
        <v>46130</v>
      </c>
      <c r="AE968">
        <v>46188</v>
      </c>
      <c r="AF968">
        <v>46127</v>
      </c>
      <c r="AG968" t="s">
        <v>754</v>
      </c>
      <c r="AH968">
        <v>6181442</v>
      </c>
      <c r="AI968">
        <v>46120</v>
      </c>
      <c r="AJ968">
        <v>46121</v>
      </c>
      <c r="AK968">
        <v>9600</v>
      </c>
      <c r="AL968" t="s">
        <v>396</v>
      </c>
      <c r="AM968" t="s">
        <v>3016</v>
      </c>
      <c r="AN968">
        <v>46121</v>
      </c>
      <c r="AO968">
        <v>46121.402731481481</v>
      </c>
      <c r="AP968" t="s">
        <v>51</v>
      </c>
      <c r="AQ968">
        <v>0.13721</v>
      </c>
      <c r="AR968">
        <v>1317.22</v>
      </c>
      <c r="AS968" t="s">
        <v>51</v>
      </c>
      <c r="AT968">
        <v>1317.22</v>
      </c>
      <c r="AU968" t="s">
        <v>415</v>
      </c>
      <c r="AV968" t="s">
        <v>557</v>
      </c>
      <c r="AW968" t="s">
        <v>2986</v>
      </c>
      <c r="AX968">
        <v>46127</v>
      </c>
      <c r="AY968">
        <v>46176</v>
      </c>
      <c r="AZ968" t="s">
        <v>2987</v>
      </c>
      <c r="BA968" t="s">
        <v>560</v>
      </c>
      <c r="BB968" t="s">
        <v>2988</v>
      </c>
      <c r="BC968">
        <v>160</v>
      </c>
      <c r="BD968" t="s">
        <v>521</v>
      </c>
      <c r="BE968">
        <v>4.3602999999999996</v>
      </c>
      <c r="BF968">
        <v>3.4533</v>
      </c>
      <c r="BG968" t="s">
        <v>522</v>
      </c>
      <c r="BH968">
        <v>395</v>
      </c>
      <c r="BI968">
        <v>295</v>
      </c>
      <c r="BJ968">
        <v>270</v>
      </c>
      <c r="BK968">
        <v>30</v>
      </c>
      <c r="BL968" t="s">
        <v>521</v>
      </c>
      <c r="BM968">
        <v>157.809</v>
      </c>
      <c r="BN968">
        <v>103.599</v>
      </c>
      <c r="BO968">
        <v>315.61680000000001</v>
      </c>
      <c r="BP968" t="s">
        <v>522</v>
      </c>
      <c r="BQ968">
        <v>1200</v>
      </c>
      <c r="BR968">
        <v>1000</v>
      </c>
      <c r="BS968">
        <v>918</v>
      </c>
      <c r="BT968">
        <v>2</v>
      </c>
      <c r="BU968">
        <v>0</v>
      </c>
      <c r="BV968">
        <v>2</v>
      </c>
      <c r="BW968">
        <v>60</v>
      </c>
      <c r="BX968">
        <v>0</v>
      </c>
      <c r="BY968">
        <v>60</v>
      </c>
      <c r="BZ968">
        <v>9600</v>
      </c>
      <c r="CA968">
        <v>0</v>
      </c>
      <c r="CB968">
        <v>9600</v>
      </c>
      <c r="CC968">
        <v>207.1968</v>
      </c>
      <c r="CD968" t="s">
        <v>633</v>
      </c>
      <c r="CE968" t="s">
        <v>634</v>
      </c>
      <c r="CG968" t="s">
        <v>421</v>
      </c>
      <c r="CN968" t="str">
        <v>M01</v>
      </c>
      <c r="CO968" t="str">
        <v>1200-1030955EN</v>
      </c>
      <c r="CP968" t="str">
        <v>TRHU4923520</v>
      </c>
      <c r="CQ968" s="23">
        <v>474.98399999999998</v>
      </c>
      <c r="CR968" s="25">
        <f t="shared" si="39"/>
        <v>4.7061577860382793E-2</v>
      </c>
      <c r="CS968" s="21">
        <f t="shared" si="40"/>
        <v>117.65394465095699</v>
      </c>
    </row>
    <row r="969" spans="2:97" x14ac:dyDescent="0.35">
      <c r="B969" t="s">
        <v>297</v>
      </c>
      <c r="C969" t="s">
        <v>3017</v>
      </c>
      <c r="D969" t="s">
        <v>395</v>
      </c>
      <c r="E969" t="s">
        <v>395</v>
      </c>
      <c r="F969" t="s">
        <v>396</v>
      </c>
      <c r="G969" t="s">
        <v>397</v>
      </c>
      <c r="H969" t="s">
        <v>398</v>
      </c>
      <c r="I969" t="s">
        <v>399</v>
      </c>
      <c r="J969" t="s">
        <v>749</v>
      </c>
      <c r="K969" t="s">
        <v>629</v>
      </c>
      <c r="L969" t="s">
        <v>787</v>
      </c>
      <c r="M969" t="s">
        <v>403</v>
      </c>
      <c r="N969">
        <v>1</v>
      </c>
      <c r="O969">
        <v>2</v>
      </c>
      <c r="P969" t="s">
        <v>832</v>
      </c>
      <c r="Q969" t="s">
        <v>645</v>
      </c>
      <c r="R969" t="s">
        <v>833</v>
      </c>
      <c r="S969" t="s">
        <v>834</v>
      </c>
      <c r="T969" t="s">
        <v>408</v>
      </c>
      <c r="U969">
        <v>50950081765</v>
      </c>
      <c r="W969">
        <v>19200</v>
      </c>
      <c r="X969" t="s">
        <v>409</v>
      </c>
      <c r="Y969" t="s">
        <v>410</v>
      </c>
      <c r="Z969" t="s">
        <v>410</v>
      </c>
      <c r="AA969" t="s">
        <v>411</v>
      </c>
      <c r="AB969" t="s">
        <v>554</v>
      </c>
      <c r="AC969" t="s">
        <v>411</v>
      </c>
      <c r="AD969">
        <v>46116</v>
      </c>
      <c r="AE969">
        <v>46188</v>
      </c>
      <c r="AF969">
        <v>46127</v>
      </c>
      <c r="AG969" t="s">
        <v>754</v>
      </c>
      <c r="AH969">
        <v>6181443</v>
      </c>
      <c r="AI969">
        <v>46120</v>
      </c>
      <c r="AJ969">
        <v>46121</v>
      </c>
      <c r="AK969">
        <v>19200</v>
      </c>
      <c r="AL969" t="s">
        <v>396</v>
      </c>
      <c r="AM969" t="s">
        <v>3018</v>
      </c>
      <c r="AN969">
        <v>46121</v>
      </c>
      <c r="AO969">
        <v>46121.402731481481</v>
      </c>
      <c r="AP969" t="s">
        <v>51</v>
      </c>
      <c r="AQ969">
        <v>0.13306999999999999</v>
      </c>
      <c r="AR969">
        <v>2554.94</v>
      </c>
      <c r="AS969" t="s">
        <v>51</v>
      </c>
      <c r="AT969">
        <v>2554.94</v>
      </c>
      <c r="AU969" t="s">
        <v>415</v>
      </c>
      <c r="AV969" t="s">
        <v>557</v>
      </c>
      <c r="AW969" t="s">
        <v>2986</v>
      </c>
      <c r="AX969">
        <v>46127</v>
      </c>
      <c r="AY969">
        <v>46176</v>
      </c>
      <c r="AZ969" t="s">
        <v>2987</v>
      </c>
      <c r="BA969" t="s">
        <v>560</v>
      </c>
      <c r="BB969" t="s">
        <v>2988</v>
      </c>
      <c r="BC969">
        <v>320</v>
      </c>
      <c r="BD969" t="s">
        <v>521</v>
      </c>
      <c r="BE969">
        <v>4.1859999999999999</v>
      </c>
      <c r="BF969">
        <v>3.6160000000000001</v>
      </c>
      <c r="BG969" t="s">
        <v>522</v>
      </c>
      <c r="BH969">
        <v>395</v>
      </c>
      <c r="BI969">
        <v>295</v>
      </c>
      <c r="BJ969">
        <v>255</v>
      </c>
      <c r="BK969">
        <v>30</v>
      </c>
      <c r="BL969" t="s">
        <v>521</v>
      </c>
      <c r="BM969">
        <v>152.58000000000001</v>
      </c>
      <c r="BN969">
        <v>108.48</v>
      </c>
      <c r="BO969">
        <v>305.16000000000003</v>
      </c>
      <c r="BP969" t="s">
        <v>522</v>
      </c>
      <c r="BQ969">
        <v>1200</v>
      </c>
      <c r="BR969">
        <v>1000</v>
      </c>
      <c r="BS969">
        <v>918</v>
      </c>
      <c r="BT969">
        <v>2</v>
      </c>
      <c r="BU969">
        <v>0</v>
      </c>
      <c r="BV969">
        <v>2</v>
      </c>
      <c r="BW969">
        <v>60</v>
      </c>
      <c r="BX969">
        <v>0</v>
      </c>
      <c r="BY969">
        <v>60</v>
      </c>
      <c r="BZ969">
        <v>19200</v>
      </c>
      <c r="CA969">
        <v>0</v>
      </c>
      <c r="CB969">
        <v>19200</v>
      </c>
      <c r="CC969">
        <v>216.96</v>
      </c>
      <c r="CD969" t="s">
        <v>633</v>
      </c>
      <c r="CE969" t="s">
        <v>836</v>
      </c>
      <c r="CG969" t="s">
        <v>421</v>
      </c>
      <c r="CN969" t="str">
        <v>M46</v>
      </c>
      <c r="CO969" t="str">
        <v>1123-1060052EN</v>
      </c>
      <c r="CP969" t="str">
        <v>TRHU4923520</v>
      </c>
      <c r="CQ969" s="23">
        <v>637.71168</v>
      </c>
      <c r="CR969" s="25">
        <f t="shared" si="39"/>
        <v>6.3184692286046507E-2</v>
      </c>
      <c r="CS969" s="21">
        <f t="shared" si="40"/>
        <v>157.96173071511626</v>
      </c>
    </row>
    <row r="970" spans="2:97" x14ac:dyDescent="0.35">
      <c r="B970" t="s">
        <v>299</v>
      </c>
      <c r="C970" t="s">
        <v>3019</v>
      </c>
      <c r="D970" t="s">
        <v>395</v>
      </c>
      <c r="E970" t="s">
        <v>395</v>
      </c>
      <c r="F970" t="s">
        <v>396</v>
      </c>
      <c r="G970" t="s">
        <v>397</v>
      </c>
      <c r="H970" t="s">
        <v>398</v>
      </c>
      <c r="I970" t="s">
        <v>399</v>
      </c>
      <c r="J970" t="s">
        <v>749</v>
      </c>
      <c r="K970" t="s">
        <v>809</v>
      </c>
      <c r="L970" t="s">
        <v>787</v>
      </c>
      <c r="M970" t="s">
        <v>403</v>
      </c>
      <c r="N970">
        <v>1</v>
      </c>
      <c r="O970">
        <v>1</v>
      </c>
      <c r="P970" t="s">
        <v>1138</v>
      </c>
      <c r="Q970" t="s">
        <v>943</v>
      </c>
      <c r="R970" t="s">
        <v>811</v>
      </c>
      <c r="S970" t="s">
        <v>1139</v>
      </c>
      <c r="T970" t="s">
        <v>408</v>
      </c>
      <c r="U970">
        <v>50950082100</v>
      </c>
      <c r="W970">
        <v>1920</v>
      </c>
      <c r="X970" t="s">
        <v>409</v>
      </c>
      <c r="Y970" t="s">
        <v>410</v>
      </c>
      <c r="Z970" t="s">
        <v>410</v>
      </c>
      <c r="AA970" t="s">
        <v>411</v>
      </c>
      <c r="AB970" t="s">
        <v>554</v>
      </c>
      <c r="AC970" t="s">
        <v>411</v>
      </c>
      <c r="AD970">
        <v>46130</v>
      </c>
      <c r="AE970">
        <v>46188</v>
      </c>
      <c r="AF970">
        <v>46127</v>
      </c>
      <c r="AG970" t="s">
        <v>754</v>
      </c>
      <c r="AH970">
        <v>6181444</v>
      </c>
      <c r="AI970">
        <v>46120</v>
      </c>
      <c r="AJ970">
        <v>46121</v>
      </c>
      <c r="AK970">
        <v>1920</v>
      </c>
      <c r="AL970" t="s">
        <v>396</v>
      </c>
      <c r="AM970" t="s">
        <v>3020</v>
      </c>
      <c r="AN970">
        <v>46121</v>
      </c>
      <c r="AO970">
        <v>46121.402731481481</v>
      </c>
      <c r="AP970" t="s">
        <v>51</v>
      </c>
      <c r="AQ970">
        <v>1.5686</v>
      </c>
      <c r="AR970">
        <v>3011.72</v>
      </c>
      <c r="AS970" t="s">
        <v>51</v>
      </c>
      <c r="AT970">
        <v>3011.72</v>
      </c>
      <c r="AU970" t="s">
        <v>415</v>
      </c>
      <c r="AV970" t="s">
        <v>557</v>
      </c>
      <c r="AW970" t="s">
        <v>2986</v>
      </c>
      <c r="AX970">
        <v>46127</v>
      </c>
      <c r="AY970">
        <v>46176</v>
      </c>
      <c r="AZ970" t="s">
        <v>2987</v>
      </c>
      <c r="BA970" t="s">
        <v>560</v>
      </c>
      <c r="BB970" t="s">
        <v>2988</v>
      </c>
      <c r="BC970">
        <v>16</v>
      </c>
      <c r="BD970" t="s">
        <v>521</v>
      </c>
      <c r="BE970">
        <v>4.0369000000000002</v>
      </c>
      <c r="BF970">
        <v>2.8378999999999999</v>
      </c>
      <c r="BG970" t="s">
        <v>522</v>
      </c>
      <c r="BH970">
        <v>495</v>
      </c>
      <c r="BI970">
        <v>395</v>
      </c>
      <c r="BJ970">
        <v>190</v>
      </c>
      <c r="BK970">
        <v>30</v>
      </c>
      <c r="BL970" t="s">
        <v>521</v>
      </c>
      <c r="BM970">
        <v>148.107</v>
      </c>
      <c r="BN970">
        <v>85.137</v>
      </c>
      <c r="BO970">
        <v>592.42272000000003</v>
      </c>
      <c r="BP970" t="s">
        <v>522</v>
      </c>
      <c r="BQ970">
        <v>1200</v>
      </c>
      <c r="BR970">
        <v>1000</v>
      </c>
      <c r="BS970">
        <v>1120</v>
      </c>
      <c r="BT970">
        <v>4</v>
      </c>
      <c r="BU970">
        <v>0</v>
      </c>
      <c r="BV970">
        <v>4</v>
      </c>
      <c r="BW970">
        <v>120</v>
      </c>
      <c r="BX970">
        <v>0</v>
      </c>
      <c r="BY970">
        <v>120</v>
      </c>
      <c r="BZ970">
        <v>1920</v>
      </c>
      <c r="CA970">
        <v>0</v>
      </c>
      <c r="CB970">
        <v>1920</v>
      </c>
      <c r="CC970">
        <v>340.54271999999997</v>
      </c>
      <c r="CD970" t="s">
        <v>806</v>
      </c>
      <c r="CE970" t="s">
        <v>816</v>
      </c>
      <c r="CG970" t="s">
        <v>421</v>
      </c>
      <c r="CN970" t="str">
        <v>M46</v>
      </c>
      <c r="CO970" t="str">
        <v>1415-EQN0005EN</v>
      </c>
      <c r="CP970" t="str">
        <v>TRHU4923520</v>
      </c>
      <c r="CQ970" s="23">
        <v>438.81079999999997</v>
      </c>
      <c r="CR970" s="25">
        <f t="shared" si="39"/>
        <v>4.3477524780154403E-2</v>
      </c>
      <c r="CS970" s="21">
        <f t="shared" si="40"/>
        <v>108.69381195038601</v>
      </c>
    </row>
    <row r="971" spans="2:97" x14ac:dyDescent="0.35">
      <c r="B971" t="s">
        <v>297</v>
      </c>
      <c r="C971" t="s">
        <v>3021</v>
      </c>
      <c r="D971" t="s">
        <v>395</v>
      </c>
      <c r="E971" t="s">
        <v>395</v>
      </c>
      <c r="F971" t="s">
        <v>396</v>
      </c>
      <c r="G971" t="s">
        <v>397</v>
      </c>
      <c r="H971" t="s">
        <v>398</v>
      </c>
      <c r="I971" t="s">
        <v>399</v>
      </c>
      <c r="J971" t="s">
        <v>749</v>
      </c>
      <c r="K971" t="s">
        <v>629</v>
      </c>
      <c r="L971" t="s">
        <v>787</v>
      </c>
      <c r="M971" t="s">
        <v>403</v>
      </c>
      <c r="N971">
        <v>1</v>
      </c>
      <c r="O971">
        <v>1</v>
      </c>
      <c r="P971" t="s">
        <v>1111</v>
      </c>
      <c r="Q971" t="s">
        <v>789</v>
      </c>
      <c r="R971" t="s">
        <v>1112</v>
      </c>
      <c r="S971" t="s">
        <v>1113</v>
      </c>
      <c r="T971" t="s">
        <v>408</v>
      </c>
      <c r="U971">
        <v>50950082201</v>
      </c>
      <c r="W971">
        <v>6400</v>
      </c>
      <c r="X971" t="s">
        <v>409</v>
      </c>
      <c r="Y971" t="s">
        <v>410</v>
      </c>
      <c r="Z971" t="s">
        <v>410</v>
      </c>
      <c r="AA971" t="s">
        <v>411</v>
      </c>
      <c r="AB971" t="s">
        <v>554</v>
      </c>
      <c r="AC971" t="s">
        <v>411</v>
      </c>
      <c r="AD971">
        <v>46123</v>
      </c>
      <c r="AE971">
        <v>46181</v>
      </c>
      <c r="AF971">
        <v>46127</v>
      </c>
      <c r="AG971" t="s">
        <v>754</v>
      </c>
      <c r="AH971">
        <v>6181445</v>
      </c>
      <c r="AI971">
        <v>46120</v>
      </c>
      <c r="AJ971">
        <v>46121</v>
      </c>
      <c r="AK971">
        <v>6400</v>
      </c>
      <c r="AL971" t="s">
        <v>396</v>
      </c>
      <c r="AM971" t="s">
        <v>3022</v>
      </c>
      <c r="AN971">
        <v>46121</v>
      </c>
      <c r="AO971">
        <v>46121.402731481481</v>
      </c>
      <c r="AP971" t="s">
        <v>51</v>
      </c>
      <c r="AQ971">
        <v>0.1293</v>
      </c>
      <c r="AR971">
        <v>827.52</v>
      </c>
      <c r="AS971" t="s">
        <v>51</v>
      </c>
      <c r="AT971">
        <v>827.52</v>
      </c>
      <c r="AU971" t="s">
        <v>415</v>
      </c>
      <c r="AV971" t="s">
        <v>557</v>
      </c>
      <c r="AW971" t="s">
        <v>2986</v>
      </c>
      <c r="AX971">
        <v>46127</v>
      </c>
      <c r="AY971">
        <v>46176</v>
      </c>
      <c r="AZ971" t="s">
        <v>2987</v>
      </c>
      <c r="BA971" t="s">
        <v>560</v>
      </c>
      <c r="BB971" t="s">
        <v>2988</v>
      </c>
      <c r="BC971">
        <v>320</v>
      </c>
      <c r="BD971" t="s">
        <v>521</v>
      </c>
      <c r="BE971">
        <v>8.8447999999999993</v>
      </c>
      <c r="BF971">
        <v>7.5648</v>
      </c>
      <c r="BG971" t="s">
        <v>522</v>
      </c>
      <c r="BH971">
        <v>595</v>
      </c>
      <c r="BI971">
        <v>395</v>
      </c>
      <c r="BJ971">
        <v>225</v>
      </c>
      <c r="BK971">
        <v>20</v>
      </c>
      <c r="BL971" t="s">
        <v>521</v>
      </c>
      <c r="BM971">
        <v>203.89599999999999</v>
      </c>
      <c r="BN971">
        <v>151.29599999999999</v>
      </c>
      <c r="BO971">
        <v>203.89599999999999</v>
      </c>
      <c r="BP971" t="s">
        <v>522</v>
      </c>
      <c r="BQ971">
        <v>1200</v>
      </c>
      <c r="BR971">
        <v>1000</v>
      </c>
      <c r="BS971">
        <v>1060</v>
      </c>
      <c r="BT971">
        <v>1</v>
      </c>
      <c r="BU971">
        <v>0</v>
      </c>
      <c r="BV971">
        <v>1</v>
      </c>
      <c r="BW971">
        <v>20</v>
      </c>
      <c r="BX971">
        <v>0</v>
      </c>
      <c r="BY971">
        <v>20</v>
      </c>
      <c r="BZ971">
        <v>6400</v>
      </c>
      <c r="CA971">
        <v>0</v>
      </c>
      <c r="CB971">
        <v>6400</v>
      </c>
      <c r="CC971">
        <v>151.29599999999999</v>
      </c>
      <c r="CD971" t="s">
        <v>793</v>
      </c>
      <c r="CE971" t="s">
        <v>1115</v>
      </c>
      <c r="CG971" t="s">
        <v>421</v>
      </c>
      <c r="CN971" t="str">
        <v>M19</v>
      </c>
      <c r="CO971" t="str">
        <v>1220-5YY0030EN</v>
      </c>
      <c r="CP971" t="str">
        <v>TRHU4923520</v>
      </c>
      <c r="CQ971" s="23">
        <v>1118.5989500000001</v>
      </c>
      <c r="CR971" s="25">
        <f t="shared" si="39"/>
        <v>0.11083116816559598</v>
      </c>
      <c r="CS971" s="21">
        <f t="shared" si="40"/>
        <v>277.07792041398994</v>
      </c>
    </row>
    <row r="972" spans="2:97" x14ac:dyDescent="0.35">
      <c r="B972" t="s">
        <v>297</v>
      </c>
      <c r="C972" t="s">
        <v>3021</v>
      </c>
      <c r="D972" t="s">
        <v>395</v>
      </c>
      <c r="E972" t="s">
        <v>395</v>
      </c>
      <c r="F972" t="s">
        <v>396</v>
      </c>
      <c r="G972" t="s">
        <v>397</v>
      </c>
      <c r="H972" t="s">
        <v>398</v>
      </c>
      <c r="I972" t="s">
        <v>399</v>
      </c>
      <c r="J972" t="s">
        <v>749</v>
      </c>
      <c r="K972" t="s">
        <v>629</v>
      </c>
      <c r="L972" t="s">
        <v>787</v>
      </c>
      <c r="M972" t="s">
        <v>403</v>
      </c>
      <c r="N972">
        <v>2</v>
      </c>
      <c r="O972">
        <v>1</v>
      </c>
      <c r="P972" t="s">
        <v>1111</v>
      </c>
      <c r="Q972" t="s">
        <v>789</v>
      </c>
      <c r="R972" t="s">
        <v>1112</v>
      </c>
      <c r="S972" t="s">
        <v>1113</v>
      </c>
      <c r="T972" t="s">
        <v>408</v>
      </c>
      <c r="U972">
        <v>50950082201</v>
      </c>
      <c r="W972">
        <v>6400</v>
      </c>
      <c r="X972" t="s">
        <v>409</v>
      </c>
      <c r="Y972" t="s">
        <v>410</v>
      </c>
      <c r="Z972" t="s">
        <v>410</v>
      </c>
      <c r="AA972" t="s">
        <v>411</v>
      </c>
      <c r="AB972" t="s">
        <v>554</v>
      </c>
      <c r="AC972" t="s">
        <v>411</v>
      </c>
      <c r="AD972">
        <v>46130</v>
      </c>
      <c r="AE972">
        <v>46188</v>
      </c>
      <c r="AF972">
        <v>46127</v>
      </c>
      <c r="AG972" t="s">
        <v>754</v>
      </c>
      <c r="AH972">
        <v>6181445</v>
      </c>
      <c r="AI972">
        <v>46120</v>
      </c>
      <c r="AJ972">
        <v>46121</v>
      </c>
      <c r="AK972">
        <v>6400</v>
      </c>
      <c r="AL972" t="s">
        <v>396</v>
      </c>
      <c r="AM972" t="s">
        <v>3022</v>
      </c>
      <c r="AN972">
        <v>46121</v>
      </c>
      <c r="AO972">
        <v>46121.402731481481</v>
      </c>
      <c r="AP972" t="s">
        <v>51</v>
      </c>
      <c r="AQ972">
        <v>0.1293</v>
      </c>
      <c r="AR972">
        <v>827.52</v>
      </c>
      <c r="AS972" t="s">
        <v>51</v>
      </c>
      <c r="AT972">
        <v>827.52</v>
      </c>
      <c r="AU972" t="s">
        <v>415</v>
      </c>
      <c r="AV972" t="s">
        <v>557</v>
      </c>
      <c r="AW972" t="s">
        <v>2986</v>
      </c>
      <c r="AX972">
        <v>46127</v>
      </c>
      <c r="AY972">
        <v>46176</v>
      </c>
      <c r="AZ972" t="s">
        <v>2987</v>
      </c>
      <c r="BA972" t="s">
        <v>560</v>
      </c>
      <c r="BB972" t="s">
        <v>2988</v>
      </c>
      <c r="BC972">
        <v>320</v>
      </c>
      <c r="BD972" t="s">
        <v>521</v>
      </c>
      <c r="BE972">
        <v>8.8447999999999993</v>
      </c>
      <c r="BF972">
        <v>7.5648</v>
      </c>
      <c r="BG972" t="s">
        <v>522</v>
      </c>
      <c r="BH972">
        <v>595</v>
      </c>
      <c r="BI972">
        <v>395</v>
      </c>
      <c r="BJ972">
        <v>225</v>
      </c>
      <c r="BK972">
        <v>20</v>
      </c>
      <c r="BL972" t="s">
        <v>521</v>
      </c>
      <c r="BM972">
        <v>203.89599999999999</v>
      </c>
      <c r="BN972">
        <v>151.29599999999999</v>
      </c>
      <c r="BO972">
        <v>203.89599999999999</v>
      </c>
      <c r="BP972" t="s">
        <v>522</v>
      </c>
      <c r="BQ972">
        <v>1200</v>
      </c>
      <c r="BR972">
        <v>1000</v>
      </c>
      <c r="BS972">
        <v>1060</v>
      </c>
      <c r="BT972">
        <v>1</v>
      </c>
      <c r="BU972">
        <v>0</v>
      </c>
      <c r="BV972">
        <v>1</v>
      </c>
      <c r="BW972">
        <v>20</v>
      </c>
      <c r="BX972">
        <v>0</v>
      </c>
      <c r="BY972">
        <v>20</v>
      </c>
      <c r="BZ972">
        <v>6400</v>
      </c>
      <c r="CA972">
        <v>0</v>
      </c>
      <c r="CB972">
        <v>6400</v>
      </c>
      <c r="CC972">
        <v>151.29599999999999</v>
      </c>
      <c r="CD972" t="s">
        <v>793</v>
      </c>
      <c r="CE972" t="s">
        <v>1115</v>
      </c>
      <c r="CG972" t="s">
        <v>421</v>
      </c>
      <c r="CN972" t="str">
        <v>M01</v>
      </c>
      <c r="CO972" t="str">
        <v>1200-3030001EN</v>
      </c>
      <c r="CP972" t="str">
        <v>TRHU4923520</v>
      </c>
      <c r="CQ972" s="23">
        <v>234.43360000000001</v>
      </c>
      <c r="CR972" s="25">
        <f t="shared" si="39"/>
        <v>2.3227761607738019E-2</v>
      </c>
      <c r="CS972" s="21">
        <f t="shared" si="40"/>
        <v>58.06940401934505</v>
      </c>
    </row>
    <row r="973" spans="2:97" x14ac:dyDescent="0.35">
      <c r="B973" t="s">
        <v>297</v>
      </c>
      <c r="C973" t="s">
        <v>3023</v>
      </c>
      <c r="D973" t="s">
        <v>395</v>
      </c>
      <c r="E973" t="s">
        <v>395</v>
      </c>
      <c r="F973" t="s">
        <v>396</v>
      </c>
      <c r="G973" t="s">
        <v>397</v>
      </c>
      <c r="H973" t="s">
        <v>398</v>
      </c>
      <c r="I973" t="s">
        <v>399</v>
      </c>
      <c r="J973" t="s">
        <v>749</v>
      </c>
      <c r="K973" t="s">
        <v>629</v>
      </c>
      <c r="L973" t="s">
        <v>787</v>
      </c>
      <c r="M973" t="s">
        <v>403</v>
      </c>
      <c r="N973">
        <v>1</v>
      </c>
      <c r="O973">
        <v>1</v>
      </c>
      <c r="P973" t="s">
        <v>1944</v>
      </c>
      <c r="Q973" t="s">
        <v>424</v>
      </c>
      <c r="R973" t="s">
        <v>1112</v>
      </c>
      <c r="S973" t="s">
        <v>1113</v>
      </c>
      <c r="T973" t="s">
        <v>408</v>
      </c>
      <c r="U973">
        <v>50950082544</v>
      </c>
      <c r="W973">
        <v>4800</v>
      </c>
      <c r="X973" t="s">
        <v>409</v>
      </c>
      <c r="Y973" t="s">
        <v>410</v>
      </c>
      <c r="Z973" t="s">
        <v>410</v>
      </c>
      <c r="AA973" t="s">
        <v>411</v>
      </c>
      <c r="AB973" t="s">
        <v>554</v>
      </c>
      <c r="AC973" t="s">
        <v>411</v>
      </c>
      <c r="AD973">
        <v>46123</v>
      </c>
      <c r="AE973">
        <v>46181</v>
      </c>
      <c r="AF973">
        <v>46127</v>
      </c>
      <c r="AG973" t="s">
        <v>754</v>
      </c>
      <c r="AH973">
        <v>6181446</v>
      </c>
      <c r="AI973">
        <v>46120</v>
      </c>
      <c r="AJ973">
        <v>46121</v>
      </c>
      <c r="AK973">
        <v>4800</v>
      </c>
      <c r="AL973" t="s">
        <v>396</v>
      </c>
      <c r="AM973" t="s">
        <v>3024</v>
      </c>
      <c r="AN973">
        <v>46121</v>
      </c>
      <c r="AO973">
        <v>46121.402731481481</v>
      </c>
      <c r="AP973" t="s">
        <v>51</v>
      </c>
      <c r="AQ973">
        <v>0.13721</v>
      </c>
      <c r="AR973">
        <v>658.61</v>
      </c>
      <c r="AS973" t="s">
        <v>51</v>
      </c>
      <c r="AT973">
        <v>658.61</v>
      </c>
      <c r="AU973" t="s">
        <v>415</v>
      </c>
      <c r="AV973" t="s">
        <v>557</v>
      </c>
      <c r="AW973" t="s">
        <v>2986</v>
      </c>
      <c r="AX973">
        <v>46127</v>
      </c>
      <c r="AY973">
        <v>46176</v>
      </c>
      <c r="AZ973" t="s">
        <v>2987</v>
      </c>
      <c r="BA973" t="s">
        <v>560</v>
      </c>
      <c r="BB973" t="s">
        <v>2988</v>
      </c>
      <c r="BC973">
        <v>160</v>
      </c>
      <c r="BD973" t="s">
        <v>521</v>
      </c>
      <c r="BE973">
        <v>4.3602999999999996</v>
      </c>
      <c r="BF973">
        <v>3.4533</v>
      </c>
      <c r="BG973" t="s">
        <v>522</v>
      </c>
      <c r="BH973">
        <v>395</v>
      </c>
      <c r="BI973">
        <v>295</v>
      </c>
      <c r="BJ973">
        <v>270</v>
      </c>
      <c r="BK973">
        <v>30</v>
      </c>
      <c r="BL973" t="s">
        <v>521</v>
      </c>
      <c r="BM973">
        <v>157.80840000000001</v>
      </c>
      <c r="BN973">
        <v>103.5984</v>
      </c>
      <c r="BO973">
        <v>157.80840000000001</v>
      </c>
      <c r="BP973" t="s">
        <v>522</v>
      </c>
      <c r="BQ973">
        <v>1200</v>
      </c>
      <c r="BR973">
        <v>1000</v>
      </c>
      <c r="BS973">
        <v>918</v>
      </c>
      <c r="BT973">
        <v>1</v>
      </c>
      <c r="BU973">
        <v>0</v>
      </c>
      <c r="BV973">
        <v>1</v>
      </c>
      <c r="BW973">
        <v>30</v>
      </c>
      <c r="BX973">
        <v>0</v>
      </c>
      <c r="BY973">
        <v>30</v>
      </c>
      <c r="BZ973">
        <v>4800</v>
      </c>
      <c r="CA973">
        <v>0</v>
      </c>
      <c r="CB973">
        <v>4800</v>
      </c>
      <c r="CC973">
        <v>103.5984</v>
      </c>
      <c r="CD973" t="s">
        <v>633</v>
      </c>
      <c r="CE973" t="s">
        <v>634</v>
      </c>
      <c r="CG973" t="s">
        <v>421</v>
      </c>
      <c r="CN973" t="str">
        <v>M46</v>
      </c>
      <c r="CO973" t="str">
        <v>1415-EQN0005EN</v>
      </c>
      <c r="CP973" t="str">
        <v>TRHU4923520</v>
      </c>
      <c r="CQ973" s="23">
        <v>219.40539999999999</v>
      </c>
      <c r="CR973" s="25">
        <f t="shared" si="39"/>
        <v>2.1738762390077201E-2</v>
      </c>
      <c r="CS973" s="21">
        <f t="shared" si="40"/>
        <v>54.346905975193003</v>
      </c>
    </row>
    <row r="974" spans="2:97" x14ac:dyDescent="0.35">
      <c r="B974" t="s">
        <v>297</v>
      </c>
      <c r="C974" t="s">
        <v>3023</v>
      </c>
      <c r="D974" t="s">
        <v>395</v>
      </c>
      <c r="E974" t="s">
        <v>395</v>
      </c>
      <c r="F974" t="s">
        <v>396</v>
      </c>
      <c r="G974" t="s">
        <v>397</v>
      </c>
      <c r="H974" t="s">
        <v>398</v>
      </c>
      <c r="I974" t="s">
        <v>399</v>
      </c>
      <c r="J974" t="s">
        <v>749</v>
      </c>
      <c r="K974" t="s">
        <v>629</v>
      </c>
      <c r="L974" t="s">
        <v>787</v>
      </c>
      <c r="M974" t="s">
        <v>403</v>
      </c>
      <c r="N974">
        <v>1</v>
      </c>
      <c r="O974">
        <v>2</v>
      </c>
      <c r="P974" t="s">
        <v>1944</v>
      </c>
      <c r="Q974" t="s">
        <v>424</v>
      </c>
      <c r="R974" t="s">
        <v>1112</v>
      </c>
      <c r="S974" t="s">
        <v>1113</v>
      </c>
      <c r="T974" t="s">
        <v>408</v>
      </c>
      <c r="U974">
        <v>50950082544</v>
      </c>
      <c r="W974">
        <v>4800</v>
      </c>
      <c r="X974" t="s">
        <v>409</v>
      </c>
      <c r="Y974" t="s">
        <v>410</v>
      </c>
      <c r="Z974" t="s">
        <v>410</v>
      </c>
      <c r="AA974" t="s">
        <v>411</v>
      </c>
      <c r="AB974" t="s">
        <v>554</v>
      </c>
      <c r="AC974" t="s">
        <v>411</v>
      </c>
      <c r="AD974">
        <v>46123</v>
      </c>
      <c r="AE974">
        <v>46181</v>
      </c>
      <c r="AF974">
        <v>46127</v>
      </c>
      <c r="AG974" t="s">
        <v>754</v>
      </c>
      <c r="AH974">
        <v>6181446</v>
      </c>
      <c r="AI974">
        <v>46120</v>
      </c>
      <c r="AJ974">
        <v>46121</v>
      </c>
      <c r="AK974">
        <v>4800</v>
      </c>
      <c r="AL974" t="s">
        <v>396</v>
      </c>
      <c r="AM974" t="s">
        <v>3024</v>
      </c>
      <c r="AN974">
        <v>46121</v>
      </c>
      <c r="AO974">
        <v>46121.402731481481</v>
      </c>
      <c r="AP974" t="s">
        <v>51</v>
      </c>
      <c r="AQ974">
        <v>0.13721</v>
      </c>
      <c r="AR974">
        <v>658.61</v>
      </c>
      <c r="AS974" t="s">
        <v>51</v>
      </c>
      <c r="AT974">
        <v>658.61</v>
      </c>
      <c r="AU974" t="s">
        <v>415</v>
      </c>
      <c r="AV974" t="s">
        <v>557</v>
      </c>
      <c r="AW974" t="s">
        <v>2986</v>
      </c>
      <c r="AX974">
        <v>46127</v>
      </c>
      <c r="AY974">
        <v>46176</v>
      </c>
      <c r="AZ974" t="s">
        <v>2987</v>
      </c>
      <c r="BA974" t="s">
        <v>560</v>
      </c>
      <c r="BB974" t="s">
        <v>2988</v>
      </c>
      <c r="BC974">
        <v>160</v>
      </c>
      <c r="BD974" t="s">
        <v>521</v>
      </c>
      <c r="BE974">
        <v>4.3602999999999996</v>
      </c>
      <c r="BF974">
        <v>3.4533</v>
      </c>
      <c r="BG974" t="s">
        <v>522</v>
      </c>
      <c r="BH974">
        <v>395</v>
      </c>
      <c r="BI974">
        <v>295</v>
      </c>
      <c r="BJ974">
        <v>270</v>
      </c>
      <c r="BK974">
        <v>30</v>
      </c>
      <c r="BL974" t="s">
        <v>521</v>
      </c>
      <c r="BM974">
        <v>157.80840000000001</v>
      </c>
      <c r="BN974">
        <v>103.5984</v>
      </c>
      <c r="BO974">
        <v>157.80840000000001</v>
      </c>
      <c r="BP974" t="s">
        <v>522</v>
      </c>
      <c r="BQ974">
        <v>1200</v>
      </c>
      <c r="BR974">
        <v>1000</v>
      </c>
      <c r="BS974">
        <v>918</v>
      </c>
      <c r="BT974">
        <v>1</v>
      </c>
      <c r="BU974">
        <v>0</v>
      </c>
      <c r="BV974">
        <v>1</v>
      </c>
      <c r="BW974">
        <v>30</v>
      </c>
      <c r="BX974">
        <v>0</v>
      </c>
      <c r="BY974">
        <v>30</v>
      </c>
      <c r="BZ974">
        <v>4800</v>
      </c>
      <c r="CA974">
        <v>0</v>
      </c>
      <c r="CB974">
        <v>4800</v>
      </c>
      <c r="CC974">
        <v>103.5984</v>
      </c>
      <c r="CD974" t="s">
        <v>633</v>
      </c>
      <c r="CE974" t="s">
        <v>634</v>
      </c>
      <c r="CG974" t="s">
        <v>421</v>
      </c>
      <c r="CN974" t="str">
        <v>M01</v>
      </c>
      <c r="CO974" t="str">
        <v>1308-0033550EN</v>
      </c>
      <c r="CP974" t="str">
        <v>TRHU4923520</v>
      </c>
      <c r="CQ974" s="23">
        <v>141.04400000000001</v>
      </c>
      <c r="CR974" s="25">
        <f t="shared" si="39"/>
        <v>1.3974687963678421E-2</v>
      </c>
      <c r="CS974" s="21">
        <f t="shared" si="40"/>
        <v>34.93671990919605</v>
      </c>
    </row>
    <row r="975" spans="2:97" x14ac:dyDescent="0.35">
      <c r="B975" t="s">
        <v>296</v>
      </c>
      <c r="C975" t="s">
        <v>3025</v>
      </c>
      <c r="D975" t="s">
        <v>395</v>
      </c>
      <c r="E975" t="s">
        <v>395</v>
      </c>
      <c r="F975" t="s">
        <v>396</v>
      </c>
      <c r="G975" t="s">
        <v>397</v>
      </c>
      <c r="H975" t="s">
        <v>398</v>
      </c>
      <c r="I975" t="s">
        <v>399</v>
      </c>
      <c r="J975" t="s">
        <v>749</v>
      </c>
      <c r="K975" t="s">
        <v>1142</v>
      </c>
      <c r="L975" t="s">
        <v>787</v>
      </c>
      <c r="M975" t="s">
        <v>403</v>
      </c>
      <c r="N975">
        <v>1</v>
      </c>
      <c r="O975">
        <v>1</v>
      </c>
      <c r="P975" t="s">
        <v>3026</v>
      </c>
      <c r="Q975" t="s">
        <v>424</v>
      </c>
      <c r="R975" t="s">
        <v>3027</v>
      </c>
      <c r="S975" t="s">
        <v>1165</v>
      </c>
      <c r="T975" t="s">
        <v>408</v>
      </c>
      <c r="U975">
        <v>50950082719</v>
      </c>
      <c r="W975">
        <v>24000</v>
      </c>
      <c r="X975" t="s">
        <v>409</v>
      </c>
      <c r="Y975" t="s">
        <v>410</v>
      </c>
      <c r="Z975" t="s">
        <v>410</v>
      </c>
      <c r="AA975" t="s">
        <v>411</v>
      </c>
      <c r="AB975" t="s">
        <v>554</v>
      </c>
      <c r="AC975" t="s">
        <v>411</v>
      </c>
      <c r="AD975">
        <v>46123</v>
      </c>
      <c r="AE975">
        <v>46209</v>
      </c>
      <c r="AF975">
        <v>46127</v>
      </c>
      <c r="AG975" t="s">
        <v>754</v>
      </c>
      <c r="AH975">
        <v>6181447</v>
      </c>
      <c r="AI975">
        <v>46120</v>
      </c>
      <c r="AJ975">
        <v>46121</v>
      </c>
      <c r="AK975">
        <v>24000</v>
      </c>
      <c r="AL975" t="s">
        <v>396</v>
      </c>
      <c r="AM975" t="s">
        <v>3028</v>
      </c>
      <c r="AN975">
        <v>46121</v>
      </c>
      <c r="AO975">
        <v>46121.402731481481</v>
      </c>
      <c r="AP975" t="s">
        <v>51</v>
      </c>
      <c r="AQ975">
        <v>0.34544000000000002</v>
      </c>
      <c r="AR975">
        <v>8290.56</v>
      </c>
      <c r="AS975" t="s">
        <v>51</v>
      </c>
      <c r="AT975">
        <v>8290.56</v>
      </c>
      <c r="AU975" t="s">
        <v>415</v>
      </c>
      <c r="AV975" t="s">
        <v>557</v>
      </c>
      <c r="AW975" t="s">
        <v>2986</v>
      </c>
      <c r="AX975">
        <v>46127</v>
      </c>
      <c r="AY975">
        <v>46176</v>
      </c>
      <c r="AZ975" t="s">
        <v>2987</v>
      </c>
      <c r="BA975" t="s">
        <v>560</v>
      </c>
      <c r="BB975" t="s">
        <v>2988</v>
      </c>
      <c r="BC975">
        <v>2000</v>
      </c>
      <c r="BD975" t="s">
        <v>521</v>
      </c>
      <c r="BE975">
        <v>376.7</v>
      </c>
      <c r="BF975">
        <v>356.2</v>
      </c>
      <c r="BG975" t="s">
        <v>522</v>
      </c>
      <c r="BH975">
        <v>1050</v>
      </c>
      <c r="BI975">
        <v>480</v>
      </c>
      <c r="BJ975">
        <v>460</v>
      </c>
      <c r="BK975">
        <v>1</v>
      </c>
      <c r="BL975" t="s">
        <v>521</v>
      </c>
      <c r="BM975">
        <v>376.70010000000002</v>
      </c>
      <c r="BN975">
        <v>356.2</v>
      </c>
      <c r="BO975">
        <v>4520.4012000000002</v>
      </c>
      <c r="BP975" t="s">
        <v>522</v>
      </c>
      <c r="BQ975">
        <v>1050</v>
      </c>
      <c r="BR975">
        <v>480</v>
      </c>
      <c r="BS975">
        <v>480</v>
      </c>
      <c r="BT975">
        <v>12</v>
      </c>
      <c r="BU975">
        <v>0</v>
      </c>
      <c r="BV975">
        <v>12</v>
      </c>
      <c r="BW975">
        <v>12</v>
      </c>
      <c r="BX975">
        <v>0</v>
      </c>
      <c r="BY975">
        <v>12</v>
      </c>
      <c r="BZ975">
        <v>24000</v>
      </c>
      <c r="CA975">
        <v>0</v>
      </c>
      <c r="CB975">
        <v>24000</v>
      </c>
      <c r="CC975">
        <v>4274.3999999999996</v>
      </c>
      <c r="CD975" t="s">
        <v>641</v>
      </c>
      <c r="CE975" t="s">
        <v>1147</v>
      </c>
      <c r="CG975" t="s">
        <v>421</v>
      </c>
      <c r="CN975" t="str">
        <v>M01</v>
      </c>
      <c r="CO975" t="str">
        <v>1202-1030350EN</v>
      </c>
      <c r="CP975" t="str">
        <v>TRHU4923520</v>
      </c>
      <c r="CQ975" s="23">
        <v>196.8768</v>
      </c>
      <c r="CR975" s="25">
        <f t="shared" si="39"/>
        <v>1.9506620964291451E-2</v>
      </c>
      <c r="CS975" s="21">
        <f t="shared" si="40"/>
        <v>48.766552410728629</v>
      </c>
    </row>
    <row r="976" spans="2:97" x14ac:dyDescent="0.35">
      <c r="B976" t="s">
        <v>297</v>
      </c>
      <c r="C976" t="s">
        <v>2381</v>
      </c>
      <c r="D976" t="s">
        <v>549</v>
      </c>
      <c r="E976" t="s">
        <v>395</v>
      </c>
      <c r="F976" t="s">
        <v>396</v>
      </c>
      <c r="G976" t="s">
        <v>397</v>
      </c>
      <c r="H976" t="s">
        <v>398</v>
      </c>
      <c r="I976" t="s">
        <v>399</v>
      </c>
      <c r="J976" t="s">
        <v>749</v>
      </c>
      <c r="K976" t="s">
        <v>401</v>
      </c>
      <c r="L976" t="s">
        <v>766</v>
      </c>
      <c r="M976" t="s">
        <v>403</v>
      </c>
      <c r="N976">
        <v>1</v>
      </c>
      <c r="O976">
        <v>1</v>
      </c>
      <c r="P976" t="s">
        <v>767</v>
      </c>
      <c r="Q976" t="s">
        <v>424</v>
      </c>
      <c r="R976" t="s">
        <v>552</v>
      </c>
      <c r="S976" t="s">
        <v>768</v>
      </c>
      <c r="T976" t="s">
        <v>408</v>
      </c>
      <c r="U976">
        <v>50950081498</v>
      </c>
      <c r="W976">
        <v>57600</v>
      </c>
      <c r="X976" t="s">
        <v>409</v>
      </c>
      <c r="Y976" t="s">
        <v>410</v>
      </c>
      <c r="Z976" t="s">
        <v>410</v>
      </c>
      <c r="AA976" t="s">
        <v>411</v>
      </c>
      <c r="AB976" t="s">
        <v>554</v>
      </c>
      <c r="AC976" t="s">
        <v>411</v>
      </c>
      <c r="AD976">
        <v>46116</v>
      </c>
      <c r="AE976">
        <v>46174</v>
      </c>
      <c r="AF976">
        <v>46127</v>
      </c>
      <c r="AG976" t="s">
        <v>770</v>
      </c>
      <c r="AH976">
        <v>6183129</v>
      </c>
      <c r="AI976">
        <v>46121</v>
      </c>
      <c r="AJ976">
        <v>46122</v>
      </c>
      <c r="AK976">
        <v>57600</v>
      </c>
      <c r="AL976" t="s">
        <v>396</v>
      </c>
      <c r="AM976" t="s">
        <v>3029</v>
      </c>
      <c r="AN976">
        <v>46122</v>
      </c>
      <c r="AO976">
        <v>46122.647928240738</v>
      </c>
      <c r="AP976" t="s">
        <v>51</v>
      </c>
      <c r="AQ976">
        <v>0.20744000000000001</v>
      </c>
      <c r="AR976">
        <v>11948.55</v>
      </c>
      <c r="AS976" t="s">
        <v>51</v>
      </c>
      <c r="AT976">
        <v>11948.55</v>
      </c>
      <c r="AU976" t="s">
        <v>415</v>
      </c>
      <c r="AV976" t="s">
        <v>557</v>
      </c>
      <c r="AW976" t="s">
        <v>2986</v>
      </c>
      <c r="AX976">
        <v>46127</v>
      </c>
      <c r="AY976">
        <v>46176</v>
      </c>
      <c r="AZ976" t="s">
        <v>3030</v>
      </c>
      <c r="BA976" t="s">
        <v>560</v>
      </c>
      <c r="BB976" t="s">
        <v>3031</v>
      </c>
      <c r="BC976">
        <v>240</v>
      </c>
      <c r="BD976" t="s">
        <v>521</v>
      </c>
      <c r="BE976">
        <v>2.5634000000000001</v>
      </c>
      <c r="BF976">
        <v>1.2864</v>
      </c>
      <c r="BG976" t="s">
        <v>522</v>
      </c>
      <c r="BH976">
        <v>340</v>
      </c>
      <c r="BI976">
        <v>250</v>
      </c>
      <c r="BJ976">
        <v>230</v>
      </c>
      <c r="BK976">
        <v>48</v>
      </c>
      <c r="BL976" t="s">
        <v>521</v>
      </c>
      <c r="BM976">
        <v>144.04320000000001</v>
      </c>
      <c r="BN976">
        <v>61.747199999999999</v>
      </c>
      <c r="BO976">
        <v>720.21600000000001</v>
      </c>
      <c r="BP976" t="s">
        <v>522</v>
      </c>
      <c r="BQ976">
        <v>1066</v>
      </c>
      <c r="BR976">
        <v>1066</v>
      </c>
      <c r="BS976">
        <v>1080</v>
      </c>
      <c r="BT976">
        <v>5</v>
      </c>
      <c r="BU976">
        <v>0</v>
      </c>
      <c r="BV976">
        <v>5</v>
      </c>
      <c r="BW976">
        <v>240</v>
      </c>
      <c r="BX976">
        <v>0</v>
      </c>
      <c r="BY976">
        <v>240</v>
      </c>
      <c r="BZ976">
        <v>57600</v>
      </c>
      <c r="CA976">
        <v>0</v>
      </c>
      <c r="CB976">
        <v>57600</v>
      </c>
      <c r="CC976">
        <v>308.73599999999999</v>
      </c>
      <c r="CD976" t="s">
        <v>562</v>
      </c>
      <c r="CE976" t="s">
        <v>563</v>
      </c>
      <c r="CG976" t="s">
        <v>421</v>
      </c>
      <c r="CN976" t="str">
        <v>M01</v>
      </c>
      <c r="CO976" t="str">
        <v>1101-0037350EN</v>
      </c>
      <c r="CP976" t="str">
        <v>TRHU4923520</v>
      </c>
      <c r="CQ976" s="23">
        <v>175.655</v>
      </c>
      <c r="CR976" s="25">
        <f t="shared" si="39"/>
        <v>1.740395773134577E-2</v>
      </c>
      <c r="CS976" s="21">
        <f t="shared" si="40"/>
        <v>43.509894328364425</v>
      </c>
    </row>
    <row r="977" spans="2:97" x14ac:dyDescent="0.35">
      <c r="B977" t="s">
        <v>297</v>
      </c>
      <c r="C977" t="s">
        <v>2381</v>
      </c>
      <c r="D977" t="s">
        <v>549</v>
      </c>
      <c r="E977" t="s">
        <v>395</v>
      </c>
      <c r="F977" t="s">
        <v>396</v>
      </c>
      <c r="G977" t="s">
        <v>397</v>
      </c>
      <c r="H977" t="s">
        <v>398</v>
      </c>
      <c r="I977" t="s">
        <v>399</v>
      </c>
      <c r="J977" t="s">
        <v>749</v>
      </c>
      <c r="K977" t="s">
        <v>401</v>
      </c>
      <c r="L977" t="s">
        <v>766</v>
      </c>
      <c r="M977" t="s">
        <v>403</v>
      </c>
      <c r="N977">
        <v>2</v>
      </c>
      <c r="O977">
        <v>7</v>
      </c>
      <c r="P977" t="s">
        <v>767</v>
      </c>
      <c r="Q977" t="s">
        <v>424</v>
      </c>
      <c r="R977" t="s">
        <v>552</v>
      </c>
      <c r="S977" t="s">
        <v>768</v>
      </c>
      <c r="T977" t="s">
        <v>408</v>
      </c>
      <c r="U977">
        <v>50950081498</v>
      </c>
      <c r="W977">
        <v>23040</v>
      </c>
      <c r="X977" t="s">
        <v>409</v>
      </c>
      <c r="Y977" t="s">
        <v>410</v>
      </c>
      <c r="Z977" t="s">
        <v>410</v>
      </c>
      <c r="AA977" t="s">
        <v>411</v>
      </c>
      <c r="AB977" t="s">
        <v>554</v>
      </c>
      <c r="AC977" t="s">
        <v>411</v>
      </c>
      <c r="AD977">
        <v>46109</v>
      </c>
      <c r="AE977">
        <v>46167</v>
      </c>
      <c r="AF977">
        <v>46127</v>
      </c>
      <c r="AG977" t="s">
        <v>770</v>
      </c>
      <c r="AH977">
        <v>6183129</v>
      </c>
      <c r="AI977">
        <v>46121</v>
      </c>
      <c r="AJ977">
        <v>46122</v>
      </c>
      <c r="AK977">
        <v>23040</v>
      </c>
      <c r="AL977" t="s">
        <v>396</v>
      </c>
      <c r="AM977" t="s">
        <v>3029</v>
      </c>
      <c r="AN977">
        <v>46122</v>
      </c>
      <c r="AO977">
        <v>46122.647928240738</v>
      </c>
      <c r="AP977" t="s">
        <v>51</v>
      </c>
      <c r="AQ977">
        <v>0.20744000000000001</v>
      </c>
      <c r="AR977">
        <v>4779.42</v>
      </c>
      <c r="AS977" t="s">
        <v>51</v>
      </c>
      <c r="AT977">
        <v>4779.42</v>
      </c>
      <c r="AU977" t="s">
        <v>415</v>
      </c>
      <c r="AV977" t="s">
        <v>557</v>
      </c>
      <c r="AW977" t="s">
        <v>2986</v>
      </c>
      <c r="AX977">
        <v>46127</v>
      </c>
      <c r="AY977">
        <v>46176</v>
      </c>
      <c r="AZ977" t="s">
        <v>3030</v>
      </c>
      <c r="BA977" t="s">
        <v>560</v>
      </c>
      <c r="BB977" t="s">
        <v>3031</v>
      </c>
      <c r="BC977">
        <v>240</v>
      </c>
      <c r="BD977" t="s">
        <v>521</v>
      </c>
      <c r="BE977">
        <v>2.5634000000000001</v>
      </c>
      <c r="BF977">
        <v>1.2864</v>
      </c>
      <c r="BG977" t="s">
        <v>522</v>
      </c>
      <c r="BH977">
        <v>340</v>
      </c>
      <c r="BI977">
        <v>250</v>
      </c>
      <c r="BJ977">
        <v>230</v>
      </c>
      <c r="BK977">
        <v>48</v>
      </c>
      <c r="BL977" t="s">
        <v>521</v>
      </c>
      <c r="BM977">
        <v>144.04320000000001</v>
      </c>
      <c r="BN977">
        <v>61.747199999999999</v>
      </c>
      <c r="BO977">
        <v>288.08640000000003</v>
      </c>
      <c r="BP977" t="s">
        <v>522</v>
      </c>
      <c r="BQ977">
        <v>1066</v>
      </c>
      <c r="BR977">
        <v>1066</v>
      </c>
      <c r="BS977">
        <v>1080</v>
      </c>
      <c r="BT977">
        <v>2</v>
      </c>
      <c r="BU977">
        <v>0</v>
      </c>
      <c r="BV977">
        <v>2</v>
      </c>
      <c r="BW977">
        <v>96</v>
      </c>
      <c r="BX977">
        <v>0</v>
      </c>
      <c r="BY977">
        <v>96</v>
      </c>
      <c r="BZ977">
        <v>23040</v>
      </c>
      <c r="CA977">
        <v>0</v>
      </c>
      <c r="CB977">
        <v>23040</v>
      </c>
      <c r="CC977">
        <v>123.4944</v>
      </c>
      <c r="CD977" t="s">
        <v>562</v>
      </c>
      <c r="CE977" t="s">
        <v>563</v>
      </c>
      <c r="CG977" t="s">
        <v>421</v>
      </c>
      <c r="CN977" t="str">
        <v>M45</v>
      </c>
      <c r="CO977" t="str">
        <v>1202-V0C0018EN</v>
      </c>
      <c r="CP977" t="str">
        <v>TRHU4923520</v>
      </c>
      <c r="CQ977" s="23">
        <v>636.45759999999996</v>
      </c>
      <c r="CR977" s="25">
        <f t="shared" si="39"/>
        <v>6.3060437608913916E-2</v>
      </c>
      <c r="CS977" s="21">
        <f t="shared" si="40"/>
        <v>157.65109402228478</v>
      </c>
    </row>
    <row r="978" spans="2:97" x14ac:dyDescent="0.35">
      <c r="B978" t="s">
        <v>299</v>
      </c>
      <c r="C978" t="s">
        <v>3032</v>
      </c>
      <c r="D978" t="s">
        <v>395</v>
      </c>
      <c r="E978" t="s">
        <v>395</v>
      </c>
      <c r="F978" t="s">
        <v>396</v>
      </c>
      <c r="G978" t="s">
        <v>397</v>
      </c>
      <c r="H978" t="s">
        <v>398</v>
      </c>
      <c r="I978" t="s">
        <v>399</v>
      </c>
      <c r="J978" t="s">
        <v>749</v>
      </c>
      <c r="K978" t="s">
        <v>777</v>
      </c>
      <c r="L978" t="s">
        <v>778</v>
      </c>
      <c r="M978" t="s">
        <v>403</v>
      </c>
      <c r="N978">
        <v>1</v>
      </c>
      <c r="O978">
        <v>1</v>
      </c>
      <c r="P978" t="s">
        <v>1490</v>
      </c>
      <c r="Q978" t="s">
        <v>637</v>
      </c>
      <c r="R978" t="s">
        <v>536</v>
      </c>
      <c r="S978" t="s">
        <v>1491</v>
      </c>
      <c r="T978" t="s">
        <v>408</v>
      </c>
      <c r="U978">
        <v>50950076727</v>
      </c>
      <c r="W978">
        <v>2016</v>
      </c>
      <c r="X978" t="s">
        <v>409</v>
      </c>
      <c r="Y978" t="s">
        <v>410</v>
      </c>
      <c r="Z978" t="s">
        <v>410</v>
      </c>
      <c r="AA978" t="s">
        <v>411</v>
      </c>
      <c r="AB978" t="s">
        <v>554</v>
      </c>
      <c r="AC978" t="s">
        <v>411</v>
      </c>
      <c r="AD978">
        <v>46118</v>
      </c>
      <c r="AE978">
        <v>46118</v>
      </c>
      <c r="AF978">
        <v>46127</v>
      </c>
      <c r="AG978" t="s">
        <v>781</v>
      </c>
      <c r="AH978">
        <v>6183130</v>
      </c>
      <c r="AI978">
        <v>46121</v>
      </c>
      <c r="AJ978">
        <v>46122</v>
      </c>
      <c r="AK978">
        <v>2016</v>
      </c>
      <c r="AL978" t="s">
        <v>396</v>
      </c>
      <c r="AM978" t="s">
        <v>3033</v>
      </c>
      <c r="AN978">
        <v>46122</v>
      </c>
      <c r="AO978">
        <v>46122.647928240738</v>
      </c>
      <c r="AP978" t="s">
        <v>51</v>
      </c>
      <c r="AQ978">
        <v>3.69373</v>
      </c>
      <c r="AR978">
        <v>7446.56</v>
      </c>
      <c r="AS978" t="s">
        <v>51</v>
      </c>
      <c r="AT978">
        <v>7446.56</v>
      </c>
      <c r="AU978" t="s">
        <v>415</v>
      </c>
      <c r="AV978" t="s">
        <v>557</v>
      </c>
      <c r="AW978" t="s">
        <v>2986</v>
      </c>
      <c r="AX978">
        <v>46127</v>
      </c>
      <c r="AY978">
        <v>46176</v>
      </c>
      <c r="AZ978" t="s">
        <v>3030</v>
      </c>
      <c r="BA978" t="s">
        <v>560</v>
      </c>
      <c r="BB978" t="s">
        <v>3031</v>
      </c>
      <c r="BC978">
        <v>28</v>
      </c>
      <c r="BD978" t="s">
        <v>521</v>
      </c>
      <c r="BE978">
        <v>6.0069999999999997</v>
      </c>
      <c r="BF978">
        <v>4.1440000000000001</v>
      </c>
      <c r="BG978" t="s">
        <v>522</v>
      </c>
      <c r="BH978">
        <v>795</v>
      </c>
      <c r="BI978">
        <v>395</v>
      </c>
      <c r="BJ978">
        <v>145</v>
      </c>
      <c r="BK978">
        <v>18</v>
      </c>
      <c r="BL978" t="s">
        <v>521</v>
      </c>
      <c r="BM978">
        <v>133.126</v>
      </c>
      <c r="BN978">
        <v>74.591999999999999</v>
      </c>
      <c r="BO978">
        <v>532.50400000000002</v>
      </c>
      <c r="BP978" t="s">
        <v>522</v>
      </c>
      <c r="BQ978">
        <v>1200</v>
      </c>
      <c r="BR978">
        <v>800</v>
      </c>
      <c r="BS978">
        <v>1030</v>
      </c>
      <c r="BT978">
        <v>4</v>
      </c>
      <c r="BU978">
        <v>0</v>
      </c>
      <c r="BV978">
        <v>4</v>
      </c>
      <c r="BW978">
        <v>72</v>
      </c>
      <c r="BX978">
        <v>0</v>
      </c>
      <c r="BY978">
        <v>72</v>
      </c>
      <c r="BZ978">
        <v>2016</v>
      </c>
      <c r="CA978">
        <v>0</v>
      </c>
      <c r="CB978">
        <v>2016</v>
      </c>
      <c r="CC978">
        <v>298.36799999999999</v>
      </c>
      <c r="CD978" t="s">
        <v>783</v>
      </c>
      <c r="CE978" t="s">
        <v>784</v>
      </c>
      <c r="CG978" t="s">
        <v>421</v>
      </c>
      <c r="CN978" t="str">
        <v>M19</v>
      </c>
      <c r="CO978" t="str">
        <v>1326-5YY0082EN</v>
      </c>
      <c r="CP978" t="str">
        <v>TRHU4923520</v>
      </c>
      <c r="CQ978" s="23">
        <v>66.947199999999995</v>
      </c>
      <c r="CR978" s="25">
        <f t="shared" si="39"/>
        <v>6.6331515700205033E-3</v>
      </c>
      <c r="CS978" s="21">
        <f t="shared" si="40"/>
        <v>16.582878925051258</v>
      </c>
    </row>
    <row r="979" spans="2:97" x14ac:dyDescent="0.35">
      <c r="B979" t="s">
        <v>299</v>
      </c>
      <c r="C979" t="s">
        <v>3034</v>
      </c>
      <c r="D979" t="s">
        <v>395</v>
      </c>
      <c r="E979" t="s">
        <v>395</v>
      </c>
      <c r="F979" t="s">
        <v>396</v>
      </c>
      <c r="G979" t="s">
        <v>397</v>
      </c>
      <c r="H979" t="s">
        <v>398</v>
      </c>
      <c r="I979" t="s">
        <v>399</v>
      </c>
      <c r="J979" t="s">
        <v>749</v>
      </c>
      <c r="K979" t="s">
        <v>777</v>
      </c>
      <c r="L979" t="s">
        <v>778</v>
      </c>
      <c r="M979" t="s">
        <v>403</v>
      </c>
      <c r="N979">
        <v>1</v>
      </c>
      <c r="O979">
        <v>1</v>
      </c>
      <c r="P979" t="s">
        <v>1490</v>
      </c>
      <c r="Q979" t="s">
        <v>637</v>
      </c>
      <c r="R979" t="s">
        <v>536</v>
      </c>
      <c r="S979" t="s">
        <v>1491</v>
      </c>
      <c r="T979" t="s">
        <v>408</v>
      </c>
      <c r="U979">
        <v>50950079172</v>
      </c>
      <c r="W979">
        <v>1512</v>
      </c>
      <c r="X979" t="s">
        <v>409</v>
      </c>
      <c r="Y979" t="s">
        <v>410</v>
      </c>
      <c r="Z979" t="s">
        <v>410</v>
      </c>
      <c r="AA979" t="s">
        <v>411</v>
      </c>
      <c r="AB979" t="s">
        <v>554</v>
      </c>
      <c r="AC979" t="s">
        <v>411</v>
      </c>
      <c r="AD979">
        <v>46123</v>
      </c>
      <c r="AE979">
        <v>46181</v>
      </c>
      <c r="AF979">
        <v>46127</v>
      </c>
      <c r="AG979" t="s">
        <v>781</v>
      </c>
      <c r="AH979">
        <v>6183131</v>
      </c>
      <c r="AI979">
        <v>46121</v>
      </c>
      <c r="AJ979">
        <v>46122</v>
      </c>
      <c r="AK979">
        <v>1512</v>
      </c>
      <c r="AL979" t="s">
        <v>396</v>
      </c>
      <c r="AM979" t="s">
        <v>3035</v>
      </c>
      <c r="AN979">
        <v>46122</v>
      </c>
      <c r="AO979">
        <v>46122.647928240738</v>
      </c>
      <c r="AP979" t="s">
        <v>51</v>
      </c>
      <c r="AQ979">
        <v>3.69373</v>
      </c>
      <c r="AR979">
        <v>5584.92</v>
      </c>
      <c r="AS979" t="s">
        <v>51</v>
      </c>
      <c r="AT979">
        <v>5584.92</v>
      </c>
      <c r="AU979" t="s">
        <v>415</v>
      </c>
      <c r="AV979" t="s">
        <v>557</v>
      </c>
      <c r="AW979" t="s">
        <v>2986</v>
      </c>
      <c r="AX979">
        <v>46127</v>
      </c>
      <c r="AY979">
        <v>46176</v>
      </c>
      <c r="AZ979" t="s">
        <v>3030</v>
      </c>
      <c r="BA979" t="s">
        <v>560</v>
      </c>
      <c r="BB979" t="s">
        <v>3031</v>
      </c>
      <c r="BC979">
        <v>28</v>
      </c>
      <c r="BD979" t="s">
        <v>521</v>
      </c>
      <c r="BE979">
        <v>6.0069999999999997</v>
      </c>
      <c r="BF979">
        <v>4.1440000000000001</v>
      </c>
      <c r="BG979" t="s">
        <v>522</v>
      </c>
      <c r="BH979">
        <v>795</v>
      </c>
      <c r="BI979">
        <v>395</v>
      </c>
      <c r="BJ979">
        <v>145</v>
      </c>
      <c r="BK979">
        <v>18</v>
      </c>
      <c r="BL979" t="s">
        <v>521</v>
      </c>
      <c r="BM979">
        <v>133.126</v>
      </c>
      <c r="BN979">
        <v>74.591999999999999</v>
      </c>
      <c r="BO979">
        <v>399.37799999999999</v>
      </c>
      <c r="BP979" t="s">
        <v>522</v>
      </c>
      <c r="BQ979">
        <v>1200</v>
      </c>
      <c r="BR979">
        <v>800</v>
      </c>
      <c r="BS979">
        <v>1030</v>
      </c>
      <c r="BT979">
        <v>3</v>
      </c>
      <c r="BU979">
        <v>0</v>
      </c>
      <c r="BV979">
        <v>3</v>
      </c>
      <c r="BW979">
        <v>54</v>
      </c>
      <c r="BX979">
        <v>0</v>
      </c>
      <c r="BY979">
        <v>54</v>
      </c>
      <c r="BZ979">
        <v>1512</v>
      </c>
      <c r="CA979">
        <v>0</v>
      </c>
      <c r="CB979">
        <v>1512</v>
      </c>
      <c r="CC979">
        <v>223.77600000000001</v>
      </c>
      <c r="CD979" t="s">
        <v>783</v>
      </c>
      <c r="CE979" t="s">
        <v>784</v>
      </c>
      <c r="CG979" t="s">
        <v>421</v>
      </c>
      <c r="CN979" t="str">
        <v>M19</v>
      </c>
      <c r="CO979" t="str">
        <v>1106-5YY0012-T2EN</v>
      </c>
      <c r="CP979" t="str">
        <v>TRHU4923520</v>
      </c>
      <c r="CQ979" s="23">
        <v>124.7988</v>
      </c>
      <c r="CR979" s="25">
        <f t="shared" si="39"/>
        <v>1.2365107968020692E-2</v>
      </c>
      <c r="CS979" s="21">
        <f t="shared" si="40"/>
        <v>30.91276992005173</v>
      </c>
    </row>
    <row r="980" spans="2:97" x14ac:dyDescent="0.35">
      <c r="B980" t="s">
        <v>299</v>
      </c>
      <c r="C980" t="s">
        <v>3036</v>
      </c>
      <c r="D980" t="s">
        <v>395</v>
      </c>
      <c r="E980" t="s">
        <v>823</v>
      </c>
      <c r="F980" t="s">
        <v>396</v>
      </c>
      <c r="G980" t="s">
        <v>397</v>
      </c>
      <c r="H980" t="s">
        <v>398</v>
      </c>
      <c r="I980" t="s">
        <v>399</v>
      </c>
      <c r="J980" t="s">
        <v>749</v>
      </c>
      <c r="K980" t="s">
        <v>777</v>
      </c>
      <c r="L980" t="s">
        <v>778</v>
      </c>
      <c r="M980" t="s">
        <v>403</v>
      </c>
      <c r="N980">
        <v>1</v>
      </c>
      <c r="O980">
        <v>1</v>
      </c>
      <c r="P980" t="s">
        <v>2417</v>
      </c>
      <c r="Q980" t="s">
        <v>637</v>
      </c>
      <c r="R980" t="s">
        <v>536</v>
      </c>
      <c r="S980" t="s">
        <v>2418</v>
      </c>
      <c r="T980" t="s">
        <v>408</v>
      </c>
      <c r="U980">
        <v>50950080334</v>
      </c>
      <c r="W980">
        <v>1512</v>
      </c>
      <c r="X980" t="s">
        <v>409</v>
      </c>
      <c r="Y980" t="s">
        <v>410</v>
      </c>
      <c r="Z980" t="s">
        <v>410</v>
      </c>
      <c r="AA980" t="s">
        <v>411</v>
      </c>
      <c r="AB980" t="s">
        <v>554</v>
      </c>
      <c r="AC980" t="s">
        <v>411</v>
      </c>
      <c r="AD980">
        <v>46116</v>
      </c>
      <c r="AE980">
        <v>46174</v>
      </c>
      <c r="AF980">
        <v>46127</v>
      </c>
      <c r="AG980" t="s">
        <v>781</v>
      </c>
      <c r="AH980">
        <v>6183132</v>
      </c>
      <c r="AI980">
        <v>46121</v>
      </c>
      <c r="AJ980">
        <v>46122</v>
      </c>
      <c r="AK980">
        <v>1512</v>
      </c>
      <c r="AL980" t="s">
        <v>396</v>
      </c>
      <c r="AM980" t="s">
        <v>3037</v>
      </c>
      <c r="AN980">
        <v>46122</v>
      </c>
      <c r="AO980">
        <v>46122.647928240738</v>
      </c>
      <c r="AP980" t="s">
        <v>51</v>
      </c>
      <c r="AQ980">
        <v>2.8247499999999999</v>
      </c>
      <c r="AR980">
        <v>4271.01</v>
      </c>
      <c r="AS980" t="s">
        <v>51</v>
      </c>
      <c r="AT980">
        <v>4271.01</v>
      </c>
      <c r="AU980" t="s">
        <v>415</v>
      </c>
      <c r="AV980" t="s">
        <v>557</v>
      </c>
      <c r="AW980" t="s">
        <v>2986</v>
      </c>
      <c r="AX980">
        <v>46127</v>
      </c>
      <c r="AY980">
        <v>46176</v>
      </c>
      <c r="AZ980" t="s">
        <v>3030</v>
      </c>
      <c r="BA980" t="s">
        <v>560</v>
      </c>
      <c r="BB980" t="s">
        <v>3031</v>
      </c>
      <c r="BC980">
        <v>28</v>
      </c>
      <c r="BD980" t="s">
        <v>521</v>
      </c>
      <c r="BE980">
        <v>4.8365999999999998</v>
      </c>
      <c r="BF980">
        <v>2.9735999999999998</v>
      </c>
      <c r="BG980" t="s">
        <v>522</v>
      </c>
      <c r="BH980">
        <v>795</v>
      </c>
      <c r="BI980">
        <v>395</v>
      </c>
      <c r="BJ980">
        <v>145</v>
      </c>
      <c r="BK980">
        <v>18</v>
      </c>
      <c r="BL980" t="s">
        <v>521</v>
      </c>
      <c r="BM980">
        <v>112.05880000000001</v>
      </c>
      <c r="BN980">
        <v>53.524799999999999</v>
      </c>
      <c r="BO980">
        <v>336.1764</v>
      </c>
      <c r="BP980" t="s">
        <v>522</v>
      </c>
      <c r="BQ980">
        <v>1200</v>
      </c>
      <c r="BR980">
        <v>800</v>
      </c>
      <c r="BS980">
        <v>1030</v>
      </c>
      <c r="BT980">
        <v>3</v>
      </c>
      <c r="BU980">
        <v>0</v>
      </c>
      <c r="BV980">
        <v>3</v>
      </c>
      <c r="BW980">
        <v>54</v>
      </c>
      <c r="BX980">
        <v>0</v>
      </c>
      <c r="BY980">
        <v>54</v>
      </c>
      <c r="BZ980">
        <v>1512</v>
      </c>
      <c r="CA980">
        <v>0</v>
      </c>
      <c r="CB980">
        <v>1512</v>
      </c>
      <c r="CC980">
        <v>160.5744</v>
      </c>
      <c r="CD980" t="s">
        <v>783</v>
      </c>
      <c r="CE980" t="s">
        <v>784</v>
      </c>
      <c r="CG980" t="s">
        <v>421</v>
      </c>
      <c r="CN980" t="str">
        <v>M19</v>
      </c>
      <c r="CO980" t="str">
        <v>1101-5YY0299EN</v>
      </c>
      <c r="CP980" t="str">
        <v>TRHU4923520</v>
      </c>
      <c r="CQ980" s="23">
        <v>166.35936000000001</v>
      </c>
      <c r="CR980" s="25">
        <f t="shared" si="39"/>
        <v>1.6482942527418717E-2</v>
      </c>
      <c r="CS980" s="21">
        <f t="shared" si="40"/>
        <v>41.207356318546793</v>
      </c>
    </row>
    <row r="981" spans="2:97" x14ac:dyDescent="0.35">
      <c r="B981" t="s">
        <v>296</v>
      </c>
      <c r="C981" t="s">
        <v>2061</v>
      </c>
      <c r="D981" t="s">
        <v>395</v>
      </c>
      <c r="E981" t="s">
        <v>395</v>
      </c>
      <c r="F981" t="s">
        <v>396</v>
      </c>
      <c r="G981" t="s">
        <v>397</v>
      </c>
      <c r="H981" t="s">
        <v>398</v>
      </c>
      <c r="I981" t="s">
        <v>399</v>
      </c>
      <c r="J981" t="s">
        <v>749</v>
      </c>
      <c r="K981" t="s">
        <v>786</v>
      </c>
      <c r="L981" t="s">
        <v>787</v>
      </c>
      <c r="M981" t="s">
        <v>403</v>
      </c>
      <c r="N981">
        <v>1</v>
      </c>
      <c r="O981">
        <v>2</v>
      </c>
      <c r="P981" t="s">
        <v>949</v>
      </c>
      <c r="Q981" t="s">
        <v>430</v>
      </c>
      <c r="R981" t="s">
        <v>790</v>
      </c>
      <c r="S981" t="s">
        <v>950</v>
      </c>
      <c r="T981" t="s">
        <v>408</v>
      </c>
      <c r="U981">
        <v>50950075120</v>
      </c>
      <c r="W981">
        <v>50400</v>
      </c>
      <c r="X981" t="s">
        <v>409</v>
      </c>
      <c r="Y981" t="s">
        <v>410</v>
      </c>
      <c r="Z981" t="s">
        <v>410</v>
      </c>
      <c r="AA981" t="s">
        <v>411</v>
      </c>
      <c r="AB981" t="s">
        <v>554</v>
      </c>
      <c r="AC981" t="s">
        <v>411</v>
      </c>
      <c r="AD981">
        <v>46120</v>
      </c>
      <c r="AE981">
        <v>46216</v>
      </c>
      <c r="AF981">
        <v>46127</v>
      </c>
      <c r="AG981" t="s">
        <v>754</v>
      </c>
      <c r="AH981">
        <v>6183133</v>
      </c>
      <c r="AI981">
        <v>46121</v>
      </c>
      <c r="AJ981">
        <v>46122</v>
      </c>
      <c r="AK981">
        <v>50400</v>
      </c>
      <c r="AL981" t="s">
        <v>396</v>
      </c>
      <c r="AM981" t="s">
        <v>3038</v>
      </c>
      <c r="AN981">
        <v>46122</v>
      </c>
      <c r="AO981">
        <v>46122.647928240738</v>
      </c>
      <c r="AP981" t="s">
        <v>51</v>
      </c>
      <c r="AQ981">
        <v>0.66564000000000001</v>
      </c>
      <c r="AR981">
        <v>33548.239999999998</v>
      </c>
      <c r="AS981" t="s">
        <v>51</v>
      </c>
      <c r="AT981">
        <v>33548.239999999998</v>
      </c>
      <c r="AU981" t="s">
        <v>415</v>
      </c>
      <c r="AV981" t="s">
        <v>557</v>
      </c>
      <c r="AW981" t="s">
        <v>2986</v>
      </c>
      <c r="AX981">
        <v>46127</v>
      </c>
      <c r="AY981">
        <v>46176</v>
      </c>
      <c r="AZ981" t="s">
        <v>3030</v>
      </c>
      <c r="BA981" t="s">
        <v>560</v>
      </c>
      <c r="BB981" t="s">
        <v>3031</v>
      </c>
      <c r="BC981">
        <v>350</v>
      </c>
      <c r="BD981" t="s">
        <v>521</v>
      </c>
      <c r="BE981">
        <v>3.74</v>
      </c>
      <c r="BF981">
        <v>2.0299999999999998</v>
      </c>
      <c r="BG981" t="s">
        <v>522</v>
      </c>
      <c r="BH981">
        <v>400</v>
      </c>
      <c r="BI981">
        <v>335</v>
      </c>
      <c r="BJ981">
        <v>230</v>
      </c>
      <c r="BK981">
        <v>36</v>
      </c>
      <c r="BL981" t="s">
        <v>521</v>
      </c>
      <c r="BM981">
        <v>159.63999999999999</v>
      </c>
      <c r="BN981">
        <v>73.08</v>
      </c>
      <c r="BO981">
        <v>638.55999999999995</v>
      </c>
      <c r="BP981" t="s">
        <v>522</v>
      </c>
      <c r="BQ981">
        <v>1219</v>
      </c>
      <c r="BR981">
        <v>1016</v>
      </c>
      <c r="BS981">
        <v>1080</v>
      </c>
      <c r="BT981">
        <v>4</v>
      </c>
      <c r="BU981">
        <v>0</v>
      </c>
      <c r="BV981">
        <v>4</v>
      </c>
      <c r="BW981">
        <v>144</v>
      </c>
      <c r="BX981">
        <v>0</v>
      </c>
      <c r="BY981">
        <v>144</v>
      </c>
      <c r="BZ981">
        <v>50400</v>
      </c>
      <c r="CA981">
        <v>0</v>
      </c>
      <c r="CB981">
        <v>50400</v>
      </c>
      <c r="CC981">
        <v>292.32</v>
      </c>
      <c r="CD981" t="s">
        <v>952</v>
      </c>
      <c r="CE981" t="s">
        <v>953</v>
      </c>
      <c r="CG981" t="s">
        <v>421</v>
      </c>
      <c r="CN981" t="str">
        <v>M19</v>
      </c>
      <c r="CO981" t="str">
        <v>1101-5YY0313EN</v>
      </c>
      <c r="CP981" t="str">
        <v>TRHU4923520</v>
      </c>
      <c r="CQ981" s="23">
        <v>287.38816000000003</v>
      </c>
      <c r="CR981" s="25">
        <f t="shared" si="39"/>
        <v>2.8474517600576333E-2</v>
      </c>
      <c r="CS981" s="21">
        <f t="shared" si="40"/>
        <v>71.186294001440828</v>
      </c>
    </row>
    <row r="982" spans="2:97" x14ac:dyDescent="0.35">
      <c r="B982" t="s">
        <v>299</v>
      </c>
      <c r="C982" t="s">
        <v>2689</v>
      </c>
      <c r="D982" t="s">
        <v>395</v>
      </c>
      <c r="E982" t="s">
        <v>395</v>
      </c>
      <c r="F982" t="s">
        <v>396</v>
      </c>
      <c r="G982" t="s">
        <v>397</v>
      </c>
      <c r="H982" t="s">
        <v>398</v>
      </c>
      <c r="I982" t="s">
        <v>399</v>
      </c>
      <c r="J982" t="s">
        <v>749</v>
      </c>
      <c r="K982" t="s">
        <v>629</v>
      </c>
      <c r="L982" t="s">
        <v>787</v>
      </c>
      <c r="M982" t="s">
        <v>403</v>
      </c>
      <c r="N982">
        <v>1</v>
      </c>
      <c r="O982">
        <v>2</v>
      </c>
      <c r="P982" t="s">
        <v>1177</v>
      </c>
      <c r="Q982" t="s">
        <v>637</v>
      </c>
      <c r="R982" t="s">
        <v>1128</v>
      </c>
      <c r="S982" t="s">
        <v>1178</v>
      </c>
      <c r="T982" t="s">
        <v>408</v>
      </c>
      <c r="U982">
        <v>50950079274</v>
      </c>
      <c r="W982">
        <v>4800</v>
      </c>
      <c r="X982" t="s">
        <v>409</v>
      </c>
      <c r="Y982" t="s">
        <v>410</v>
      </c>
      <c r="Z982" t="s">
        <v>410</v>
      </c>
      <c r="AA982" t="s">
        <v>411</v>
      </c>
      <c r="AB982" t="s">
        <v>554</v>
      </c>
      <c r="AC982" t="s">
        <v>411</v>
      </c>
      <c r="AD982">
        <v>46118</v>
      </c>
      <c r="AE982">
        <v>46160</v>
      </c>
      <c r="AF982">
        <v>46127</v>
      </c>
      <c r="AG982" t="s">
        <v>754</v>
      </c>
      <c r="AH982">
        <v>6183134</v>
      </c>
      <c r="AI982">
        <v>46121</v>
      </c>
      <c r="AJ982">
        <v>46122</v>
      </c>
      <c r="AK982">
        <v>4800</v>
      </c>
      <c r="AL982" t="s">
        <v>396</v>
      </c>
      <c r="AM982" t="s">
        <v>3039</v>
      </c>
      <c r="AN982">
        <v>46122</v>
      </c>
      <c r="AO982">
        <v>46122.647928240738</v>
      </c>
      <c r="AP982" t="s">
        <v>51</v>
      </c>
      <c r="AQ982">
        <v>1.0866</v>
      </c>
      <c r="AR982">
        <v>5215.68</v>
      </c>
      <c r="AS982" t="s">
        <v>51</v>
      </c>
      <c r="AT982">
        <v>5215.68</v>
      </c>
      <c r="AU982" t="s">
        <v>415</v>
      </c>
      <c r="AV982" t="s">
        <v>557</v>
      </c>
      <c r="AW982" t="s">
        <v>2986</v>
      </c>
      <c r="AX982">
        <v>46127</v>
      </c>
      <c r="AY982">
        <v>46176</v>
      </c>
      <c r="AZ982" t="s">
        <v>3030</v>
      </c>
      <c r="BA982" t="s">
        <v>560</v>
      </c>
      <c r="BB982" t="s">
        <v>3031</v>
      </c>
      <c r="BC982">
        <v>80</v>
      </c>
      <c r="BD982" t="s">
        <v>521</v>
      </c>
      <c r="BE982">
        <v>6.9805999999999999</v>
      </c>
      <c r="BF982">
        <v>3.0506000000000002</v>
      </c>
      <c r="BG982" t="s">
        <v>522</v>
      </c>
      <c r="BH982">
        <v>520</v>
      </c>
      <c r="BI982">
        <v>330</v>
      </c>
      <c r="BJ982">
        <v>190</v>
      </c>
      <c r="BK982">
        <v>30</v>
      </c>
      <c r="BL982" t="s">
        <v>521</v>
      </c>
      <c r="BM982">
        <v>235.41800000000001</v>
      </c>
      <c r="BN982">
        <v>91.518000000000001</v>
      </c>
      <c r="BO982">
        <v>470.83839999999998</v>
      </c>
      <c r="BP982" t="s">
        <v>522</v>
      </c>
      <c r="BQ982">
        <v>1066</v>
      </c>
      <c r="BR982">
        <v>1066</v>
      </c>
      <c r="BS982">
        <v>1100</v>
      </c>
      <c r="BT982">
        <v>2</v>
      </c>
      <c r="BU982">
        <v>0</v>
      </c>
      <c r="BV982">
        <v>2</v>
      </c>
      <c r="BW982">
        <v>60</v>
      </c>
      <c r="BX982">
        <v>0</v>
      </c>
      <c r="BY982">
        <v>60</v>
      </c>
      <c r="BZ982">
        <v>4800</v>
      </c>
      <c r="CA982">
        <v>0</v>
      </c>
      <c r="CB982">
        <v>4800</v>
      </c>
      <c r="CC982">
        <v>183.0384</v>
      </c>
      <c r="CD982" t="s">
        <v>1131</v>
      </c>
      <c r="CE982" t="s">
        <v>1132</v>
      </c>
      <c r="CG982" t="s">
        <v>421</v>
      </c>
      <c r="CN982" t="str">
        <v>M19</v>
      </c>
      <c r="CO982" t="str">
        <v>1101-5YY0343EN</v>
      </c>
      <c r="CP982" t="str">
        <v>TRHU4923520</v>
      </c>
      <c r="CQ982" s="23">
        <v>134.86425600000001</v>
      </c>
      <c r="CR982" s="25">
        <f t="shared" si="39"/>
        <v>1.3362396805632606E-2</v>
      </c>
      <c r="CS982" s="21">
        <f t="shared" si="40"/>
        <v>33.405992014081512</v>
      </c>
    </row>
    <row r="983" spans="2:97" x14ac:dyDescent="0.35">
      <c r="B983" t="s">
        <v>299</v>
      </c>
      <c r="C983" t="s">
        <v>2997</v>
      </c>
      <c r="D983" t="s">
        <v>395</v>
      </c>
      <c r="E983" t="s">
        <v>395</v>
      </c>
      <c r="F983" t="s">
        <v>396</v>
      </c>
      <c r="G983" t="s">
        <v>397</v>
      </c>
      <c r="H983" t="s">
        <v>398</v>
      </c>
      <c r="I983" t="s">
        <v>399</v>
      </c>
      <c r="J983" t="s">
        <v>749</v>
      </c>
      <c r="K983" t="s">
        <v>526</v>
      </c>
      <c r="L983" t="s">
        <v>787</v>
      </c>
      <c r="M983" t="s">
        <v>403</v>
      </c>
      <c r="N983">
        <v>1</v>
      </c>
      <c r="O983">
        <v>3</v>
      </c>
      <c r="P983" t="s">
        <v>966</v>
      </c>
      <c r="Q983" t="s">
        <v>424</v>
      </c>
      <c r="R983" t="s">
        <v>959</v>
      </c>
      <c r="S983" t="s">
        <v>967</v>
      </c>
      <c r="T983" t="s">
        <v>408</v>
      </c>
      <c r="U983">
        <v>50950079529</v>
      </c>
      <c r="W983">
        <v>171072</v>
      </c>
      <c r="X983" t="s">
        <v>409</v>
      </c>
      <c r="Y983" t="s">
        <v>410</v>
      </c>
      <c r="Z983" t="s">
        <v>410</v>
      </c>
      <c r="AA983" t="s">
        <v>411</v>
      </c>
      <c r="AB983" t="s">
        <v>554</v>
      </c>
      <c r="AC983" t="s">
        <v>411</v>
      </c>
      <c r="AD983">
        <v>46116</v>
      </c>
      <c r="AE983">
        <v>46132</v>
      </c>
      <c r="AF983">
        <v>46127</v>
      </c>
      <c r="AG983" t="s">
        <v>754</v>
      </c>
      <c r="AH983">
        <v>6183135</v>
      </c>
      <c r="AI983">
        <v>46121</v>
      </c>
      <c r="AJ983">
        <v>46122</v>
      </c>
      <c r="AK983">
        <v>171072</v>
      </c>
      <c r="AL983" t="s">
        <v>396</v>
      </c>
      <c r="AM983" t="s">
        <v>3040</v>
      </c>
      <c r="AN983">
        <v>46122</v>
      </c>
      <c r="AO983">
        <v>46122.647928240738</v>
      </c>
      <c r="AP983" t="s">
        <v>51</v>
      </c>
      <c r="AQ983">
        <v>5.3010000000000002E-2</v>
      </c>
      <c r="AR983">
        <v>9068.52</v>
      </c>
      <c r="AS983" t="s">
        <v>51</v>
      </c>
      <c r="AT983">
        <v>9068.52</v>
      </c>
      <c r="AU983" t="s">
        <v>415</v>
      </c>
      <c r="AV983" t="s">
        <v>557</v>
      </c>
      <c r="AW983" t="s">
        <v>2986</v>
      </c>
      <c r="AX983">
        <v>46127</v>
      </c>
      <c r="AY983">
        <v>46176</v>
      </c>
      <c r="AZ983" t="s">
        <v>3030</v>
      </c>
      <c r="BA983" t="s">
        <v>560</v>
      </c>
      <c r="BB983" t="s">
        <v>3031</v>
      </c>
      <c r="BC983">
        <v>594</v>
      </c>
      <c r="BD983" t="s">
        <v>521</v>
      </c>
      <c r="BE983">
        <v>8.2226999999999997</v>
      </c>
      <c r="BF983">
        <v>7.9726999999999997</v>
      </c>
      <c r="BG983" t="s">
        <v>522</v>
      </c>
      <c r="BH983">
        <v>286</v>
      </c>
      <c r="BI983">
        <v>190</v>
      </c>
      <c r="BJ983">
        <v>72</v>
      </c>
      <c r="BK983">
        <v>48</v>
      </c>
      <c r="BL983" t="s">
        <v>521</v>
      </c>
      <c r="BM983">
        <v>419.68959999999998</v>
      </c>
      <c r="BN983">
        <v>382.68959999999998</v>
      </c>
      <c r="BO983">
        <v>2518.1283840000001</v>
      </c>
      <c r="BP983" t="s">
        <v>522</v>
      </c>
      <c r="BQ983">
        <v>1200</v>
      </c>
      <c r="BR983">
        <v>800</v>
      </c>
      <c r="BS983">
        <v>378</v>
      </c>
      <c r="BT983">
        <v>6</v>
      </c>
      <c r="BU983">
        <v>0</v>
      </c>
      <c r="BV983">
        <v>6</v>
      </c>
      <c r="BW983">
        <v>288</v>
      </c>
      <c r="BX983">
        <v>0</v>
      </c>
      <c r="BY983">
        <v>288</v>
      </c>
      <c r="BZ983">
        <v>171072</v>
      </c>
      <c r="CA983">
        <v>0</v>
      </c>
      <c r="CB983">
        <v>171072</v>
      </c>
      <c r="CC983">
        <v>2296.1283840000001</v>
      </c>
      <c r="CD983" t="s">
        <v>969</v>
      </c>
      <c r="CE983" t="s">
        <v>970</v>
      </c>
      <c r="CG983" t="s">
        <v>421</v>
      </c>
      <c r="CN983" t="str">
        <v>M19</v>
      </c>
      <c r="CO983" t="str">
        <v>1101-5YY0361EN</v>
      </c>
      <c r="CP983" t="str">
        <v>TRHU4923520</v>
      </c>
      <c r="CQ983" s="23">
        <v>494.18649599999998</v>
      </c>
      <c r="CR983" s="25">
        <f t="shared" si="39"/>
        <v>4.8964167759448209E-2</v>
      </c>
      <c r="CS983" s="21">
        <f t="shared" si="40"/>
        <v>122.41041939862052</v>
      </c>
    </row>
    <row r="984" spans="2:97" x14ac:dyDescent="0.35">
      <c r="B984" t="s">
        <v>296</v>
      </c>
      <c r="C984" t="s">
        <v>2800</v>
      </c>
      <c r="D984" t="s">
        <v>395</v>
      </c>
      <c r="E984" t="s">
        <v>395</v>
      </c>
      <c r="F984" t="s">
        <v>396</v>
      </c>
      <c r="G984" t="s">
        <v>397</v>
      </c>
      <c r="H984" t="s">
        <v>398</v>
      </c>
      <c r="I984" t="s">
        <v>399</v>
      </c>
      <c r="J984" t="s">
        <v>749</v>
      </c>
      <c r="K984" t="s">
        <v>629</v>
      </c>
      <c r="L984" t="s">
        <v>787</v>
      </c>
      <c r="M984" t="s">
        <v>403</v>
      </c>
      <c r="N984">
        <v>1</v>
      </c>
      <c r="O984">
        <v>5</v>
      </c>
      <c r="P984" t="s">
        <v>881</v>
      </c>
      <c r="Q984" t="s">
        <v>645</v>
      </c>
      <c r="R984" t="s">
        <v>882</v>
      </c>
      <c r="S984" t="s">
        <v>883</v>
      </c>
      <c r="T984" t="s">
        <v>408</v>
      </c>
      <c r="U984">
        <v>50950079682</v>
      </c>
      <c r="W984">
        <v>13200</v>
      </c>
      <c r="X984" t="s">
        <v>409</v>
      </c>
      <c r="Y984" t="s">
        <v>410</v>
      </c>
      <c r="Z984" t="s">
        <v>410</v>
      </c>
      <c r="AA984" t="s">
        <v>411</v>
      </c>
      <c r="AB984" t="s">
        <v>554</v>
      </c>
      <c r="AC984" t="s">
        <v>411</v>
      </c>
      <c r="AD984">
        <v>46111</v>
      </c>
      <c r="AE984">
        <v>46202</v>
      </c>
      <c r="AF984">
        <v>46127</v>
      </c>
      <c r="AG984" t="s">
        <v>754</v>
      </c>
      <c r="AH984">
        <v>6183136</v>
      </c>
      <c r="AI984">
        <v>46121</v>
      </c>
      <c r="AJ984">
        <v>46122</v>
      </c>
      <c r="AK984">
        <v>13200</v>
      </c>
      <c r="AL984" t="s">
        <v>396</v>
      </c>
      <c r="AM984" t="s">
        <v>3041</v>
      </c>
      <c r="AN984">
        <v>46122</v>
      </c>
      <c r="AO984">
        <v>46122.647928240738</v>
      </c>
      <c r="AP984" t="s">
        <v>51</v>
      </c>
      <c r="AQ984">
        <v>0.20003000000000001</v>
      </c>
      <c r="AR984">
        <v>2640.4</v>
      </c>
      <c r="AS984" t="s">
        <v>51</v>
      </c>
      <c r="AT984">
        <v>2640.4</v>
      </c>
      <c r="AU984" t="s">
        <v>415</v>
      </c>
      <c r="AV984" t="s">
        <v>557</v>
      </c>
      <c r="AW984" t="s">
        <v>2986</v>
      </c>
      <c r="AX984">
        <v>46127</v>
      </c>
      <c r="AY984">
        <v>46176</v>
      </c>
      <c r="AZ984" t="s">
        <v>3030</v>
      </c>
      <c r="BA984" t="s">
        <v>560</v>
      </c>
      <c r="BB984" t="s">
        <v>3031</v>
      </c>
      <c r="BC984">
        <v>264</v>
      </c>
      <c r="BD984" t="s">
        <v>521</v>
      </c>
      <c r="BE984">
        <v>5.2203999999999997</v>
      </c>
      <c r="BF984">
        <v>3.8304</v>
      </c>
      <c r="BG984" t="s">
        <v>522</v>
      </c>
      <c r="BH984">
        <v>595</v>
      </c>
      <c r="BI984">
        <v>395</v>
      </c>
      <c r="BJ984">
        <v>175</v>
      </c>
      <c r="BK984">
        <v>25</v>
      </c>
      <c r="BL984" t="s">
        <v>521</v>
      </c>
      <c r="BM984">
        <v>157.51</v>
      </c>
      <c r="BN984">
        <v>95.76</v>
      </c>
      <c r="BO984">
        <v>315.0188</v>
      </c>
      <c r="BP984" t="s">
        <v>522</v>
      </c>
      <c r="BQ984">
        <v>1200</v>
      </c>
      <c r="BR984">
        <v>1000</v>
      </c>
      <c r="BS984">
        <v>1035</v>
      </c>
      <c r="BT984">
        <v>2</v>
      </c>
      <c r="BU984">
        <v>0</v>
      </c>
      <c r="BV984">
        <v>2</v>
      </c>
      <c r="BW984">
        <v>50</v>
      </c>
      <c r="BX984">
        <v>0</v>
      </c>
      <c r="BY984">
        <v>50</v>
      </c>
      <c r="BZ984">
        <v>13200</v>
      </c>
      <c r="CA984">
        <v>0</v>
      </c>
      <c r="CB984">
        <v>13200</v>
      </c>
      <c r="CC984">
        <v>191.5188</v>
      </c>
      <c r="CD984" t="s">
        <v>885</v>
      </c>
      <c r="CE984" t="s">
        <v>886</v>
      </c>
      <c r="CG984" t="s">
        <v>421</v>
      </c>
      <c r="CN984" t="str">
        <v>M19</v>
      </c>
      <c r="CO984" t="str">
        <v>1204-5YY0009-56EN</v>
      </c>
      <c r="CP984" t="str">
        <v>TRHU4923520</v>
      </c>
      <c r="CQ984" s="23">
        <v>73.17</v>
      </c>
      <c r="CR984" s="25">
        <f t="shared" si="39"/>
        <v>7.2497087313345481E-3</v>
      </c>
      <c r="CS984" s="21">
        <f t="shared" si="40"/>
        <v>18.124271828336369</v>
      </c>
    </row>
    <row r="985" spans="2:97" x14ac:dyDescent="0.35">
      <c r="B985" t="s">
        <v>296</v>
      </c>
      <c r="C985" t="s">
        <v>3042</v>
      </c>
      <c r="D985" t="s">
        <v>395</v>
      </c>
      <c r="E985" t="s">
        <v>395</v>
      </c>
      <c r="F985" t="s">
        <v>396</v>
      </c>
      <c r="G985" t="s">
        <v>397</v>
      </c>
      <c r="H985" t="s">
        <v>398</v>
      </c>
      <c r="I985" t="s">
        <v>399</v>
      </c>
      <c r="J985" t="s">
        <v>749</v>
      </c>
      <c r="K985" t="s">
        <v>629</v>
      </c>
      <c r="L985" t="s">
        <v>787</v>
      </c>
      <c r="M985" t="s">
        <v>403</v>
      </c>
      <c r="N985">
        <v>1</v>
      </c>
      <c r="O985">
        <v>1</v>
      </c>
      <c r="P985" t="s">
        <v>2137</v>
      </c>
      <c r="Q985" t="s">
        <v>430</v>
      </c>
      <c r="R985" t="s">
        <v>2138</v>
      </c>
      <c r="S985" t="s">
        <v>518</v>
      </c>
      <c r="T985" t="s">
        <v>408</v>
      </c>
      <c r="U985">
        <v>50950079996</v>
      </c>
      <c r="W985">
        <v>90000</v>
      </c>
      <c r="X985" t="s">
        <v>409</v>
      </c>
      <c r="Y985" t="s">
        <v>410</v>
      </c>
      <c r="Z985" t="s">
        <v>410</v>
      </c>
      <c r="AA985" t="s">
        <v>411</v>
      </c>
      <c r="AB985" t="s">
        <v>554</v>
      </c>
      <c r="AC985" t="s">
        <v>411</v>
      </c>
      <c r="AD985">
        <v>46118</v>
      </c>
      <c r="AE985">
        <v>46153</v>
      </c>
      <c r="AF985">
        <v>46127</v>
      </c>
      <c r="AG985" t="s">
        <v>754</v>
      </c>
      <c r="AH985">
        <v>6183137</v>
      </c>
      <c r="AI985">
        <v>46121</v>
      </c>
      <c r="AJ985">
        <v>46122</v>
      </c>
      <c r="AK985">
        <v>90000</v>
      </c>
      <c r="AL985" t="s">
        <v>396</v>
      </c>
      <c r="AM985" t="s">
        <v>3043</v>
      </c>
      <c r="AN985">
        <v>46122</v>
      </c>
      <c r="AO985">
        <v>46122.647928240738</v>
      </c>
      <c r="AP985" t="s">
        <v>51</v>
      </c>
      <c r="AQ985">
        <v>1.336E-2</v>
      </c>
      <c r="AR985">
        <v>1202.4000000000001</v>
      </c>
      <c r="AS985" t="s">
        <v>51</v>
      </c>
      <c r="AT985">
        <v>1202.4000000000001</v>
      </c>
      <c r="AU985" t="s">
        <v>415</v>
      </c>
      <c r="AV985" t="s">
        <v>557</v>
      </c>
      <c r="AW985" t="s">
        <v>2986</v>
      </c>
      <c r="AX985">
        <v>46127</v>
      </c>
      <c r="AY985">
        <v>46176</v>
      </c>
      <c r="AZ985" t="s">
        <v>3030</v>
      </c>
      <c r="BA985" t="s">
        <v>560</v>
      </c>
      <c r="BB985" t="s">
        <v>3031</v>
      </c>
      <c r="BC985">
        <v>15000</v>
      </c>
      <c r="BD985" t="s">
        <v>521</v>
      </c>
      <c r="BE985">
        <v>3.84</v>
      </c>
      <c r="BF985">
        <v>3.45</v>
      </c>
      <c r="BG985" t="s">
        <v>522</v>
      </c>
      <c r="BH985">
        <v>368</v>
      </c>
      <c r="BI985">
        <v>257</v>
      </c>
      <c r="BJ985">
        <v>136</v>
      </c>
      <c r="BK985">
        <v>6</v>
      </c>
      <c r="BL985" t="s">
        <v>521</v>
      </c>
      <c r="BM985">
        <v>31.04</v>
      </c>
      <c r="BN985">
        <v>20.7</v>
      </c>
      <c r="BO985">
        <v>31.04</v>
      </c>
      <c r="BP985" t="s">
        <v>522</v>
      </c>
      <c r="BQ985">
        <v>800</v>
      </c>
      <c r="BR985">
        <v>300</v>
      </c>
      <c r="BS985">
        <v>608</v>
      </c>
      <c r="BT985">
        <v>1</v>
      </c>
      <c r="BU985">
        <v>0</v>
      </c>
      <c r="BV985">
        <v>1</v>
      </c>
      <c r="BW985">
        <v>6</v>
      </c>
      <c r="BX985">
        <v>0</v>
      </c>
      <c r="BY985">
        <v>6</v>
      </c>
      <c r="BZ985">
        <v>90000</v>
      </c>
      <c r="CA985">
        <v>0</v>
      </c>
      <c r="CB985">
        <v>90000</v>
      </c>
      <c r="CC985">
        <v>20.7</v>
      </c>
      <c r="CD985" t="s">
        <v>523</v>
      </c>
      <c r="CE985" t="s">
        <v>653</v>
      </c>
      <c r="CG985" t="s">
        <v>421</v>
      </c>
      <c r="CN985" t="str">
        <v>MCS</v>
      </c>
      <c r="CO985" t="str">
        <v>1209-5YY0476EN</v>
      </c>
      <c r="CP985" t="str">
        <v>TRHU4923520</v>
      </c>
      <c r="CQ985" s="23">
        <v>68.636799999999994</v>
      </c>
      <c r="CR985" s="25">
        <f t="shared" si="39"/>
        <v>6.8005577183389782E-3</v>
      </c>
      <c r="CS985" s="21">
        <f t="shared" si="40"/>
        <v>17.001394295847444</v>
      </c>
    </row>
    <row r="986" spans="2:97" x14ac:dyDescent="0.35">
      <c r="B986" t="s">
        <v>299</v>
      </c>
      <c r="C986" t="s">
        <v>1380</v>
      </c>
      <c r="D986" t="s">
        <v>965</v>
      </c>
      <c r="E986" t="s">
        <v>395</v>
      </c>
      <c r="F986" t="s">
        <v>396</v>
      </c>
      <c r="G986" t="s">
        <v>397</v>
      </c>
      <c r="H986" t="s">
        <v>398</v>
      </c>
      <c r="I986" t="s">
        <v>399</v>
      </c>
      <c r="J986" t="s">
        <v>749</v>
      </c>
      <c r="K986" t="s">
        <v>809</v>
      </c>
      <c r="L986" t="s">
        <v>787</v>
      </c>
      <c r="M986" t="s">
        <v>403</v>
      </c>
      <c r="N986">
        <v>1</v>
      </c>
      <c r="O986">
        <v>24</v>
      </c>
      <c r="P986" t="s">
        <v>810</v>
      </c>
      <c r="Q986" t="s">
        <v>405</v>
      </c>
      <c r="R986" t="s">
        <v>811</v>
      </c>
      <c r="S986" t="s">
        <v>812</v>
      </c>
      <c r="T986" t="s">
        <v>408</v>
      </c>
      <c r="U986">
        <v>50950080270</v>
      </c>
      <c r="W986">
        <v>3840</v>
      </c>
      <c r="X986" t="s">
        <v>409</v>
      </c>
      <c r="Y986" t="s">
        <v>410</v>
      </c>
      <c r="Z986" t="s">
        <v>410</v>
      </c>
      <c r="AA986" t="s">
        <v>411</v>
      </c>
      <c r="AB986" t="s">
        <v>554</v>
      </c>
      <c r="AC986" t="s">
        <v>411</v>
      </c>
      <c r="AD986">
        <v>46116</v>
      </c>
      <c r="AE986">
        <v>46125</v>
      </c>
      <c r="AF986">
        <v>46127</v>
      </c>
      <c r="AG986" t="s">
        <v>754</v>
      </c>
      <c r="AH986">
        <v>6183138</v>
      </c>
      <c r="AI986">
        <v>46121</v>
      </c>
      <c r="AJ986">
        <v>46122</v>
      </c>
      <c r="AK986">
        <v>3840</v>
      </c>
      <c r="AL986" t="s">
        <v>396</v>
      </c>
      <c r="AM986" t="s">
        <v>3044</v>
      </c>
      <c r="AN986">
        <v>46122</v>
      </c>
      <c r="AO986">
        <v>46122.647928240738</v>
      </c>
      <c r="AP986" t="s">
        <v>51</v>
      </c>
      <c r="AQ986">
        <v>2.0436299999999998</v>
      </c>
      <c r="AR986">
        <v>7847.52</v>
      </c>
      <c r="AS986" t="s">
        <v>51</v>
      </c>
      <c r="AT986">
        <v>7847.52</v>
      </c>
      <c r="AU986" t="s">
        <v>415</v>
      </c>
      <c r="AV986" t="s">
        <v>557</v>
      </c>
      <c r="AW986" t="s">
        <v>2986</v>
      </c>
      <c r="AX986">
        <v>46127</v>
      </c>
      <c r="AY986">
        <v>46176</v>
      </c>
      <c r="AZ986" t="s">
        <v>3030</v>
      </c>
      <c r="BA986" t="s">
        <v>560</v>
      </c>
      <c r="BB986" t="s">
        <v>3031</v>
      </c>
      <c r="BC986">
        <v>16</v>
      </c>
      <c r="BD986" t="s">
        <v>521</v>
      </c>
      <c r="BE986">
        <v>4.9545000000000003</v>
      </c>
      <c r="BF986">
        <v>3.7555000000000001</v>
      </c>
      <c r="BG986" t="s">
        <v>522</v>
      </c>
      <c r="BH986">
        <v>495</v>
      </c>
      <c r="BI986">
        <v>395</v>
      </c>
      <c r="BJ986">
        <v>190</v>
      </c>
      <c r="BK986">
        <v>30</v>
      </c>
      <c r="BL986" t="s">
        <v>521</v>
      </c>
      <c r="BM986">
        <v>175.63499999999999</v>
      </c>
      <c r="BN986">
        <v>112.66500000000001</v>
      </c>
      <c r="BO986">
        <v>1405.0848000000001</v>
      </c>
      <c r="BP986" t="s">
        <v>522</v>
      </c>
      <c r="BQ986">
        <v>1200</v>
      </c>
      <c r="BR986">
        <v>1000</v>
      </c>
      <c r="BS986">
        <v>1120</v>
      </c>
      <c r="BT986">
        <v>8</v>
      </c>
      <c r="BU986">
        <v>0</v>
      </c>
      <c r="BV986">
        <v>8</v>
      </c>
      <c r="BW986">
        <v>240</v>
      </c>
      <c r="BX986">
        <v>0</v>
      </c>
      <c r="BY986">
        <v>240</v>
      </c>
      <c r="BZ986">
        <v>3840</v>
      </c>
      <c r="CA986">
        <v>0</v>
      </c>
      <c r="CB986">
        <v>3840</v>
      </c>
      <c r="CC986">
        <v>901.32479999999998</v>
      </c>
      <c r="CD986" t="s">
        <v>806</v>
      </c>
      <c r="CE986" t="s">
        <v>816</v>
      </c>
      <c r="CG986" t="s">
        <v>421</v>
      </c>
      <c r="CN986" t="str">
        <v>MCS</v>
      </c>
      <c r="CO986" t="str">
        <v>1209-5YY0477EN</v>
      </c>
      <c r="CP986" t="str">
        <v>TRHU4923520</v>
      </c>
      <c r="CQ986" s="23">
        <v>46.138399999999997</v>
      </c>
      <c r="CR986" s="25">
        <f t="shared" si="39"/>
        <v>4.5714085189258701E-3</v>
      </c>
      <c r="CS986" s="21">
        <f t="shared" si="40"/>
        <v>11.428521297314676</v>
      </c>
    </row>
    <row r="987" spans="2:97" x14ac:dyDescent="0.35">
      <c r="B987" t="s">
        <v>296</v>
      </c>
      <c r="C987" t="s">
        <v>3045</v>
      </c>
      <c r="D987" t="s">
        <v>395</v>
      </c>
      <c r="E987" t="s">
        <v>395</v>
      </c>
      <c r="F987" t="s">
        <v>396</v>
      </c>
      <c r="G987" t="s">
        <v>397</v>
      </c>
      <c r="H987" t="s">
        <v>398</v>
      </c>
      <c r="I987" t="s">
        <v>399</v>
      </c>
      <c r="J987" t="s">
        <v>749</v>
      </c>
      <c r="K987" t="s">
        <v>515</v>
      </c>
      <c r="L987" t="s">
        <v>787</v>
      </c>
      <c r="M987" t="s">
        <v>403</v>
      </c>
      <c r="N987">
        <v>1</v>
      </c>
      <c r="O987">
        <v>1</v>
      </c>
      <c r="P987" t="s">
        <v>978</v>
      </c>
      <c r="Q987" t="s">
        <v>430</v>
      </c>
      <c r="R987" t="s">
        <v>691</v>
      </c>
      <c r="S987" t="s">
        <v>979</v>
      </c>
      <c r="T987" t="s">
        <v>408</v>
      </c>
      <c r="U987">
        <v>50950080964</v>
      </c>
      <c r="W987">
        <v>48000</v>
      </c>
      <c r="X987" t="s">
        <v>409</v>
      </c>
      <c r="Y987" t="s">
        <v>410</v>
      </c>
      <c r="Z987" t="s">
        <v>410</v>
      </c>
      <c r="AA987" t="s">
        <v>411</v>
      </c>
      <c r="AB987" t="s">
        <v>554</v>
      </c>
      <c r="AC987" t="s">
        <v>411</v>
      </c>
      <c r="AD987">
        <v>46116</v>
      </c>
      <c r="AE987">
        <v>46174</v>
      </c>
      <c r="AF987">
        <v>46127</v>
      </c>
      <c r="AG987" t="s">
        <v>754</v>
      </c>
      <c r="AH987">
        <v>6183139</v>
      </c>
      <c r="AI987">
        <v>46121</v>
      </c>
      <c r="AJ987">
        <v>46122</v>
      </c>
      <c r="AK987">
        <v>48000</v>
      </c>
      <c r="AL987" t="s">
        <v>396</v>
      </c>
      <c r="AM987" t="s">
        <v>3046</v>
      </c>
      <c r="AN987">
        <v>46122</v>
      </c>
      <c r="AO987">
        <v>46122.647928240738</v>
      </c>
      <c r="AP987" t="s">
        <v>51</v>
      </c>
      <c r="AQ987">
        <v>2.7890000000000002E-2</v>
      </c>
      <c r="AR987">
        <v>1338.72</v>
      </c>
      <c r="AS987" t="s">
        <v>51</v>
      </c>
      <c r="AT987">
        <v>1338.72</v>
      </c>
      <c r="AU987" t="s">
        <v>415</v>
      </c>
      <c r="AV987" t="s">
        <v>557</v>
      </c>
      <c r="AW987" t="s">
        <v>2986</v>
      </c>
      <c r="AX987">
        <v>46127</v>
      </c>
      <c r="AY987">
        <v>46176</v>
      </c>
      <c r="AZ987" t="s">
        <v>3030</v>
      </c>
      <c r="BA987" t="s">
        <v>560</v>
      </c>
      <c r="BB987" t="s">
        <v>3031</v>
      </c>
      <c r="BC987">
        <v>16000</v>
      </c>
      <c r="BD987" t="s">
        <v>521</v>
      </c>
      <c r="BE987">
        <v>8.9338499999999996</v>
      </c>
      <c r="BF987">
        <v>8</v>
      </c>
      <c r="BG987" t="s">
        <v>522</v>
      </c>
      <c r="BH987">
        <v>398</v>
      </c>
      <c r="BI987">
        <v>298</v>
      </c>
      <c r="BJ987">
        <v>155</v>
      </c>
      <c r="BK987">
        <v>6</v>
      </c>
      <c r="BL987" t="s">
        <v>521</v>
      </c>
      <c r="BM987">
        <v>34.801549999999999</v>
      </c>
      <c r="BN987">
        <v>24</v>
      </c>
      <c r="BO987">
        <v>34.801549999999999</v>
      </c>
      <c r="BP987" t="s">
        <v>522</v>
      </c>
      <c r="BQ987">
        <v>800</v>
      </c>
      <c r="BR987">
        <v>300</v>
      </c>
      <c r="BS987">
        <v>608</v>
      </c>
      <c r="BT987">
        <v>0</v>
      </c>
      <c r="BU987">
        <v>1</v>
      </c>
      <c r="BV987">
        <v>1</v>
      </c>
      <c r="BW987">
        <v>3</v>
      </c>
      <c r="BX987">
        <v>0</v>
      </c>
      <c r="BY987">
        <v>3</v>
      </c>
      <c r="BZ987">
        <v>0</v>
      </c>
      <c r="CA987">
        <v>48000</v>
      </c>
      <c r="CB987">
        <v>48000</v>
      </c>
      <c r="CC987">
        <v>24</v>
      </c>
      <c r="CD987" t="s">
        <v>523</v>
      </c>
      <c r="CE987" t="s">
        <v>981</v>
      </c>
      <c r="CG987" t="s">
        <v>421</v>
      </c>
      <c r="CN987" t="str">
        <v>M19</v>
      </c>
      <c r="CO987" t="str">
        <v>1106-5YY0031EN</v>
      </c>
      <c r="CP987" t="str">
        <v>TRHU4923520</v>
      </c>
      <c r="CQ987" s="23">
        <v>132.75839999999999</v>
      </c>
      <c r="CR987" s="25">
        <f t="shared" si="39"/>
        <v>1.3153747869864759E-2</v>
      </c>
      <c r="CS987" s="21">
        <f t="shared" si="40"/>
        <v>32.884369674661897</v>
      </c>
    </row>
    <row r="988" spans="2:97" x14ac:dyDescent="0.35">
      <c r="B988" t="s">
        <v>296</v>
      </c>
      <c r="C988" t="s">
        <v>3047</v>
      </c>
      <c r="D988" t="s">
        <v>395</v>
      </c>
      <c r="E988" t="s">
        <v>395</v>
      </c>
      <c r="F988" t="s">
        <v>396</v>
      </c>
      <c r="G988" t="s">
        <v>397</v>
      </c>
      <c r="H988" t="s">
        <v>398</v>
      </c>
      <c r="I988" t="s">
        <v>399</v>
      </c>
      <c r="J988" t="s">
        <v>749</v>
      </c>
      <c r="K988" t="s">
        <v>629</v>
      </c>
      <c r="L988" t="s">
        <v>787</v>
      </c>
      <c r="M988" t="s">
        <v>403</v>
      </c>
      <c r="N988">
        <v>1</v>
      </c>
      <c r="O988">
        <v>1</v>
      </c>
      <c r="P988" t="s">
        <v>3048</v>
      </c>
      <c r="Q988" t="s">
        <v>405</v>
      </c>
      <c r="R988" t="s">
        <v>2138</v>
      </c>
      <c r="S988" t="s">
        <v>518</v>
      </c>
      <c r="T988" t="s">
        <v>408</v>
      </c>
      <c r="U988">
        <v>50950080878</v>
      </c>
      <c r="W988">
        <v>90000</v>
      </c>
      <c r="X988" t="s">
        <v>409</v>
      </c>
      <c r="Y988" t="s">
        <v>410</v>
      </c>
      <c r="Z988" t="s">
        <v>410</v>
      </c>
      <c r="AA988" t="s">
        <v>411</v>
      </c>
      <c r="AB988" t="s">
        <v>554</v>
      </c>
      <c r="AC988" t="s">
        <v>411</v>
      </c>
      <c r="AD988">
        <v>46118</v>
      </c>
      <c r="AE988">
        <v>46202</v>
      </c>
      <c r="AF988">
        <v>46127</v>
      </c>
      <c r="AG988" t="s">
        <v>754</v>
      </c>
      <c r="AH988">
        <v>6183140</v>
      </c>
      <c r="AI988">
        <v>46121</v>
      </c>
      <c r="AJ988">
        <v>46122</v>
      </c>
      <c r="AK988">
        <v>90000</v>
      </c>
      <c r="AL988" t="s">
        <v>396</v>
      </c>
      <c r="AM988" t="s">
        <v>3049</v>
      </c>
      <c r="AN988">
        <v>46122</v>
      </c>
      <c r="AO988">
        <v>46122.647928240738</v>
      </c>
      <c r="AP988" t="s">
        <v>51</v>
      </c>
      <c r="AQ988">
        <v>8.2500000000000004E-3</v>
      </c>
      <c r="AR988">
        <v>742.5</v>
      </c>
      <c r="AS988" t="s">
        <v>51</v>
      </c>
      <c r="AT988">
        <v>742.5</v>
      </c>
      <c r="AU988" t="s">
        <v>415</v>
      </c>
      <c r="AV988" t="s">
        <v>557</v>
      </c>
      <c r="AW988" t="s">
        <v>2986</v>
      </c>
      <c r="AX988">
        <v>46127</v>
      </c>
      <c r="AY988">
        <v>46176</v>
      </c>
      <c r="AZ988" t="s">
        <v>3030</v>
      </c>
      <c r="BA988" t="s">
        <v>560</v>
      </c>
      <c r="BB988" t="s">
        <v>3031</v>
      </c>
      <c r="BC988">
        <v>15000</v>
      </c>
      <c r="BD988" t="s">
        <v>521</v>
      </c>
      <c r="BE988">
        <v>3.39</v>
      </c>
      <c r="BF988">
        <v>3</v>
      </c>
      <c r="BG988" t="s">
        <v>522</v>
      </c>
      <c r="BH988">
        <v>368</v>
      </c>
      <c r="BI988">
        <v>257</v>
      </c>
      <c r="BJ988">
        <v>136</v>
      </c>
      <c r="BK988">
        <v>6</v>
      </c>
      <c r="BL988" t="s">
        <v>521</v>
      </c>
      <c r="BM988">
        <v>28.34</v>
      </c>
      <c r="BN988">
        <v>18</v>
      </c>
      <c r="BO988">
        <v>28.34</v>
      </c>
      <c r="BP988" t="s">
        <v>522</v>
      </c>
      <c r="BQ988">
        <v>800</v>
      </c>
      <c r="BR988">
        <v>300</v>
      </c>
      <c r="BS988">
        <v>608</v>
      </c>
      <c r="BT988">
        <v>1</v>
      </c>
      <c r="BU988">
        <v>0</v>
      </c>
      <c r="BV988">
        <v>1</v>
      </c>
      <c r="BW988">
        <v>6</v>
      </c>
      <c r="BX988">
        <v>0</v>
      </c>
      <c r="BY988">
        <v>6</v>
      </c>
      <c r="BZ988">
        <v>90000</v>
      </c>
      <c r="CA988">
        <v>0</v>
      </c>
      <c r="CB988">
        <v>90000</v>
      </c>
      <c r="CC988">
        <v>18</v>
      </c>
      <c r="CD988" t="s">
        <v>523</v>
      </c>
      <c r="CE988" t="s">
        <v>653</v>
      </c>
      <c r="CG988" t="s">
        <v>421</v>
      </c>
      <c r="CN988" t="str">
        <v>MCS</v>
      </c>
      <c r="CO988" t="str">
        <v>1209-5YY0477EN</v>
      </c>
      <c r="CP988" t="str">
        <v>TRHU4923520</v>
      </c>
      <c r="CQ988" s="23">
        <v>46.138399999999997</v>
      </c>
      <c r="CR988" s="25">
        <f t="shared" si="39"/>
        <v>4.5714085189258701E-3</v>
      </c>
      <c r="CS988" s="21">
        <f t="shared" si="40"/>
        <v>11.428521297314676</v>
      </c>
    </row>
    <row r="989" spans="2:97" x14ac:dyDescent="0.35">
      <c r="B989" t="s">
        <v>296</v>
      </c>
      <c r="C989" t="s">
        <v>3050</v>
      </c>
      <c r="D989" t="s">
        <v>395</v>
      </c>
      <c r="E989" t="s">
        <v>395</v>
      </c>
      <c r="F989" t="s">
        <v>396</v>
      </c>
      <c r="G989" t="s">
        <v>397</v>
      </c>
      <c r="H989" t="s">
        <v>398</v>
      </c>
      <c r="I989" t="s">
        <v>399</v>
      </c>
      <c r="J989" t="s">
        <v>749</v>
      </c>
      <c r="K989" t="s">
        <v>515</v>
      </c>
      <c r="L989" t="s">
        <v>787</v>
      </c>
      <c r="M989" t="s">
        <v>403</v>
      </c>
      <c r="N989">
        <v>1</v>
      </c>
      <c r="O989">
        <v>1</v>
      </c>
      <c r="P989" t="s">
        <v>1513</v>
      </c>
      <c r="Q989" t="s">
        <v>430</v>
      </c>
      <c r="R989" t="s">
        <v>691</v>
      </c>
      <c r="S989" t="s">
        <v>1514</v>
      </c>
      <c r="T989" t="s">
        <v>408</v>
      </c>
      <c r="U989">
        <v>50950080895</v>
      </c>
      <c r="W989">
        <v>48000</v>
      </c>
      <c r="X989" t="s">
        <v>409</v>
      </c>
      <c r="Y989" t="s">
        <v>410</v>
      </c>
      <c r="Z989" t="s">
        <v>410</v>
      </c>
      <c r="AA989" t="s">
        <v>411</v>
      </c>
      <c r="AB989" t="s">
        <v>554</v>
      </c>
      <c r="AC989" t="s">
        <v>411</v>
      </c>
      <c r="AD989">
        <v>46116</v>
      </c>
      <c r="AE989">
        <v>46174</v>
      </c>
      <c r="AF989">
        <v>46127</v>
      </c>
      <c r="AG989" t="s">
        <v>754</v>
      </c>
      <c r="AH989">
        <v>6183141</v>
      </c>
      <c r="AI989">
        <v>46121</v>
      </c>
      <c r="AJ989">
        <v>46122</v>
      </c>
      <c r="AK989">
        <v>48000</v>
      </c>
      <c r="AL989" t="s">
        <v>396</v>
      </c>
      <c r="AM989" t="s">
        <v>3051</v>
      </c>
      <c r="AN989">
        <v>46122</v>
      </c>
      <c r="AO989">
        <v>46122.647928240738</v>
      </c>
      <c r="AP989" t="s">
        <v>51</v>
      </c>
      <c r="AQ989">
        <v>3.243E-2</v>
      </c>
      <c r="AR989">
        <v>1556.64</v>
      </c>
      <c r="AS989" t="s">
        <v>51</v>
      </c>
      <c r="AT989">
        <v>1556.64</v>
      </c>
      <c r="AU989" t="s">
        <v>415</v>
      </c>
      <c r="AV989" t="s">
        <v>557</v>
      </c>
      <c r="AW989" t="s">
        <v>2986</v>
      </c>
      <c r="AX989">
        <v>46127</v>
      </c>
      <c r="AY989">
        <v>46176</v>
      </c>
      <c r="AZ989" t="s">
        <v>3030</v>
      </c>
      <c r="BA989" t="s">
        <v>560</v>
      </c>
      <c r="BB989" t="s">
        <v>3031</v>
      </c>
      <c r="BC989">
        <v>12000</v>
      </c>
      <c r="BD989" t="s">
        <v>521</v>
      </c>
      <c r="BE989">
        <v>10.519</v>
      </c>
      <c r="BF989">
        <v>9.84</v>
      </c>
      <c r="BG989" t="s">
        <v>522</v>
      </c>
      <c r="BH989">
        <v>395</v>
      </c>
      <c r="BI989">
        <v>295</v>
      </c>
      <c r="BJ989">
        <v>174</v>
      </c>
      <c r="BK989">
        <v>6</v>
      </c>
      <c r="BL989" t="s">
        <v>521</v>
      </c>
      <c r="BM989">
        <v>50.076000000000001</v>
      </c>
      <c r="BN989">
        <v>39.36</v>
      </c>
      <c r="BO989">
        <v>50.076000000000001</v>
      </c>
      <c r="BP989" t="s">
        <v>522</v>
      </c>
      <c r="BQ989">
        <v>800</v>
      </c>
      <c r="BR989">
        <v>300</v>
      </c>
      <c r="BS989">
        <v>698</v>
      </c>
      <c r="BT989">
        <v>0</v>
      </c>
      <c r="BU989">
        <v>1</v>
      </c>
      <c r="BV989">
        <v>1</v>
      </c>
      <c r="BW989">
        <v>4</v>
      </c>
      <c r="BX989">
        <v>0</v>
      </c>
      <c r="BY989">
        <v>4</v>
      </c>
      <c r="BZ989">
        <v>0</v>
      </c>
      <c r="CA989">
        <v>48000</v>
      </c>
      <c r="CB989">
        <v>48000</v>
      </c>
      <c r="CC989">
        <v>39.36</v>
      </c>
      <c r="CD989" t="s">
        <v>659</v>
      </c>
      <c r="CE989" t="s">
        <v>1006</v>
      </c>
      <c r="CG989" t="s">
        <v>421</v>
      </c>
      <c r="CN989" t="str">
        <v>M19</v>
      </c>
      <c r="CO989" t="str">
        <v>1106-5YY0031EN</v>
      </c>
      <c r="CP989" t="str">
        <v>TRHU4923520</v>
      </c>
      <c r="CQ989" s="23">
        <v>132.75839999999999</v>
      </c>
      <c r="CR989" s="25">
        <f t="shared" si="39"/>
        <v>1.3153747869864759E-2</v>
      </c>
      <c r="CS989" s="21">
        <f t="shared" si="40"/>
        <v>32.884369674661897</v>
      </c>
    </row>
    <row r="990" spans="2:97" x14ac:dyDescent="0.35">
      <c r="B990" t="s">
        <v>296</v>
      </c>
      <c r="C990" t="s">
        <v>3052</v>
      </c>
      <c r="D990" t="s">
        <v>395</v>
      </c>
      <c r="E990" t="s">
        <v>395</v>
      </c>
      <c r="F990" t="s">
        <v>396</v>
      </c>
      <c r="G990" t="s">
        <v>397</v>
      </c>
      <c r="H990" t="s">
        <v>398</v>
      </c>
      <c r="I990" t="s">
        <v>399</v>
      </c>
      <c r="J990" t="s">
        <v>749</v>
      </c>
      <c r="K990" t="s">
        <v>515</v>
      </c>
      <c r="L990" t="s">
        <v>787</v>
      </c>
      <c r="M990" t="s">
        <v>403</v>
      </c>
      <c r="N990">
        <v>1</v>
      </c>
      <c r="O990">
        <v>1</v>
      </c>
      <c r="P990" t="s">
        <v>987</v>
      </c>
      <c r="Q990" t="s">
        <v>405</v>
      </c>
      <c r="R990" t="s">
        <v>691</v>
      </c>
      <c r="S990" t="s">
        <v>988</v>
      </c>
      <c r="T990" t="s">
        <v>408</v>
      </c>
      <c r="U990">
        <v>50950080907</v>
      </c>
      <c r="W990">
        <v>48000</v>
      </c>
      <c r="X990" t="s">
        <v>409</v>
      </c>
      <c r="Y990" t="s">
        <v>410</v>
      </c>
      <c r="Z990" t="s">
        <v>410</v>
      </c>
      <c r="AA990" t="s">
        <v>411</v>
      </c>
      <c r="AB990" t="s">
        <v>554</v>
      </c>
      <c r="AC990" t="s">
        <v>411</v>
      </c>
      <c r="AD990">
        <v>46116</v>
      </c>
      <c r="AE990">
        <v>46174</v>
      </c>
      <c r="AF990">
        <v>46127</v>
      </c>
      <c r="AG990" t="s">
        <v>754</v>
      </c>
      <c r="AH990">
        <v>6183142</v>
      </c>
      <c r="AI990">
        <v>46121</v>
      </c>
      <c r="AJ990">
        <v>46122</v>
      </c>
      <c r="AK990">
        <v>48000</v>
      </c>
      <c r="AL990" t="s">
        <v>396</v>
      </c>
      <c r="AM990" t="s">
        <v>3053</v>
      </c>
      <c r="AN990">
        <v>46122</v>
      </c>
      <c r="AO990">
        <v>46122.647928240738</v>
      </c>
      <c r="AP990" t="s">
        <v>51</v>
      </c>
      <c r="AQ990">
        <v>1.3939999999999999E-2</v>
      </c>
      <c r="AR990">
        <v>669.12</v>
      </c>
      <c r="AS990" t="s">
        <v>51</v>
      </c>
      <c r="AT990">
        <v>669.12</v>
      </c>
      <c r="AU990" t="s">
        <v>415</v>
      </c>
      <c r="AV990" t="s">
        <v>557</v>
      </c>
      <c r="AW990" t="s">
        <v>2986</v>
      </c>
      <c r="AX990">
        <v>46127</v>
      </c>
      <c r="AY990">
        <v>46176</v>
      </c>
      <c r="AZ990" t="s">
        <v>3030</v>
      </c>
      <c r="BA990" t="s">
        <v>560</v>
      </c>
      <c r="BB990" t="s">
        <v>3031</v>
      </c>
      <c r="BC990">
        <v>24000</v>
      </c>
      <c r="BD990" t="s">
        <v>521</v>
      </c>
      <c r="BE990">
        <v>11.613849999999999</v>
      </c>
      <c r="BF990">
        <v>10.68</v>
      </c>
      <c r="BG990" t="s">
        <v>522</v>
      </c>
      <c r="BH990">
        <v>398</v>
      </c>
      <c r="BI990">
        <v>298</v>
      </c>
      <c r="BJ990">
        <v>155</v>
      </c>
      <c r="BK990">
        <v>6</v>
      </c>
      <c r="BL990" t="s">
        <v>521</v>
      </c>
      <c r="BM990">
        <v>31.227699999999999</v>
      </c>
      <c r="BN990">
        <v>21.36</v>
      </c>
      <c r="BO990">
        <v>31.227699999999999</v>
      </c>
      <c r="BP990" t="s">
        <v>522</v>
      </c>
      <c r="BQ990">
        <v>800</v>
      </c>
      <c r="BR990">
        <v>300</v>
      </c>
      <c r="BS990">
        <v>608</v>
      </c>
      <c r="BT990">
        <v>0</v>
      </c>
      <c r="BU990">
        <v>1</v>
      </c>
      <c r="BV990">
        <v>1</v>
      </c>
      <c r="BW990">
        <v>2</v>
      </c>
      <c r="BX990">
        <v>0</v>
      </c>
      <c r="BY990">
        <v>2</v>
      </c>
      <c r="BZ990">
        <v>0</v>
      </c>
      <c r="CA990">
        <v>48000</v>
      </c>
      <c r="CB990">
        <v>48000</v>
      </c>
      <c r="CC990">
        <v>21.36</v>
      </c>
      <c r="CD990" t="s">
        <v>523</v>
      </c>
      <c r="CE990" t="s">
        <v>981</v>
      </c>
      <c r="CG990" t="s">
        <v>421</v>
      </c>
      <c r="CN990" t="str">
        <v>M19</v>
      </c>
      <c r="CO990" t="str">
        <v>1140-5YY0004EN</v>
      </c>
      <c r="CP990" t="str">
        <v>TRHU4923520</v>
      </c>
      <c r="CQ990" s="23">
        <v>574.75840000000005</v>
      </c>
      <c r="CR990" s="25">
        <f t="shared" si="39"/>
        <v>5.6947259681397772E-2</v>
      </c>
      <c r="CS990" s="21">
        <f t="shared" si="40"/>
        <v>142.36814920349443</v>
      </c>
    </row>
    <row r="991" spans="2:97" x14ac:dyDescent="0.35">
      <c r="B991" t="s">
        <v>3497</v>
      </c>
      <c r="C991" t="s">
        <v>3054</v>
      </c>
      <c r="D991" t="s">
        <v>395</v>
      </c>
      <c r="E991" t="s">
        <v>395</v>
      </c>
      <c r="F991" t="s">
        <v>396</v>
      </c>
      <c r="G991" t="s">
        <v>397</v>
      </c>
      <c r="H991" t="s">
        <v>398</v>
      </c>
      <c r="I991" t="s">
        <v>399</v>
      </c>
      <c r="J991" t="s">
        <v>749</v>
      </c>
      <c r="K991" t="s">
        <v>515</v>
      </c>
      <c r="L991" t="s">
        <v>787</v>
      </c>
      <c r="M991" t="s">
        <v>403</v>
      </c>
      <c r="N991">
        <v>1</v>
      </c>
      <c r="O991">
        <v>1</v>
      </c>
      <c r="P991" t="s">
        <v>3055</v>
      </c>
      <c r="Q991" t="s">
        <v>424</v>
      </c>
      <c r="R991" t="s">
        <v>691</v>
      </c>
      <c r="S991" t="s">
        <v>1196</v>
      </c>
      <c r="T991" t="s">
        <v>408</v>
      </c>
      <c r="U991">
        <v>50950081128</v>
      </c>
      <c r="W991">
        <v>12800</v>
      </c>
      <c r="X991" t="s">
        <v>409</v>
      </c>
      <c r="Y991" t="s">
        <v>410</v>
      </c>
      <c r="Z991" t="s">
        <v>410</v>
      </c>
      <c r="AA991" t="s">
        <v>411</v>
      </c>
      <c r="AB991" t="s">
        <v>554</v>
      </c>
      <c r="AC991" t="s">
        <v>411</v>
      </c>
      <c r="AD991">
        <v>46116</v>
      </c>
      <c r="AE991">
        <v>46174</v>
      </c>
      <c r="AF991">
        <v>46127</v>
      </c>
      <c r="AG991" t="s">
        <v>754</v>
      </c>
      <c r="AH991">
        <v>6183143</v>
      </c>
      <c r="AI991">
        <v>46121</v>
      </c>
      <c r="AJ991">
        <v>46122</v>
      </c>
      <c r="AK991">
        <v>12800</v>
      </c>
      <c r="AL991" t="s">
        <v>396</v>
      </c>
      <c r="AM991" t="s">
        <v>3056</v>
      </c>
      <c r="AN991">
        <v>46122</v>
      </c>
      <c r="AO991">
        <v>46122.647928240738</v>
      </c>
      <c r="AP991" t="s">
        <v>51</v>
      </c>
      <c r="AQ991">
        <v>5.5329999999999997E-2</v>
      </c>
      <c r="AR991">
        <v>708.22</v>
      </c>
      <c r="AS991" t="s">
        <v>51</v>
      </c>
      <c r="AT991">
        <v>708.22</v>
      </c>
      <c r="AU991" t="s">
        <v>415</v>
      </c>
      <c r="AV991" t="s">
        <v>557</v>
      </c>
      <c r="AW991" t="s">
        <v>2986</v>
      </c>
      <c r="AX991">
        <v>46127</v>
      </c>
      <c r="AY991">
        <v>46176</v>
      </c>
      <c r="AZ991" t="s">
        <v>3030</v>
      </c>
      <c r="BA991" t="s">
        <v>560</v>
      </c>
      <c r="BB991" t="s">
        <v>3031</v>
      </c>
      <c r="BC991">
        <v>3200</v>
      </c>
      <c r="BD991" t="s">
        <v>521</v>
      </c>
      <c r="BE991">
        <v>8.6778499999999994</v>
      </c>
      <c r="BF991">
        <v>7.7439999999999998</v>
      </c>
      <c r="BG991" t="s">
        <v>522</v>
      </c>
      <c r="BH991">
        <v>398</v>
      </c>
      <c r="BI991">
        <v>298</v>
      </c>
      <c r="BJ991">
        <v>155</v>
      </c>
      <c r="BK991">
        <v>6</v>
      </c>
      <c r="BL991" t="s">
        <v>521</v>
      </c>
      <c r="BM991">
        <v>42.711399999999998</v>
      </c>
      <c r="BN991">
        <v>30.975999999999999</v>
      </c>
      <c r="BO991">
        <v>42.711399999999998</v>
      </c>
      <c r="BP991" t="s">
        <v>522</v>
      </c>
      <c r="BQ991">
        <v>800</v>
      </c>
      <c r="BR991">
        <v>300</v>
      </c>
      <c r="BS991">
        <v>608</v>
      </c>
      <c r="BT991">
        <v>0</v>
      </c>
      <c r="BU991">
        <v>1</v>
      </c>
      <c r="BV991">
        <v>1</v>
      </c>
      <c r="BW991">
        <v>4</v>
      </c>
      <c r="BX991">
        <v>0</v>
      </c>
      <c r="BY991">
        <v>4</v>
      </c>
      <c r="BZ991">
        <v>0</v>
      </c>
      <c r="CA991">
        <v>12800</v>
      </c>
      <c r="CB991">
        <v>12800</v>
      </c>
      <c r="CC991">
        <v>30.975999999999999</v>
      </c>
      <c r="CD991" t="s">
        <v>523</v>
      </c>
      <c r="CE991" t="s">
        <v>981</v>
      </c>
      <c r="CG991" t="s">
        <v>421</v>
      </c>
      <c r="CN991" t="str">
        <v>M19</v>
      </c>
      <c r="CO991" t="str">
        <v>1108-5YY0015EP</v>
      </c>
      <c r="CP991" t="str">
        <v>TRHU4923520</v>
      </c>
      <c r="CQ991" s="23">
        <v>108.986</v>
      </c>
      <c r="CR991" s="25">
        <f t="shared" si="39"/>
        <v>1.0798370312877233E-2</v>
      </c>
      <c r="CS991" s="21">
        <f t="shared" si="40"/>
        <v>26.995925782193083</v>
      </c>
    </row>
    <row r="992" spans="2:97" x14ac:dyDescent="0.35">
      <c r="B992" t="s">
        <v>3497</v>
      </c>
      <c r="C992" t="s">
        <v>3057</v>
      </c>
      <c r="D992" t="s">
        <v>395</v>
      </c>
      <c r="E992" t="s">
        <v>395</v>
      </c>
      <c r="F992" t="s">
        <v>396</v>
      </c>
      <c r="G992" t="s">
        <v>397</v>
      </c>
      <c r="H992" t="s">
        <v>398</v>
      </c>
      <c r="I992" t="s">
        <v>399</v>
      </c>
      <c r="J992" t="s">
        <v>749</v>
      </c>
      <c r="K992" t="s">
        <v>515</v>
      </c>
      <c r="L992" t="s">
        <v>787</v>
      </c>
      <c r="M992" t="s">
        <v>403</v>
      </c>
      <c r="N992">
        <v>1</v>
      </c>
      <c r="O992">
        <v>1</v>
      </c>
      <c r="P992" t="s">
        <v>3058</v>
      </c>
      <c r="Q992" t="s">
        <v>430</v>
      </c>
      <c r="R992" t="s">
        <v>691</v>
      </c>
      <c r="S992" t="s">
        <v>1196</v>
      </c>
      <c r="T992" t="s">
        <v>408</v>
      </c>
      <c r="U992">
        <v>50950081129</v>
      </c>
      <c r="W992">
        <v>12800</v>
      </c>
      <c r="X992" t="s">
        <v>409</v>
      </c>
      <c r="Y992" t="s">
        <v>410</v>
      </c>
      <c r="Z992" t="s">
        <v>410</v>
      </c>
      <c r="AA992" t="s">
        <v>411</v>
      </c>
      <c r="AB992" t="s">
        <v>554</v>
      </c>
      <c r="AC992" t="s">
        <v>411</v>
      </c>
      <c r="AD992">
        <v>46116</v>
      </c>
      <c r="AE992">
        <v>46174</v>
      </c>
      <c r="AF992">
        <v>46127</v>
      </c>
      <c r="AG992" t="s">
        <v>754</v>
      </c>
      <c r="AH992">
        <v>6183144</v>
      </c>
      <c r="AI992">
        <v>46121</v>
      </c>
      <c r="AJ992">
        <v>46122</v>
      </c>
      <c r="AK992">
        <v>12800</v>
      </c>
      <c r="AL992" t="s">
        <v>396</v>
      </c>
      <c r="AM992" t="s">
        <v>3059</v>
      </c>
      <c r="AN992">
        <v>46122</v>
      </c>
      <c r="AO992">
        <v>46122.647928240738</v>
      </c>
      <c r="AP992" t="s">
        <v>51</v>
      </c>
      <c r="AQ992">
        <v>5.5359999999999999E-2</v>
      </c>
      <c r="AR992">
        <v>708.61</v>
      </c>
      <c r="AS992" t="s">
        <v>51</v>
      </c>
      <c r="AT992">
        <v>708.61</v>
      </c>
      <c r="AU992" t="s">
        <v>415</v>
      </c>
      <c r="AV992" t="s">
        <v>557</v>
      </c>
      <c r="AW992" t="s">
        <v>2986</v>
      </c>
      <c r="AX992">
        <v>46127</v>
      </c>
      <c r="AY992">
        <v>46176</v>
      </c>
      <c r="AZ992" t="s">
        <v>3030</v>
      </c>
      <c r="BA992" t="s">
        <v>560</v>
      </c>
      <c r="BB992" t="s">
        <v>3031</v>
      </c>
      <c r="BC992">
        <v>3200</v>
      </c>
      <c r="BD992" t="s">
        <v>521</v>
      </c>
      <c r="BE992">
        <v>8.8122500000000006</v>
      </c>
      <c r="BF992">
        <v>7.8784000000000001</v>
      </c>
      <c r="BG992" t="s">
        <v>522</v>
      </c>
      <c r="BH992">
        <v>398</v>
      </c>
      <c r="BI992">
        <v>298</v>
      </c>
      <c r="BJ992">
        <v>155</v>
      </c>
      <c r="BK992">
        <v>6</v>
      </c>
      <c r="BL992" t="s">
        <v>521</v>
      </c>
      <c r="BM992">
        <v>43.249000000000002</v>
      </c>
      <c r="BN992">
        <v>31.5136</v>
      </c>
      <c r="BO992">
        <v>43.249000000000002</v>
      </c>
      <c r="BP992" t="s">
        <v>522</v>
      </c>
      <c r="BQ992">
        <v>800</v>
      </c>
      <c r="BR992">
        <v>300</v>
      </c>
      <c r="BS992">
        <v>608</v>
      </c>
      <c r="BT992">
        <v>0</v>
      </c>
      <c r="BU992">
        <v>1</v>
      </c>
      <c r="BV992">
        <v>1</v>
      </c>
      <c r="BW992">
        <v>4</v>
      </c>
      <c r="BX992">
        <v>0</v>
      </c>
      <c r="BY992">
        <v>4</v>
      </c>
      <c r="BZ992">
        <v>0</v>
      </c>
      <c r="CA992">
        <v>12800</v>
      </c>
      <c r="CB992">
        <v>12800</v>
      </c>
      <c r="CC992">
        <v>31.5136</v>
      </c>
      <c r="CD992" t="s">
        <v>523</v>
      </c>
      <c r="CE992" t="s">
        <v>981</v>
      </c>
      <c r="CG992" t="s">
        <v>421</v>
      </c>
      <c r="CN992" t="str">
        <v>MCS</v>
      </c>
      <c r="CO992" t="str">
        <v>1209-5YY0465EN</v>
      </c>
      <c r="CP992" t="str">
        <v>TRHU4923520</v>
      </c>
      <c r="CQ992" s="23">
        <v>88.255359999999996</v>
      </c>
      <c r="CR992" s="25">
        <f t="shared" si="39"/>
        <v>8.7443713814278224E-3</v>
      </c>
      <c r="CS992" s="21">
        <f t="shared" si="40"/>
        <v>21.860928453569556</v>
      </c>
    </row>
    <row r="993" spans="2:97" x14ac:dyDescent="0.35">
      <c r="B993" t="s">
        <v>3497</v>
      </c>
      <c r="C993" t="s">
        <v>3060</v>
      </c>
      <c r="D993" t="s">
        <v>395</v>
      </c>
      <c r="E993" t="s">
        <v>395</v>
      </c>
      <c r="F993" t="s">
        <v>396</v>
      </c>
      <c r="G993" t="s">
        <v>397</v>
      </c>
      <c r="H993" t="s">
        <v>398</v>
      </c>
      <c r="I993" t="s">
        <v>399</v>
      </c>
      <c r="J993" t="s">
        <v>749</v>
      </c>
      <c r="K993" t="s">
        <v>515</v>
      </c>
      <c r="L993" t="s">
        <v>787</v>
      </c>
      <c r="M993" t="s">
        <v>403</v>
      </c>
      <c r="N993">
        <v>1</v>
      </c>
      <c r="O993">
        <v>1</v>
      </c>
      <c r="P993" t="s">
        <v>1062</v>
      </c>
      <c r="Q993" t="s">
        <v>405</v>
      </c>
      <c r="R993" t="s">
        <v>691</v>
      </c>
      <c r="S993" t="s">
        <v>1048</v>
      </c>
      <c r="T993" t="s">
        <v>408</v>
      </c>
      <c r="U993">
        <v>50950081159</v>
      </c>
      <c r="W993">
        <v>24000</v>
      </c>
      <c r="X993" t="s">
        <v>409</v>
      </c>
      <c r="Y993" t="s">
        <v>410</v>
      </c>
      <c r="Z993" t="s">
        <v>410</v>
      </c>
      <c r="AA993" t="s">
        <v>411</v>
      </c>
      <c r="AB993" t="s">
        <v>554</v>
      </c>
      <c r="AC993" t="s">
        <v>411</v>
      </c>
      <c r="AD993">
        <v>46116</v>
      </c>
      <c r="AE993">
        <v>46174</v>
      </c>
      <c r="AF993">
        <v>46127</v>
      </c>
      <c r="AG993" t="s">
        <v>754</v>
      </c>
      <c r="AH993">
        <v>6183145</v>
      </c>
      <c r="AI993">
        <v>46121</v>
      </c>
      <c r="AJ993">
        <v>46122</v>
      </c>
      <c r="AK993">
        <v>24000</v>
      </c>
      <c r="AL993" t="s">
        <v>396</v>
      </c>
      <c r="AM993" t="s">
        <v>3061</v>
      </c>
      <c r="AN993">
        <v>46122</v>
      </c>
      <c r="AO993">
        <v>46122.647928240738</v>
      </c>
      <c r="AP993" t="s">
        <v>51</v>
      </c>
      <c r="AQ993">
        <v>3.678E-2</v>
      </c>
      <c r="AR993">
        <v>882.72</v>
      </c>
      <c r="AS993" t="s">
        <v>51</v>
      </c>
      <c r="AT993">
        <v>882.72</v>
      </c>
      <c r="AU993" t="s">
        <v>415</v>
      </c>
      <c r="AV993" t="s">
        <v>557</v>
      </c>
      <c r="AW993" t="s">
        <v>2986</v>
      </c>
      <c r="AX993">
        <v>46127</v>
      </c>
      <c r="AY993">
        <v>46176</v>
      </c>
      <c r="AZ993" t="s">
        <v>3030</v>
      </c>
      <c r="BA993" t="s">
        <v>560</v>
      </c>
      <c r="BB993" t="s">
        <v>3031</v>
      </c>
      <c r="BC993">
        <v>4000</v>
      </c>
      <c r="BD993" t="s">
        <v>521</v>
      </c>
      <c r="BE993">
        <v>4.4618500000000001</v>
      </c>
      <c r="BF993">
        <v>3.528</v>
      </c>
      <c r="BG993" t="s">
        <v>522</v>
      </c>
      <c r="BH993">
        <v>398</v>
      </c>
      <c r="BI993">
        <v>298</v>
      </c>
      <c r="BJ993">
        <v>155</v>
      </c>
      <c r="BK993">
        <v>6</v>
      </c>
      <c r="BL993" t="s">
        <v>521</v>
      </c>
      <c r="BM993">
        <v>34.771099999999997</v>
      </c>
      <c r="BN993">
        <v>21.167999999999999</v>
      </c>
      <c r="BO993">
        <v>34.771099999999997</v>
      </c>
      <c r="BP993" t="s">
        <v>522</v>
      </c>
      <c r="BQ993">
        <v>800</v>
      </c>
      <c r="BR993">
        <v>300</v>
      </c>
      <c r="BS993">
        <v>608</v>
      </c>
      <c r="BT993">
        <v>1</v>
      </c>
      <c r="BU993">
        <v>0</v>
      </c>
      <c r="BV993">
        <v>1</v>
      </c>
      <c r="BW993">
        <v>6</v>
      </c>
      <c r="BX993">
        <v>0</v>
      </c>
      <c r="BY993">
        <v>6</v>
      </c>
      <c r="BZ993">
        <v>24000</v>
      </c>
      <c r="CA993">
        <v>0</v>
      </c>
      <c r="CB993">
        <v>24000</v>
      </c>
      <c r="CC993">
        <v>21.167999999999999</v>
      </c>
      <c r="CD993" t="s">
        <v>523</v>
      </c>
      <c r="CE993" t="s">
        <v>981</v>
      </c>
      <c r="CG993" t="s">
        <v>421</v>
      </c>
      <c r="CN993" t="str">
        <v>MCS</v>
      </c>
      <c r="CO993" t="str">
        <v>1209-5YY0476EN</v>
      </c>
      <c r="CP993" t="str">
        <v>TRHU4923520</v>
      </c>
      <c r="CQ993" s="23">
        <v>46.318399999999997</v>
      </c>
      <c r="CR993" s="25">
        <f t="shared" si="39"/>
        <v>4.5892429807495713E-3</v>
      </c>
      <c r="CS993" s="21">
        <f t="shared" si="40"/>
        <v>11.473107451873927</v>
      </c>
    </row>
    <row r="994" spans="2:97" x14ac:dyDescent="0.35">
      <c r="B994" t="s">
        <v>3497</v>
      </c>
      <c r="C994" t="s">
        <v>3062</v>
      </c>
      <c r="D994" t="s">
        <v>395</v>
      </c>
      <c r="E994" t="s">
        <v>395</v>
      </c>
      <c r="F994" t="s">
        <v>396</v>
      </c>
      <c r="G994" t="s">
        <v>397</v>
      </c>
      <c r="H994" t="s">
        <v>398</v>
      </c>
      <c r="I994" t="s">
        <v>399</v>
      </c>
      <c r="J994" t="s">
        <v>749</v>
      </c>
      <c r="K994" t="s">
        <v>515</v>
      </c>
      <c r="L994" t="s">
        <v>787</v>
      </c>
      <c r="M994" t="s">
        <v>403</v>
      </c>
      <c r="N994">
        <v>1</v>
      </c>
      <c r="O994">
        <v>1</v>
      </c>
      <c r="P994" t="s">
        <v>1539</v>
      </c>
      <c r="Q994" t="s">
        <v>424</v>
      </c>
      <c r="R994" t="s">
        <v>616</v>
      </c>
      <c r="S994" t="s">
        <v>1540</v>
      </c>
      <c r="T994" t="s">
        <v>408</v>
      </c>
      <c r="U994">
        <v>50950081231</v>
      </c>
      <c r="W994">
        <v>15000</v>
      </c>
      <c r="X994" t="s">
        <v>409</v>
      </c>
      <c r="Y994" t="s">
        <v>410</v>
      </c>
      <c r="Z994" t="s">
        <v>410</v>
      </c>
      <c r="AA994" t="s">
        <v>411</v>
      </c>
      <c r="AB994" t="s">
        <v>554</v>
      </c>
      <c r="AC994" t="s">
        <v>411</v>
      </c>
      <c r="AD994">
        <v>46116</v>
      </c>
      <c r="AE994">
        <v>46174</v>
      </c>
      <c r="AF994">
        <v>46127</v>
      </c>
      <c r="AG994" t="s">
        <v>754</v>
      </c>
      <c r="AH994">
        <v>6183146</v>
      </c>
      <c r="AI994">
        <v>46121</v>
      </c>
      <c r="AJ994">
        <v>46122</v>
      </c>
      <c r="AK994">
        <v>15000</v>
      </c>
      <c r="AL994" t="s">
        <v>396</v>
      </c>
      <c r="AM994" t="s">
        <v>3063</v>
      </c>
      <c r="AN994">
        <v>46122</v>
      </c>
      <c r="AO994">
        <v>46122.647928240738</v>
      </c>
      <c r="AP994" t="s">
        <v>51</v>
      </c>
      <c r="AQ994">
        <v>1.9789999999999999E-2</v>
      </c>
      <c r="AR994">
        <v>296.85000000000002</v>
      </c>
      <c r="AS994" t="s">
        <v>51</v>
      </c>
      <c r="AT994">
        <v>296.85000000000002</v>
      </c>
      <c r="AU994" t="s">
        <v>415</v>
      </c>
      <c r="AV994" t="s">
        <v>557</v>
      </c>
      <c r="AW994" t="s">
        <v>2986</v>
      </c>
      <c r="AX994">
        <v>46127</v>
      </c>
      <c r="AY994">
        <v>46176</v>
      </c>
      <c r="AZ994" t="s">
        <v>3030</v>
      </c>
      <c r="BA994" t="s">
        <v>560</v>
      </c>
      <c r="BB994" t="s">
        <v>3031</v>
      </c>
      <c r="BC994">
        <v>7500</v>
      </c>
      <c r="BD994" t="s">
        <v>521</v>
      </c>
      <c r="BE994">
        <v>10.749000000000001</v>
      </c>
      <c r="BF994">
        <v>8.8049999999999997</v>
      </c>
      <c r="BG994" t="s">
        <v>522</v>
      </c>
      <c r="BH994">
        <v>395</v>
      </c>
      <c r="BI994">
        <v>295</v>
      </c>
      <c r="BJ994">
        <v>200</v>
      </c>
      <c r="BK994">
        <v>6</v>
      </c>
      <c r="BL994" t="s">
        <v>521</v>
      </c>
      <c r="BM994">
        <v>29.498000000000001</v>
      </c>
      <c r="BN994">
        <v>17.61</v>
      </c>
      <c r="BO994">
        <v>29.498000000000001</v>
      </c>
      <c r="BP994" t="s">
        <v>522</v>
      </c>
      <c r="BQ994">
        <v>800</v>
      </c>
      <c r="BR994">
        <v>300</v>
      </c>
      <c r="BS994">
        <v>790</v>
      </c>
      <c r="BT994">
        <v>0</v>
      </c>
      <c r="BU994">
        <v>1</v>
      </c>
      <c r="BV994">
        <v>1</v>
      </c>
      <c r="BW994">
        <v>2</v>
      </c>
      <c r="BX994">
        <v>0</v>
      </c>
      <c r="BY994">
        <v>2</v>
      </c>
      <c r="BZ994">
        <v>0</v>
      </c>
      <c r="CA994">
        <v>15000</v>
      </c>
      <c r="CB994">
        <v>15000</v>
      </c>
      <c r="CC994">
        <v>17.61</v>
      </c>
      <c r="CD994" t="s">
        <v>626</v>
      </c>
      <c r="CE994" t="s">
        <v>1542</v>
      </c>
      <c r="CG994" t="s">
        <v>421</v>
      </c>
      <c r="CN994" t="str">
        <v>MCS</v>
      </c>
      <c r="CO994" t="str">
        <v>1209-5YY0496EN</v>
      </c>
      <c r="CP994" t="str">
        <v>TRHU4923520</v>
      </c>
      <c r="CQ994" s="23">
        <v>54.463000000000001</v>
      </c>
      <c r="CR994" s="25">
        <f t="shared" si="39"/>
        <v>5.3962127461346654E-3</v>
      </c>
      <c r="CS994" s="21">
        <f t="shared" si="40"/>
        <v>13.490531865336663</v>
      </c>
    </row>
    <row r="995" spans="2:97" x14ac:dyDescent="0.35">
      <c r="B995" t="s">
        <v>299</v>
      </c>
      <c r="C995" t="s">
        <v>3064</v>
      </c>
      <c r="D995" t="s">
        <v>395</v>
      </c>
      <c r="E995" t="s">
        <v>395</v>
      </c>
      <c r="F995" t="s">
        <v>396</v>
      </c>
      <c r="G995" t="s">
        <v>397</v>
      </c>
      <c r="H995" t="s">
        <v>398</v>
      </c>
      <c r="I995" t="s">
        <v>399</v>
      </c>
      <c r="J995" t="s">
        <v>749</v>
      </c>
      <c r="K995" t="s">
        <v>809</v>
      </c>
      <c r="L995" t="s">
        <v>787</v>
      </c>
      <c r="M995" t="s">
        <v>403</v>
      </c>
      <c r="N995">
        <v>1</v>
      </c>
      <c r="O995">
        <v>1</v>
      </c>
      <c r="P995" t="s">
        <v>1999</v>
      </c>
      <c r="Q995" t="s">
        <v>645</v>
      </c>
      <c r="R995" t="s">
        <v>811</v>
      </c>
      <c r="S995" t="s">
        <v>2000</v>
      </c>
      <c r="T995" t="s">
        <v>408</v>
      </c>
      <c r="U995">
        <v>50950081234</v>
      </c>
      <c r="W995">
        <v>2880</v>
      </c>
      <c r="X995" t="s">
        <v>409</v>
      </c>
      <c r="Y995" t="s">
        <v>410</v>
      </c>
      <c r="Z995" t="s">
        <v>410</v>
      </c>
      <c r="AA995" t="s">
        <v>411</v>
      </c>
      <c r="AB995" t="s">
        <v>554</v>
      </c>
      <c r="AC995" t="s">
        <v>411</v>
      </c>
      <c r="AD995">
        <v>46119</v>
      </c>
      <c r="AE995">
        <v>46174</v>
      </c>
      <c r="AF995">
        <v>46127</v>
      </c>
      <c r="AG995" t="s">
        <v>754</v>
      </c>
      <c r="AH995">
        <v>6183147</v>
      </c>
      <c r="AI995">
        <v>46121</v>
      </c>
      <c r="AJ995">
        <v>46122</v>
      </c>
      <c r="AK995">
        <v>2880</v>
      </c>
      <c r="AL995" t="s">
        <v>396</v>
      </c>
      <c r="AM995" t="s">
        <v>3065</v>
      </c>
      <c r="AN995">
        <v>46122</v>
      </c>
      <c r="AO995">
        <v>46122.647928240738</v>
      </c>
      <c r="AP995" t="s">
        <v>51</v>
      </c>
      <c r="AQ995">
        <v>1.9374400000000001</v>
      </c>
      <c r="AR995">
        <v>5579.82</v>
      </c>
      <c r="AS995" t="s">
        <v>51</v>
      </c>
      <c r="AT995">
        <v>5579.82</v>
      </c>
      <c r="AU995" t="s">
        <v>415</v>
      </c>
      <c r="AV995" t="s">
        <v>557</v>
      </c>
      <c r="AW995" t="s">
        <v>2986</v>
      </c>
      <c r="AX995">
        <v>46127</v>
      </c>
      <c r="AY995">
        <v>46176</v>
      </c>
      <c r="AZ995" t="s">
        <v>3030</v>
      </c>
      <c r="BA995" t="s">
        <v>560</v>
      </c>
      <c r="BB995" t="s">
        <v>3031</v>
      </c>
      <c r="BC995">
        <v>16</v>
      </c>
      <c r="BD995" t="s">
        <v>521</v>
      </c>
      <c r="BE995">
        <v>4.843</v>
      </c>
      <c r="BF995">
        <v>3.6440000000000001</v>
      </c>
      <c r="BG995" t="s">
        <v>522</v>
      </c>
      <c r="BH995">
        <v>495</v>
      </c>
      <c r="BI995">
        <v>395</v>
      </c>
      <c r="BJ995">
        <v>190</v>
      </c>
      <c r="BK995">
        <v>30</v>
      </c>
      <c r="BL995" t="s">
        <v>521</v>
      </c>
      <c r="BM995">
        <v>172.29</v>
      </c>
      <c r="BN995">
        <v>109.32</v>
      </c>
      <c r="BO995">
        <v>1033.73712</v>
      </c>
      <c r="BP995" t="s">
        <v>522</v>
      </c>
      <c r="BQ995">
        <v>1200</v>
      </c>
      <c r="BR995">
        <v>1000</v>
      </c>
      <c r="BS995">
        <v>1120</v>
      </c>
      <c r="BT995">
        <v>6</v>
      </c>
      <c r="BU995">
        <v>0</v>
      </c>
      <c r="BV995">
        <v>6</v>
      </c>
      <c r="BW995">
        <v>180</v>
      </c>
      <c r="BX995">
        <v>0</v>
      </c>
      <c r="BY995">
        <v>180</v>
      </c>
      <c r="BZ995">
        <v>2880</v>
      </c>
      <c r="CA995">
        <v>0</v>
      </c>
      <c r="CB995">
        <v>2880</v>
      </c>
      <c r="CC995">
        <v>655.91711999999995</v>
      </c>
      <c r="CD995" t="s">
        <v>806</v>
      </c>
      <c r="CE995" t="s">
        <v>816</v>
      </c>
      <c r="CG995" t="s">
        <v>421</v>
      </c>
      <c r="CN995" t="str">
        <v>M19</v>
      </c>
      <c r="CO995" t="str">
        <v>1106-5YY0013-T2EN</v>
      </c>
      <c r="CP995" t="str">
        <v>TRHU4923520</v>
      </c>
      <c r="CQ995" s="23">
        <v>124.99536000000001</v>
      </c>
      <c r="CR995" s="25">
        <f t="shared" si="39"/>
        <v>1.2384583200332174E-2</v>
      </c>
      <c r="CS995" s="21">
        <f t="shared" si="40"/>
        <v>30.961458000830433</v>
      </c>
    </row>
    <row r="996" spans="2:97" x14ac:dyDescent="0.35">
      <c r="B996" t="s">
        <v>299</v>
      </c>
      <c r="C996" t="s">
        <v>2394</v>
      </c>
      <c r="D996" t="s">
        <v>395</v>
      </c>
      <c r="E996" t="s">
        <v>395</v>
      </c>
      <c r="F996" t="s">
        <v>396</v>
      </c>
      <c r="G996" t="s">
        <v>397</v>
      </c>
      <c r="H996" t="s">
        <v>398</v>
      </c>
      <c r="I996" t="s">
        <v>399</v>
      </c>
      <c r="J996" t="s">
        <v>749</v>
      </c>
      <c r="K996" t="s">
        <v>809</v>
      </c>
      <c r="L996" t="s">
        <v>787</v>
      </c>
      <c r="M996" t="s">
        <v>403</v>
      </c>
      <c r="N996">
        <v>1</v>
      </c>
      <c r="O996">
        <v>7</v>
      </c>
      <c r="P996" t="s">
        <v>818</v>
      </c>
      <c r="Q996" t="s">
        <v>430</v>
      </c>
      <c r="R996" t="s">
        <v>811</v>
      </c>
      <c r="S996" t="s">
        <v>819</v>
      </c>
      <c r="T996" t="s">
        <v>408</v>
      </c>
      <c r="U996">
        <v>50950081244</v>
      </c>
      <c r="W996">
        <v>1440</v>
      </c>
      <c r="X996" t="s">
        <v>409</v>
      </c>
      <c r="Y996" t="s">
        <v>410</v>
      </c>
      <c r="Z996" t="s">
        <v>410</v>
      </c>
      <c r="AA996" t="s">
        <v>411</v>
      </c>
      <c r="AB996" t="s">
        <v>554</v>
      </c>
      <c r="AC996" t="s">
        <v>411</v>
      </c>
      <c r="AD996">
        <v>46119</v>
      </c>
      <c r="AE996">
        <v>46167</v>
      </c>
      <c r="AF996">
        <v>46127</v>
      </c>
      <c r="AG996" t="s">
        <v>754</v>
      </c>
      <c r="AH996">
        <v>6183148</v>
      </c>
      <c r="AI996">
        <v>46121</v>
      </c>
      <c r="AJ996">
        <v>46122</v>
      </c>
      <c r="AK996">
        <v>1440</v>
      </c>
      <c r="AL996" t="s">
        <v>396</v>
      </c>
      <c r="AM996" t="s">
        <v>3066</v>
      </c>
      <c r="AN996">
        <v>46122</v>
      </c>
      <c r="AO996">
        <v>46122.647928240738</v>
      </c>
      <c r="AP996" t="s">
        <v>51</v>
      </c>
      <c r="AQ996">
        <v>1.27105</v>
      </c>
      <c r="AR996">
        <v>1830.31</v>
      </c>
      <c r="AS996" t="s">
        <v>51</v>
      </c>
      <c r="AT996">
        <v>1830.31</v>
      </c>
      <c r="AU996" t="s">
        <v>415</v>
      </c>
      <c r="AV996" t="s">
        <v>557</v>
      </c>
      <c r="AW996" t="s">
        <v>2986</v>
      </c>
      <c r="AX996">
        <v>46127</v>
      </c>
      <c r="AY996">
        <v>46176</v>
      </c>
      <c r="AZ996" t="s">
        <v>3030</v>
      </c>
      <c r="BA996" t="s">
        <v>560</v>
      </c>
      <c r="BB996" t="s">
        <v>3031</v>
      </c>
      <c r="BC996">
        <v>48</v>
      </c>
      <c r="BD996" t="s">
        <v>521</v>
      </c>
      <c r="BE996">
        <v>7.6898999999999997</v>
      </c>
      <c r="BF996">
        <v>6.2298999999999998</v>
      </c>
      <c r="BG996" t="s">
        <v>522</v>
      </c>
      <c r="BH996">
        <v>495</v>
      </c>
      <c r="BI996">
        <v>395</v>
      </c>
      <c r="BJ996">
        <v>190</v>
      </c>
      <c r="BK996">
        <v>30</v>
      </c>
      <c r="BL996" t="s">
        <v>521</v>
      </c>
      <c r="BM996">
        <v>257.69760000000002</v>
      </c>
      <c r="BN996">
        <v>186.89760000000001</v>
      </c>
      <c r="BO996">
        <v>257.69760000000002</v>
      </c>
      <c r="BP996" t="s">
        <v>522</v>
      </c>
      <c r="BQ996">
        <v>1200</v>
      </c>
      <c r="BR996">
        <v>1000</v>
      </c>
      <c r="BS996">
        <v>1120</v>
      </c>
      <c r="BT996">
        <v>1</v>
      </c>
      <c r="BU996">
        <v>0</v>
      </c>
      <c r="BV996">
        <v>1</v>
      </c>
      <c r="BW996">
        <v>30</v>
      </c>
      <c r="BX996">
        <v>0</v>
      </c>
      <c r="BY996">
        <v>30</v>
      </c>
      <c r="BZ996">
        <v>1440</v>
      </c>
      <c r="CA996">
        <v>0</v>
      </c>
      <c r="CB996">
        <v>1440</v>
      </c>
      <c r="CC996">
        <v>186.89760000000001</v>
      </c>
      <c r="CD996" t="s">
        <v>806</v>
      </c>
      <c r="CE996" t="s">
        <v>821</v>
      </c>
      <c r="CG996" t="s">
        <v>421</v>
      </c>
      <c r="CN996" t="str">
        <v>M19</v>
      </c>
      <c r="CO996" t="str">
        <v>1106-5YY0033EN</v>
      </c>
      <c r="CP996" t="str">
        <v>TRHU4923520</v>
      </c>
      <c r="CQ996" s="23">
        <v>207.95160000000001</v>
      </c>
      <c r="CR996" s="25">
        <f t="shared" si="39"/>
        <v>2.060391595209771E-2</v>
      </c>
      <c r="CS996" s="21">
        <f t="shared" si="40"/>
        <v>51.509789880244277</v>
      </c>
    </row>
    <row r="997" spans="2:97" x14ac:dyDescent="0.35">
      <c r="B997" t="s">
        <v>296</v>
      </c>
      <c r="C997" t="s">
        <v>3067</v>
      </c>
      <c r="D997" t="s">
        <v>395</v>
      </c>
      <c r="E997" t="s">
        <v>395</v>
      </c>
      <c r="F997" t="s">
        <v>396</v>
      </c>
      <c r="G997" t="s">
        <v>397</v>
      </c>
      <c r="H997" t="s">
        <v>398</v>
      </c>
      <c r="I997" t="s">
        <v>399</v>
      </c>
      <c r="J997" t="s">
        <v>749</v>
      </c>
      <c r="K997" t="s">
        <v>845</v>
      </c>
      <c r="L997" t="s">
        <v>787</v>
      </c>
      <c r="M997" t="s">
        <v>403</v>
      </c>
      <c r="N997">
        <v>1</v>
      </c>
      <c r="O997">
        <v>1</v>
      </c>
      <c r="P997" t="s">
        <v>1560</v>
      </c>
      <c r="Q997" t="s">
        <v>430</v>
      </c>
      <c r="R997" t="s">
        <v>1561</v>
      </c>
      <c r="S997" t="s">
        <v>1562</v>
      </c>
      <c r="T997" t="s">
        <v>408</v>
      </c>
      <c r="U997">
        <v>50950081475</v>
      </c>
      <c r="W997">
        <v>40000</v>
      </c>
      <c r="X997" t="s">
        <v>409</v>
      </c>
      <c r="Y997" t="s">
        <v>410</v>
      </c>
      <c r="Z997" t="s">
        <v>410</v>
      </c>
      <c r="AA997" t="s">
        <v>411</v>
      </c>
      <c r="AB997" t="s">
        <v>554</v>
      </c>
      <c r="AC997" t="s">
        <v>411</v>
      </c>
      <c r="AD997">
        <v>46119</v>
      </c>
      <c r="AE997">
        <v>46174</v>
      </c>
      <c r="AF997">
        <v>46127</v>
      </c>
      <c r="AG997" t="s">
        <v>754</v>
      </c>
      <c r="AH997">
        <v>6183149</v>
      </c>
      <c r="AI997">
        <v>46121</v>
      </c>
      <c r="AJ997">
        <v>46122</v>
      </c>
      <c r="AK997">
        <v>40000</v>
      </c>
      <c r="AL997" t="s">
        <v>396</v>
      </c>
      <c r="AM997" t="s">
        <v>3068</v>
      </c>
      <c r="AN997">
        <v>46122</v>
      </c>
      <c r="AO997">
        <v>46122.647928240738</v>
      </c>
      <c r="AP997" t="s">
        <v>51</v>
      </c>
      <c r="AQ997">
        <v>2.5229999999999999E-2</v>
      </c>
      <c r="AR997">
        <v>1009.2</v>
      </c>
      <c r="AS997" t="s">
        <v>51</v>
      </c>
      <c r="AT997">
        <v>1009.2</v>
      </c>
      <c r="AU997" t="s">
        <v>415</v>
      </c>
      <c r="AV997" t="s">
        <v>557</v>
      </c>
      <c r="AW997" t="s">
        <v>2986</v>
      </c>
      <c r="AX997">
        <v>46127</v>
      </c>
      <c r="AY997">
        <v>46176</v>
      </c>
      <c r="AZ997" t="s">
        <v>3030</v>
      </c>
      <c r="BA997" t="s">
        <v>560</v>
      </c>
      <c r="BB997" t="s">
        <v>3031</v>
      </c>
      <c r="BC997">
        <v>12000</v>
      </c>
      <c r="BD997" t="s">
        <v>521</v>
      </c>
      <c r="BE997">
        <v>10.135</v>
      </c>
      <c r="BF997">
        <v>9.48</v>
      </c>
      <c r="BG997" t="s">
        <v>522</v>
      </c>
      <c r="BH997">
        <v>368</v>
      </c>
      <c r="BI997">
        <v>257</v>
      </c>
      <c r="BJ997">
        <v>136</v>
      </c>
      <c r="BK997">
        <v>6</v>
      </c>
      <c r="BL997" t="s">
        <v>521</v>
      </c>
      <c r="BM997">
        <v>42.22</v>
      </c>
      <c r="BN997">
        <v>31.6</v>
      </c>
      <c r="BO997">
        <v>42.22</v>
      </c>
      <c r="BP997" t="s">
        <v>522</v>
      </c>
      <c r="BQ997">
        <v>800</v>
      </c>
      <c r="BR997">
        <v>300</v>
      </c>
      <c r="BS997">
        <v>565</v>
      </c>
      <c r="BT997">
        <v>0</v>
      </c>
      <c r="BU997">
        <v>1</v>
      </c>
      <c r="BV997">
        <v>1</v>
      </c>
      <c r="BW997">
        <v>3</v>
      </c>
      <c r="BX997">
        <v>1</v>
      </c>
      <c r="BY997">
        <v>4</v>
      </c>
      <c r="BZ997">
        <v>0</v>
      </c>
      <c r="CA997">
        <v>40000</v>
      </c>
      <c r="CB997">
        <v>40000</v>
      </c>
      <c r="CC997">
        <v>31.6</v>
      </c>
      <c r="CD997" t="s">
        <v>1564</v>
      </c>
      <c r="CE997" t="s">
        <v>1565</v>
      </c>
      <c r="CG997" t="s">
        <v>421</v>
      </c>
      <c r="CN997" t="str">
        <v>MCS</v>
      </c>
      <c r="CO997" t="str">
        <v>1209-5YY0497EN</v>
      </c>
      <c r="CP997" t="str">
        <v>TRHU4923520</v>
      </c>
      <c r="CQ997" s="23">
        <v>31.720800000000001</v>
      </c>
      <c r="CR997" s="25">
        <f t="shared" si="39"/>
        <v>3.1429077589847881E-3</v>
      </c>
      <c r="CS997" s="21">
        <f t="shared" si="40"/>
        <v>7.8572693974619705</v>
      </c>
    </row>
    <row r="998" spans="2:97" x14ac:dyDescent="0.35">
      <c r="B998" t="s">
        <v>295</v>
      </c>
      <c r="C998" t="s">
        <v>2480</v>
      </c>
      <c r="D998" t="s">
        <v>395</v>
      </c>
      <c r="E998" t="s">
        <v>395</v>
      </c>
      <c r="F998" t="s">
        <v>396</v>
      </c>
      <c r="G998" t="s">
        <v>397</v>
      </c>
      <c r="H998" t="s">
        <v>398</v>
      </c>
      <c r="I998" t="s">
        <v>399</v>
      </c>
      <c r="J998" t="s">
        <v>749</v>
      </c>
      <c r="K998" t="s">
        <v>845</v>
      </c>
      <c r="L998" t="s">
        <v>787</v>
      </c>
      <c r="M998" t="s">
        <v>403</v>
      </c>
      <c r="N998">
        <v>1</v>
      </c>
      <c r="O998">
        <v>3</v>
      </c>
      <c r="P998" t="s">
        <v>1575</v>
      </c>
      <c r="Q998" t="s">
        <v>645</v>
      </c>
      <c r="R998" t="s">
        <v>1121</v>
      </c>
      <c r="S998" t="s">
        <v>1122</v>
      </c>
      <c r="T998" t="s">
        <v>408</v>
      </c>
      <c r="U998">
        <v>50950081552</v>
      </c>
      <c r="W998">
        <v>10000</v>
      </c>
      <c r="X998" t="s">
        <v>409</v>
      </c>
      <c r="Y998" t="s">
        <v>410</v>
      </c>
      <c r="Z998" t="s">
        <v>410</v>
      </c>
      <c r="AA998" t="s">
        <v>411</v>
      </c>
      <c r="AB998" t="s">
        <v>554</v>
      </c>
      <c r="AC998" t="s">
        <v>411</v>
      </c>
      <c r="AD998">
        <v>46119</v>
      </c>
      <c r="AE998">
        <v>46160</v>
      </c>
      <c r="AF998">
        <v>46127</v>
      </c>
      <c r="AG998" t="s">
        <v>754</v>
      </c>
      <c r="AH998">
        <v>6183150</v>
      </c>
      <c r="AI998">
        <v>46121</v>
      </c>
      <c r="AJ998">
        <v>46122</v>
      </c>
      <c r="AK998">
        <v>10000</v>
      </c>
      <c r="AL998" t="s">
        <v>396</v>
      </c>
      <c r="AM998" t="s">
        <v>3069</v>
      </c>
      <c r="AN998">
        <v>46122</v>
      </c>
      <c r="AO998">
        <v>46122.647928240738</v>
      </c>
      <c r="AP998" t="s">
        <v>51</v>
      </c>
      <c r="AQ998">
        <v>5.4640000000000001E-2</v>
      </c>
      <c r="AR998">
        <v>546.4</v>
      </c>
      <c r="AS998" t="s">
        <v>51</v>
      </c>
      <c r="AT998">
        <v>546.4</v>
      </c>
      <c r="AU998" t="s">
        <v>415</v>
      </c>
      <c r="AV998" t="s">
        <v>557</v>
      </c>
      <c r="AW998" t="s">
        <v>2986</v>
      </c>
      <c r="AX998">
        <v>46127</v>
      </c>
      <c r="AY998">
        <v>46176</v>
      </c>
      <c r="AZ998" t="s">
        <v>3030</v>
      </c>
      <c r="BA998" t="s">
        <v>560</v>
      </c>
      <c r="BB998" t="s">
        <v>3031</v>
      </c>
      <c r="BC998">
        <v>500</v>
      </c>
      <c r="BD998" t="s">
        <v>521</v>
      </c>
      <c r="BE998">
        <v>9.4039999999999999</v>
      </c>
      <c r="BF998">
        <v>8.8439999999999994</v>
      </c>
      <c r="BG998" t="s">
        <v>522</v>
      </c>
      <c r="BH998">
        <v>295</v>
      </c>
      <c r="BI998">
        <v>195</v>
      </c>
      <c r="BJ998">
        <v>138</v>
      </c>
      <c r="BK998">
        <v>100</v>
      </c>
      <c r="BL998" t="s">
        <v>521</v>
      </c>
      <c r="BM998">
        <v>215.08</v>
      </c>
      <c r="BN998">
        <v>176.88</v>
      </c>
      <c r="BO998">
        <v>215.08</v>
      </c>
      <c r="BP998" t="s">
        <v>522</v>
      </c>
      <c r="BQ998">
        <v>1200</v>
      </c>
      <c r="BR998">
        <v>1000</v>
      </c>
      <c r="BS998">
        <v>850</v>
      </c>
      <c r="BT998">
        <v>0</v>
      </c>
      <c r="BU998">
        <v>1</v>
      </c>
      <c r="BV998">
        <v>1</v>
      </c>
      <c r="BW998">
        <v>20</v>
      </c>
      <c r="BX998">
        <v>0</v>
      </c>
      <c r="BY998">
        <v>20</v>
      </c>
      <c r="BZ998">
        <v>0</v>
      </c>
      <c r="CA998">
        <v>10000</v>
      </c>
      <c r="CB998">
        <v>10000</v>
      </c>
      <c r="CC998">
        <v>176.88</v>
      </c>
      <c r="CD998" t="s">
        <v>1124</v>
      </c>
      <c r="CE998" t="s">
        <v>1125</v>
      </c>
      <c r="CG998" t="s">
        <v>421</v>
      </c>
      <c r="CN998" t="str">
        <v>M19</v>
      </c>
      <c r="CO998" t="str">
        <v>1106-5YY0032EN</v>
      </c>
      <c r="CP998" t="str">
        <v>TRHU4923520</v>
      </c>
      <c r="CQ998" s="23">
        <v>156.85759999999999</v>
      </c>
      <c r="CR998" s="25">
        <f t="shared" si="39"/>
        <v>1.5541504883096651E-2</v>
      </c>
      <c r="CS998" s="21">
        <f t="shared" si="40"/>
        <v>38.853762207741624</v>
      </c>
    </row>
    <row r="999" spans="2:97" x14ac:dyDescent="0.35">
      <c r="B999" t="s">
        <v>297</v>
      </c>
      <c r="C999" t="s">
        <v>2778</v>
      </c>
      <c r="D999" t="s">
        <v>395</v>
      </c>
      <c r="E999" t="s">
        <v>395</v>
      </c>
      <c r="F999" t="s">
        <v>396</v>
      </c>
      <c r="G999" t="s">
        <v>397</v>
      </c>
      <c r="H999" t="s">
        <v>398</v>
      </c>
      <c r="I999" t="s">
        <v>399</v>
      </c>
      <c r="J999" t="s">
        <v>749</v>
      </c>
      <c r="K999" t="s">
        <v>515</v>
      </c>
      <c r="L999" t="s">
        <v>787</v>
      </c>
      <c r="M999" t="s">
        <v>403</v>
      </c>
      <c r="N999">
        <v>2</v>
      </c>
      <c r="O999">
        <v>1</v>
      </c>
      <c r="P999" t="s">
        <v>1527</v>
      </c>
      <c r="Q999" t="s">
        <v>405</v>
      </c>
      <c r="R999" t="s">
        <v>1528</v>
      </c>
      <c r="S999" t="s">
        <v>1529</v>
      </c>
      <c r="T999" t="s">
        <v>408</v>
      </c>
      <c r="U999">
        <v>50950081684</v>
      </c>
      <c r="W999">
        <v>160000</v>
      </c>
      <c r="X999" t="s">
        <v>409</v>
      </c>
      <c r="Y999" t="s">
        <v>410</v>
      </c>
      <c r="Z999" t="s">
        <v>410</v>
      </c>
      <c r="AA999" t="s">
        <v>411</v>
      </c>
      <c r="AB999" t="s">
        <v>554</v>
      </c>
      <c r="AC999" t="s">
        <v>411</v>
      </c>
      <c r="AD999">
        <v>46116</v>
      </c>
      <c r="AE999">
        <v>46167</v>
      </c>
      <c r="AF999">
        <v>46127</v>
      </c>
      <c r="AG999" t="s">
        <v>754</v>
      </c>
      <c r="AH999">
        <v>6183151</v>
      </c>
      <c r="AI999">
        <v>46121</v>
      </c>
      <c r="AJ999">
        <v>46122</v>
      </c>
      <c r="AK999">
        <v>160000</v>
      </c>
      <c r="AL999" t="s">
        <v>396</v>
      </c>
      <c r="AM999" t="s">
        <v>3070</v>
      </c>
      <c r="AN999">
        <v>46122</v>
      </c>
      <c r="AO999">
        <v>46122.647928240738</v>
      </c>
      <c r="AP999" t="s">
        <v>51</v>
      </c>
      <c r="AQ999">
        <v>1.5200000000000001E-3</v>
      </c>
      <c r="AR999">
        <v>243.2</v>
      </c>
      <c r="AS999" t="s">
        <v>51</v>
      </c>
      <c r="AT999">
        <v>243.2</v>
      </c>
      <c r="AU999" t="s">
        <v>415</v>
      </c>
      <c r="AV999" t="s">
        <v>557</v>
      </c>
      <c r="AW999" t="s">
        <v>2986</v>
      </c>
      <c r="AX999">
        <v>46127</v>
      </c>
      <c r="AY999">
        <v>46176</v>
      </c>
      <c r="AZ999" t="s">
        <v>3030</v>
      </c>
      <c r="BA999" t="s">
        <v>560</v>
      </c>
      <c r="BB999" t="s">
        <v>3031</v>
      </c>
      <c r="BC999">
        <v>80000</v>
      </c>
      <c r="BD999" t="s">
        <v>521</v>
      </c>
      <c r="BE999">
        <v>4.8280000000000003</v>
      </c>
      <c r="BF999">
        <v>4.1280000000000001</v>
      </c>
      <c r="BG999" t="s">
        <v>522</v>
      </c>
      <c r="BH999">
        <v>398</v>
      </c>
      <c r="BI999">
        <v>375</v>
      </c>
      <c r="BJ999">
        <v>234</v>
      </c>
      <c r="BK999">
        <v>8</v>
      </c>
      <c r="BL999" t="s">
        <v>521</v>
      </c>
      <c r="BM999">
        <v>17.655999999999999</v>
      </c>
      <c r="BN999">
        <v>8.2560000000000002</v>
      </c>
      <c r="BO999">
        <v>17.655999999999999</v>
      </c>
      <c r="BP999" t="s">
        <v>522</v>
      </c>
      <c r="BQ999">
        <v>800</v>
      </c>
      <c r="BR999">
        <v>300</v>
      </c>
      <c r="BS999">
        <v>625</v>
      </c>
      <c r="BT999">
        <v>0</v>
      </c>
      <c r="BU999">
        <v>1</v>
      </c>
      <c r="BV999">
        <v>1</v>
      </c>
      <c r="BW999">
        <v>2</v>
      </c>
      <c r="BX999">
        <v>0</v>
      </c>
      <c r="BY999">
        <v>2</v>
      </c>
      <c r="BZ999">
        <v>0</v>
      </c>
      <c r="CA999">
        <v>160000</v>
      </c>
      <c r="CB999">
        <v>160000</v>
      </c>
      <c r="CC999">
        <v>8.2560000000000002</v>
      </c>
      <c r="CD999" t="s">
        <v>1346</v>
      </c>
      <c r="CE999" t="s">
        <v>1347</v>
      </c>
      <c r="CG999" t="s">
        <v>421</v>
      </c>
      <c r="CN999" t="str">
        <v>MCS</v>
      </c>
      <c r="CO999" t="str">
        <v>1209-5YY0497EN</v>
      </c>
      <c r="CP999" t="str">
        <v>TRHU4923520</v>
      </c>
      <c r="CQ999" s="23">
        <v>31.720800000000001</v>
      </c>
      <c r="CR999" s="25">
        <f t="shared" si="39"/>
        <v>3.1429077589847881E-3</v>
      </c>
      <c r="CS999" s="21">
        <f t="shared" si="40"/>
        <v>7.8572693974619705</v>
      </c>
    </row>
    <row r="1000" spans="2:97" x14ac:dyDescent="0.35">
      <c r="B1000" t="s">
        <v>297</v>
      </c>
      <c r="C1000" t="s">
        <v>3071</v>
      </c>
      <c r="D1000" t="s">
        <v>395</v>
      </c>
      <c r="E1000" t="s">
        <v>395</v>
      </c>
      <c r="F1000" t="s">
        <v>396</v>
      </c>
      <c r="G1000" t="s">
        <v>397</v>
      </c>
      <c r="H1000" t="s">
        <v>398</v>
      </c>
      <c r="I1000" t="s">
        <v>399</v>
      </c>
      <c r="J1000" t="s">
        <v>749</v>
      </c>
      <c r="K1000" t="s">
        <v>629</v>
      </c>
      <c r="L1000" t="s">
        <v>787</v>
      </c>
      <c r="M1000" t="s">
        <v>403</v>
      </c>
      <c r="N1000">
        <v>2</v>
      </c>
      <c r="O1000">
        <v>1</v>
      </c>
      <c r="P1000" t="s">
        <v>1037</v>
      </c>
      <c r="Q1000" t="s">
        <v>430</v>
      </c>
      <c r="R1000" t="s">
        <v>1038</v>
      </c>
      <c r="S1000" t="s">
        <v>840</v>
      </c>
      <c r="T1000" t="s">
        <v>408</v>
      </c>
      <c r="U1000">
        <v>50950081758</v>
      </c>
      <c r="W1000">
        <v>33600</v>
      </c>
      <c r="X1000" t="s">
        <v>409</v>
      </c>
      <c r="Y1000" t="s">
        <v>410</v>
      </c>
      <c r="Z1000" t="s">
        <v>410</v>
      </c>
      <c r="AA1000" t="s">
        <v>411</v>
      </c>
      <c r="AB1000" t="s">
        <v>554</v>
      </c>
      <c r="AC1000" t="s">
        <v>411</v>
      </c>
      <c r="AD1000">
        <v>46116</v>
      </c>
      <c r="AE1000">
        <v>46174</v>
      </c>
      <c r="AF1000">
        <v>46127</v>
      </c>
      <c r="AG1000" t="s">
        <v>754</v>
      </c>
      <c r="AH1000">
        <v>6183152</v>
      </c>
      <c r="AI1000">
        <v>46121</v>
      </c>
      <c r="AJ1000">
        <v>46122</v>
      </c>
      <c r="AK1000">
        <v>33600</v>
      </c>
      <c r="AL1000" t="s">
        <v>396</v>
      </c>
      <c r="AM1000" t="s">
        <v>3072</v>
      </c>
      <c r="AN1000">
        <v>46122</v>
      </c>
      <c r="AO1000">
        <v>46122.647928240738</v>
      </c>
      <c r="AP1000" t="s">
        <v>51</v>
      </c>
      <c r="AQ1000">
        <v>1.5480000000000001E-2</v>
      </c>
      <c r="AR1000">
        <v>520.13</v>
      </c>
      <c r="AS1000" t="s">
        <v>51</v>
      </c>
      <c r="AT1000">
        <v>520.13</v>
      </c>
      <c r="AU1000" t="s">
        <v>415</v>
      </c>
      <c r="AV1000" t="s">
        <v>557</v>
      </c>
      <c r="AW1000" t="s">
        <v>2986</v>
      </c>
      <c r="AX1000">
        <v>46127</v>
      </c>
      <c r="AY1000">
        <v>46176</v>
      </c>
      <c r="AZ1000" t="s">
        <v>3030</v>
      </c>
      <c r="BA1000" t="s">
        <v>560</v>
      </c>
      <c r="BB1000" t="s">
        <v>3031</v>
      </c>
      <c r="BC1000">
        <v>16800</v>
      </c>
      <c r="BD1000" t="s">
        <v>521</v>
      </c>
      <c r="BE1000">
        <v>8.2989999999999995</v>
      </c>
      <c r="BF1000">
        <v>7.3920000000000003</v>
      </c>
      <c r="BG1000" t="s">
        <v>522</v>
      </c>
      <c r="BH1000">
        <v>395</v>
      </c>
      <c r="BI1000">
        <v>295</v>
      </c>
      <c r="BJ1000">
        <v>270</v>
      </c>
      <c r="BK1000">
        <v>4</v>
      </c>
      <c r="BL1000" t="s">
        <v>521</v>
      </c>
      <c r="BM1000">
        <v>24.597999999999999</v>
      </c>
      <c r="BN1000">
        <v>14.784000000000001</v>
      </c>
      <c r="BO1000">
        <v>24.597999999999999</v>
      </c>
      <c r="BP1000" t="s">
        <v>522</v>
      </c>
      <c r="BQ1000">
        <v>800</v>
      </c>
      <c r="BR1000">
        <v>300</v>
      </c>
      <c r="BS1000">
        <v>698</v>
      </c>
      <c r="BT1000">
        <v>0</v>
      </c>
      <c r="BU1000">
        <v>1</v>
      </c>
      <c r="BV1000">
        <v>1</v>
      </c>
      <c r="BW1000">
        <v>2</v>
      </c>
      <c r="BX1000">
        <v>0</v>
      </c>
      <c r="BY1000">
        <v>2</v>
      </c>
      <c r="BZ1000">
        <v>0</v>
      </c>
      <c r="CA1000">
        <v>33600</v>
      </c>
      <c r="CB1000">
        <v>33600</v>
      </c>
      <c r="CC1000">
        <v>14.784000000000001</v>
      </c>
      <c r="CD1000" t="s">
        <v>659</v>
      </c>
      <c r="CE1000" t="s">
        <v>634</v>
      </c>
      <c r="CG1000" t="s">
        <v>421</v>
      </c>
      <c r="CN1000" t="str">
        <v>MCS</v>
      </c>
      <c r="CO1000" t="str">
        <v>1209-5YY0475EN</v>
      </c>
      <c r="CP1000" t="str">
        <v>TRHU4923520</v>
      </c>
      <c r="CQ1000" s="23">
        <v>130.94399999999999</v>
      </c>
      <c r="CR1000" s="25">
        <f t="shared" si="39"/>
        <v>1.2973976494681849E-2</v>
      </c>
      <c r="CS1000" s="21">
        <f t="shared" si="40"/>
        <v>32.434941236704624</v>
      </c>
    </row>
    <row r="1001" spans="2:97" x14ac:dyDescent="0.35">
      <c r="B1001" t="s">
        <v>297</v>
      </c>
      <c r="C1001" t="s">
        <v>3071</v>
      </c>
      <c r="D1001" t="s">
        <v>395</v>
      </c>
      <c r="E1001" t="s">
        <v>395</v>
      </c>
      <c r="F1001" t="s">
        <v>396</v>
      </c>
      <c r="G1001" t="s">
        <v>397</v>
      </c>
      <c r="H1001" t="s">
        <v>398</v>
      </c>
      <c r="I1001" t="s">
        <v>399</v>
      </c>
      <c r="J1001" t="s">
        <v>749</v>
      </c>
      <c r="K1001" t="s">
        <v>629</v>
      </c>
      <c r="L1001" t="s">
        <v>787</v>
      </c>
      <c r="M1001" t="s">
        <v>403</v>
      </c>
      <c r="N1001">
        <v>3</v>
      </c>
      <c r="O1001">
        <v>1</v>
      </c>
      <c r="P1001" t="s">
        <v>1037</v>
      </c>
      <c r="Q1001" t="s">
        <v>430</v>
      </c>
      <c r="R1001" t="s">
        <v>1038</v>
      </c>
      <c r="S1001" t="s">
        <v>840</v>
      </c>
      <c r="T1001" t="s">
        <v>408</v>
      </c>
      <c r="U1001">
        <v>50950081758</v>
      </c>
      <c r="W1001">
        <v>33600</v>
      </c>
      <c r="X1001" t="s">
        <v>409</v>
      </c>
      <c r="Y1001" t="s">
        <v>410</v>
      </c>
      <c r="Z1001" t="s">
        <v>410</v>
      </c>
      <c r="AA1001" t="s">
        <v>411</v>
      </c>
      <c r="AB1001" t="s">
        <v>554</v>
      </c>
      <c r="AC1001" t="s">
        <v>411</v>
      </c>
      <c r="AD1001">
        <v>46123</v>
      </c>
      <c r="AE1001">
        <v>46181</v>
      </c>
      <c r="AF1001">
        <v>46127</v>
      </c>
      <c r="AG1001" t="s">
        <v>754</v>
      </c>
      <c r="AH1001">
        <v>6183152</v>
      </c>
      <c r="AI1001">
        <v>46121</v>
      </c>
      <c r="AJ1001">
        <v>46122</v>
      </c>
      <c r="AK1001">
        <v>33600</v>
      </c>
      <c r="AL1001" t="s">
        <v>396</v>
      </c>
      <c r="AM1001" t="s">
        <v>3072</v>
      </c>
      <c r="AN1001">
        <v>46122</v>
      </c>
      <c r="AO1001">
        <v>46122.647928240738</v>
      </c>
      <c r="AP1001" t="s">
        <v>51</v>
      </c>
      <c r="AQ1001">
        <v>1.5480000000000001E-2</v>
      </c>
      <c r="AR1001">
        <v>520.13</v>
      </c>
      <c r="AS1001" t="s">
        <v>51</v>
      </c>
      <c r="AT1001">
        <v>520.13</v>
      </c>
      <c r="AU1001" t="s">
        <v>415</v>
      </c>
      <c r="AV1001" t="s">
        <v>557</v>
      </c>
      <c r="AW1001" t="s">
        <v>2986</v>
      </c>
      <c r="AX1001">
        <v>46127</v>
      </c>
      <c r="AY1001">
        <v>46176</v>
      </c>
      <c r="AZ1001" t="s">
        <v>3030</v>
      </c>
      <c r="BA1001" t="s">
        <v>560</v>
      </c>
      <c r="BB1001" t="s">
        <v>3031</v>
      </c>
      <c r="BC1001">
        <v>16800</v>
      </c>
      <c r="BD1001" t="s">
        <v>521</v>
      </c>
      <c r="BE1001">
        <v>8.2989999999999995</v>
      </c>
      <c r="BF1001">
        <v>7.3920000000000003</v>
      </c>
      <c r="BG1001" t="s">
        <v>522</v>
      </c>
      <c r="BH1001">
        <v>395</v>
      </c>
      <c r="BI1001">
        <v>295</v>
      </c>
      <c r="BJ1001">
        <v>270</v>
      </c>
      <c r="BK1001">
        <v>4</v>
      </c>
      <c r="BL1001" t="s">
        <v>521</v>
      </c>
      <c r="BM1001">
        <v>24.597999999999999</v>
      </c>
      <c r="BN1001">
        <v>14.784000000000001</v>
      </c>
      <c r="BO1001">
        <v>24.597999999999999</v>
      </c>
      <c r="BP1001" t="s">
        <v>522</v>
      </c>
      <c r="BQ1001">
        <v>800</v>
      </c>
      <c r="BR1001">
        <v>300</v>
      </c>
      <c r="BS1001">
        <v>698</v>
      </c>
      <c r="BT1001">
        <v>0</v>
      </c>
      <c r="BU1001">
        <v>1</v>
      </c>
      <c r="BV1001">
        <v>1</v>
      </c>
      <c r="BW1001">
        <v>2</v>
      </c>
      <c r="BX1001">
        <v>0</v>
      </c>
      <c r="BY1001">
        <v>2</v>
      </c>
      <c r="BZ1001">
        <v>0</v>
      </c>
      <c r="CA1001">
        <v>33600</v>
      </c>
      <c r="CB1001">
        <v>33600</v>
      </c>
      <c r="CC1001">
        <v>14.784000000000001</v>
      </c>
      <c r="CD1001" t="s">
        <v>659</v>
      </c>
      <c r="CE1001" t="s">
        <v>634</v>
      </c>
      <c r="CG1001" t="s">
        <v>421</v>
      </c>
      <c r="CN1001" t="str">
        <v>MCS</v>
      </c>
      <c r="CO1001" t="str">
        <v>1209-5YY0495EN</v>
      </c>
      <c r="CP1001" t="str">
        <v>TRHU4923520</v>
      </c>
      <c r="CQ1001" s="23">
        <v>54.04</v>
      </c>
      <c r="CR1001" s="25">
        <f t="shared" si="39"/>
        <v>5.3543017608489677E-3</v>
      </c>
      <c r="CS1001" s="21">
        <f t="shared" si="40"/>
        <v>13.385754402122419</v>
      </c>
    </row>
    <row r="1002" spans="2:97" x14ac:dyDescent="0.35">
      <c r="B1002" t="s">
        <v>297</v>
      </c>
      <c r="C1002" t="s">
        <v>2742</v>
      </c>
      <c r="D1002" t="s">
        <v>395</v>
      </c>
      <c r="E1002" t="s">
        <v>395</v>
      </c>
      <c r="F1002" t="s">
        <v>396</v>
      </c>
      <c r="G1002" t="s">
        <v>397</v>
      </c>
      <c r="H1002" t="s">
        <v>398</v>
      </c>
      <c r="I1002" t="s">
        <v>399</v>
      </c>
      <c r="J1002" t="s">
        <v>749</v>
      </c>
      <c r="K1002" t="s">
        <v>1142</v>
      </c>
      <c r="L1002" t="s">
        <v>787</v>
      </c>
      <c r="M1002" t="s">
        <v>403</v>
      </c>
      <c r="N1002">
        <v>4</v>
      </c>
      <c r="O1002">
        <v>1</v>
      </c>
      <c r="P1002" t="s">
        <v>1383</v>
      </c>
      <c r="Q1002" t="s">
        <v>430</v>
      </c>
      <c r="R1002" t="s">
        <v>1384</v>
      </c>
      <c r="S1002" t="s">
        <v>1385</v>
      </c>
      <c r="T1002" t="s">
        <v>408</v>
      </c>
      <c r="U1002">
        <v>50950082203</v>
      </c>
      <c r="W1002">
        <v>5320000</v>
      </c>
      <c r="X1002" t="s">
        <v>409</v>
      </c>
      <c r="Y1002" t="s">
        <v>410</v>
      </c>
      <c r="Z1002" t="s">
        <v>410</v>
      </c>
      <c r="AA1002" t="s">
        <v>411</v>
      </c>
      <c r="AB1002" t="s">
        <v>554</v>
      </c>
      <c r="AC1002" t="s">
        <v>411</v>
      </c>
      <c r="AD1002">
        <v>46120</v>
      </c>
      <c r="AE1002">
        <v>46195</v>
      </c>
      <c r="AF1002">
        <v>46127</v>
      </c>
      <c r="AG1002" t="s">
        <v>754</v>
      </c>
      <c r="AH1002">
        <v>6183153</v>
      </c>
      <c r="AI1002">
        <v>46121</v>
      </c>
      <c r="AJ1002">
        <v>46122</v>
      </c>
      <c r="AK1002">
        <v>5320000</v>
      </c>
      <c r="AL1002" t="s">
        <v>396</v>
      </c>
      <c r="AM1002" t="s">
        <v>3073</v>
      </c>
      <c r="AN1002">
        <v>46122</v>
      </c>
      <c r="AO1002">
        <v>46122.647928240738</v>
      </c>
      <c r="AP1002" t="s">
        <v>51</v>
      </c>
      <c r="AQ1002">
        <v>1.1100000000000001E-3</v>
      </c>
      <c r="AR1002">
        <v>5905.2</v>
      </c>
      <c r="AS1002" t="s">
        <v>51</v>
      </c>
      <c r="AT1002">
        <v>5905.2</v>
      </c>
      <c r="AU1002" t="s">
        <v>415</v>
      </c>
      <c r="AV1002" t="s">
        <v>557</v>
      </c>
      <c r="AW1002" t="s">
        <v>2986</v>
      </c>
      <c r="AX1002">
        <v>46127</v>
      </c>
      <c r="AY1002">
        <v>46176</v>
      </c>
      <c r="AZ1002" t="s">
        <v>3030</v>
      </c>
      <c r="BA1002" t="s">
        <v>560</v>
      </c>
      <c r="BB1002" t="s">
        <v>3031</v>
      </c>
      <c r="BC1002">
        <v>760000</v>
      </c>
      <c r="BD1002" t="s">
        <v>521</v>
      </c>
      <c r="BE1002">
        <v>382.68</v>
      </c>
      <c r="BF1002">
        <v>317.68</v>
      </c>
      <c r="BG1002" t="s">
        <v>522</v>
      </c>
      <c r="BH1002">
        <v>1050</v>
      </c>
      <c r="BI1002">
        <v>480</v>
      </c>
      <c r="BJ1002">
        <v>460</v>
      </c>
      <c r="BK1002">
        <v>1</v>
      </c>
      <c r="BL1002" t="s">
        <v>521</v>
      </c>
      <c r="BM1002">
        <v>399.08</v>
      </c>
      <c r="BN1002">
        <v>317.68</v>
      </c>
      <c r="BO1002">
        <v>2793.56</v>
      </c>
      <c r="BP1002" t="s">
        <v>522</v>
      </c>
      <c r="BQ1002">
        <v>1050</v>
      </c>
      <c r="BR1002">
        <v>480</v>
      </c>
      <c r="BS1002">
        <v>480</v>
      </c>
      <c r="BT1002">
        <v>7</v>
      </c>
      <c r="BU1002">
        <v>0</v>
      </c>
      <c r="BV1002">
        <v>7</v>
      </c>
      <c r="BW1002">
        <v>7</v>
      </c>
      <c r="BX1002">
        <v>0</v>
      </c>
      <c r="BY1002">
        <v>7</v>
      </c>
      <c r="BZ1002">
        <v>5320000</v>
      </c>
      <c r="CA1002">
        <v>0</v>
      </c>
      <c r="CB1002">
        <v>5320000</v>
      </c>
      <c r="CC1002">
        <v>2223.7600000000002</v>
      </c>
      <c r="CD1002" t="s">
        <v>1387</v>
      </c>
      <c r="CE1002" t="s">
        <v>1388</v>
      </c>
      <c r="CG1002" t="s">
        <v>421</v>
      </c>
      <c r="CN1002" t="str">
        <v>MCS</v>
      </c>
      <c r="CO1002" t="str">
        <v>1209-5YY0496EN</v>
      </c>
      <c r="CP1002" t="str">
        <v>TRHU4923520</v>
      </c>
      <c r="CQ1002" s="23">
        <v>84.926000000000002</v>
      </c>
      <c r="CR1002" s="25">
        <f t="shared" si="39"/>
        <v>8.4144972491091673E-3</v>
      </c>
      <c r="CS1002" s="21">
        <f t="shared" si="40"/>
        <v>21.03624312277292</v>
      </c>
    </row>
    <row r="1003" spans="2:97" x14ac:dyDescent="0.35">
      <c r="B1003" t="s">
        <v>296</v>
      </c>
      <c r="C1003" t="s">
        <v>3074</v>
      </c>
      <c r="D1003" t="s">
        <v>395</v>
      </c>
      <c r="E1003" t="s">
        <v>395</v>
      </c>
      <c r="F1003" t="s">
        <v>396</v>
      </c>
      <c r="G1003" t="s">
        <v>397</v>
      </c>
      <c r="H1003" t="s">
        <v>398</v>
      </c>
      <c r="I1003" t="s">
        <v>399</v>
      </c>
      <c r="J1003" t="s">
        <v>749</v>
      </c>
      <c r="K1003" t="s">
        <v>629</v>
      </c>
      <c r="L1003" t="s">
        <v>787</v>
      </c>
      <c r="M1003" t="s">
        <v>403</v>
      </c>
      <c r="N1003">
        <v>1</v>
      </c>
      <c r="O1003">
        <v>1</v>
      </c>
      <c r="P1003" t="s">
        <v>3075</v>
      </c>
      <c r="Q1003" t="s">
        <v>789</v>
      </c>
      <c r="R1003" t="s">
        <v>3076</v>
      </c>
      <c r="S1003" t="s">
        <v>3077</v>
      </c>
      <c r="T1003" t="s">
        <v>408</v>
      </c>
      <c r="U1003">
        <v>50950082390</v>
      </c>
      <c r="W1003">
        <v>60000</v>
      </c>
      <c r="X1003" t="s">
        <v>409</v>
      </c>
      <c r="Y1003" t="s">
        <v>410</v>
      </c>
      <c r="Z1003" t="s">
        <v>410</v>
      </c>
      <c r="AA1003" t="s">
        <v>411</v>
      </c>
      <c r="AB1003" t="s">
        <v>554</v>
      </c>
      <c r="AC1003" t="s">
        <v>411</v>
      </c>
      <c r="AD1003">
        <v>46116</v>
      </c>
      <c r="AE1003">
        <v>46174</v>
      </c>
      <c r="AF1003">
        <v>46127</v>
      </c>
      <c r="AG1003" t="s">
        <v>754</v>
      </c>
      <c r="AH1003">
        <v>6183154</v>
      </c>
      <c r="AI1003">
        <v>46121</v>
      </c>
      <c r="AJ1003">
        <v>46122</v>
      </c>
      <c r="AK1003">
        <v>60000</v>
      </c>
      <c r="AL1003" t="s">
        <v>396</v>
      </c>
      <c r="AM1003" t="s">
        <v>3078</v>
      </c>
      <c r="AN1003">
        <v>46122</v>
      </c>
      <c r="AO1003">
        <v>46122.647928240738</v>
      </c>
      <c r="AP1003" t="s">
        <v>51</v>
      </c>
      <c r="AQ1003">
        <v>6.7999999999999996E-3</v>
      </c>
      <c r="AR1003">
        <v>408</v>
      </c>
      <c r="AS1003" t="s">
        <v>51</v>
      </c>
      <c r="AT1003">
        <v>408</v>
      </c>
      <c r="AU1003" t="s">
        <v>415</v>
      </c>
      <c r="AV1003" t="s">
        <v>557</v>
      </c>
      <c r="AW1003" t="s">
        <v>2986</v>
      </c>
      <c r="AX1003">
        <v>46127</v>
      </c>
      <c r="AY1003">
        <v>46176</v>
      </c>
      <c r="AZ1003" t="s">
        <v>3030</v>
      </c>
      <c r="BA1003" t="s">
        <v>560</v>
      </c>
      <c r="BB1003" t="s">
        <v>3031</v>
      </c>
      <c r="BC1003">
        <v>40000</v>
      </c>
      <c r="BD1003" t="s">
        <v>521</v>
      </c>
      <c r="BE1003">
        <v>3.411</v>
      </c>
      <c r="BF1003">
        <v>2.7320000000000002</v>
      </c>
      <c r="BG1003" t="s">
        <v>522</v>
      </c>
      <c r="BH1003">
        <v>395</v>
      </c>
      <c r="BI1003">
        <v>295</v>
      </c>
      <c r="BJ1003">
        <v>174</v>
      </c>
      <c r="BK1003">
        <v>6</v>
      </c>
      <c r="BL1003" t="s">
        <v>521</v>
      </c>
      <c r="BM1003">
        <v>13.456</v>
      </c>
      <c r="BN1003">
        <v>4.0979999999999999</v>
      </c>
      <c r="BO1003">
        <v>13.456</v>
      </c>
      <c r="BP1003" t="s">
        <v>522</v>
      </c>
      <c r="BQ1003">
        <v>800</v>
      </c>
      <c r="BR1003">
        <v>300</v>
      </c>
      <c r="BS1003">
        <v>698</v>
      </c>
      <c r="BT1003">
        <v>0</v>
      </c>
      <c r="BU1003">
        <v>1</v>
      </c>
      <c r="BV1003">
        <v>1</v>
      </c>
      <c r="BW1003">
        <v>1</v>
      </c>
      <c r="BX1003">
        <v>1</v>
      </c>
      <c r="BY1003">
        <v>2</v>
      </c>
      <c r="BZ1003">
        <v>0</v>
      </c>
      <c r="CA1003">
        <v>60000</v>
      </c>
      <c r="CB1003">
        <v>60000</v>
      </c>
      <c r="CC1003">
        <v>4.0979999999999999</v>
      </c>
      <c r="CD1003" t="s">
        <v>659</v>
      </c>
      <c r="CE1003" t="s">
        <v>1006</v>
      </c>
      <c r="CG1003" t="s">
        <v>421</v>
      </c>
      <c r="CN1003" t="str">
        <v>M19</v>
      </c>
      <c r="CO1003" t="str">
        <v>1106-5YY0032EN</v>
      </c>
      <c r="CP1003" t="str">
        <v>TRHU4923520</v>
      </c>
      <c r="CQ1003" s="23">
        <v>198.37559999999999</v>
      </c>
      <c r="CR1003" s="25">
        <f t="shared" si="39"/>
        <v>1.9655122583076803E-2</v>
      </c>
      <c r="CS1003" s="21">
        <f t="shared" si="40"/>
        <v>49.137806457692008</v>
      </c>
    </row>
    <row r="1004" spans="2:97" x14ac:dyDescent="0.35">
      <c r="B1004" t="s">
        <v>296</v>
      </c>
      <c r="C1004" t="s">
        <v>3079</v>
      </c>
      <c r="D1004" t="s">
        <v>395</v>
      </c>
      <c r="E1004" t="s">
        <v>395</v>
      </c>
      <c r="F1004" t="s">
        <v>396</v>
      </c>
      <c r="G1004" t="s">
        <v>397</v>
      </c>
      <c r="H1004" t="s">
        <v>398</v>
      </c>
      <c r="I1004" t="s">
        <v>399</v>
      </c>
      <c r="J1004" t="s">
        <v>749</v>
      </c>
      <c r="K1004" t="s">
        <v>1142</v>
      </c>
      <c r="L1004" t="s">
        <v>787</v>
      </c>
      <c r="M1004" t="s">
        <v>403</v>
      </c>
      <c r="N1004">
        <v>1</v>
      </c>
      <c r="O1004">
        <v>1</v>
      </c>
      <c r="P1004" t="s">
        <v>3080</v>
      </c>
      <c r="Q1004" t="s">
        <v>430</v>
      </c>
      <c r="R1004" t="s">
        <v>1654</v>
      </c>
      <c r="S1004" t="s">
        <v>3081</v>
      </c>
      <c r="T1004" t="s">
        <v>408</v>
      </c>
      <c r="U1004">
        <v>50950082718</v>
      </c>
      <c r="W1004">
        <v>8000</v>
      </c>
      <c r="X1004" t="s">
        <v>409</v>
      </c>
      <c r="Y1004" t="s">
        <v>410</v>
      </c>
      <c r="Z1004" t="s">
        <v>410</v>
      </c>
      <c r="AA1004" t="s">
        <v>411</v>
      </c>
      <c r="AB1004" t="s">
        <v>554</v>
      </c>
      <c r="AC1004" t="s">
        <v>411</v>
      </c>
      <c r="AD1004">
        <v>46123</v>
      </c>
      <c r="AE1004">
        <v>46209</v>
      </c>
      <c r="AF1004">
        <v>46127</v>
      </c>
      <c r="AG1004" t="s">
        <v>754</v>
      </c>
      <c r="AH1004">
        <v>6183155</v>
      </c>
      <c r="AI1004">
        <v>46121</v>
      </c>
      <c r="AJ1004">
        <v>46122</v>
      </c>
      <c r="AK1004">
        <v>8000</v>
      </c>
      <c r="AL1004" t="s">
        <v>396</v>
      </c>
      <c r="AM1004" t="s">
        <v>3082</v>
      </c>
      <c r="AN1004">
        <v>46122</v>
      </c>
      <c r="AO1004">
        <v>46122.647928240738</v>
      </c>
      <c r="AP1004" t="s">
        <v>51</v>
      </c>
      <c r="AQ1004">
        <v>6.055E-2</v>
      </c>
      <c r="AR1004">
        <v>484.4</v>
      </c>
      <c r="AS1004" t="s">
        <v>51</v>
      </c>
      <c r="AT1004">
        <v>484.4</v>
      </c>
      <c r="AU1004" t="s">
        <v>415</v>
      </c>
      <c r="AV1004" t="s">
        <v>557</v>
      </c>
      <c r="AW1004" t="s">
        <v>2986</v>
      </c>
      <c r="AX1004">
        <v>46127</v>
      </c>
      <c r="AY1004">
        <v>46176</v>
      </c>
      <c r="AZ1004" t="s">
        <v>3030</v>
      </c>
      <c r="BA1004" t="s">
        <v>560</v>
      </c>
      <c r="BB1004" t="s">
        <v>3031</v>
      </c>
      <c r="BC1004">
        <v>8000</v>
      </c>
      <c r="BD1004" t="s">
        <v>521</v>
      </c>
      <c r="BE1004">
        <v>596.17999999999995</v>
      </c>
      <c r="BF1004">
        <v>575.67999999999995</v>
      </c>
      <c r="BG1004" t="s">
        <v>522</v>
      </c>
      <c r="BH1004">
        <v>1050</v>
      </c>
      <c r="BI1004">
        <v>480</v>
      </c>
      <c r="BJ1004">
        <v>460</v>
      </c>
      <c r="BK1004">
        <v>1</v>
      </c>
      <c r="BL1004" t="s">
        <v>521</v>
      </c>
      <c r="BM1004">
        <v>596.18010000000004</v>
      </c>
      <c r="BN1004">
        <v>575.67999999999995</v>
      </c>
      <c r="BO1004">
        <v>596.18010000000004</v>
      </c>
      <c r="BP1004" t="s">
        <v>522</v>
      </c>
      <c r="BQ1004">
        <v>1050</v>
      </c>
      <c r="BR1004">
        <v>480</v>
      </c>
      <c r="BS1004">
        <v>480</v>
      </c>
      <c r="BT1004">
        <v>1</v>
      </c>
      <c r="BU1004">
        <v>0</v>
      </c>
      <c r="BV1004">
        <v>1</v>
      </c>
      <c r="BW1004">
        <v>1</v>
      </c>
      <c r="BX1004">
        <v>0</v>
      </c>
      <c r="BY1004">
        <v>1</v>
      </c>
      <c r="BZ1004">
        <v>8000</v>
      </c>
      <c r="CA1004">
        <v>0</v>
      </c>
      <c r="CB1004">
        <v>8000</v>
      </c>
      <c r="CC1004">
        <v>575.67999999999995</v>
      </c>
      <c r="CD1004" t="s">
        <v>641</v>
      </c>
      <c r="CE1004" t="s">
        <v>1147</v>
      </c>
      <c r="CG1004" t="s">
        <v>421</v>
      </c>
      <c r="CN1004" t="str">
        <v>M19</v>
      </c>
      <c r="CO1004" t="str">
        <v>1250-5YY0031EN</v>
      </c>
      <c r="CP1004" t="str">
        <v>TRHU4923520</v>
      </c>
      <c r="CQ1004" s="23">
        <v>143.82</v>
      </c>
      <c r="CR1004" s="25">
        <f t="shared" si="39"/>
        <v>1.4249734997137277E-2</v>
      </c>
      <c r="CS1004" s="21">
        <f t="shared" si="40"/>
        <v>35.624337492843196</v>
      </c>
    </row>
    <row r="1005" spans="2:97" x14ac:dyDescent="0.35">
      <c r="B1005" t="s">
        <v>295</v>
      </c>
      <c r="C1005" t="s">
        <v>3083</v>
      </c>
      <c r="D1005" t="s">
        <v>395</v>
      </c>
      <c r="E1005" t="s">
        <v>395</v>
      </c>
      <c r="F1005" t="s">
        <v>396</v>
      </c>
      <c r="G1005" t="s">
        <v>397</v>
      </c>
      <c r="H1005" t="s">
        <v>398</v>
      </c>
      <c r="I1005" t="s">
        <v>399</v>
      </c>
      <c r="J1005" t="s">
        <v>749</v>
      </c>
      <c r="K1005" t="s">
        <v>845</v>
      </c>
      <c r="L1005" t="s">
        <v>750</v>
      </c>
      <c r="M1005" t="s">
        <v>403</v>
      </c>
      <c r="N1005">
        <v>1</v>
      </c>
      <c r="O1005">
        <v>1</v>
      </c>
      <c r="P1005" t="s">
        <v>1120</v>
      </c>
      <c r="Q1005" t="s">
        <v>637</v>
      </c>
      <c r="R1005" t="s">
        <v>1121</v>
      </c>
      <c r="S1005" t="s">
        <v>1122</v>
      </c>
      <c r="T1005" t="s">
        <v>408</v>
      </c>
      <c r="U1005">
        <v>50950082608</v>
      </c>
      <c r="W1005">
        <v>10000</v>
      </c>
      <c r="X1005" t="s">
        <v>409</v>
      </c>
      <c r="Y1005" t="s">
        <v>410</v>
      </c>
      <c r="Z1005" t="s">
        <v>410</v>
      </c>
      <c r="AA1005" t="s">
        <v>411</v>
      </c>
      <c r="AB1005" t="s">
        <v>554</v>
      </c>
      <c r="AC1005" t="s">
        <v>411</v>
      </c>
      <c r="AD1005">
        <v>46118</v>
      </c>
      <c r="AE1005">
        <v>46167</v>
      </c>
      <c r="AF1005">
        <v>46127</v>
      </c>
      <c r="AG1005" t="s">
        <v>754</v>
      </c>
      <c r="AH1005">
        <v>6183156</v>
      </c>
      <c r="AI1005">
        <v>46121</v>
      </c>
      <c r="AJ1005">
        <v>46122</v>
      </c>
      <c r="AK1005">
        <v>10000</v>
      </c>
      <c r="AL1005" t="s">
        <v>396</v>
      </c>
      <c r="AM1005" t="s">
        <v>3084</v>
      </c>
      <c r="AN1005">
        <v>46122</v>
      </c>
      <c r="AO1005">
        <v>46122.647928240738</v>
      </c>
      <c r="AP1005" t="s">
        <v>51</v>
      </c>
      <c r="AQ1005">
        <v>5.5640000000000002E-2</v>
      </c>
      <c r="AR1005">
        <v>556.4</v>
      </c>
      <c r="AS1005" t="s">
        <v>51</v>
      </c>
      <c r="AT1005">
        <v>556.4</v>
      </c>
      <c r="AU1005" t="s">
        <v>415</v>
      </c>
      <c r="AV1005" t="s">
        <v>557</v>
      </c>
      <c r="AW1005" t="s">
        <v>2986</v>
      </c>
      <c r="AX1005">
        <v>46127</v>
      </c>
      <c r="AY1005">
        <v>46176</v>
      </c>
      <c r="AZ1005" t="s">
        <v>3030</v>
      </c>
      <c r="BA1005" t="s">
        <v>560</v>
      </c>
      <c r="BB1005" t="s">
        <v>3031</v>
      </c>
      <c r="BC1005">
        <v>500</v>
      </c>
      <c r="BD1005" t="s">
        <v>521</v>
      </c>
      <c r="BE1005">
        <v>9.3520000000000003</v>
      </c>
      <c r="BF1005">
        <v>8.7919999999999998</v>
      </c>
      <c r="BG1005" t="s">
        <v>522</v>
      </c>
      <c r="BH1005">
        <v>295</v>
      </c>
      <c r="BI1005">
        <v>195</v>
      </c>
      <c r="BJ1005">
        <v>138</v>
      </c>
      <c r="BK1005">
        <v>100</v>
      </c>
      <c r="BL1005" t="s">
        <v>521</v>
      </c>
      <c r="BM1005">
        <v>214.04</v>
      </c>
      <c r="BN1005">
        <v>175.84</v>
      </c>
      <c r="BO1005">
        <v>214.04</v>
      </c>
      <c r="BP1005" t="s">
        <v>522</v>
      </c>
      <c r="BQ1005">
        <v>1200</v>
      </c>
      <c r="BR1005">
        <v>1000</v>
      </c>
      <c r="BS1005">
        <v>850</v>
      </c>
      <c r="BT1005">
        <v>0</v>
      </c>
      <c r="BU1005">
        <v>1</v>
      </c>
      <c r="BV1005">
        <v>1</v>
      </c>
      <c r="BW1005">
        <v>20</v>
      </c>
      <c r="BX1005">
        <v>0</v>
      </c>
      <c r="BY1005">
        <v>20</v>
      </c>
      <c r="BZ1005">
        <v>0</v>
      </c>
      <c r="CA1005">
        <v>10000</v>
      </c>
      <c r="CB1005">
        <v>10000</v>
      </c>
      <c r="CC1005">
        <v>175.84</v>
      </c>
      <c r="CD1005" t="s">
        <v>1124</v>
      </c>
      <c r="CE1005" t="s">
        <v>1125</v>
      </c>
      <c r="CG1005" t="s">
        <v>421</v>
      </c>
      <c r="CN1005" t="str">
        <v>MCS</v>
      </c>
      <c r="CO1005" t="str">
        <v>1209-5YY0498EN</v>
      </c>
      <c r="CP1005" t="str">
        <v>TRHU4923520</v>
      </c>
      <c r="CQ1005" s="23">
        <v>32.692799999999998</v>
      </c>
      <c r="CR1005" s="25">
        <f t="shared" si="39"/>
        <v>3.2392138528327744E-3</v>
      </c>
      <c r="CS1005" s="21">
        <f t="shared" si="40"/>
        <v>8.0980346320819354</v>
      </c>
    </row>
    <row r="1006" spans="2:97" x14ac:dyDescent="0.35">
      <c r="B1006" t="s">
        <v>297</v>
      </c>
      <c r="C1006" t="s">
        <v>3085</v>
      </c>
      <c r="D1006" t="s">
        <v>549</v>
      </c>
      <c r="E1006" t="s">
        <v>395</v>
      </c>
      <c r="F1006" t="s">
        <v>396</v>
      </c>
      <c r="G1006" t="s">
        <v>397</v>
      </c>
      <c r="H1006" t="s">
        <v>398</v>
      </c>
      <c r="I1006" t="s">
        <v>399</v>
      </c>
      <c r="J1006" t="s">
        <v>749</v>
      </c>
      <c r="K1006" t="s">
        <v>1081</v>
      </c>
      <c r="L1006" t="s">
        <v>766</v>
      </c>
      <c r="M1006" t="s">
        <v>403</v>
      </c>
      <c r="N1006">
        <v>1</v>
      </c>
      <c r="O1006">
        <v>1</v>
      </c>
      <c r="P1006" t="s">
        <v>1469</v>
      </c>
      <c r="Q1006" t="s">
        <v>424</v>
      </c>
      <c r="R1006" t="s">
        <v>1083</v>
      </c>
      <c r="S1006" t="s">
        <v>1470</v>
      </c>
      <c r="T1006" t="s">
        <v>408</v>
      </c>
      <c r="U1006">
        <v>50950081509</v>
      </c>
      <c r="W1006">
        <v>5200</v>
      </c>
      <c r="X1006" t="s">
        <v>409</v>
      </c>
      <c r="Y1006" t="s">
        <v>410</v>
      </c>
      <c r="Z1006" t="s">
        <v>410</v>
      </c>
      <c r="AA1006" t="s">
        <v>411</v>
      </c>
      <c r="AB1006" t="s">
        <v>554</v>
      </c>
      <c r="AC1006" t="s">
        <v>411</v>
      </c>
      <c r="AD1006">
        <v>46116</v>
      </c>
      <c r="AE1006">
        <v>46174</v>
      </c>
      <c r="AF1006">
        <v>46127</v>
      </c>
      <c r="AG1006" t="s">
        <v>770</v>
      </c>
      <c r="AH1006">
        <v>6185473</v>
      </c>
      <c r="AI1006">
        <v>46122</v>
      </c>
      <c r="AJ1006">
        <v>46123</v>
      </c>
      <c r="AK1006">
        <v>5200</v>
      </c>
      <c r="AL1006" t="s">
        <v>396</v>
      </c>
      <c r="AM1006" t="s">
        <v>3086</v>
      </c>
      <c r="AN1006">
        <v>46123</v>
      </c>
      <c r="AO1006">
        <v>46123.435370370367</v>
      </c>
      <c r="AP1006" t="s">
        <v>51</v>
      </c>
      <c r="AQ1006">
        <v>1.10246</v>
      </c>
      <c r="AR1006">
        <v>5732.79</v>
      </c>
      <c r="AS1006" t="s">
        <v>51</v>
      </c>
      <c r="AT1006">
        <v>5732.79</v>
      </c>
      <c r="AU1006" t="s">
        <v>415</v>
      </c>
      <c r="AV1006" t="s">
        <v>557</v>
      </c>
      <c r="AW1006" t="s">
        <v>2986</v>
      </c>
      <c r="AX1006">
        <v>46127</v>
      </c>
      <c r="AY1006">
        <v>46176</v>
      </c>
      <c r="AZ1006" t="s">
        <v>3087</v>
      </c>
      <c r="BA1006" t="s">
        <v>560</v>
      </c>
      <c r="BB1006" t="s">
        <v>3088</v>
      </c>
      <c r="BC1006">
        <v>130</v>
      </c>
      <c r="BD1006" t="s">
        <v>521</v>
      </c>
      <c r="BE1006">
        <v>12.355</v>
      </c>
      <c r="BF1006">
        <v>10.92</v>
      </c>
      <c r="BG1006" t="s">
        <v>522</v>
      </c>
      <c r="BH1006">
        <v>395</v>
      </c>
      <c r="BI1006">
        <v>295</v>
      </c>
      <c r="BJ1006">
        <v>180</v>
      </c>
      <c r="BK1006">
        <v>40</v>
      </c>
      <c r="BL1006" t="s">
        <v>521</v>
      </c>
      <c r="BM1006">
        <v>518.20000000000005</v>
      </c>
      <c r="BN1006">
        <v>436.8</v>
      </c>
      <c r="BO1006">
        <v>518.20000000000005</v>
      </c>
      <c r="BP1006" t="s">
        <v>522</v>
      </c>
      <c r="BQ1006">
        <v>1200</v>
      </c>
      <c r="BR1006">
        <v>800</v>
      </c>
      <c r="BS1006">
        <v>1060</v>
      </c>
      <c r="BT1006">
        <v>1</v>
      </c>
      <c r="BU1006">
        <v>0</v>
      </c>
      <c r="BV1006">
        <v>1</v>
      </c>
      <c r="BW1006">
        <v>40</v>
      </c>
      <c r="BX1006">
        <v>0</v>
      </c>
      <c r="BY1006">
        <v>40</v>
      </c>
      <c r="BZ1006">
        <v>5200</v>
      </c>
      <c r="CA1006">
        <v>0</v>
      </c>
      <c r="CB1006">
        <v>5200</v>
      </c>
      <c r="CC1006">
        <v>436.8</v>
      </c>
      <c r="CD1006" t="s">
        <v>694</v>
      </c>
      <c r="CE1006" t="s">
        <v>1088</v>
      </c>
      <c r="CG1006" t="s">
        <v>421</v>
      </c>
      <c r="CN1006" t="str">
        <v>MCS</v>
      </c>
      <c r="CO1006" t="str">
        <v>1209-5YY0499EN</v>
      </c>
      <c r="CP1006" t="str">
        <v>TRHU4923520</v>
      </c>
      <c r="CQ1006" s="23">
        <v>33.845999999999997</v>
      </c>
      <c r="CR1006" s="25">
        <f t="shared" si="39"/>
        <v>3.3534733049166198E-3</v>
      </c>
      <c r="CS1006" s="21">
        <f t="shared" si="40"/>
        <v>8.3836832622915498</v>
      </c>
    </row>
    <row r="1007" spans="2:97" x14ac:dyDescent="0.35">
      <c r="B1007" t="s">
        <v>299</v>
      </c>
      <c r="C1007" t="s">
        <v>3034</v>
      </c>
      <c r="D1007" t="s">
        <v>395</v>
      </c>
      <c r="E1007" t="s">
        <v>395</v>
      </c>
      <c r="F1007" t="s">
        <v>396</v>
      </c>
      <c r="G1007" t="s">
        <v>397</v>
      </c>
      <c r="H1007" t="s">
        <v>398</v>
      </c>
      <c r="I1007" t="s">
        <v>399</v>
      </c>
      <c r="J1007" t="s">
        <v>749</v>
      </c>
      <c r="K1007" t="s">
        <v>777</v>
      </c>
      <c r="L1007" t="s">
        <v>778</v>
      </c>
      <c r="M1007" t="s">
        <v>403</v>
      </c>
      <c r="N1007">
        <v>1</v>
      </c>
      <c r="O1007">
        <v>2</v>
      </c>
      <c r="P1007" t="s">
        <v>1490</v>
      </c>
      <c r="Q1007" t="s">
        <v>637</v>
      </c>
      <c r="R1007" t="s">
        <v>536</v>
      </c>
      <c r="S1007" t="s">
        <v>1491</v>
      </c>
      <c r="T1007" t="s">
        <v>408</v>
      </c>
      <c r="U1007">
        <v>50950079172</v>
      </c>
      <c r="W1007">
        <v>1512</v>
      </c>
      <c r="X1007" t="s">
        <v>409</v>
      </c>
      <c r="Y1007" t="s">
        <v>410</v>
      </c>
      <c r="Z1007" t="s">
        <v>410</v>
      </c>
      <c r="AA1007" t="s">
        <v>411</v>
      </c>
      <c r="AB1007" t="s">
        <v>554</v>
      </c>
      <c r="AC1007" t="s">
        <v>411</v>
      </c>
      <c r="AD1007">
        <v>46123</v>
      </c>
      <c r="AE1007">
        <v>46181</v>
      </c>
      <c r="AF1007">
        <v>46127</v>
      </c>
      <c r="AG1007" t="s">
        <v>781</v>
      </c>
      <c r="AH1007">
        <v>6185474</v>
      </c>
      <c r="AI1007">
        <v>46122</v>
      </c>
      <c r="AJ1007">
        <v>46123</v>
      </c>
      <c r="AK1007">
        <v>1512</v>
      </c>
      <c r="AL1007" t="s">
        <v>396</v>
      </c>
      <c r="AM1007" t="s">
        <v>3089</v>
      </c>
      <c r="AN1007">
        <v>46123</v>
      </c>
      <c r="AO1007">
        <v>46123.435370370367</v>
      </c>
      <c r="AP1007" t="s">
        <v>51</v>
      </c>
      <c r="AQ1007">
        <v>3.69373</v>
      </c>
      <c r="AR1007">
        <v>5584.92</v>
      </c>
      <c r="AS1007" t="s">
        <v>51</v>
      </c>
      <c r="AT1007">
        <v>5584.92</v>
      </c>
      <c r="AU1007" t="s">
        <v>415</v>
      </c>
      <c r="AV1007" t="s">
        <v>557</v>
      </c>
      <c r="AW1007" t="s">
        <v>2986</v>
      </c>
      <c r="AX1007">
        <v>46127</v>
      </c>
      <c r="AY1007">
        <v>46176</v>
      </c>
      <c r="AZ1007" t="s">
        <v>3087</v>
      </c>
      <c r="BA1007" t="s">
        <v>560</v>
      </c>
      <c r="BB1007" t="s">
        <v>3088</v>
      </c>
      <c r="BC1007">
        <v>28</v>
      </c>
      <c r="BD1007" t="s">
        <v>521</v>
      </c>
      <c r="BE1007">
        <v>6.0069999999999997</v>
      </c>
      <c r="BF1007">
        <v>4.1440000000000001</v>
      </c>
      <c r="BG1007" t="s">
        <v>522</v>
      </c>
      <c r="BH1007">
        <v>795</v>
      </c>
      <c r="BI1007">
        <v>395</v>
      </c>
      <c r="BJ1007">
        <v>145</v>
      </c>
      <c r="BK1007">
        <v>18</v>
      </c>
      <c r="BL1007" t="s">
        <v>521</v>
      </c>
      <c r="BM1007">
        <v>133.126</v>
      </c>
      <c r="BN1007">
        <v>74.591999999999999</v>
      </c>
      <c r="BO1007">
        <v>399.37799999999999</v>
      </c>
      <c r="BP1007" t="s">
        <v>522</v>
      </c>
      <c r="BQ1007">
        <v>1200</v>
      </c>
      <c r="BR1007">
        <v>800</v>
      </c>
      <c r="BS1007">
        <v>1030</v>
      </c>
      <c r="BT1007">
        <v>3</v>
      </c>
      <c r="BU1007">
        <v>0</v>
      </c>
      <c r="BV1007">
        <v>3</v>
      </c>
      <c r="BW1007">
        <v>54</v>
      </c>
      <c r="BX1007">
        <v>0</v>
      </c>
      <c r="BY1007">
        <v>54</v>
      </c>
      <c r="BZ1007">
        <v>1512</v>
      </c>
      <c r="CA1007">
        <v>0</v>
      </c>
      <c r="CB1007">
        <v>1512</v>
      </c>
      <c r="CC1007">
        <v>223.77600000000001</v>
      </c>
      <c r="CD1007" t="s">
        <v>783</v>
      </c>
      <c r="CE1007" t="s">
        <v>784</v>
      </c>
      <c r="CG1007" t="s">
        <v>421</v>
      </c>
      <c r="CN1007" t="str">
        <v>MCS</v>
      </c>
      <c r="CO1007" t="str">
        <v>1209-5YY0499EN</v>
      </c>
      <c r="CP1007" t="str">
        <v>TRHU4923520</v>
      </c>
      <c r="CQ1007" s="23">
        <v>67.691999999999993</v>
      </c>
      <c r="CR1007" s="25">
        <f t="shared" si="39"/>
        <v>6.7069466098332396E-3</v>
      </c>
      <c r="CS1007" s="21">
        <f t="shared" si="40"/>
        <v>16.7673665245831</v>
      </c>
    </row>
    <row r="1008" spans="2:97" x14ac:dyDescent="0.35">
      <c r="B1008" t="s">
        <v>295</v>
      </c>
      <c r="C1008" t="s">
        <v>868</v>
      </c>
      <c r="D1008" t="s">
        <v>395</v>
      </c>
      <c r="E1008" t="s">
        <v>395</v>
      </c>
      <c r="F1008" t="s">
        <v>396</v>
      </c>
      <c r="G1008" t="s">
        <v>397</v>
      </c>
      <c r="H1008" t="s">
        <v>398</v>
      </c>
      <c r="I1008" t="s">
        <v>399</v>
      </c>
      <c r="J1008" t="s">
        <v>749</v>
      </c>
      <c r="K1008" t="s">
        <v>629</v>
      </c>
      <c r="L1008" t="s">
        <v>787</v>
      </c>
      <c r="M1008" t="s">
        <v>403</v>
      </c>
      <c r="N1008">
        <v>1</v>
      </c>
      <c r="O1008">
        <v>15</v>
      </c>
      <c r="P1008" t="s">
        <v>869</v>
      </c>
      <c r="Q1008" t="s">
        <v>637</v>
      </c>
      <c r="R1008" t="s">
        <v>870</v>
      </c>
      <c r="S1008" t="s">
        <v>871</v>
      </c>
      <c r="T1008" t="s">
        <v>408</v>
      </c>
      <c r="U1008">
        <v>50950076250</v>
      </c>
      <c r="W1008">
        <v>3600</v>
      </c>
      <c r="X1008" t="s">
        <v>409</v>
      </c>
      <c r="Y1008" t="s">
        <v>410</v>
      </c>
      <c r="Z1008" t="s">
        <v>410</v>
      </c>
      <c r="AA1008" t="s">
        <v>411</v>
      </c>
      <c r="AB1008" t="s">
        <v>554</v>
      </c>
      <c r="AC1008" t="s">
        <v>411</v>
      </c>
      <c r="AD1008">
        <v>46118</v>
      </c>
      <c r="AE1008">
        <v>46118</v>
      </c>
      <c r="AF1008">
        <v>46127</v>
      </c>
      <c r="AG1008" t="s">
        <v>754</v>
      </c>
      <c r="AH1008">
        <v>6185475</v>
      </c>
      <c r="AI1008">
        <v>46122</v>
      </c>
      <c r="AJ1008">
        <v>46123</v>
      </c>
      <c r="AK1008">
        <v>3600</v>
      </c>
      <c r="AL1008" t="s">
        <v>396</v>
      </c>
      <c r="AM1008" t="s">
        <v>3090</v>
      </c>
      <c r="AN1008">
        <v>46123</v>
      </c>
      <c r="AO1008">
        <v>46123.435370370367</v>
      </c>
      <c r="AP1008" t="s">
        <v>51</v>
      </c>
      <c r="AQ1008">
        <v>1.09693</v>
      </c>
      <c r="AR1008">
        <v>3948.96</v>
      </c>
      <c r="AS1008" t="s">
        <v>51</v>
      </c>
      <c r="AT1008">
        <v>3948.96</v>
      </c>
      <c r="AU1008" t="s">
        <v>415</v>
      </c>
      <c r="AV1008" t="s">
        <v>557</v>
      </c>
      <c r="AW1008" t="s">
        <v>2986</v>
      </c>
      <c r="AX1008">
        <v>46127</v>
      </c>
      <c r="AY1008">
        <v>46176</v>
      </c>
      <c r="AZ1008" t="s">
        <v>3087</v>
      </c>
      <c r="BA1008" t="s">
        <v>560</v>
      </c>
      <c r="BB1008" t="s">
        <v>3088</v>
      </c>
      <c r="BC1008">
        <v>40</v>
      </c>
      <c r="BD1008" t="s">
        <v>521</v>
      </c>
      <c r="BE1008">
        <v>4.4851000000000001</v>
      </c>
      <c r="BF1008">
        <v>3.3351000000000002</v>
      </c>
      <c r="BG1008" t="s">
        <v>522</v>
      </c>
      <c r="BH1008">
        <v>495</v>
      </c>
      <c r="BI1008">
        <v>395</v>
      </c>
      <c r="BJ1008">
        <v>1800</v>
      </c>
      <c r="BK1008">
        <v>30</v>
      </c>
      <c r="BL1008" t="s">
        <v>521</v>
      </c>
      <c r="BM1008">
        <v>161.553</v>
      </c>
      <c r="BN1008">
        <v>100.053</v>
      </c>
      <c r="BO1008">
        <v>484.66079999999999</v>
      </c>
      <c r="BP1008" t="s">
        <v>522</v>
      </c>
      <c r="BQ1008">
        <v>1200</v>
      </c>
      <c r="BR1008">
        <v>1000</v>
      </c>
      <c r="BS1008">
        <v>1058</v>
      </c>
      <c r="BT1008">
        <v>3</v>
      </c>
      <c r="BU1008">
        <v>0</v>
      </c>
      <c r="BV1008">
        <v>3</v>
      </c>
      <c r="BW1008">
        <v>90</v>
      </c>
      <c r="BX1008">
        <v>0</v>
      </c>
      <c r="BY1008">
        <v>90</v>
      </c>
      <c r="BZ1008">
        <v>3600</v>
      </c>
      <c r="CA1008">
        <v>0</v>
      </c>
      <c r="CB1008">
        <v>3600</v>
      </c>
      <c r="CC1008">
        <v>300.16079999999999</v>
      </c>
      <c r="CD1008" t="s">
        <v>799</v>
      </c>
      <c r="CE1008" t="s">
        <v>873</v>
      </c>
      <c r="CG1008" t="s">
        <v>421</v>
      </c>
      <c r="CN1008" t="str">
        <v>MCS</v>
      </c>
      <c r="CO1008" t="str">
        <v>1209-5YY0500EN</v>
      </c>
      <c r="CP1008" t="str">
        <v>TRHU4923520</v>
      </c>
      <c r="CQ1008" s="23">
        <v>33.695999999999998</v>
      </c>
      <c r="CR1008" s="25">
        <f t="shared" si="39"/>
        <v>3.338611253396869E-3</v>
      </c>
      <c r="CS1008" s="21">
        <f t="shared" si="40"/>
        <v>8.346528133492173</v>
      </c>
    </row>
    <row r="1009" spans="2:97" x14ac:dyDescent="0.35">
      <c r="B1009" t="s">
        <v>296</v>
      </c>
      <c r="C1009" t="s">
        <v>2800</v>
      </c>
      <c r="D1009" t="s">
        <v>395</v>
      </c>
      <c r="E1009" t="s">
        <v>395</v>
      </c>
      <c r="F1009" t="s">
        <v>396</v>
      </c>
      <c r="G1009" t="s">
        <v>397</v>
      </c>
      <c r="H1009" t="s">
        <v>398</v>
      </c>
      <c r="I1009" t="s">
        <v>399</v>
      </c>
      <c r="J1009" t="s">
        <v>749</v>
      </c>
      <c r="K1009" t="s">
        <v>629</v>
      </c>
      <c r="L1009" t="s">
        <v>787</v>
      </c>
      <c r="M1009" t="s">
        <v>403</v>
      </c>
      <c r="N1009">
        <v>1</v>
      </c>
      <c r="O1009">
        <v>6</v>
      </c>
      <c r="P1009" t="s">
        <v>881</v>
      </c>
      <c r="Q1009" t="s">
        <v>645</v>
      </c>
      <c r="R1009" t="s">
        <v>882</v>
      </c>
      <c r="S1009" t="s">
        <v>883</v>
      </c>
      <c r="T1009" t="s">
        <v>408</v>
      </c>
      <c r="U1009">
        <v>50950079682</v>
      </c>
      <c r="W1009">
        <v>13200</v>
      </c>
      <c r="X1009" t="s">
        <v>409</v>
      </c>
      <c r="Y1009" t="s">
        <v>410</v>
      </c>
      <c r="Z1009" t="s">
        <v>410</v>
      </c>
      <c r="AA1009" t="s">
        <v>411</v>
      </c>
      <c r="AB1009" t="s">
        <v>554</v>
      </c>
      <c r="AC1009" t="s">
        <v>411</v>
      </c>
      <c r="AD1009">
        <v>46111</v>
      </c>
      <c r="AE1009">
        <v>46202</v>
      </c>
      <c r="AF1009">
        <v>46127</v>
      </c>
      <c r="AG1009" t="s">
        <v>754</v>
      </c>
      <c r="AH1009">
        <v>6185476</v>
      </c>
      <c r="AI1009">
        <v>46122</v>
      </c>
      <c r="AJ1009">
        <v>46123</v>
      </c>
      <c r="AK1009">
        <v>13200</v>
      </c>
      <c r="AL1009" t="s">
        <v>396</v>
      </c>
      <c r="AM1009" t="s">
        <v>3091</v>
      </c>
      <c r="AN1009">
        <v>46123</v>
      </c>
      <c r="AO1009">
        <v>46123.435370370367</v>
      </c>
      <c r="AP1009" t="s">
        <v>51</v>
      </c>
      <c r="AQ1009">
        <v>0.20003000000000001</v>
      </c>
      <c r="AR1009">
        <v>2640.4</v>
      </c>
      <c r="AS1009" t="s">
        <v>51</v>
      </c>
      <c r="AT1009">
        <v>2640.4</v>
      </c>
      <c r="AU1009" t="s">
        <v>415</v>
      </c>
      <c r="AV1009" t="s">
        <v>557</v>
      </c>
      <c r="AW1009" t="s">
        <v>2986</v>
      </c>
      <c r="AX1009">
        <v>46127</v>
      </c>
      <c r="AY1009">
        <v>46176</v>
      </c>
      <c r="AZ1009" t="s">
        <v>3087</v>
      </c>
      <c r="BA1009" t="s">
        <v>560</v>
      </c>
      <c r="BB1009" t="s">
        <v>3088</v>
      </c>
      <c r="BC1009">
        <v>264</v>
      </c>
      <c r="BD1009" t="s">
        <v>521</v>
      </c>
      <c r="BE1009">
        <v>5.2203999999999997</v>
      </c>
      <c r="BF1009">
        <v>3.8304</v>
      </c>
      <c r="BG1009" t="s">
        <v>522</v>
      </c>
      <c r="BH1009">
        <v>595</v>
      </c>
      <c r="BI1009">
        <v>395</v>
      </c>
      <c r="BJ1009">
        <v>175</v>
      </c>
      <c r="BK1009">
        <v>25</v>
      </c>
      <c r="BL1009" t="s">
        <v>521</v>
      </c>
      <c r="BM1009">
        <v>157.51</v>
      </c>
      <c r="BN1009">
        <v>95.76</v>
      </c>
      <c r="BO1009">
        <v>315.0188</v>
      </c>
      <c r="BP1009" t="s">
        <v>522</v>
      </c>
      <c r="BQ1009">
        <v>1200</v>
      </c>
      <c r="BR1009">
        <v>1000</v>
      </c>
      <c r="BS1009">
        <v>1035</v>
      </c>
      <c r="BT1009">
        <v>2</v>
      </c>
      <c r="BU1009">
        <v>0</v>
      </c>
      <c r="BV1009">
        <v>2</v>
      </c>
      <c r="BW1009">
        <v>50</v>
      </c>
      <c r="BX1009">
        <v>0</v>
      </c>
      <c r="BY1009">
        <v>50</v>
      </c>
      <c r="BZ1009">
        <v>13200</v>
      </c>
      <c r="CA1009">
        <v>0</v>
      </c>
      <c r="CB1009">
        <v>13200</v>
      </c>
      <c r="CC1009">
        <v>191.5188</v>
      </c>
      <c r="CD1009" t="s">
        <v>885</v>
      </c>
      <c r="CE1009" t="s">
        <v>886</v>
      </c>
      <c r="CG1009" t="s">
        <v>421</v>
      </c>
      <c r="CN1009" t="str">
        <v>M19</v>
      </c>
      <c r="CO1009" t="str">
        <v>1250-5YY0031EN</v>
      </c>
      <c r="CP1009" t="str">
        <v>TRHU4923520</v>
      </c>
      <c r="CQ1009" s="23">
        <v>143.82</v>
      </c>
      <c r="CR1009" s="25">
        <f t="shared" si="39"/>
        <v>1.4249734997137277E-2</v>
      </c>
      <c r="CS1009" s="21">
        <f t="shared" si="40"/>
        <v>35.624337492843196</v>
      </c>
    </row>
    <row r="1010" spans="2:97" x14ac:dyDescent="0.35">
      <c r="B1010" t="s">
        <v>299</v>
      </c>
      <c r="C1010" t="s">
        <v>1380</v>
      </c>
      <c r="D1010" t="s">
        <v>965</v>
      </c>
      <c r="E1010" t="s">
        <v>395</v>
      </c>
      <c r="F1010" t="s">
        <v>396</v>
      </c>
      <c r="G1010" t="s">
        <v>397</v>
      </c>
      <c r="H1010" t="s">
        <v>398</v>
      </c>
      <c r="I1010" t="s">
        <v>399</v>
      </c>
      <c r="J1010" t="s">
        <v>749</v>
      </c>
      <c r="K1010" t="s">
        <v>809</v>
      </c>
      <c r="L1010" t="s">
        <v>787</v>
      </c>
      <c r="M1010" t="s">
        <v>403</v>
      </c>
      <c r="N1010">
        <v>1</v>
      </c>
      <c r="O1010">
        <v>25</v>
      </c>
      <c r="P1010" t="s">
        <v>810</v>
      </c>
      <c r="Q1010" t="s">
        <v>405</v>
      </c>
      <c r="R1010" t="s">
        <v>811</v>
      </c>
      <c r="S1010" t="s">
        <v>812</v>
      </c>
      <c r="T1010" t="s">
        <v>408</v>
      </c>
      <c r="U1010">
        <v>50950080270</v>
      </c>
      <c r="W1010">
        <v>3840</v>
      </c>
      <c r="X1010" t="s">
        <v>409</v>
      </c>
      <c r="Y1010" t="s">
        <v>410</v>
      </c>
      <c r="Z1010" t="s">
        <v>410</v>
      </c>
      <c r="AA1010" t="s">
        <v>411</v>
      </c>
      <c r="AB1010" t="s">
        <v>554</v>
      </c>
      <c r="AC1010" t="s">
        <v>411</v>
      </c>
      <c r="AD1010">
        <v>46116</v>
      </c>
      <c r="AE1010">
        <v>46125</v>
      </c>
      <c r="AF1010">
        <v>46127</v>
      </c>
      <c r="AG1010" t="s">
        <v>754</v>
      </c>
      <c r="AH1010">
        <v>6185477</v>
      </c>
      <c r="AI1010">
        <v>46122</v>
      </c>
      <c r="AJ1010">
        <v>46123</v>
      </c>
      <c r="AK1010">
        <v>3840</v>
      </c>
      <c r="AL1010" t="s">
        <v>396</v>
      </c>
      <c r="AM1010" t="s">
        <v>3092</v>
      </c>
      <c r="AN1010">
        <v>46123</v>
      </c>
      <c r="AO1010">
        <v>46123.435370370367</v>
      </c>
      <c r="AP1010" t="s">
        <v>51</v>
      </c>
      <c r="AQ1010">
        <v>2.0436299999999998</v>
      </c>
      <c r="AR1010">
        <v>7847.52</v>
      </c>
      <c r="AS1010" t="s">
        <v>51</v>
      </c>
      <c r="AT1010">
        <v>7847.52</v>
      </c>
      <c r="AU1010" t="s">
        <v>415</v>
      </c>
      <c r="AV1010" t="s">
        <v>557</v>
      </c>
      <c r="AW1010" t="s">
        <v>2986</v>
      </c>
      <c r="AX1010">
        <v>46127</v>
      </c>
      <c r="AY1010">
        <v>46176</v>
      </c>
      <c r="AZ1010" t="s">
        <v>3087</v>
      </c>
      <c r="BA1010" t="s">
        <v>560</v>
      </c>
      <c r="BB1010" t="s">
        <v>3088</v>
      </c>
      <c r="BC1010">
        <v>16</v>
      </c>
      <c r="BD1010" t="s">
        <v>521</v>
      </c>
      <c r="BE1010">
        <v>4.9545000000000003</v>
      </c>
      <c r="BF1010">
        <v>3.7555000000000001</v>
      </c>
      <c r="BG1010" t="s">
        <v>522</v>
      </c>
      <c r="BH1010">
        <v>495</v>
      </c>
      <c r="BI1010">
        <v>395</v>
      </c>
      <c r="BJ1010">
        <v>190</v>
      </c>
      <c r="BK1010">
        <v>30</v>
      </c>
      <c r="BL1010" t="s">
        <v>521</v>
      </c>
      <c r="BM1010">
        <v>175.63499999999999</v>
      </c>
      <c r="BN1010">
        <v>112.66500000000001</v>
      </c>
      <c r="BO1010">
        <v>1405.0848000000001</v>
      </c>
      <c r="BP1010" t="s">
        <v>522</v>
      </c>
      <c r="BQ1010">
        <v>1200</v>
      </c>
      <c r="BR1010">
        <v>1000</v>
      </c>
      <c r="BS1010">
        <v>1120</v>
      </c>
      <c r="BT1010">
        <v>8</v>
      </c>
      <c r="BU1010">
        <v>0</v>
      </c>
      <c r="BV1010">
        <v>8</v>
      </c>
      <c r="BW1010">
        <v>240</v>
      </c>
      <c r="BX1010">
        <v>0</v>
      </c>
      <c r="BY1010">
        <v>240</v>
      </c>
      <c r="BZ1010">
        <v>3840</v>
      </c>
      <c r="CA1010">
        <v>0</v>
      </c>
      <c r="CB1010">
        <v>3840</v>
      </c>
      <c r="CC1010">
        <v>901.32479999999998</v>
      </c>
      <c r="CD1010" t="s">
        <v>806</v>
      </c>
      <c r="CE1010" t="s">
        <v>816</v>
      </c>
      <c r="CG1010" t="s">
        <v>421</v>
      </c>
      <c r="CN1010" t="str">
        <v>MCS</v>
      </c>
      <c r="CO1010" t="str">
        <v>1209-5YY0498EN</v>
      </c>
      <c r="CP1010" t="str">
        <v>TRHU4923520</v>
      </c>
      <c r="CQ1010" s="23">
        <v>32.692799999999998</v>
      </c>
      <c r="CR1010" s="25">
        <f t="shared" si="39"/>
        <v>3.2392138528327744E-3</v>
      </c>
      <c r="CS1010" s="21">
        <f t="shared" si="40"/>
        <v>8.0980346320819354</v>
      </c>
    </row>
    <row r="1011" spans="2:97" x14ac:dyDescent="0.35">
      <c r="B1011" t="s">
        <v>299</v>
      </c>
      <c r="C1011" t="s">
        <v>3093</v>
      </c>
      <c r="D1011" t="s">
        <v>395</v>
      </c>
      <c r="E1011" t="s">
        <v>395</v>
      </c>
      <c r="F1011" t="s">
        <v>396</v>
      </c>
      <c r="G1011" t="s">
        <v>397</v>
      </c>
      <c r="H1011" t="s">
        <v>398</v>
      </c>
      <c r="I1011" t="s">
        <v>399</v>
      </c>
      <c r="J1011" t="s">
        <v>749</v>
      </c>
      <c r="K1011" t="s">
        <v>809</v>
      </c>
      <c r="L1011" t="s">
        <v>787</v>
      </c>
      <c r="M1011" t="s">
        <v>403</v>
      </c>
      <c r="N1011">
        <v>1</v>
      </c>
      <c r="O1011">
        <v>1</v>
      </c>
      <c r="P1011" t="s">
        <v>1069</v>
      </c>
      <c r="Q1011" t="s">
        <v>424</v>
      </c>
      <c r="R1011" t="s">
        <v>811</v>
      </c>
      <c r="S1011" t="s">
        <v>1070</v>
      </c>
      <c r="T1011" t="s">
        <v>408</v>
      </c>
      <c r="U1011">
        <v>50950081204</v>
      </c>
      <c r="W1011">
        <v>2880</v>
      </c>
      <c r="X1011" t="s">
        <v>409</v>
      </c>
      <c r="Y1011" t="s">
        <v>410</v>
      </c>
      <c r="Z1011" t="s">
        <v>410</v>
      </c>
      <c r="AA1011" t="s">
        <v>411</v>
      </c>
      <c r="AB1011" t="s">
        <v>554</v>
      </c>
      <c r="AC1011" t="s">
        <v>411</v>
      </c>
      <c r="AD1011">
        <v>46119</v>
      </c>
      <c r="AE1011">
        <v>46167</v>
      </c>
      <c r="AF1011">
        <v>46127</v>
      </c>
      <c r="AG1011" t="s">
        <v>754</v>
      </c>
      <c r="AH1011">
        <v>6185478</v>
      </c>
      <c r="AI1011">
        <v>46122</v>
      </c>
      <c r="AJ1011">
        <v>46123</v>
      </c>
      <c r="AK1011">
        <v>2880</v>
      </c>
      <c r="AL1011" t="s">
        <v>396</v>
      </c>
      <c r="AM1011" t="s">
        <v>3094</v>
      </c>
      <c r="AN1011">
        <v>46123</v>
      </c>
      <c r="AO1011">
        <v>46123.435370370367</v>
      </c>
      <c r="AP1011" t="s">
        <v>51</v>
      </c>
      <c r="AQ1011">
        <v>2.4991699999999999</v>
      </c>
      <c r="AR1011">
        <v>7197.6</v>
      </c>
      <c r="AS1011" t="s">
        <v>51</v>
      </c>
      <c r="AT1011">
        <v>7197.6</v>
      </c>
      <c r="AU1011" t="s">
        <v>415</v>
      </c>
      <c r="AV1011" t="s">
        <v>557</v>
      </c>
      <c r="AW1011" t="s">
        <v>2986</v>
      </c>
      <c r="AX1011">
        <v>46127</v>
      </c>
      <c r="AY1011">
        <v>46176</v>
      </c>
      <c r="AZ1011" t="s">
        <v>3087</v>
      </c>
      <c r="BA1011" t="s">
        <v>560</v>
      </c>
      <c r="BB1011" t="s">
        <v>3088</v>
      </c>
      <c r="BC1011">
        <v>16</v>
      </c>
      <c r="BD1011" t="s">
        <v>521</v>
      </c>
      <c r="BE1011">
        <v>6.3334000000000001</v>
      </c>
      <c r="BF1011">
        <v>5.1344000000000003</v>
      </c>
      <c r="BG1011" t="s">
        <v>522</v>
      </c>
      <c r="BH1011">
        <v>495</v>
      </c>
      <c r="BI1011">
        <v>395</v>
      </c>
      <c r="BJ1011">
        <v>190</v>
      </c>
      <c r="BK1011">
        <v>30</v>
      </c>
      <c r="BL1011" t="s">
        <v>521</v>
      </c>
      <c r="BM1011">
        <v>217.00200000000001</v>
      </c>
      <c r="BN1011">
        <v>154.03200000000001</v>
      </c>
      <c r="BO1011">
        <v>1302.0119999999999</v>
      </c>
      <c r="BP1011" t="s">
        <v>522</v>
      </c>
      <c r="BQ1011">
        <v>1200</v>
      </c>
      <c r="BR1011">
        <v>1000</v>
      </c>
      <c r="BS1011">
        <v>1120</v>
      </c>
      <c r="BT1011">
        <v>6</v>
      </c>
      <c r="BU1011">
        <v>0</v>
      </c>
      <c r="BV1011">
        <v>6</v>
      </c>
      <c r="BW1011">
        <v>180</v>
      </c>
      <c r="BX1011">
        <v>0</v>
      </c>
      <c r="BY1011">
        <v>180</v>
      </c>
      <c r="BZ1011">
        <v>2880</v>
      </c>
      <c r="CA1011">
        <v>0</v>
      </c>
      <c r="CB1011">
        <v>2880</v>
      </c>
      <c r="CC1011">
        <v>924.19200000000001</v>
      </c>
      <c r="CD1011" t="s">
        <v>806</v>
      </c>
      <c r="CE1011" t="s">
        <v>816</v>
      </c>
      <c r="CG1011" t="s">
        <v>421</v>
      </c>
      <c r="CN1011" t="str">
        <v>MCS</v>
      </c>
      <c r="CO1011" t="str">
        <v>1209-5YY0500EN</v>
      </c>
      <c r="CP1011" t="str">
        <v>TRHU4923520</v>
      </c>
      <c r="CQ1011" s="23">
        <v>33.695999999999998</v>
      </c>
      <c r="CR1011" s="25">
        <f t="shared" si="39"/>
        <v>3.338611253396869E-3</v>
      </c>
      <c r="CS1011" s="21">
        <f t="shared" si="40"/>
        <v>8.346528133492173</v>
      </c>
    </row>
    <row r="1012" spans="2:97" x14ac:dyDescent="0.35">
      <c r="B1012" t="s">
        <v>299</v>
      </c>
      <c r="C1012" t="s">
        <v>2671</v>
      </c>
      <c r="D1012" t="s">
        <v>395</v>
      </c>
      <c r="E1012" t="s">
        <v>395</v>
      </c>
      <c r="F1012" t="s">
        <v>396</v>
      </c>
      <c r="G1012" t="s">
        <v>397</v>
      </c>
      <c r="H1012" t="s">
        <v>398</v>
      </c>
      <c r="I1012" t="s">
        <v>399</v>
      </c>
      <c r="J1012" t="s">
        <v>749</v>
      </c>
      <c r="K1012" t="s">
        <v>809</v>
      </c>
      <c r="L1012" t="s">
        <v>787</v>
      </c>
      <c r="M1012" t="s">
        <v>403</v>
      </c>
      <c r="N1012">
        <v>1</v>
      </c>
      <c r="O1012">
        <v>5</v>
      </c>
      <c r="P1012" t="s">
        <v>828</v>
      </c>
      <c r="Q1012" t="s">
        <v>587</v>
      </c>
      <c r="R1012" t="s">
        <v>811</v>
      </c>
      <c r="S1012" t="s">
        <v>829</v>
      </c>
      <c r="T1012" t="s">
        <v>408</v>
      </c>
      <c r="U1012">
        <v>50950081266</v>
      </c>
      <c r="W1012">
        <v>3840</v>
      </c>
      <c r="X1012" t="s">
        <v>409</v>
      </c>
      <c r="Y1012" t="s">
        <v>410</v>
      </c>
      <c r="Z1012" t="s">
        <v>410</v>
      </c>
      <c r="AA1012" t="s">
        <v>411</v>
      </c>
      <c r="AB1012" t="s">
        <v>554</v>
      </c>
      <c r="AC1012" t="s">
        <v>411</v>
      </c>
      <c r="AD1012">
        <v>46119</v>
      </c>
      <c r="AE1012">
        <v>46174</v>
      </c>
      <c r="AF1012">
        <v>46127</v>
      </c>
      <c r="AG1012" t="s">
        <v>754</v>
      </c>
      <c r="AH1012">
        <v>6185479</v>
      </c>
      <c r="AI1012">
        <v>46122</v>
      </c>
      <c r="AJ1012">
        <v>46123</v>
      </c>
      <c r="AK1012">
        <v>3840</v>
      </c>
      <c r="AL1012" t="s">
        <v>396</v>
      </c>
      <c r="AM1012" t="s">
        <v>3095</v>
      </c>
      <c r="AN1012">
        <v>46123</v>
      </c>
      <c r="AO1012">
        <v>46123.435370370367</v>
      </c>
      <c r="AP1012" t="s">
        <v>51</v>
      </c>
      <c r="AQ1012">
        <v>1.98325</v>
      </c>
      <c r="AR1012">
        <v>7615.68</v>
      </c>
      <c r="AS1012" t="s">
        <v>51</v>
      </c>
      <c r="AT1012">
        <v>7615.68</v>
      </c>
      <c r="AU1012" t="s">
        <v>415</v>
      </c>
      <c r="AV1012" t="s">
        <v>557</v>
      </c>
      <c r="AW1012" t="s">
        <v>2986</v>
      </c>
      <c r="AX1012">
        <v>46127</v>
      </c>
      <c r="AY1012">
        <v>46176</v>
      </c>
      <c r="AZ1012" t="s">
        <v>3087</v>
      </c>
      <c r="BA1012" t="s">
        <v>560</v>
      </c>
      <c r="BB1012" t="s">
        <v>3088</v>
      </c>
      <c r="BC1012">
        <v>16</v>
      </c>
      <c r="BD1012" t="s">
        <v>521</v>
      </c>
      <c r="BE1012">
        <v>4.9409000000000001</v>
      </c>
      <c r="BF1012">
        <v>3.7418999999999998</v>
      </c>
      <c r="BG1012" t="s">
        <v>522</v>
      </c>
      <c r="BH1012">
        <v>495</v>
      </c>
      <c r="BI1012">
        <v>395</v>
      </c>
      <c r="BJ1012">
        <v>190</v>
      </c>
      <c r="BK1012">
        <v>30</v>
      </c>
      <c r="BL1012" t="s">
        <v>521</v>
      </c>
      <c r="BM1012">
        <v>175.227</v>
      </c>
      <c r="BN1012">
        <v>112.25700000000001</v>
      </c>
      <c r="BO1012">
        <v>1401.8208</v>
      </c>
      <c r="BP1012" t="s">
        <v>522</v>
      </c>
      <c r="BQ1012">
        <v>1200</v>
      </c>
      <c r="BR1012">
        <v>1000</v>
      </c>
      <c r="BS1012">
        <v>1120</v>
      </c>
      <c r="BT1012">
        <v>8</v>
      </c>
      <c r="BU1012">
        <v>0</v>
      </c>
      <c r="BV1012">
        <v>8</v>
      </c>
      <c r="BW1012">
        <v>240</v>
      </c>
      <c r="BX1012">
        <v>0</v>
      </c>
      <c r="BY1012">
        <v>240</v>
      </c>
      <c r="BZ1012">
        <v>3840</v>
      </c>
      <c r="CA1012">
        <v>0</v>
      </c>
      <c r="CB1012">
        <v>3840</v>
      </c>
      <c r="CC1012">
        <v>898.06079999999997</v>
      </c>
      <c r="CD1012" t="s">
        <v>806</v>
      </c>
      <c r="CE1012" t="s">
        <v>816</v>
      </c>
      <c r="CG1012" t="s">
        <v>421</v>
      </c>
      <c r="CN1012" t="str">
        <v>M19</v>
      </c>
      <c r="CO1012" t="str">
        <v>1322-5YY0003EP</v>
      </c>
      <c r="CP1012" t="str">
        <v>TRHU4923520</v>
      </c>
      <c r="CQ1012" s="23">
        <v>56.984000000000002</v>
      </c>
      <c r="CR1012" s="25">
        <f t="shared" si="39"/>
        <v>5.645994292009948E-3</v>
      </c>
      <c r="CS1012" s="21">
        <f t="shared" si="40"/>
        <v>14.11498573002487</v>
      </c>
    </row>
    <row r="1013" spans="2:97" x14ac:dyDescent="0.35">
      <c r="B1013" t="s">
        <v>299</v>
      </c>
      <c r="C1013" t="s">
        <v>2698</v>
      </c>
      <c r="D1013" t="s">
        <v>395</v>
      </c>
      <c r="E1013" t="s">
        <v>823</v>
      </c>
      <c r="F1013" t="s">
        <v>396</v>
      </c>
      <c r="G1013" t="s">
        <v>397</v>
      </c>
      <c r="H1013" t="s">
        <v>398</v>
      </c>
      <c r="I1013" t="s">
        <v>399</v>
      </c>
      <c r="J1013" t="s">
        <v>749</v>
      </c>
      <c r="K1013" t="s">
        <v>809</v>
      </c>
      <c r="L1013" t="s">
        <v>787</v>
      </c>
      <c r="M1013" t="s">
        <v>403</v>
      </c>
      <c r="N1013">
        <v>1</v>
      </c>
      <c r="O1013">
        <v>5</v>
      </c>
      <c r="P1013" t="s">
        <v>824</v>
      </c>
      <c r="Q1013" t="s">
        <v>424</v>
      </c>
      <c r="R1013" t="s">
        <v>811</v>
      </c>
      <c r="S1013" t="s">
        <v>825</v>
      </c>
      <c r="T1013" t="s">
        <v>408</v>
      </c>
      <c r="U1013">
        <v>50950081268</v>
      </c>
      <c r="W1013">
        <v>2880</v>
      </c>
      <c r="X1013" t="s">
        <v>409</v>
      </c>
      <c r="Y1013" t="s">
        <v>410</v>
      </c>
      <c r="Z1013" t="s">
        <v>410</v>
      </c>
      <c r="AA1013" t="s">
        <v>411</v>
      </c>
      <c r="AB1013" t="s">
        <v>554</v>
      </c>
      <c r="AC1013" t="s">
        <v>411</v>
      </c>
      <c r="AD1013">
        <v>46102</v>
      </c>
      <c r="AE1013">
        <v>46160</v>
      </c>
      <c r="AF1013">
        <v>46127</v>
      </c>
      <c r="AG1013" t="s">
        <v>754</v>
      </c>
      <c r="AH1013">
        <v>6185480</v>
      </c>
      <c r="AI1013">
        <v>46122</v>
      </c>
      <c r="AJ1013">
        <v>46123</v>
      </c>
      <c r="AK1013">
        <v>2880</v>
      </c>
      <c r="AL1013" t="s">
        <v>396</v>
      </c>
      <c r="AM1013" t="s">
        <v>3096</v>
      </c>
      <c r="AN1013">
        <v>46123</v>
      </c>
      <c r="AO1013">
        <v>46123.435370370367</v>
      </c>
      <c r="AP1013" t="s">
        <v>51</v>
      </c>
      <c r="AQ1013">
        <v>1.3411999999999999</v>
      </c>
      <c r="AR1013">
        <v>3862.66</v>
      </c>
      <c r="AS1013" t="s">
        <v>51</v>
      </c>
      <c r="AT1013">
        <v>3862.66</v>
      </c>
      <c r="AU1013" t="s">
        <v>415</v>
      </c>
      <c r="AV1013" t="s">
        <v>557</v>
      </c>
      <c r="AW1013" t="s">
        <v>2986</v>
      </c>
      <c r="AX1013">
        <v>46127</v>
      </c>
      <c r="AY1013">
        <v>46176</v>
      </c>
      <c r="AZ1013" t="s">
        <v>3087</v>
      </c>
      <c r="BA1013" t="s">
        <v>560</v>
      </c>
      <c r="BB1013" t="s">
        <v>3088</v>
      </c>
      <c r="BC1013">
        <v>48</v>
      </c>
      <c r="BD1013" t="s">
        <v>521</v>
      </c>
      <c r="BE1013">
        <v>8.2250999999999994</v>
      </c>
      <c r="BF1013">
        <v>6.7651000000000003</v>
      </c>
      <c r="BG1013" t="s">
        <v>522</v>
      </c>
      <c r="BH1013">
        <v>495</v>
      </c>
      <c r="BI1013">
        <v>395</v>
      </c>
      <c r="BJ1013">
        <v>190</v>
      </c>
      <c r="BK1013">
        <v>30</v>
      </c>
      <c r="BL1013" t="s">
        <v>521</v>
      </c>
      <c r="BM1013">
        <v>273.75299999999999</v>
      </c>
      <c r="BN1013">
        <v>202.953</v>
      </c>
      <c r="BO1013">
        <v>547.50720000000001</v>
      </c>
      <c r="BP1013" t="s">
        <v>522</v>
      </c>
      <c r="BQ1013">
        <v>1200</v>
      </c>
      <c r="BR1013">
        <v>1000</v>
      </c>
      <c r="BS1013">
        <v>1120</v>
      </c>
      <c r="BT1013">
        <v>2</v>
      </c>
      <c r="BU1013">
        <v>0</v>
      </c>
      <c r="BV1013">
        <v>2</v>
      </c>
      <c r="BW1013">
        <v>60</v>
      </c>
      <c r="BX1013">
        <v>0</v>
      </c>
      <c r="BY1013">
        <v>60</v>
      </c>
      <c r="BZ1013">
        <v>2880</v>
      </c>
      <c r="CA1013">
        <v>0</v>
      </c>
      <c r="CB1013">
        <v>2880</v>
      </c>
      <c r="CC1013">
        <v>405.90719999999999</v>
      </c>
      <c r="CD1013" t="s">
        <v>806</v>
      </c>
      <c r="CE1013" t="s">
        <v>821</v>
      </c>
      <c r="CG1013" t="s">
        <v>421</v>
      </c>
      <c r="CN1013" t="str">
        <v>M19</v>
      </c>
      <c r="CO1013" t="str">
        <v>1322-5YY0003EP</v>
      </c>
      <c r="CP1013" t="str">
        <v>TRHU4923520</v>
      </c>
      <c r="CQ1013" s="23">
        <v>56.984000000000002</v>
      </c>
      <c r="CR1013" s="25">
        <f t="shared" si="39"/>
        <v>5.645994292009948E-3</v>
      </c>
      <c r="CS1013" s="21">
        <f t="shared" si="40"/>
        <v>14.11498573002487</v>
      </c>
    </row>
    <row r="1014" spans="2:97" x14ac:dyDescent="0.35">
      <c r="B1014" t="s">
        <v>299</v>
      </c>
      <c r="C1014" t="s">
        <v>2394</v>
      </c>
      <c r="D1014" t="s">
        <v>395</v>
      </c>
      <c r="E1014" t="s">
        <v>395</v>
      </c>
      <c r="F1014" t="s">
        <v>396</v>
      </c>
      <c r="G1014" t="s">
        <v>397</v>
      </c>
      <c r="H1014" t="s">
        <v>398</v>
      </c>
      <c r="I1014" t="s">
        <v>399</v>
      </c>
      <c r="J1014" t="s">
        <v>749</v>
      </c>
      <c r="K1014" t="s">
        <v>809</v>
      </c>
      <c r="L1014" t="s">
        <v>787</v>
      </c>
      <c r="M1014" t="s">
        <v>403</v>
      </c>
      <c r="N1014">
        <v>1</v>
      </c>
      <c r="O1014">
        <v>8</v>
      </c>
      <c r="P1014" t="s">
        <v>818</v>
      </c>
      <c r="Q1014" t="s">
        <v>430</v>
      </c>
      <c r="R1014" t="s">
        <v>811</v>
      </c>
      <c r="S1014" t="s">
        <v>819</v>
      </c>
      <c r="T1014" t="s">
        <v>408</v>
      </c>
      <c r="U1014">
        <v>50950081244</v>
      </c>
      <c r="W1014">
        <v>1440</v>
      </c>
      <c r="X1014" t="s">
        <v>409</v>
      </c>
      <c r="Y1014" t="s">
        <v>410</v>
      </c>
      <c r="Z1014" t="s">
        <v>410</v>
      </c>
      <c r="AA1014" t="s">
        <v>411</v>
      </c>
      <c r="AB1014" t="s">
        <v>554</v>
      </c>
      <c r="AC1014" t="s">
        <v>411</v>
      </c>
      <c r="AD1014">
        <v>46119</v>
      </c>
      <c r="AE1014">
        <v>46167</v>
      </c>
      <c r="AF1014">
        <v>46127</v>
      </c>
      <c r="AG1014" t="s">
        <v>754</v>
      </c>
      <c r="AH1014">
        <v>6185481</v>
      </c>
      <c r="AI1014">
        <v>46122</v>
      </c>
      <c r="AJ1014">
        <v>46123</v>
      </c>
      <c r="AK1014">
        <v>1440</v>
      </c>
      <c r="AL1014" t="s">
        <v>396</v>
      </c>
      <c r="AM1014" t="s">
        <v>3097</v>
      </c>
      <c r="AN1014">
        <v>46123</v>
      </c>
      <c r="AO1014">
        <v>46123.435370370367</v>
      </c>
      <c r="AP1014" t="s">
        <v>51</v>
      </c>
      <c r="AQ1014">
        <v>1.27105</v>
      </c>
      <c r="AR1014">
        <v>1830.31</v>
      </c>
      <c r="AS1014" t="s">
        <v>51</v>
      </c>
      <c r="AT1014">
        <v>1830.31</v>
      </c>
      <c r="AU1014" t="s">
        <v>415</v>
      </c>
      <c r="AV1014" t="s">
        <v>557</v>
      </c>
      <c r="AW1014" t="s">
        <v>2986</v>
      </c>
      <c r="AX1014">
        <v>46127</v>
      </c>
      <c r="AY1014">
        <v>46176</v>
      </c>
      <c r="AZ1014" t="s">
        <v>3087</v>
      </c>
      <c r="BA1014" t="s">
        <v>560</v>
      </c>
      <c r="BB1014" t="s">
        <v>3088</v>
      </c>
      <c r="BC1014">
        <v>48</v>
      </c>
      <c r="BD1014" t="s">
        <v>521</v>
      </c>
      <c r="BE1014">
        <v>7.6898999999999997</v>
      </c>
      <c r="BF1014">
        <v>6.2298999999999998</v>
      </c>
      <c r="BG1014" t="s">
        <v>522</v>
      </c>
      <c r="BH1014">
        <v>495</v>
      </c>
      <c r="BI1014">
        <v>395</v>
      </c>
      <c r="BJ1014">
        <v>190</v>
      </c>
      <c r="BK1014">
        <v>30</v>
      </c>
      <c r="BL1014" t="s">
        <v>521</v>
      </c>
      <c r="BM1014">
        <v>257.69760000000002</v>
      </c>
      <c r="BN1014">
        <v>186.89760000000001</v>
      </c>
      <c r="BO1014">
        <v>257.69760000000002</v>
      </c>
      <c r="BP1014" t="s">
        <v>522</v>
      </c>
      <c r="BQ1014">
        <v>1200</v>
      </c>
      <c r="BR1014">
        <v>1000</v>
      </c>
      <c r="BS1014">
        <v>1120</v>
      </c>
      <c r="BT1014">
        <v>1</v>
      </c>
      <c r="BU1014">
        <v>0</v>
      </c>
      <c r="BV1014">
        <v>1</v>
      </c>
      <c r="BW1014">
        <v>30</v>
      </c>
      <c r="BX1014">
        <v>0</v>
      </c>
      <c r="BY1014">
        <v>30</v>
      </c>
      <c r="BZ1014">
        <v>1440</v>
      </c>
      <c r="CA1014">
        <v>0</v>
      </c>
      <c r="CB1014">
        <v>1440</v>
      </c>
      <c r="CC1014">
        <v>186.89760000000001</v>
      </c>
      <c r="CD1014" t="s">
        <v>806</v>
      </c>
      <c r="CE1014" t="s">
        <v>821</v>
      </c>
      <c r="CG1014" t="s">
        <v>421</v>
      </c>
      <c r="CN1014" t="str">
        <v>M01</v>
      </c>
      <c r="CO1014" t="str">
        <v>1204-0035710EN</v>
      </c>
      <c r="CP1014" t="str">
        <v>TRHU4923520</v>
      </c>
      <c r="CQ1014" s="23">
        <v>14.117850000000001</v>
      </c>
      <c r="CR1014" s="25">
        <f t="shared" si="39"/>
        <v>1.3988014269874463E-3</v>
      </c>
      <c r="CS1014" s="21">
        <f t="shared" si="40"/>
        <v>3.497003567468616</v>
      </c>
    </row>
    <row r="1015" spans="2:97" x14ac:dyDescent="0.35">
      <c r="B1015" t="s">
        <v>299</v>
      </c>
      <c r="C1015" t="s">
        <v>3098</v>
      </c>
      <c r="D1015" t="s">
        <v>395</v>
      </c>
      <c r="E1015" t="s">
        <v>823</v>
      </c>
      <c r="F1015" t="s">
        <v>396</v>
      </c>
      <c r="G1015" t="s">
        <v>397</v>
      </c>
      <c r="H1015" t="s">
        <v>398</v>
      </c>
      <c r="I1015" t="s">
        <v>399</v>
      </c>
      <c r="J1015" t="s">
        <v>749</v>
      </c>
      <c r="K1015" t="s">
        <v>809</v>
      </c>
      <c r="L1015" t="s">
        <v>787</v>
      </c>
      <c r="M1015" t="s">
        <v>403</v>
      </c>
      <c r="N1015">
        <v>1</v>
      </c>
      <c r="O1015">
        <v>1</v>
      </c>
      <c r="P1015" t="s">
        <v>824</v>
      </c>
      <c r="Q1015" t="s">
        <v>424</v>
      </c>
      <c r="R1015" t="s">
        <v>811</v>
      </c>
      <c r="S1015" t="s">
        <v>825</v>
      </c>
      <c r="T1015" t="s">
        <v>408</v>
      </c>
      <c r="U1015">
        <v>50950081222</v>
      </c>
      <c r="W1015">
        <v>1440</v>
      </c>
      <c r="X1015" t="s">
        <v>409</v>
      </c>
      <c r="Y1015" t="s">
        <v>410</v>
      </c>
      <c r="Z1015" t="s">
        <v>410</v>
      </c>
      <c r="AA1015" t="s">
        <v>411</v>
      </c>
      <c r="AB1015" t="s">
        <v>554</v>
      </c>
      <c r="AC1015" t="s">
        <v>411</v>
      </c>
      <c r="AD1015">
        <v>46109</v>
      </c>
      <c r="AE1015">
        <v>46167</v>
      </c>
      <c r="AF1015">
        <v>46127</v>
      </c>
      <c r="AG1015" t="s">
        <v>754</v>
      </c>
      <c r="AH1015">
        <v>6185482</v>
      </c>
      <c r="AI1015">
        <v>46122</v>
      </c>
      <c r="AJ1015">
        <v>46123</v>
      </c>
      <c r="AK1015">
        <v>1440</v>
      </c>
      <c r="AL1015" t="s">
        <v>396</v>
      </c>
      <c r="AM1015" t="s">
        <v>3099</v>
      </c>
      <c r="AN1015">
        <v>46123</v>
      </c>
      <c r="AO1015">
        <v>46123.435370370367</v>
      </c>
      <c r="AP1015" t="s">
        <v>51</v>
      </c>
      <c r="AQ1015">
        <v>1.3411999999999999</v>
      </c>
      <c r="AR1015">
        <v>1931.33</v>
      </c>
      <c r="AS1015" t="s">
        <v>51</v>
      </c>
      <c r="AT1015">
        <v>1931.33</v>
      </c>
      <c r="AU1015" t="s">
        <v>415</v>
      </c>
      <c r="AV1015" t="s">
        <v>557</v>
      </c>
      <c r="AW1015" t="s">
        <v>2986</v>
      </c>
      <c r="AX1015">
        <v>46127</v>
      </c>
      <c r="AY1015">
        <v>46176</v>
      </c>
      <c r="AZ1015" t="s">
        <v>3087</v>
      </c>
      <c r="BA1015" t="s">
        <v>560</v>
      </c>
      <c r="BB1015" t="s">
        <v>3088</v>
      </c>
      <c r="BC1015">
        <v>48</v>
      </c>
      <c r="BD1015" t="s">
        <v>521</v>
      </c>
      <c r="BE1015">
        <v>8.2250999999999994</v>
      </c>
      <c r="BF1015">
        <v>6.7651000000000003</v>
      </c>
      <c r="BG1015" t="s">
        <v>522</v>
      </c>
      <c r="BH1015">
        <v>495</v>
      </c>
      <c r="BI1015">
        <v>395</v>
      </c>
      <c r="BJ1015">
        <v>190</v>
      </c>
      <c r="BK1015">
        <v>30</v>
      </c>
      <c r="BL1015" t="s">
        <v>521</v>
      </c>
      <c r="BM1015">
        <v>273.75360000000001</v>
      </c>
      <c r="BN1015">
        <v>202.95359999999999</v>
      </c>
      <c r="BO1015">
        <v>273.75360000000001</v>
      </c>
      <c r="BP1015" t="s">
        <v>522</v>
      </c>
      <c r="BQ1015">
        <v>1200</v>
      </c>
      <c r="BR1015">
        <v>1000</v>
      </c>
      <c r="BS1015">
        <v>1120</v>
      </c>
      <c r="BT1015">
        <v>1</v>
      </c>
      <c r="BU1015">
        <v>0</v>
      </c>
      <c r="BV1015">
        <v>1</v>
      </c>
      <c r="BW1015">
        <v>30</v>
      </c>
      <c r="BX1015">
        <v>0</v>
      </c>
      <c r="BY1015">
        <v>30</v>
      </c>
      <c r="BZ1015">
        <v>1440</v>
      </c>
      <c r="CA1015">
        <v>0</v>
      </c>
      <c r="CB1015">
        <v>1440</v>
      </c>
      <c r="CC1015">
        <v>202.95359999999999</v>
      </c>
      <c r="CD1015" t="s">
        <v>806</v>
      </c>
      <c r="CE1015" t="s">
        <v>821</v>
      </c>
      <c r="CG1015" t="s">
        <v>421</v>
      </c>
      <c r="CN1015" t="str">
        <v>M23</v>
      </c>
      <c r="CO1015" t="str">
        <v>1308-0065000EN</v>
      </c>
      <c r="CP1015" t="str">
        <v>TRHU4923520</v>
      </c>
      <c r="CQ1015" s="23">
        <v>46.048000000000002</v>
      </c>
      <c r="CR1015" s="25">
        <f t="shared" si="39"/>
        <v>4.5624516558766337E-3</v>
      </c>
      <c r="CS1015" s="21">
        <f t="shared" si="40"/>
        <v>11.406129139691584</v>
      </c>
    </row>
    <row r="1016" spans="2:97" x14ac:dyDescent="0.35">
      <c r="B1016" t="s">
        <v>299</v>
      </c>
      <c r="C1016" t="s">
        <v>3100</v>
      </c>
      <c r="D1016" t="s">
        <v>395</v>
      </c>
      <c r="E1016" t="s">
        <v>395</v>
      </c>
      <c r="F1016" t="s">
        <v>396</v>
      </c>
      <c r="G1016" t="s">
        <v>397</v>
      </c>
      <c r="H1016" t="s">
        <v>398</v>
      </c>
      <c r="I1016" t="s">
        <v>399</v>
      </c>
      <c r="J1016" t="s">
        <v>749</v>
      </c>
      <c r="K1016" t="s">
        <v>845</v>
      </c>
      <c r="L1016" t="s">
        <v>787</v>
      </c>
      <c r="M1016" t="s">
        <v>403</v>
      </c>
      <c r="N1016">
        <v>1</v>
      </c>
      <c r="O1016">
        <v>1</v>
      </c>
      <c r="P1016" t="s">
        <v>1058</v>
      </c>
      <c r="Q1016" t="s">
        <v>430</v>
      </c>
      <c r="R1016" t="s">
        <v>847</v>
      </c>
      <c r="S1016" t="s">
        <v>1059</v>
      </c>
      <c r="T1016" t="s">
        <v>408</v>
      </c>
      <c r="U1016">
        <v>50950081230</v>
      </c>
      <c r="W1016">
        <v>3240</v>
      </c>
      <c r="X1016" t="s">
        <v>409</v>
      </c>
      <c r="Y1016" t="s">
        <v>410</v>
      </c>
      <c r="Z1016" t="s">
        <v>410</v>
      </c>
      <c r="AA1016" t="s">
        <v>411</v>
      </c>
      <c r="AB1016" t="s">
        <v>554</v>
      </c>
      <c r="AC1016" t="s">
        <v>411</v>
      </c>
      <c r="AD1016">
        <v>46116</v>
      </c>
      <c r="AE1016">
        <v>46174</v>
      </c>
      <c r="AF1016">
        <v>46127</v>
      </c>
      <c r="AG1016" t="s">
        <v>754</v>
      </c>
      <c r="AH1016">
        <v>6185483</v>
      </c>
      <c r="AI1016">
        <v>46122</v>
      </c>
      <c r="AJ1016">
        <v>46123</v>
      </c>
      <c r="AK1016">
        <v>3240</v>
      </c>
      <c r="AL1016" t="s">
        <v>396</v>
      </c>
      <c r="AM1016" t="s">
        <v>3101</v>
      </c>
      <c r="AN1016">
        <v>46123</v>
      </c>
      <c r="AO1016">
        <v>46123.435370370367</v>
      </c>
      <c r="AP1016" t="s">
        <v>51</v>
      </c>
      <c r="AQ1016">
        <v>1.3774200000000001</v>
      </c>
      <c r="AR1016">
        <v>4462.84</v>
      </c>
      <c r="AS1016" t="s">
        <v>51</v>
      </c>
      <c r="AT1016">
        <v>4462.84</v>
      </c>
      <c r="AU1016" t="s">
        <v>415</v>
      </c>
      <c r="AV1016" t="s">
        <v>557</v>
      </c>
      <c r="AW1016" t="s">
        <v>2986</v>
      </c>
      <c r="AX1016">
        <v>46127</v>
      </c>
      <c r="AY1016">
        <v>46176</v>
      </c>
      <c r="AZ1016" t="s">
        <v>3087</v>
      </c>
      <c r="BA1016" t="s">
        <v>560</v>
      </c>
      <c r="BB1016" t="s">
        <v>3088</v>
      </c>
      <c r="BC1016">
        <v>27</v>
      </c>
      <c r="BD1016" t="s">
        <v>521</v>
      </c>
      <c r="BE1016">
        <v>13.9528</v>
      </c>
      <c r="BF1016">
        <v>12.7248</v>
      </c>
      <c r="BG1016" t="s">
        <v>522</v>
      </c>
      <c r="BH1016">
        <v>495</v>
      </c>
      <c r="BI1016">
        <v>395</v>
      </c>
      <c r="BJ1016">
        <v>170</v>
      </c>
      <c r="BK1016">
        <v>30</v>
      </c>
      <c r="BL1016" t="s">
        <v>521</v>
      </c>
      <c r="BM1016">
        <v>445.584</v>
      </c>
      <c r="BN1016">
        <v>381.74400000000003</v>
      </c>
      <c r="BO1016">
        <v>1782.3396</v>
      </c>
      <c r="BP1016" t="s">
        <v>522</v>
      </c>
      <c r="BQ1016">
        <v>1200</v>
      </c>
      <c r="BR1016">
        <v>1000</v>
      </c>
      <c r="BS1016">
        <v>1000</v>
      </c>
      <c r="BT1016">
        <v>4</v>
      </c>
      <c r="BU1016">
        <v>0</v>
      </c>
      <c r="BV1016">
        <v>4</v>
      </c>
      <c r="BW1016">
        <v>120</v>
      </c>
      <c r="BX1016">
        <v>0</v>
      </c>
      <c r="BY1016">
        <v>120</v>
      </c>
      <c r="BZ1016">
        <v>3240</v>
      </c>
      <c r="CA1016">
        <v>0</v>
      </c>
      <c r="CB1016">
        <v>3240</v>
      </c>
      <c r="CC1016">
        <v>1526.9795999999999</v>
      </c>
      <c r="CD1016" t="s">
        <v>850</v>
      </c>
      <c r="CE1016" t="s">
        <v>851</v>
      </c>
      <c r="CG1016" t="s">
        <v>421</v>
      </c>
      <c r="CN1016" t="str">
        <v>M46</v>
      </c>
      <c r="CO1016" t="str">
        <v>1101-EQN0004EN</v>
      </c>
      <c r="CP1016" t="str">
        <v>TRHU4923520</v>
      </c>
      <c r="CQ1016" s="23">
        <v>88.147199999999998</v>
      </c>
      <c r="CR1016" s="25">
        <f t="shared" si="39"/>
        <v>8.7336548514786484E-3</v>
      </c>
      <c r="CS1016" s="21">
        <f t="shared" si="40"/>
        <v>21.834137128696621</v>
      </c>
    </row>
    <row r="1017" spans="2:97" x14ac:dyDescent="0.35">
      <c r="B1017" t="s">
        <v>296</v>
      </c>
      <c r="C1017" t="s">
        <v>3102</v>
      </c>
      <c r="D1017" t="s">
        <v>395</v>
      </c>
      <c r="E1017" t="s">
        <v>395</v>
      </c>
      <c r="F1017" t="s">
        <v>396</v>
      </c>
      <c r="G1017" t="s">
        <v>397</v>
      </c>
      <c r="H1017" t="s">
        <v>398</v>
      </c>
      <c r="I1017" t="s">
        <v>399</v>
      </c>
      <c r="J1017" t="s">
        <v>749</v>
      </c>
      <c r="K1017" t="s">
        <v>1142</v>
      </c>
      <c r="L1017" t="s">
        <v>787</v>
      </c>
      <c r="M1017" t="s">
        <v>403</v>
      </c>
      <c r="N1017">
        <v>1</v>
      </c>
      <c r="O1017">
        <v>1</v>
      </c>
      <c r="P1017" t="s">
        <v>1163</v>
      </c>
      <c r="Q1017" t="s">
        <v>430</v>
      </c>
      <c r="R1017" t="s">
        <v>1164</v>
      </c>
      <c r="S1017" t="s">
        <v>1165</v>
      </c>
      <c r="T1017" t="s">
        <v>408</v>
      </c>
      <c r="U1017">
        <v>50950081866</v>
      </c>
      <c r="W1017">
        <v>60480</v>
      </c>
      <c r="X1017" t="s">
        <v>409</v>
      </c>
      <c r="Y1017" t="s">
        <v>410</v>
      </c>
      <c r="Z1017" t="s">
        <v>410</v>
      </c>
      <c r="AA1017" t="s">
        <v>411</v>
      </c>
      <c r="AB1017" t="s">
        <v>554</v>
      </c>
      <c r="AC1017" t="s">
        <v>411</v>
      </c>
      <c r="AD1017">
        <v>46123</v>
      </c>
      <c r="AE1017">
        <v>46181</v>
      </c>
      <c r="AF1017">
        <v>46127</v>
      </c>
      <c r="AG1017" t="s">
        <v>754</v>
      </c>
      <c r="AH1017">
        <v>6185484</v>
      </c>
      <c r="AI1017">
        <v>46122</v>
      </c>
      <c r="AJ1017">
        <v>46123</v>
      </c>
      <c r="AK1017">
        <v>60480</v>
      </c>
      <c r="AL1017" t="s">
        <v>396</v>
      </c>
      <c r="AM1017" t="s">
        <v>3103</v>
      </c>
      <c r="AN1017">
        <v>46123</v>
      </c>
      <c r="AO1017">
        <v>46123.435370370367</v>
      </c>
      <c r="AP1017" t="s">
        <v>51</v>
      </c>
      <c r="AQ1017">
        <v>0.11777</v>
      </c>
      <c r="AR1017">
        <v>7122.72</v>
      </c>
      <c r="AS1017" t="s">
        <v>51</v>
      </c>
      <c r="AT1017">
        <v>7122.72</v>
      </c>
      <c r="AU1017" t="s">
        <v>415</v>
      </c>
      <c r="AV1017" t="s">
        <v>557</v>
      </c>
      <c r="AW1017" t="s">
        <v>2986</v>
      </c>
      <c r="AX1017">
        <v>46127</v>
      </c>
      <c r="AY1017">
        <v>46176</v>
      </c>
      <c r="AZ1017" t="s">
        <v>3087</v>
      </c>
      <c r="BA1017" t="s">
        <v>560</v>
      </c>
      <c r="BB1017" t="s">
        <v>3088</v>
      </c>
      <c r="BC1017">
        <v>7560</v>
      </c>
      <c r="BD1017" t="s">
        <v>521</v>
      </c>
      <c r="BE1017">
        <v>637.24480000000005</v>
      </c>
      <c r="BF1017">
        <v>616.74480000000005</v>
      </c>
      <c r="BG1017" t="s">
        <v>522</v>
      </c>
      <c r="BH1017">
        <v>1050</v>
      </c>
      <c r="BI1017">
        <v>480</v>
      </c>
      <c r="BJ1017">
        <v>460</v>
      </c>
      <c r="BK1017">
        <v>1</v>
      </c>
      <c r="BL1017" t="s">
        <v>521</v>
      </c>
      <c r="BM1017">
        <v>637.24490000000003</v>
      </c>
      <c r="BN1017">
        <v>616.74480000000005</v>
      </c>
      <c r="BO1017">
        <v>5097.9592000000002</v>
      </c>
      <c r="BP1017" t="s">
        <v>522</v>
      </c>
      <c r="BQ1017">
        <v>1050</v>
      </c>
      <c r="BR1017">
        <v>480</v>
      </c>
      <c r="BS1017">
        <v>480</v>
      </c>
      <c r="BT1017">
        <v>8</v>
      </c>
      <c r="BU1017">
        <v>0</v>
      </c>
      <c r="BV1017">
        <v>8</v>
      </c>
      <c r="BW1017">
        <v>8</v>
      </c>
      <c r="BX1017">
        <v>0</v>
      </c>
      <c r="BY1017">
        <v>8</v>
      </c>
      <c r="BZ1017">
        <v>60480</v>
      </c>
      <c r="CA1017">
        <v>0</v>
      </c>
      <c r="CB1017">
        <v>60480</v>
      </c>
      <c r="CC1017">
        <v>4933.9584000000004</v>
      </c>
      <c r="CD1017" t="s">
        <v>641</v>
      </c>
      <c r="CE1017" t="s">
        <v>1147</v>
      </c>
      <c r="CG1017" t="s">
        <v>421</v>
      </c>
      <c r="CN1017" t="str">
        <v>M46</v>
      </c>
      <c r="CO1017" t="str">
        <v>1101-EQN0004EN</v>
      </c>
      <c r="CP1017" t="str">
        <v>TRHU4923520</v>
      </c>
      <c r="CQ1017" s="23">
        <v>48.073599999999999</v>
      </c>
      <c r="CR1017" s="25">
        <f t="shared" si="39"/>
        <v>4.7631487995993512E-3</v>
      </c>
      <c r="CS1017" s="21">
        <f t="shared" si="40"/>
        <v>11.907871998998377</v>
      </c>
    </row>
    <row r="1018" spans="2:97" x14ac:dyDescent="0.35">
      <c r="B1018" t="s">
        <v>296</v>
      </c>
      <c r="C1018" t="s">
        <v>3104</v>
      </c>
      <c r="D1018" t="s">
        <v>395</v>
      </c>
      <c r="E1018" t="s">
        <v>395</v>
      </c>
      <c r="F1018" t="s">
        <v>396</v>
      </c>
      <c r="G1018" t="s">
        <v>397</v>
      </c>
      <c r="H1018" t="s">
        <v>398</v>
      </c>
      <c r="I1018" t="s">
        <v>399</v>
      </c>
      <c r="J1018" t="s">
        <v>749</v>
      </c>
      <c r="K1018" t="s">
        <v>1142</v>
      </c>
      <c r="L1018" t="s">
        <v>787</v>
      </c>
      <c r="M1018" t="s">
        <v>403</v>
      </c>
      <c r="N1018">
        <v>1</v>
      </c>
      <c r="O1018">
        <v>1</v>
      </c>
      <c r="P1018" t="s">
        <v>1168</v>
      </c>
      <c r="Q1018" t="s">
        <v>430</v>
      </c>
      <c r="R1018" t="s">
        <v>1164</v>
      </c>
      <c r="S1018" t="s">
        <v>1165</v>
      </c>
      <c r="T1018" t="s">
        <v>408</v>
      </c>
      <c r="U1018">
        <v>50950081846</v>
      </c>
      <c r="W1018">
        <v>52920</v>
      </c>
      <c r="X1018" t="s">
        <v>409</v>
      </c>
      <c r="Y1018" t="s">
        <v>410</v>
      </c>
      <c r="Z1018" t="s">
        <v>410</v>
      </c>
      <c r="AA1018" t="s">
        <v>411</v>
      </c>
      <c r="AB1018" t="s">
        <v>554</v>
      </c>
      <c r="AC1018" t="s">
        <v>411</v>
      </c>
      <c r="AD1018">
        <v>46123</v>
      </c>
      <c r="AE1018">
        <v>46181</v>
      </c>
      <c r="AF1018">
        <v>46127</v>
      </c>
      <c r="AG1018" t="s">
        <v>754</v>
      </c>
      <c r="AH1018">
        <v>6185485</v>
      </c>
      <c r="AI1018">
        <v>46122</v>
      </c>
      <c r="AJ1018">
        <v>46123</v>
      </c>
      <c r="AK1018">
        <v>52920</v>
      </c>
      <c r="AL1018" t="s">
        <v>396</v>
      </c>
      <c r="AM1018" t="s">
        <v>3105</v>
      </c>
      <c r="AN1018">
        <v>46123</v>
      </c>
      <c r="AO1018">
        <v>46123.435370370367</v>
      </c>
      <c r="AP1018" t="s">
        <v>51</v>
      </c>
      <c r="AQ1018">
        <v>0.11794</v>
      </c>
      <c r="AR1018">
        <v>6241.41</v>
      </c>
      <c r="AS1018" t="s">
        <v>51</v>
      </c>
      <c r="AT1018">
        <v>6241.41</v>
      </c>
      <c r="AU1018" t="s">
        <v>415</v>
      </c>
      <c r="AV1018" t="s">
        <v>557</v>
      </c>
      <c r="AW1018" t="s">
        <v>2986</v>
      </c>
      <c r="AX1018">
        <v>46127</v>
      </c>
      <c r="AY1018">
        <v>46176</v>
      </c>
      <c r="AZ1018" t="s">
        <v>3087</v>
      </c>
      <c r="BA1018" t="s">
        <v>560</v>
      </c>
      <c r="BB1018" t="s">
        <v>3088</v>
      </c>
      <c r="BC1018">
        <v>7560</v>
      </c>
      <c r="BD1018" t="s">
        <v>521</v>
      </c>
      <c r="BE1018">
        <v>638.45439999999996</v>
      </c>
      <c r="BF1018">
        <v>617.95439999999996</v>
      </c>
      <c r="BG1018" t="s">
        <v>522</v>
      </c>
      <c r="BH1018">
        <v>1050</v>
      </c>
      <c r="BI1018">
        <v>480</v>
      </c>
      <c r="BJ1018">
        <v>460</v>
      </c>
      <c r="BK1018">
        <v>1</v>
      </c>
      <c r="BL1018" t="s">
        <v>521</v>
      </c>
      <c r="BM1018">
        <v>638.45450000000005</v>
      </c>
      <c r="BN1018">
        <v>617.95439999999996</v>
      </c>
      <c r="BO1018">
        <v>4469.1814999999997</v>
      </c>
      <c r="BP1018" t="s">
        <v>522</v>
      </c>
      <c r="BQ1018">
        <v>1050</v>
      </c>
      <c r="BR1018">
        <v>480</v>
      </c>
      <c r="BS1018">
        <v>480</v>
      </c>
      <c r="BT1018">
        <v>7</v>
      </c>
      <c r="BU1018">
        <v>0</v>
      </c>
      <c r="BV1018">
        <v>7</v>
      </c>
      <c r="BW1018">
        <v>7</v>
      </c>
      <c r="BX1018">
        <v>0</v>
      </c>
      <c r="BY1018">
        <v>7</v>
      </c>
      <c r="BZ1018">
        <v>52920</v>
      </c>
      <c r="CA1018">
        <v>0</v>
      </c>
      <c r="CB1018">
        <v>52920</v>
      </c>
      <c r="CC1018">
        <v>4325.6808000000001</v>
      </c>
      <c r="CD1018" t="s">
        <v>641</v>
      </c>
      <c r="CE1018" t="s">
        <v>1147</v>
      </c>
      <c r="CG1018" t="s">
        <v>421</v>
      </c>
      <c r="CN1018" t="str">
        <v>M46</v>
      </c>
      <c r="CO1018" t="str">
        <v>1202-1060393EN</v>
      </c>
      <c r="CP1018" t="str">
        <v>TRHU4923520</v>
      </c>
      <c r="CQ1018" s="23">
        <v>32.933799999999998</v>
      </c>
      <c r="CR1018" s="25">
        <f t="shared" si="39"/>
        <v>3.263092215607841E-3</v>
      </c>
      <c r="CS1018" s="21">
        <f t="shared" si="40"/>
        <v>8.1577305390196031</v>
      </c>
    </row>
    <row r="1019" spans="2:97" x14ac:dyDescent="0.35">
      <c r="B1019" t="s">
        <v>296</v>
      </c>
      <c r="C1019" t="s">
        <v>3079</v>
      </c>
      <c r="D1019" t="s">
        <v>395</v>
      </c>
      <c r="E1019" t="s">
        <v>395</v>
      </c>
      <c r="F1019" t="s">
        <v>396</v>
      </c>
      <c r="G1019" t="s">
        <v>397</v>
      </c>
      <c r="H1019" t="s">
        <v>398</v>
      </c>
      <c r="I1019" t="s">
        <v>399</v>
      </c>
      <c r="J1019" t="s">
        <v>749</v>
      </c>
      <c r="K1019" t="s">
        <v>1142</v>
      </c>
      <c r="L1019" t="s">
        <v>787</v>
      </c>
      <c r="M1019" t="s">
        <v>403</v>
      </c>
      <c r="N1019">
        <v>1</v>
      </c>
      <c r="O1019">
        <v>3</v>
      </c>
      <c r="P1019" t="s">
        <v>3080</v>
      </c>
      <c r="Q1019" t="s">
        <v>430</v>
      </c>
      <c r="R1019" t="s">
        <v>1654</v>
      </c>
      <c r="S1019" t="s">
        <v>3081</v>
      </c>
      <c r="T1019" t="s">
        <v>408</v>
      </c>
      <c r="U1019">
        <v>50950082718</v>
      </c>
      <c r="W1019">
        <v>8000</v>
      </c>
      <c r="X1019" t="s">
        <v>409</v>
      </c>
      <c r="Y1019" t="s">
        <v>410</v>
      </c>
      <c r="Z1019" t="s">
        <v>410</v>
      </c>
      <c r="AA1019" t="s">
        <v>411</v>
      </c>
      <c r="AB1019" t="s">
        <v>554</v>
      </c>
      <c r="AC1019" t="s">
        <v>411</v>
      </c>
      <c r="AD1019">
        <v>46123</v>
      </c>
      <c r="AE1019">
        <v>46209</v>
      </c>
      <c r="AF1019">
        <v>46127</v>
      </c>
      <c r="AG1019" t="s">
        <v>754</v>
      </c>
      <c r="AH1019">
        <v>6185486</v>
      </c>
      <c r="AI1019">
        <v>46122</v>
      </c>
      <c r="AJ1019">
        <v>46123</v>
      </c>
      <c r="AK1019">
        <v>8000</v>
      </c>
      <c r="AL1019" t="s">
        <v>396</v>
      </c>
      <c r="AM1019" t="s">
        <v>3106</v>
      </c>
      <c r="AN1019">
        <v>46123</v>
      </c>
      <c r="AO1019">
        <v>46123.435370370367</v>
      </c>
      <c r="AP1019" t="s">
        <v>51</v>
      </c>
      <c r="AQ1019">
        <v>6.055E-2</v>
      </c>
      <c r="AR1019">
        <v>484.4</v>
      </c>
      <c r="AS1019" t="s">
        <v>51</v>
      </c>
      <c r="AT1019">
        <v>484.4</v>
      </c>
      <c r="AU1019" t="s">
        <v>415</v>
      </c>
      <c r="AV1019" t="s">
        <v>557</v>
      </c>
      <c r="AW1019" t="s">
        <v>2986</v>
      </c>
      <c r="AX1019">
        <v>46127</v>
      </c>
      <c r="AY1019">
        <v>46176</v>
      </c>
      <c r="AZ1019" t="s">
        <v>3087</v>
      </c>
      <c r="BA1019" t="s">
        <v>560</v>
      </c>
      <c r="BB1019" t="s">
        <v>3088</v>
      </c>
      <c r="BC1019">
        <v>8000</v>
      </c>
      <c r="BD1019" t="s">
        <v>521</v>
      </c>
      <c r="BE1019">
        <v>596.17999999999995</v>
      </c>
      <c r="BF1019">
        <v>575.67999999999995</v>
      </c>
      <c r="BG1019" t="s">
        <v>522</v>
      </c>
      <c r="BH1019">
        <v>1050</v>
      </c>
      <c r="BI1019">
        <v>480</v>
      </c>
      <c r="BJ1019">
        <v>460</v>
      </c>
      <c r="BK1019">
        <v>1</v>
      </c>
      <c r="BL1019" t="s">
        <v>521</v>
      </c>
      <c r="BM1019">
        <v>596.18010000000004</v>
      </c>
      <c r="BN1019">
        <v>575.67999999999995</v>
      </c>
      <c r="BO1019">
        <v>596.18010000000004</v>
      </c>
      <c r="BP1019" t="s">
        <v>522</v>
      </c>
      <c r="BQ1019">
        <v>1050</v>
      </c>
      <c r="BR1019">
        <v>480</v>
      </c>
      <c r="BS1019">
        <v>480</v>
      </c>
      <c r="BT1019">
        <v>1</v>
      </c>
      <c r="BU1019">
        <v>0</v>
      </c>
      <c r="BV1019">
        <v>1</v>
      </c>
      <c r="BW1019">
        <v>1</v>
      </c>
      <c r="BX1019">
        <v>0</v>
      </c>
      <c r="BY1019">
        <v>1</v>
      </c>
      <c r="BZ1019">
        <v>8000</v>
      </c>
      <c r="CA1019">
        <v>0</v>
      </c>
      <c r="CB1019">
        <v>8000</v>
      </c>
      <c r="CC1019">
        <v>575.67999999999995</v>
      </c>
      <c r="CD1019" t="s">
        <v>641</v>
      </c>
      <c r="CE1019" t="s">
        <v>1147</v>
      </c>
      <c r="CG1019" t="s">
        <v>421</v>
      </c>
      <c r="CN1019" t="str">
        <v>M23</v>
      </c>
      <c r="CO1019" t="str">
        <v>1101-1060600EN</v>
      </c>
      <c r="CP1019" t="str">
        <v>TRHU4923520</v>
      </c>
      <c r="CQ1019" s="23">
        <v>259.62</v>
      </c>
      <c r="CR1019" s="25">
        <f t="shared" si="39"/>
        <v>2.5723238770385067E-2</v>
      </c>
      <c r="CS1019" s="21">
        <f t="shared" si="40"/>
        <v>64.308096925962673</v>
      </c>
    </row>
    <row r="1020" spans="2:97" x14ac:dyDescent="0.35">
      <c r="B1020" t="s">
        <v>299</v>
      </c>
      <c r="C1020" t="s">
        <v>3107</v>
      </c>
      <c r="D1020" t="s">
        <v>395</v>
      </c>
      <c r="E1020" t="s">
        <v>395</v>
      </c>
      <c r="F1020" t="s">
        <v>396</v>
      </c>
      <c r="G1020" t="s">
        <v>397</v>
      </c>
      <c r="H1020" t="s">
        <v>398</v>
      </c>
      <c r="I1020" t="s">
        <v>399</v>
      </c>
      <c r="J1020" t="s">
        <v>749</v>
      </c>
      <c r="K1020" t="s">
        <v>809</v>
      </c>
      <c r="L1020" t="s">
        <v>750</v>
      </c>
      <c r="M1020" t="s">
        <v>403</v>
      </c>
      <c r="N1020">
        <v>1</v>
      </c>
      <c r="O1020">
        <v>1</v>
      </c>
      <c r="P1020" t="s">
        <v>1609</v>
      </c>
      <c r="Q1020" t="s">
        <v>1610</v>
      </c>
      <c r="R1020" t="s">
        <v>1509</v>
      </c>
      <c r="S1020" t="s">
        <v>1611</v>
      </c>
      <c r="T1020" t="s">
        <v>408</v>
      </c>
      <c r="U1020">
        <v>50950082951</v>
      </c>
      <c r="W1020">
        <v>1008</v>
      </c>
      <c r="X1020" t="s">
        <v>409</v>
      </c>
      <c r="Y1020" t="s">
        <v>410</v>
      </c>
      <c r="Z1020" t="s">
        <v>410</v>
      </c>
      <c r="AA1020" t="s">
        <v>411</v>
      </c>
      <c r="AB1020" t="s">
        <v>554</v>
      </c>
      <c r="AC1020" t="s">
        <v>411</v>
      </c>
      <c r="AD1020">
        <v>46109</v>
      </c>
      <c r="AE1020">
        <v>46167</v>
      </c>
      <c r="AF1020">
        <v>46127</v>
      </c>
      <c r="AG1020" t="s">
        <v>754</v>
      </c>
      <c r="AH1020">
        <v>6185487</v>
      </c>
      <c r="AI1020">
        <v>46122</v>
      </c>
      <c r="AJ1020">
        <v>46123</v>
      </c>
      <c r="AK1020">
        <v>1008</v>
      </c>
      <c r="AL1020" t="s">
        <v>396</v>
      </c>
      <c r="AM1020" t="s">
        <v>3108</v>
      </c>
      <c r="AN1020">
        <v>46123</v>
      </c>
      <c r="AO1020">
        <v>46123.435370370367</v>
      </c>
      <c r="AP1020" t="s">
        <v>51</v>
      </c>
      <c r="AQ1020">
        <v>1.1509799999999999</v>
      </c>
      <c r="AR1020">
        <v>1160.19</v>
      </c>
      <c r="AS1020" t="s">
        <v>51</v>
      </c>
      <c r="AT1020">
        <v>1160.19</v>
      </c>
      <c r="AU1020" t="s">
        <v>415</v>
      </c>
      <c r="AV1020" t="s">
        <v>557</v>
      </c>
      <c r="AW1020" t="s">
        <v>2986</v>
      </c>
      <c r="AX1020">
        <v>46127</v>
      </c>
      <c r="AY1020">
        <v>46176</v>
      </c>
      <c r="AZ1020" t="s">
        <v>3087</v>
      </c>
      <c r="BA1020" t="s">
        <v>560</v>
      </c>
      <c r="BB1020" t="s">
        <v>3088</v>
      </c>
      <c r="BC1020">
        <v>24</v>
      </c>
      <c r="BD1020" t="s">
        <v>521</v>
      </c>
      <c r="BE1020">
        <v>4.6843000000000004</v>
      </c>
      <c r="BF1020">
        <v>3.2242999999999999</v>
      </c>
      <c r="BG1020" t="s">
        <v>522</v>
      </c>
      <c r="BH1020">
        <v>495</v>
      </c>
      <c r="BI1020">
        <v>395</v>
      </c>
      <c r="BJ1020">
        <v>190</v>
      </c>
      <c r="BK1020">
        <v>30</v>
      </c>
      <c r="BL1020" t="s">
        <v>521</v>
      </c>
      <c r="BM1020">
        <v>167.529</v>
      </c>
      <c r="BN1020">
        <v>96.728999999999999</v>
      </c>
      <c r="BO1020">
        <v>250.73975999999999</v>
      </c>
      <c r="BP1020" t="s">
        <v>522</v>
      </c>
      <c r="BQ1020">
        <v>1200</v>
      </c>
      <c r="BR1020">
        <v>1000</v>
      </c>
      <c r="BS1020">
        <v>1120</v>
      </c>
      <c r="BT1020">
        <v>1</v>
      </c>
      <c r="BU1020">
        <v>1</v>
      </c>
      <c r="BV1020">
        <v>2</v>
      </c>
      <c r="BW1020">
        <v>42</v>
      </c>
      <c r="BX1020">
        <v>0</v>
      </c>
      <c r="BY1020">
        <v>42</v>
      </c>
      <c r="BZ1020">
        <v>720</v>
      </c>
      <c r="CA1020">
        <v>288</v>
      </c>
      <c r="CB1020">
        <v>1008</v>
      </c>
      <c r="CC1020">
        <v>135.41976</v>
      </c>
      <c r="CD1020" t="s">
        <v>806</v>
      </c>
      <c r="CE1020" t="s">
        <v>821</v>
      </c>
      <c r="CG1020" t="s">
        <v>421</v>
      </c>
      <c r="CN1020" t="str">
        <v>M46</v>
      </c>
      <c r="CO1020" t="str">
        <v>1101-EQN0001EN</v>
      </c>
      <c r="CP1020" t="str">
        <v>TRHU4923520</v>
      </c>
      <c r="CQ1020" s="23">
        <v>35.290999999999997</v>
      </c>
      <c r="CR1020" s="25">
        <f t="shared" si="39"/>
        <v>3.496644401223555E-3</v>
      </c>
      <c r="CS1020" s="21">
        <f t="shared" si="40"/>
        <v>8.7416110030588872</v>
      </c>
    </row>
    <row r="1021" spans="2:97" x14ac:dyDescent="0.35">
      <c r="B1021" t="s">
        <v>3497</v>
      </c>
      <c r="C1021" t="s">
        <v>3109</v>
      </c>
      <c r="D1021" t="s">
        <v>395</v>
      </c>
      <c r="E1021" t="s">
        <v>395</v>
      </c>
      <c r="F1021" t="s">
        <v>396</v>
      </c>
      <c r="G1021" t="s">
        <v>397</v>
      </c>
      <c r="H1021" t="s">
        <v>470</v>
      </c>
      <c r="I1021" t="s">
        <v>399</v>
      </c>
      <c r="J1021" t="s">
        <v>400</v>
      </c>
      <c r="K1021" t="s">
        <v>471</v>
      </c>
      <c r="L1021" t="s">
        <v>472</v>
      </c>
      <c r="M1021" t="s">
        <v>403</v>
      </c>
      <c r="N1021">
        <v>1</v>
      </c>
      <c r="O1021">
        <v>1</v>
      </c>
      <c r="P1021" t="s">
        <v>545</v>
      </c>
      <c r="Q1021" t="s">
        <v>424</v>
      </c>
      <c r="R1021" t="s">
        <v>528</v>
      </c>
      <c r="S1021" t="s">
        <v>546</v>
      </c>
      <c r="T1021" t="s">
        <v>408</v>
      </c>
      <c r="U1021">
        <v>50950082332</v>
      </c>
      <c r="W1021">
        <v>1000</v>
      </c>
      <c r="X1021" t="s">
        <v>409</v>
      </c>
      <c r="Y1021" t="s">
        <v>410</v>
      </c>
      <c r="Z1021" t="s">
        <v>410</v>
      </c>
      <c r="AA1021" t="s">
        <v>411</v>
      </c>
      <c r="AB1021" t="s">
        <v>412</v>
      </c>
      <c r="AC1021" t="s">
        <v>411</v>
      </c>
      <c r="AD1021">
        <v>46112</v>
      </c>
      <c r="AE1021">
        <v>46188</v>
      </c>
      <c r="AF1021">
        <v>46125</v>
      </c>
      <c r="AG1021" t="s">
        <v>476</v>
      </c>
      <c r="AH1021">
        <v>6171717</v>
      </c>
      <c r="AI1021">
        <v>46114</v>
      </c>
      <c r="AJ1021">
        <v>46114</v>
      </c>
      <c r="AK1021">
        <v>1000</v>
      </c>
      <c r="AL1021" t="s">
        <v>396</v>
      </c>
      <c r="AM1021" t="s">
        <v>3110</v>
      </c>
      <c r="AN1021">
        <v>46114</v>
      </c>
      <c r="AO1021">
        <v>46114.426759259259</v>
      </c>
      <c r="AP1021" t="s">
        <v>51</v>
      </c>
      <c r="AQ1021">
        <v>6.2474999999999996</v>
      </c>
      <c r="AR1021">
        <v>6247.5</v>
      </c>
      <c r="AS1021" t="s">
        <v>51</v>
      </c>
      <c r="AT1021">
        <v>6247.5</v>
      </c>
      <c r="AU1021" t="s">
        <v>415</v>
      </c>
      <c r="AV1021" t="s">
        <v>416</v>
      </c>
      <c r="AW1021" t="s">
        <v>2848</v>
      </c>
      <c r="AX1021">
        <v>46128</v>
      </c>
      <c r="AZ1021" t="s">
        <v>2849</v>
      </c>
      <c r="BA1021" t="s">
        <v>419</v>
      </c>
      <c r="BB1021" t="s">
        <v>2850</v>
      </c>
      <c r="BO1021" s="23">
        <f>AR1021/AQ1021</f>
        <v>1000.0000000000001</v>
      </c>
      <c r="CG1021" t="s">
        <v>421</v>
      </c>
      <c r="CN1021" t="str">
        <v>M46</v>
      </c>
      <c r="CO1021" t="str">
        <v>21244-99900</v>
      </c>
      <c r="CP1021" t="str">
        <v>TRHU4923520</v>
      </c>
      <c r="CQ1021" s="23">
        <v>334.36</v>
      </c>
      <c r="CR1021" s="25">
        <f t="shared" si="39"/>
        <v>3.3128503640959678E-2</v>
      </c>
      <c r="CS1021" s="21">
        <f t="shared" si="40"/>
        <v>82.821259102399196</v>
      </c>
    </row>
    <row r="1022" spans="2:97" x14ac:dyDescent="0.35">
      <c r="B1022" t="s">
        <v>297</v>
      </c>
      <c r="C1022" t="s">
        <v>3111</v>
      </c>
      <c r="D1022" t="s">
        <v>395</v>
      </c>
      <c r="E1022" t="s">
        <v>395</v>
      </c>
      <c r="F1022" t="s">
        <v>396</v>
      </c>
      <c r="G1022" t="s">
        <v>397</v>
      </c>
      <c r="H1022" t="s">
        <v>398</v>
      </c>
      <c r="I1022" t="s">
        <v>399</v>
      </c>
      <c r="J1022" t="s">
        <v>400</v>
      </c>
      <c r="K1022" t="s">
        <v>401</v>
      </c>
      <c r="L1022" t="s">
        <v>402</v>
      </c>
      <c r="M1022" t="s">
        <v>403</v>
      </c>
      <c r="N1022">
        <v>1</v>
      </c>
      <c r="O1022">
        <v>1</v>
      </c>
      <c r="P1022" t="s">
        <v>1183</v>
      </c>
      <c r="Q1022" t="s">
        <v>637</v>
      </c>
      <c r="R1022" t="s">
        <v>1184</v>
      </c>
      <c r="S1022" t="s">
        <v>1185</v>
      </c>
      <c r="T1022" t="s">
        <v>408</v>
      </c>
      <c r="U1022">
        <v>50950081702</v>
      </c>
      <c r="W1022">
        <v>201600</v>
      </c>
      <c r="X1022" t="s">
        <v>409</v>
      </c>
      <c r="Y1022" t="s">
        <v>410</v>
      </c>
      <c r="Z1022" t="s">
        <v>410</v>
      </c>
      <c r="AA1022" t="s">
        <v>411</v>
      </c>
      <c r="AB1022" t="s">
        <v>412</v>
      </c>
      <c r="AC1022" t="s">
        <v>411</v>
      </c>
      <c r="AD1022">
        <v>46125</v>
      </c>
      <c r="AE1022">
        <v>46181</v>
      </c>
      <c r="AF1022">
        <v>46132</v>
      </c>
      <c r="AG1022" t="s">
        <v>413</v>
      </c>
      <c r="AH1022">
        <v>6190080</v>
      </c>
      <c r="AI1022">
        <v>46125</v>
      </c>
      <c r="AJ1022">
        <v>46125</v>
      </c>
      <c r="AK1022">
        <v>201600</v>
      </c>
      <c r="AL1022" t="s">
        <v>396</v>
      </c>
      <c r="AM1022" t="s">
        <v>3112</v>
      </c>
      <c r="AN1022">
        <v>46125</v>
      </c>
      <c r="AO1022">
        <v>46125.616875</v>
      </c>
      <c r="AP1022" t="s">
        <v>51</v>
      </c>
      <c r="AQ1022">
        <v>6.2280000000000002E-2</v>
      </c>
      <c r="AR1022">
        <v>12555.65</v>
      </c>
      <c r="AS1022" t="s">
        <v>51</v>
      </c>
      <c r="AT1022">
        <v>12555.65</v>
      </c>
      <c r="AU1022" t="s">
        <v>415</v>
      </c>
      <c r="AV1022" t="s">
        <v>772</v>
      </c>
      <c r="AW1022" t="s">
        <v>3113</v>
      </c>
      <c r="AX1022">
        <v>46132</v>
      </c>
      <c r="AY1022">
        <v>46181</v>
      </c>
      <c r="AZ1022" t="s">
        <v>3114</v>
      </c>
      <c r="BA1022" t="s">
        <v>419</v>
      </c>
      <c r="BB1022" t="s">
        <v>3115</v>
      </c>
      <c r="BE1022">
        <v>0</v>
      </c>
      <c r="BF1022">
        <v>0</v>
      </c>
      <c r="BM1022">
        <v>0</v>
      </c>
      <c r="BN1022">
        <v>0</v>
      </c>
      <c r="BO1022">
        <v>20.159996717005907</v>
      </c>
      <c r="CG1022" t="s">
        <v>421</v>
      </c>
      <c r="CN1022" t="str">
        <v>M23</v>
      </c>
      <c r="CO1022" t="str">
        <v>1293-1060012EN</v>
      </c>
      <c r="CP1022" t="str">
        <v>TRHU4923520</v>
      </c>
      <c r="CQ1022" s="23">
        <v>151.46719999999999</v>
      </c>
      <c r="CR1022" s="25">
        <f t="shared" si="39"/>
        <v>1.5007422199682877E-2</v>
      </c>
      <c r="CS1022" s="21">
        <f t="shared" si="40"/>
        <v>37.518555499207196</v>
      </c>
    </row>
    <row r="1023" spans="2:97" x14ac:dyDescent="0.35">
      <c r="B1023" t="s">
        <v>297</v>
      </c>
      <c r="C1023" t="s">
        <v>2231</v>
      </c>
      <c r="D1023" t="s">
        <v>395</v>
      </c>
      <c r="E1023" t="s">
        <v>395</v>
      </c>
      <c r="F1023" t="s">
        <v>396</v>
      </c>
      <c r="G1023" t="s">
        <v>397</v>
      </c>
      <c r="H1023" t="s">
        <v>398</v>
      </c>
      <c r="I1023" t="s">
        <v>399</v>
      </c>
      <c r="J1023" t="s">
        <v>400</v>
      </c>
      <c r="K1023" t="s">
        <v>401</v>
      </c>
      <c r="L1023" t="s">
        <v>402</v>
      </c>
      <c r="M1023" t="s">
        <v>403</v>
      </c>
      <c r="N1023">
        <v>1</v>
      </c>
      <c r="O1023">
        <v>1</v>
      </c>
      <c r="P1023" t="s">
        <v>429</v>
      </c>
      <c r="Q1023" t="s">
        <v>430</v>
      </c>
      <c r="R1023" t="s">
        <v>431</v>
      </c>
      <c r="S1023" t="s">
        <v>432</v>
      </c>
      <c r="T1023" t="s">
        <v>408</v>
      </c>
      <c r="U1023">
        <v>50950081705</v>
      </c>
      <c r="W1023">
        <v>50000</v>
      </c>
      <c r="X1023" t="s">
        <v>409</v>
      </c>
      <c r="Y1023" t="s">
        <v>410</v>
      </c>
      <c r="Z1023" t="s">
        <v>410</v>
      </c>
      <c r="AA1023" t="s">
        <v>411</v>
      </c>
      <c r="AB1023" t="s">
        <v>412</v>
      </c>
      <c r="AC1023" t="s">
        <v>411</v>
      </c>
      <c r="AD1023">
        <v>46122</v>
      </c>
      <c r="AE1023">
        <v>46174</v>
      </c>
      <c r="AF1023">
        <v>46132</v>
      </c>
      <c r="AG1023" t="s">
        <v>413</v>
      </c>
      <c r="AH1023">
        <v>6190074</v>
      </c>
      <c r="AI1023">
        <v>46125</v>
      </c>
      <c r="AJ1023">
        <v>46125</v>
      </c>
      <c r="AK1023">
        <v>50000</v>
      </c>
      <c r="AL1023" t="s">
        <v>396</v>
      </c>
      <c r="AM1023" t="s">
        <v>3116</v>
      </c>
      <c r="AN1023">
        <v>46125</v>
      </c>
      <c r="AO1023">
        <v>46125.616875</v>
      </c>
      <c r="AP1023" t="s">
        <v>51</v>
      </c>
      <c r="AQ1023">
        <v>9.3909999999999993E-2</v>
      </c>
      <c r="AR1023">
        <v>4695.5</v>
      </c>
      <c r="AS1023" t="s">
        <v>51</v>
      </c>
      <c r="AT1023">
        <v>4695.5</v>
      </c>
      <c r="AU1023" t="s">
        <v>415</v>
      </c>
      <c r="AV1023" t="s">
        <v>772</v>
      </c>
      <c r="AW1023" t="s">
        <v>3113</v>
      </c>
      <c r="AX1023">
        <v>46132</v>
      </c>
      <c r="AY1023">
        <v>46181</v>
      </c>
      <c r="AZ1023" t="s">
        <v>3114</v>
      </c>
      <c r="BA1023" t="s">
        <v>419</v>
      </c>
      <c r="BB1023" t="s">
        <v>3115</v>
      </c>
      <c r="BE1023">
        <v>0</v>
      </c>
      <c r="BF1023">
        <v>0</v>
      </c>
      <c r="BM1023">
        <v>0</v>
      </c>
      <c r="BN1023">
        <v>0</v>
      </c>
      <c r="BO1023">
        <v>10</v>
      </c>
      <c r="CG1023" t="s">
        <v>421</v>
      </c>
      <c r="CN1023" t="str">
        <v>M23</v>
      </c>
      <c r="CO1023" t="str">
        <v>1293-1060012EN</v>
      </c>
      <c r="CP1023" t="str">
        <v>TRHU4923520</v>
      </c>
      <c r="CQ1023" s="23">
        <v>454.40159999999997</v>
      </c>
      <c r="CR1023" s="25">
        <f t="shared" si="39"/>
        <v>4.5022266599048635E-2</v>
      </c>
      <c r="CS1023" s="21">
        <f t="shared" si="40"/>
        <v>112.55566649762159</v>
      </c>
    </row>
    <row r="1024" spans="2:97" x14ac:dyDescent="0.35">
      <c r="B1024" t="s">
        <v>297</v>
      </c>
      <c r="C1024" t="s">
        <v>2524</v>
      </c>
      <c r="D1024" t="s">
        <v>395</v>
      </c>
      <c r="E1024" t="s">
        <v>395</v>
      </c>
      <c r="F1024" t="s">
        <v>396</v>
      </c>
      <c r="G1024" t="s">
        <v>397</v>
      </c>
      <c r="H1024" t="s">
        <v>398</v>
      </c>
      <c r="I1024" t="s">
        <v>399</v>
      </c>
      <c r="J1024" t="s">
        <v>400</v>
      </c>
      <c r="K1024" t="s">
        <v>401</v>
      </c>
      <c r="L1024" t="s">
        <v>402</v>
      </c>
      <c r="M1024" t="s">
        <v>403</v>
      </c>
      <c r="N1024">
        <v>1</v>
      </c>
      <c r="O1024">
        <v>1</v>
      </c>
      <c r="P1024" t="s">
        <v>438</v>
      </c>
      <c r="Q1024" t="s">
        <v>424</v>
      </c>
      <c r="R1024" t="s">
        <v>439</v>
      </c>
      <c r="S1024" t="s">
        <v>440</v>
      </c>
      <c r="T1024" t="s">
        <v>408</v>
      </c>
      <c r="U1024">
        <v>50950081706</v>
      </c>
      <c r="W1024">
        <v>185600</v>
      </c>
      <c r="X1024" t="s">
        <v>409</v>
      </c>
      <c r="Y1024" t="s">
        <v>410</v>
      </c>
      <c r="Z1024" t="s">
        <v>410</v>
      </c>
      <c r="AA1024" t="s">
        <v>411</v>
      </c>
      <c r="AB1024" t="s">
        <v>412</v>
      </c>
      <c r="AC1024" t="s">
        <v>411</v>
      </c>
      <c r="AD1024">
        <v>46125</v>
      </c>
      <c r="AE1024">
        <v>46181</v>
      </c>
      <c r="AF1024">
        <v>46132</v>
      </c>
      <c r="AG1024" t="s">
        <v>413</v>
      </c>
      <c r="AH1024">
        <v>6190079</v>
      </c>
      <c r="AI1024">
        <v>46125</v>
      </c>
      <c r="AJ1024">
        <v>46125</v>
      </c>
      <c r="AK1024">
        <v>185600</v>
      </c>
      <c r="AL1024" t="s">
        <v>396</v>
      </c>
      <c r="AM1024" t="s">
        <v>3117</v>
      </c>
      <c r="AN1024">
        <v>46125</v>
      </c>
      <c r="AO1024">
        <v>46125.616875</v>
      </c>
      <c r="AP1024" t="s">
        <v>51</v>
      </c>
      <c r="AQ1024">
        <v>2.5049999999999999E-2</v>
      </c>
      <c r="AR1024">
        <v>4649.28</v>
      </c>
      <c r="AS1024" t="s">
        <v>51</v>
      </c>
      <c r="AT1024">
        <v>4649.28</v>
      </c>
      <c r="AU1024" t="s">
        <v>415</v>
      </c>
      <c r="AV1024" t="s">
        <v>772</v>
      </c>
      <c r="AW1024" t="s">
        <v>3113</v>
      </c>
      <c r="AX1024">
        <v>46132</v>
      </c>
      <c r="AY1024">
        <v>46181</v>
      </c>
      <c r="AZ1024" t="s">
        <v>3114</v>
      </c>
      <c r="BA1024" t="s">
        <v>419</v>
      </c>
      <c r="BB1024" t="s">
        <v>3115</v>
      </c>
      <c r="BE1024">
        <v>0</v>
      </c>
      <c r="BF1024">
        <v>0</v>
      </c>
      <c r="BM1024">
        <v>0</v>
      </c>
      <c r="BN1024">
        <v>0</v>
      </c>
      <c r="BO1024">
        <v>4000</v>
      </c>
      <c r="CG1024" t="s">
        <v>421</v>
      </c>
      <c r="CN1024" t="str">
        <v>M19</v>
      </c>
      <c r="CO1024" t="str">
        <v>1275-5YY0787EN</v>
      </c>
      <c r="CP1024" t="str">
        <v>TRHU5512159</v>
      </c>
      <c r="CQ1024" s="23">
        <v>412.95519999999999</v>
      </c>
      <c r="CR1024" s="25">
        <f t="shared" si="39"/>
        <v>4.3371717889860238E-2</v>
      </c>
      <c r="CS1024" s="21">
        <f t="shared" si="40"/>
        <v>108.42929472465059</v>
      </c>
    </row>
    <row r="1025" spans="2:97" x14ac:dyDescent="0.35">
      <c r="B1025" t="s">
        <v>297</v>
      </c>
      <c r="C1025" t="s">
        <v>2526</v>
      </c>
      <c r="D1025" t="s">
        <v>395</v>
      </c>
      <c r="E1025" t="s">
        <v>395</v>
      </c>
      <c r="F1025" t="s">
        <v>396</v>
      </c>
      <c r="G1025" t="s">
        <v>397</v>
      </c>
      <c r="H1025" t="s">
        <v>398</v>
      </c>
      <c r="I1025" t="s">
        <v>399</v>
      </c>
      <c r="J1025" t="s">
        <v>400</v>
      </c>
      <c r="K1025" t="s">
        <v>401</v>
      </c>
      <c r="L1025" t="s">
        <v>402</v>
      </c>
      <c r="M1025" t="s">
        <v>403</v>
      </c>
      <c r="N1025">
        <v>2</v>
      </c>
      <c r="O1025">
        <v>1</v>
      </c>
      <c r="P1025" t="s">
        <v>423</v>
      </c>
      <c r="Q1025" t="s">
        <v>424</v>
      </c>
      <c r="R1025" t="s">
        <v>425</v>
      </c>
      <c r="S1025" t="s">
        <v>426</v>
      </c>
      <c r="T1025" t="s">
        <v>408</v>
      </c>
      <c r="U1025">
        <v>50950081752</v>
      </c>
      <c r="W1025">
        <v>50000</v>
      </c>
      <c r="X1025" t="s">
        <v>409</v>
      </c>
      <c r="Y1025" t="s">
        <v>410</v>
      </c>
      <c r="Z1025" t="s">
        <v>410</v>
      </c>
      <c r="AA1025" t="s">
        <v>411</v>
      </c>
      <c r="AB1025" t="s">
        <v>412</v>
      </c>
      <c r="AC1025" t="s">
        <v>411</v>
      </c>
      <c r="AD1025">
        <v>46125</v>
      </c>
      <c r="AE1025">
        <v>46181</v>
      </c>
      <c r="AF1025">
        <v>46132</v>
      </c>
      <c r="AG1025" t="s">
        <v>413</v>
      </c>
      <c r="AH1025">
        <v>6190078</v>
      </c>
      <c r="AI1025">
        <v>46125</v>
      </c>
      <c r="AJ1025">
        <v>46125</v>
      </c>
      <c r="AK1025">
        <v>50000</v>
      </c>
      <c r="AL1025" t="s">
        <v>396</v>
      </c>
      <c r="AM1025" t="s">
        <v>3118</v>
      </c>
      <c r="AN1025">
        <v>46125</v>
      </c>
      <c r="AO1025">
        <v>46125.616875</v>
      </c>
      <c r="AP1025" t="s">
        <v>51</v>
      </c>
      <c r="AQ1025">
        <v>2.0129999999999999E-2</v>
      </c>
      <c r="AR1025">
        <v>1006.5</v>
      </c>
      <c r="AS1025" t="s">
        <v>51</v>
      </c>
      <c r="AT1025">
        <v>1006.5</v>
      </c>
      <c r="AU1025" t="s">
        <v>415</v>
      </c>
      <c r="AV1025" t="s">
        <v>772</v>
      </c>
      <c r="AW1025" t="s">
        <v>3113</v>
      </c>
      <c r="AX1025">
        <v>46132</v>
      </c>
      <c r="AY1025">
        <v>46181</v>
      </c>
      <c r="AZ1025" t="s">
        <v>3114</v>
      </c>
      <c r="BA1025" t="s">
        <v>419</v>
      </c>
      <c r="BB1025" t="s">
        <v>3115</v>
      </c>
      <c r="BE1025">
        <v>0</v>
      </c>
      <c r="BF1025">
        <v>0</v>
      </c>
      <c r="BM1025">
        <v>0</v>
      </c>
      <c r="BN1025">
        <v>0</v>
      </c>
      <c r="BO1025">
        <v>20</v>
      </c>
      <c r="CG1025" t="s">
        <v>421</v>
      </c>
      <c r="CN1025" t="str">
        <v>M19</v>
      </c>
      <c r="CO1025" t="str">
        <v>1275-5YY0561EN</v>
      </c>
      <c r="CP1025" t="str">
        <v>TRHU5512159</v>
      </c>
      <c r="CQ1025" s="23">
        <v>1331.26</v>
      </c>
      <c r="CR1025" s="25">
        <f t="shared" si="39"/>
        <v>0.1398191211977845</v>
      </c>
      <c r="CS1025" s="21">
        <f t="shared" si="40"/>
        <v>349.54780299446128</v>
      </c>
    </row>
    <row r="1026" spans="2:97" x14ac:dyDescent="0.35">
      <c r="B1026" t="s">
        <v>297</v>
      </c>
      <c r="C1026" t="s">
        <v>3119</v>
      </c>
      <c r="D1026" t="s">
        <v>395</v>
      </c>
      <c r="E1026" t="s">
        <v>395</v>
      </c>
      <c r="F1026" t="s">
        <v>396</v>
      </c>
      <c r="G1026" t="s">
        <v>397</v>
      </c>
      <c r="H1026" t="s">
        <v>398</v>
      </c>
      <c r="I1026" t="s">
        <v>399</v>
      </c>
      <c r="J1026" t="s">
        <v>400</v>
      </c>
      <c r="K1026" t="s">
        <v>401</v>
      </c>
      <c r="L1026" t="s">
        <v>402</v>
      </c>
      <c r="M1026" t="s">
        <v>403</v>
      </c>
      <c r="N1026">
        <v>1</v>
      </c>
      <c r="O1026">
        <v>1</v>
      </c>
      <c r="P1026" t="s">
        <v>1676</v>
      </c>
      <c r="Q1026" t="s">
        <v>430</v>
      </c>
      <c r="R1026" t="s">
        <v>431</v>
      </c>
      <c r="S1026" t="s">
        <v>432</v>
      </c>
      <c r="T1026" t="s">
        <v>408</v>
      </c>
      <c r="U1026">
        <v>50950081753</v>
      </c>
      <c r="W1026">
        <v>50000</v>
      </c>
      <c r="X1026" t="s">
        <v>409</v>
      </c>
      <c r="Y1026" t="s">
        <v>410</v>
      </c>
      <c r="Z1026" t="s">
        <v>410</v>
      </c>
      <c r="AA1026" t="s">
        <v>411</v>
      </c>
      <c r="AB1026" t="s">
        <v>412</v>
      </c>
      <c r="AC1026" t="s">
        <v>411</v>
      </c>
      <c r="AD1026">
        <v>46126</v>
      </c>
      <c r="AE1026">
        <v>46188</v>
      </c>
      <c r="AF1026">
        <v>46132</v>
      </c>
      <c r="AG1026" t="s">
        <v>413</v>
      </c>
      <c r="AH1026">
        <v>6190075</v>
      </c>
      <c r="AI1026">
        <v>46125</v>
      </c>
      <c r="AJ1026">
        <v>46125</v>
      </c>
      <c r="AK1026">
        <v>50000</v>
      </c>
      <c r="AL1026" t="s">
        <v>396</v>
      </c>
      <c r="AM1026" t="s">
        <v>3120</v>
      </c>
      <c r="AN1026">
        <v>46125</v>
      </c>
      <c r="AO1026">
        <v>46125.616875</v>
      </c>
      <c r="AP1026" t="s">
        <v>51</v>
      </c>
      <c r="AQ1026">
        <v>3.9289999999999999E-2</v>
      </c>
      <c r="AR1026">
        <v>1964.5</v>
      </c>
      <c r="AS1026" t="s">
        <v>51</v>
      </c>
      <c r="AT1026">
        <v>1964.5</v>
      </c>
      <c r="AU1026" t="s">
        <v>415</v>
      </c>
      <c r="AV1026" t="s">
        <v>772</v>
      </c>
      <c r="AW1026" t="s">
        <v>3113</v>
      </c>
      <c r="AX1026">
        <v>46132</v>
      </c>
      <c r="AY1026">
        <v>46181</v>
      </c>
      <c r="AZ1026" t="s">
        <v>3114</v>
      </c>
      <c r="BA1026" t="s">
        <v>419</v>
      </c>
      <c r="BB1026" t="s">
        <v>3115</v>
      </c>
      <c r="BE1026">
        <v>0</v>
      </c>
      <c r="BF1026">
        <v>0</v>
      </c>
      <c r="BM1026">
        <v>0</v>
      </c>
      <c r="BN1026">
        <v>0</v>
      </c>
      <c r="BO1026">
        <v>10</v>
      </c>
      <c r="CG1026" t="s">
        <v>421</v>
      </c>
      <c r="CN1026" t="str">
        <v>M45</v>
      </c>
      <c r="CO1026" t="str">
        <v>1346-12C0011EN</v>
      </c>
      <c r="CP1026" t="str">
        <v>TRHU5512159</v>
      </c>
      <c r="CQ1026" s="23">
        <v>472.52820000000003</v>
      </c>
      <c r="CR1026" s="25">
        <f t="shared" si="39"/>
        <v>4.9628530613982966E-2</v>
      </c>
      <c r="CS1026" s="21">
        <f t="shared" si="40"/>
        <v>124.07132653495741</v>
      </c>
    </row>
    <row r="1027" spans="2:97" x14ac:dyDescent="0.35">
      <c r="B1027" t="s">
        <v>297</v>
      </c>
      <c r="C1027" t="s">
        <v>2528</v>
      </c>
      <c r="D1027" t="s">
        <v>395</v>
      </c>
      <c r="E1027" t="s">
        <v>395</v>
      </c>
      <c r="F1027" t="s">
        <v>396</v>
      </c>
      <c r="G1027" t="s">
        <v>397</v>
      </c>
      <c r="H1027" t="s">
        <v>398</v>
      </c>
      <c r="I1027" t="s">
        <v>399</v>
      </c>
      <c r="J1027" t="s">
        <v>400</v>
      </c>
      <c r="K1027" t="s">
        <v>401</v>
      </c>
      <c r="L1027" t="s">
        <v>402</v>
      </c>
      <c r="M1027" t="s">
        <v>403</v>
      </c>
      <c r="N1027">
        <v>4</v>
      </c>
      <c r="O1027">
        <v>1</v>
      </c>
      <c r="P1027" t="s">
        <v>435</v>
      </c>
      <c r="Q1027" t="s">
        <v>424</v>
      </c>
      <c r="R1027" t="s">
        <v>431</v>
      </c>
      <c r="S1027" t="s">
        <v>432</v>
      </c>
      <c r="T1027" t="s">
        <v>408</v>
      </c>
      <c r="U1027">
        <v>50950081754</v>
      </c>
      <c r="W1027">
        <v>80000</v>
      </c>
      <c r="X1027" t="s">
        <v>409</v>
      </c>
      <c r="Y1027" t="s">
        <v>410</v>
      </c>
      <c r="Z1027" t="s">
        <v>410</v>
      </c>
      <c r="AA1027" t="s">
        <v>411</v>
      </c>
      <c r="AB1027" t="s">
        <v>412</v>
      </c>
      <c r="AC1027" t="s">
        <v>411</v>
      </c>
      <c r="AD1027">
        <v>46125</v>
      </c>
      <c r="AE1027">
        <v>46181</v>
      </c>
      <c r="AF1027">
        <v>46132</v>
      </c>
      <c r="AG1027" t="s">
        <v>413</v>
      </c>
      <c r="AH1027">
        <v>6190073</v>
      </c>
      <c r="AI1027">
        <v>46125</v>
      </c>
      <c r="AJ1027">
        <v>46125</v>
      </c>
      <c r="AK1027">
        <v>80000</v>
      </c>
      <c r="AL1027" t="s">
        <v>396</v>
      </c>
      <c r="AM1027" t="s">
        <v>3121</v>
      </c>
      <c r="AN1027">
        <v>46125</v>
      </c>
      <c r="AO1027">
        <v>46125.616875</v>
      </c>
      <c r="AP1027" t="s">
        <v>51</v>
      </c>
      <c r="AQ1027">
        <v>5.2049999999999999E-2</v>
      </c>
      <c r="AR1027">
        <v>4164</v>
      </c>
      <c r="AS1027" t="s">
        <v>51</v>
      </c>
      <c r="AT1027">
        <v>4164</v>
      </c>
      <c r="AU1027" t="s">
        <v>415</v>
      </c>
      <c r="AV1027" t="s">
        <v>772</v>
      </c>
      <c r="AW1027" t="s">
        <v>3113</v>
      </c>
      <c r="AX1027">
        <v>46132</v>
      </c>
      <c r="AY1027">
        <v>46181</v>
      </c>
      <c r="AZ1027" t="s">
        <v>3114</v>
      </c>
      <c r="BA1027" t="s">
        <v>419</v>
      </c>
      <c r="BB1027" t="s">
        <v>3115</v>
      </c>
      <c r="BE1027">
        <v>0</v>
      </c>
      <c r="BF1027">
        <v>0</v>
      </c>
      <c r="BM1027">
        <v>0</v>
      </c>
      <c r="BN1027">
        <v>0</v>
      </c>
      <c r="BO1027">
        <v>10</v>
      </c>
      <c r="CG1027" t="s">
        <v>421</v>
      </c>
      <c r="CN1027" t="str">
        <v>M19</v>
      </c>
      <c r="CO1027" t="str">
        <v>1330-5YY0182EN</v>
      </c>
      <c r="CP1027" t="str">
        <v>TRHU5512159</v>
      </c>
      <c r="CQ1027" s="23">
        <v>1405.0848000000001</v>
      </c>
      <c r="CR1027" s="25">
        <f t="shared" si="39"/>
        <v>0.1475727671111314</v>
      </c>
      <c r="CS1027" s="21">
        <f t="shared" si="40"/>
        <v>368.93191777782852</v>
      </c>
    </row>
    <row r="1028" spans="2:97" x14ac:dyDescent="0.35">
      <c r="B1028" t="s">
        <v>297</v>
      </c>
      <c r="C1028" t="s">
        <v>3122</v>
      </c>
      <c r="D1028" t="s">
        <v>395</v>
      </c>
      <c r="E1028" t="s">
        <v>395</v>
      </c>
      <c r="F1028" t="s">
        <v>396</v>
      </c>
      <c r="G1028" t="s">
        <v>397</v>
      </c>
      <c r="H1028" t="s">
        <v>398</v>
      </c>
      <c r="I1028" t="s">
        <v>399</v>
      </c>
      <c r="J1028" t="s">
        <v>400</v>
      </c>
      <c r="K1028" t="s">
        <v>401</v>
      </c>
      <c r="L1028" t="s">
        <v>402</v>
      </c>
      <c r="M1028" t="s">
        <v>403</v>
      </c>
      <c r="N1028">
        <v>1</v>
      </c>
      <c r="O1028">
        <v>1</v>
      </c>
      <c r="P1028" t="s">
        <v>1202</v>
      </c>
      <c r="Q1028" t="s">
        <v>424</v>
      </c>
      <c r="R1028" t="s">
        <v>1203</v>
      </c>
      <c r="S1028" t="s">
        <v>1204</v>
      </c>
      <c r="T1028" t="s">
        <v>408</v>
      </c>
      <c r="U1028">
        <v>50950082188</v>
      </c>
      <c r="W1028">
        <v>50000</v>
      </c>
      <c r="X1028" t="s">
        <v>409</v>
      </c>
      <c r="Y1028" t="s">
        <v>410</v>
      </c>
      <c r="Z1028" t="s">
        <v>410</v>
      </c>
      <c r="AA1028" t="s">
        <v>411</v>
      </c>
      <c r="AB1028" t="s">
        <v>412</v>
      </c>
      <c r="AC1028" t="s">
        <v>411</v>
      </c>
      <c r="AD1028">
        <v>46125</v>
      </c>
      <c r="AE1028">
        <v>46181</v>
      </c>
      <c r="AF1028">
        <v>46132</v>
      </c>
      <c r="AG1028" t="s">
        <v>413</v>
      </c>
      <c r="AH1028">
        <v>6190081</v>
      </c>
      <c r="AI1028">
        <v>46125</v>
      </c>
      <c r="AJ1028">
        <v>46125</v>
      </c>
      <c r="AK1028">
        <v>50000</v>
      </c>
      <c r="AL1028" t="s">
        <v>396</v>
      </c>
      <c r="AM1028" t="s">
        <v>3123</v>
      </c>
      <c r="AN1028">
        <v>46125</v>
      </c>
      <c r="AO1028">
        <v>46125.616875</v>
      </c>
      <c r="AP1028" t="s">
        <v>51</v>
      </c>
      <c r="AQ1028">
        <v>5.3260000000000002E-2</v>
      </c>
      <c r="AR1028">
        <v>2663</v>
      </c>
      <c r="AS1028" t="s">
        <v>51</v>
      </c>
      <c r="AT1028">
        <v>2663</v>
      </c>
      <c r="AU1028" t="s">
        <v>415</v>
      </c>
      <c r="AV1028" t="s">
        <v>772</v>
      </c>
      <c r="AW1028" t="s">
        <v>3113</v>
      </c>
      <c r="AX1028">
        <v>46132</v>
      </c>
      <c r="AY1028">
        <v>46181</v>
      </c>
      <c r="AZ1028" t="s">
        <v>3114</v>
      </c>
      <c r="BA1028" t="s">
        <v>419</v>
      </c>
      <c r="BB1028" t="s">
        <v>3115</v>
      </c>
      <c r="BE1028">
        <v>0</v>
      </c>
      <c r="BF1028">
        <v>0</v>
      </c>
      <c r="BM1028">
        <v>0</v>
      </c>
      <c r="BN1028">
        <v>0</v>
      </c>
      <c r="BO1028">
        <v>10</v>
      </c>
      <c r="CG1028" t="s">
        <v>421</v>
      </c>
      <c r="CN1028" t="str">
        <v>M19</v>
      </c>
      <c r="CO1028" t="str">
        <v>1330-5YY0183EN</v>
      </c>
      <c r="CP1028" t="str">
        <v>TRHU5512159</v>
      </c>
      <c r="CQ1028" s="23">
        <v>1030.7904000000001</v>
      </c>
      <c r="CR1028" s="25">
        <f t="shared" si="39"/>
        <v>0.10826150253677927</v>
      </c>
      <c r="CS1028" s="21">
        <f t="shared" si="40"/>
        <v>270.65375634194817</v>
      </c>
    </row>
    <row r="1029" spans="2:97" x14ac:dyDescent="0.35">
      <c r="B1029" t="s">
        <v>297</v>
      </c>
      <c r="C1029" t="s">
        <v>3124</v>
      </c>
      <c r="D1029" t="s">
        <v>395</v>
      </c>
      <c r="E1029" t="s">
        <v>395</v>
      </c>
      <c r="F1029" t="s">
        <v>396</v>
      </c>
      <c r="G1029" t="s">
        <v>397</v>
      </c>
      <c r="H1029" t="s">
        <v>398</v>
      </c>
      <c r="I1029" t="s">
        <v>399</v>
      </c>
      <c r="J1029" t="s">
        <v>400</v>
      </c>
      <c r="K1029" t="s">
        <v>401</v>
      </c>
      <c r="L1029" t="s">
        <v>402</v>
      </c>
      <c r="M1029" t="s">
        <v>403</v>
      </c>
      <c r="N1029">
        <v>1</v>
      </c>
      <c r="O1029">
        <v>1</v>
      </c>
      <c r="P1029" t="s">
        <v>2213</v>
      </c>
      <c r="Q1029" t="s">
        <v>430</v>
      </c>
      <c r="R1029" t="s">
        <v>2214</v>
      </c>
      <c r="S1029" t="s">
        <v>2215</v>
      </c>
      <c r="T1029" t="s">
        <v>408</v>
      </c>
      <c r="U1029">
        <v>50950082266</v>
      </c>
      <c r="W1029">
        <v>30000</v>
      </c>
      <c r="X1029" t="s">
        <v>409</v>
      </c>
      <c r="Y1029" t="s">
        <v>410</v>
      </c>
      <c r="Z1029" t="s">
        <v>410</v>
      </c>
      <c r="AA1029" t="s">
        <v>411</v>
      </c>
      <c r="AB1029" t="s">
        <v>412</v>
      </c>
      <c r="AC1029" t="s">
        <v>411</v>
      </c>
      <c r="AD1029">
        <v>46125</v>
      </c>
      <c r="AE1029">
        <v>46181</v>
      </c>
      <c r="AF1029">
        <v>46132</v>
      </c>
      <c r="AG1029" t="s">
        <v>413</v>
      </c>
      <c r="AH1029">
        <v>6190077</v>
      </c>
      <c r="AI1029">
        <v>46125</v>
      </c>
      <c r="AJ1029">
        <v>46125</v>
      </c>
      <c r="AK1029">
        <v>30000</v>
      </c>
      <c r="AL1029" t="s">
        <v>396</v>
      </c>
      <c r="AM1029" t="s">
        <v>3125</v>
      </c>
      <c r="AN1029">
        <v>46125</v>
      </c>
      <c r="AO1029">
        <v>46125.616875</v>
      </c>
      <c r="AP1029" t="s">
        <v>51</v>
      </c>
      <c r="AQ1029">
        <v>2.6159999999999999E-2</v>
      </c>
      <c r="AR1029">
        <v>784.8</v>
      </c>
      <c r="AS1029" t="s">
        <v>51</v>
      </c>
      <c r="AT1029">
        <v>784.8</v>
      </c>
      <c r="AU1029" t="s">
        <v>415</v>
      </c>
      <c r="AV1029" t="s">
        <v>772</v>
      </c>
      <c r="AW1029" t="s">
        <v>3113</v>
      </c>
      <c r="AX1029">
        <v>46132</v>
      </c>
      <c r="AY1029">
        <v>46181</v>
      </c>
      <c r="AZ1029" t="s">
        <v>3114</v>
      </c>
      <c r="BA1029" t="s">
        <v>419</v>
      </c>
      <c r="BB1029" t="s">
        <v>3115</v>
      </c>
      <c r="BE1029">
        <v>0</v>
      </c>
      <c r="BF1029">
        <v>0</v>
      </c>
      <c r="BM1029">
        <v>0</v>
      </c>
      <c r="BN1029">
        <v>0</v>
      </c>
      <c r="BO1029">
        <v>20</v>
      </c>
      <c r="CG1029" t="s">
        <v>421</v>
      </c>
      <c r="CN1029" t="str">
        <v>M19</v>
      </c>
      <c r="CO1029" t="str">
        <v>1330-5YY0167EN</v>
      </c>
      <c r="CP1029" t="str">
        <v>TRHU5512159</v>
      </c>
      <c r="CQ1029" s="23">
        <v>1752.2760000000001</v>
      </c>
      <c r="CR1029" s="25">
        <f t="shared" si="39"/>
        <v>0.18403744604056987</v>
      </c>
      <c r="CS1029" s="21">
        <f t="shared" si="40"/>
        <v>460.09361510142469</v>
      </c>
    </row>
    <row r="1030" spans="2:97" x14ac:dyDescent="0.35">
      <c r="B1030" t="s">
        <v>297</v>
      </c>
      <c r="C1030" t="s">
        <v>3126</v>
      </c>
      <c r="D1030" t="s">
        <v>395</v>
      </c>
      <c r="E1030" t="s">
        <v>395</v>
      </c>
      <c r="F1030" t="s">
        <v>396</v>
      </c>
      <c r="G1030" t="s">
        <v>397</v>
      </c>
      <c r="H1030" t="s">
        <v>398</v>
      </c>
      <c r="I1030" t="s">
        <v>399</v>
      </c>
      <c r="J1030" t="s">
        <v>400</v>
      </c>
      <c r="K1030" t="s">
        <v>401</v>
      </c>
      <c r="L1030" t="s">
        <v>402</v>
      </c>
      <c r="M1030" t="s">
        <v>403</v>
      </c>
      <c r="N1030">
        <v>1</v>
      </c>
      <c r="O1030">
        <v>1</v>
      </c>
      <c r="P1030" t="s">
        <v>1676</v>
      </c>
      <c r="Q1030" t="s">
        <v>430</v>
      </c>
      <c r="R1030" t="s">
        <v>431</v>
      </c>
      <c r="S1030" t="s">
        <v>432</v>
      </c>
      <c r="T1030" t="s">
        <v>408</v>
      </c>
      <c r="U1030">
        <v>50950082486</v>
      </c>
      <c r="W1030">
        <v>50000</v>
      </c>
      <c r="X1030" t="s">
        <v>409</v>
      </c>
      <c r="Y1030" t="s">
        <v>410</v>
      </c>
      <c r="Z1030" t="s">
        <v>410</v>
      </c>
      <c r="AA1030" t="s">
        <v>411</v>
      </c>
      <c r="AB1030" t="s">
        <v>412</v>
      </c>
      <c r="AC1030" t="s">
        <v>411</v>
      </c>
      <c r="AD1030">
        <v>46126</v>
      </c>
      <c r="AE1030">
        <v>46202</v>
      </c>
      <c r="AF1030">
        <v>46132</v>
      </c>
      <c r="AG1030" t="s">
        <v>413</v>
      </c>
      <c r="AH1030">
        <v>6190076</v>
      </c>
      <c r="AI1030">
        <v>46125</v>
      </c>
      <c r="AJ1030">
        <v>46125</v>
      </c>
      <c r="AK1030">
        <v>50000</v>
      </c>
      <c r="AL1030" t="s">
        <v>396</v>
      </c>
      <c r="AM1030" t="s">
        <v>3127</v>
      </c>
      <c r="AN1030">
        <v>46125</v>
      </c>
      <c r="AO1030">
        <v>46125.616875</v>
      </c>
      <c r="AP1030" t="s">
        <v>51</v>
      </c>
      <c r="AQ1030">
        <v>3.9289999999999999E-2</v>
      </c>
      <c r="AR1030">
        <v>1964.5</v>
      </c>
      <c r="AS1030" t="s">
        <v>51</v>
      </c>
      <c r="AT1030">
        <v>1964.5</v>
      </c>
      <c r="AU1030" t="s">
        <v>415</v>
      </c>
      <c r="AV1030" t="s">
        <v>772</v>
      </c>
      <c r="AW1030" t="s">
        <v>3113</v>
      </c>
      <c r="AX1030">
        <v>46132</v>
      </c>
      <c r="AY1030">
        <v>46181</v>
      </c>
      <c r="AZ1030" t="s">
        <v>3114</v>
      </c>
      <c r="BA1030" t="s">
        <v>419</v>
      </c>
      <c r="BB1030" t="s">
        <v>3115</v>
      </c>
      <c r="BE1030">
        <v>0</v>
      </c>
      <c r="BF1030">
        <v>0</v>
      </c>
      <c r="BM1030">
        <v>0</v>
      </c>
      <c r="BN1030">
        <v>0</v>
      </c>
      <c r="BO1030">
        <v>10</v>
      </c>
      <c r="CG1030" t="s">
        <v>421</v>
      </c>
      <c r="CN1030" t="str">
        <v>M19</v>
      </c>
      <c r="CO1030" t="str">
        <v>1301-5YY0311EN0093</v>
      </c>
      <c r="CP1030" t="str">
        <v>TRHU5512159</v>
      </c>
      <c r="CQ1030" s="23">
        <v>501.26976000000002</v>
      </c>
      <c r="CR1030" s="25">
        <f t="shared" ref="CR1030:CR1093" si="41">IFERROR(CQ1030/(SUMIFS(CQ:CQ,CP:CP,CP1030)),100%)</f>
        <v>5.2647189374145059E-2</v>
      </c>
      <c r="CS1030" s="21">
        <f t="shared" si="40"/>
        <v>131.61797343536264</v>
      </c>
    </row>
    <row r="1031" spans="2:97" x14ac:dyDescent="0.35">
      <c r="B1031" t="s">
        <v>299</v>
      </c>
      <c r="C1031" t="s">
        <v>3128</v>
      </c>
      <c r="D1031" t="s">
        <v>395</v>
      </c>
      <c r="E1031" t="s">
        <v>395</v>
      </c>
      <c r="F1031" t="s">
        <v>396</v>
      </c>
      <c r="G1031" t="s">
        <v>397</v>
      </c>
      <c r="H1031" t="s">
        <v>454</v>
      </c>
      <c r="I1031" t="s">
        <v>399</v>
      </c>
      <c r="J1031" t="s">
        <v>400</v>
      </c>
      <c r="K1031" t="s">
        <v>455</v>
      </c>
      <c r="L1031" t="s">
        <v>456</v>
      </c>
      <c r="M1031" t="s">
        <v>403</v>
      </c>
      <c r="N1031">
        <v>1</v>
      </c>
      <c r="O1031">
        <v>1</v>
      </c>
      <c r="P1031" t="s">
        <v>457</v>
      </c>
      <c r="Q1031" t="s">
        <v>424</v>
      </c>
      <c r="R1031" t="s">
        <v>458</v>
      </c>
      <c r="S1031" t="s">
        <v>459</v>
      </c>
      <c r="T1031" t="s">
        <v>408</v>
      </c>
      <c r="U1031">
        <v>50950079557</v>
      </c>
      <c r="W1031">
        <v>40000</v>
      </c>
      <c r="X1031" t="s">
        <v>409</v>
      </c>
      <c r="Y1031" t="s">
        <v>410</v>
      </c>
      <c r="Z1031" t="s">
        <v>410</v>
      </c>
      <c r="AA1031" t="s">
        <v>411</v>
      </c>
      <c r="AB1031" t="s">
        <v>412</v>
      </c>
      <c r="AC1031" t="s">
        <v>411</v>
      </c>
      <c r="AD1031">
        <v>46125</v>
      </c>
      <c r="AE1031">
        <v>46181</v>
      </c>
      <c r="AF1031">
        <v>46132</v>
      </c>
      <c r="AG1031" t="s">
        <v>460</v>
      </c>
      <c r="AH1031">
        <v>6190062</v>
      </c>
      <c r="AI1031">
        <v>46125</v>
      </c>
      <c r="AJ1031">
        <v>46125</v>
      </c>
      <c r="AK1031">
        <v>40000</v>
      </c>
      <c r="AL1031" t="s">
        <v>396</v>
      </c>
      <c r="AM1031" t="s">
        <v>3129</v>
      </c>
      <c r="AN1031">
        <v>46125</v>
      </c>
      <c r="AO1031">
        <v>46125.616875</v>
      </c>
      <c r="AP1031" t="s">
        <v>51</v>
      </c>
      <c r="AQ1031">
        <v>5.808E-2</v>
      </c>
      <c r="AR1031">
        <v>2323.1999999999998</v>
      </c>
      <c r="AS1031" t="s">
        <v>51</v>
      </c>
      <c r="AT1031">
        <v>2323.1999999999998</v>
      </c>
      <c r="AU1031" t="s">
        <v>415</v>
      </c>
      <c r="AV1031" t="s">
        <v>772</v>
      </c>
      <c r="AW1031" t="s">
        <v>3113</v>
      </c>
      <c r="AX1031">
        <v>46132</v>
      </c>
      <c r="AY1031">
        <v>46181</v>
      </c>
      <c r="AZ1031" t="s">
        <v>3114</v>
      </c>
      <c r="BA1031" t="s">
        <v>419</v>
      </c>
      <c r="BB1031" t="s">
        <v>3115</v>
      </c>
      <c r="BE1031">
        <v>0</v>
      </c>
      <c r="BF1031">
        <v>0</v>
      </c>
      <c r="BM1031">
        <v>0</v>
      </c>
      <c r="BN1031">
        <v>0</v>
      </c>
      <c r="BO1031">
        <v>50</v>
      </c>
      <c r="CG1031" t="s">
        <v>421</v>
      </c>
      <c r="CN1031" t="str">
        <v>M19</v>
      </c>
      <c r="CO1031" t="str">
        <v>1330-5YY0112EN</v>
      </c>
      <c r="CP1031" t="str">
        <v>TRHU5512159</v>
      </c>
      <c r="CQ1031" s="23">
        <v>148.10568000000001</v>
      </c>
      <c r="CR1031" s="25">
        <f t="shared" si="41"/>
        <v>1.5555192841368545E-2</v>
      </c>
      <c r="CS1031" s="21">
        <f t="shared" ref="CS1031:CS1094" si="42">CR1031*$CS$2</f>
        <v>38.887982103421365</v>
      </c>
    </row>
    <row r="1032" spans="2:97" x14ac:dyDescent="0.35">
      <c r="B1032" t="s">
        <v>299</v>
      </c>
      <c r="C1032" t="s">
        <v>3130</v>
      </c>
      <c r="D1032" t="s">
        <v>395</v>
      </c>
      <c r="E1032" t="s">
        <v>395</v>
      </c>
      <c r="F1032" t="s">
        <v>396</v>
      </c>
      <c r="G1032" t="s">
        <v>397</v>
      </c>
      <c r="H1032" t="s">
        <v>454</v>
      </c>
      <c r="I1032" t="s">
        <v>399</v>
      </c>
      <c r="J1032" t="s">
        <v>400</v>
      </c>
      <c r="K1032" t="s">
        <v>455</v>
      </c>
      <c r="L1032" t="s">
        <v>456</v>
      </c>
      <c r="M1032" t="s">
        <v>403</v>
      </c>
      <c r="N1032">
        <v>1</v>
      </c>
      <c r="O1032">
        <v>1</v>
      </c>
      <c r="P1032" t="s">
        <v>1681</v>
      </c>
      <c r="Q1032" t="s">
        <v>424</v>
      </c>
      <c r="R1032" t="s">
        <v>458</v>
      </c>
      <c r="S1032" t="s">
        <v>1682</v>
      </c>
      <c r="T1032" t="s">
        <v>408</v>
      </c>
      <c r="U1032">
        <v>50950080277</v>
      </c>
      <c r="W1032">
        <v>10000</v>
      </c>
      <c r="X1032" t="s">
        <v>409</v>
      </c>
      <c r="Y1032" t="s">
        <v>410</v>
      </c>
      <c r="Z1032" t="s">
        <v>410</v>
      </c>
      <c r="AA1032" t="s">
        <v>411</v>
      </c>
      <c r="AB1032" t="s">
        <v>412</v>
      </c>
      <c r="AC1032" t="s">
        <v>411</v>
      </c>
      <c r="AD1032">
        <v>46125</v>
      </c>
      <c r="AE1032">
        <v>46195</v>
      </c>
      <c r="AF1032">
        <v>46132</v>
      </c>
      <c r="AG1032" t="s">
        <v>460</v>
      </c>
      <c r="AH1032">
        <v>6190059</v>
      </c>
      <c r="AI1032">
        <v>46125</v>
      </c>
      <c r="AJ1032">
        <v>46125</v>
      </c>
      <c r="AK1032">
        <v>10000</v>
      </c>
      <c r="AL1032" t="s">
        <v>396</v>
      </c>
      <c r="AM1032" t="s">
        <v>3131</v>
      </c>
      <c r="AN1032">
        <v>46125</v>
      </c>
      <c r="AO1032">
        <v>46125.616875</v>
      </c>
      <c r="AP1032" t="s">
        <v>51</v>
      </c>
      <c r="AQ1032">
        <v>3.252E-2</v>
      </c>
      <c r="AR1032">
        <v>325.2</v>
      </c>
      <c r="AS1032" t="s">
        <v>51</v>
      </c>
      <c r="AT1032">
        <v>325.2</v>
      </c>
      <c r="AU1032" t="s">
        <v>415</v>
      </c>
      <c r="AV1032" t="s">
        <v>772</v>
      </c>
      <c r="AW1032" t="s">
        <v>3113</v>
      </c>
      <c r="AX1032">
        <v>46132</v>
      </c>
      <c r="AY1032">
        <v>46181</v>
      </c>
      <c r="AZ1032" t="s">
        <v>3114</v>
      </c>
      <c r="BA1032" t="s">
        <v>419</v>
      </c>
      <c r="BB1032" t="s">
        <v>3115</v>
      </c>
      <c r="BE1032">
        <v>0</v>
      </c>
      <c r="BF1032">
        <v>0</v>
      </c>
      <c r="BM1032">
        <v>0</v>
      </c>
      <c r="BN1032">
        <v>0</v>
      </c>
      <c r="BO1032">
        <v>50</v>
      </c>
      <c r="CG1032" t="s">
        <v>421</v>
      </c>
      <c r="CN1032" t="str">
        <v>M19</v>
      </c>
      <c r="CO1032" t="str">
        <v>1301-5YY0306EN0093</v>
      </c>
      <c r="CP1032" t="str">
        <v>TRHU5512159</v>
      </c>
      <c r="CQ1032" s="23">
        <v>2467.0313999999998</v>
      </c>
      <c r="CR1032" s="25">
        <f t="shared" si="41"/>
        <v>0.2591065323943782</v>
      </c>
      <c r="CS1032" s="21">
        <f t="shared" si="42"/>
        <v>647.7663309859455</v>
      </c>
    </row>
    <row r="1033" spans="2:97" x14ac:dyDescent="0.35">
      <c r="B1033" t="s">
        <v>299</v>
      </c>
      <c r="C1033" t="s">
        <v>3132</v>
      </c>
      <c r="D1033" t="s">
        <v>395</v>
      </c>
      <c r="E1033" t="s">
        <v>395</v>
      </c>
      <c r="F1033" t="s">
        <v>396</v>
      </c>
      <c r="G1033" t="s">
        <v>397</v>
      </c>
      <c r="H1033" t="s">
        <v>454</v>
      </c>
      <c r="I1033" t="s">
        <v>399</v>
      </c>
      <c r="J1033" t="s">
        <v>400</v>
      </c>
      <c r="K1033" t="s">
        <v>455</v>
      </c>
      <c r="L1033" t="s">
        <v>456</v>
      </c>
      <c r="M1033" t="s">
        <v>403</v>
      </c>
      <c r="N1033">
        <v>1</v>
      </c>
      <c r="O1033">
        <v>1</v>
      </c>
      <c r="P1033" t="s">
        <v>1209</v>
      </c>
      <c r="Q1033" t="s">
        <v>430</v>
      </c>
      <c r="R1033" t="s">
        <v>1210</v>
      </c>
      <c r="S1033" t="s">
        <v>1211</v>
      </c>
      <c r="T1033" t="s">
        <v>408</v>
      </c>
      <c r="U1033">
        <v>50950081238</v>
      </c>
      <c r="W1033">
        <v>50000</v>
      </c>
      <c r="X1033" t="s">
        <v>409</v>
      </c>
      <c r="Y1033" t="s">
        <v>410</v>
      </c>
      <c r="Z1033" t="s">
        <v>410</v>
      </c>
      <c r="AA1033" t="s">
        <v>411</v>
      </c>
      <c r="AB1033" t="s">
        <v>412</v>
      </c>
      <c r="AC1033" t="s">
        <v>411</v>
      </c>
      <c r="AD1033">
        <v>46122</v>
      </c>
      <c r="AE1033">
        <v>46167</v>
      </c>
      <c r="AF1033">
        <v>46132</v>
      </c>
      <c r="AG1033" t="s">
        <v>460</v>
      </c>
      <c r="AH1033">
        <v>6190067</v>
      </c>
      <c r="AI1033">
        <v>46125</v>
      </c>
      <c r="AJ1033">
        <v>46125</v>
      </c>
      <c r="AK1033">
        <v>50000</v>
      </c>
      <c r="AL1033" t="s">
        <v>396</v>
      </c>
      <c r="AM1033" t="s">
        <v>3133</v>
      </c>
      <c r="AN1033">
        <v>46125</v>
      </c>
      <c r="AO1033">
        <v>46125.616875</v>
      </c>
      <c r="AP1033" t="s">
        <v>51</v>
      </c>
      <c r="AQ1033">
        <v>4.3549999999999998E-2</v>
      </c>
      <c r="AR1033">
        <v>2177.5</v>
      </c>
      <c r="AS1033" t="s">
        <v>51</v>
      </c>
      <c r="AT1033">
        <v>2177.5</v>
      </c>
      <c r="AU1033" t="s">
        <v>415</v>
      </c>
      <c r="AV1033" t="s">
        <v>772</v>
      </c>
      <c r="AW1033" t="s">
        <v>3113</v>
      </c>
      <c r="AX1033">
        <v>46132</v>
      </c>
      <c r="AY1033">
        <v>46181</v>
      </c>
      <c r="AZ1033" t="s">
        <v>3114</v>
      </c>
      <c r="BA1033" t="s">
        <v>419</v>
      </c>
      <c r="BB1033" t="s">
        <v>3115</v>
      </c>
      <c r="BE1033">
        <v>0</v>
      </c>
      <c r="BF1033">
        <v>0</v>
      </c>
      <c r="BM1033">
        <v>0</v>
      </c>
      <c r="BN1033">
        <v>0</v>
      </c>
      <c r="BO1033">
        <v>20</v>
      </c>
      <c r="CG1033" t="s">
        <v>421</v>
      </c>
      <c r="CN1033" t="str">
        <v>M01</v>
      </c>
      <c r="CO1033" t="str">
        <v>1318-3030003EN</v>
      </c>
      <c r="CP1033" t="str">
        <v>WHSU2218868</v>
      </c>
      <c r="CQ1033" s="23">
        <v>20</v>
      </c>
      <c r="CR1033" s="25">
        <f t="shared" si="41"/>
        <v>1.5425798240972038E-3</v>
      </c>
      <c r="CS1033" s="21">
        <f t="shared" si="42"/>
        <v>3.8564495602430093</v>
      </c>
    </row>
    <row r="1034" spans="2:97" x14ac:dyDescent="0.35">
      <c r="B1034" t="s">
        <v>299</v>
      </c>
      <c r="C1034" t="s">
        <v>3134</v>
      </c>
      <c r="D1034" t="s">
        <v>395</v>
      </c>
      <c r="E1034" t="s">
        <v>395</v>
      </c>
      <c r="F1034" t="s">
        <v>396</v>
      </c>
      <c r="G1034" t="s">
        <v>397</v>
      </c>
      <c r="H1034" t="s">
        <v>454</v>
      </c>
      <c r="I1034" t="s">
        <v>399</v>
      </c>
      <c r="J1034" t="s">
        <v>400</v>
      </c>
      <c r="K1034" t="s">
        <v>455</v>
      </c>
      <c r="L1034" t="s">
        <v>456</v>
      </c>
      <c r="M1034" t="s">
        <v>403</v>
      </c>
      <c r="N1034">
        <v>1</v>
      </c>
      <c r="O1034">
        <v>1</v>
      </c>
      <c r="P1034" t="s">
        <v>1689</v>
      </c>
      <c r="Q1034" t="s">
        <v>424</v>
      </c>
      <c r="R1034" t="s">
        <v>493</v>
      </c>
      <c r="S1034" t="s">
        <v>1690</v>
      </c>
      <c r="T1034" t="s">
        <v>408</v>
      </c>
      <c r="U1034">
        <v>50950082113</v>
      </c>
      <c r="W1034">
        <v>50000</v>
      </c>
      <c r="X1034" t="s">
        <v>409</v>
      </c>
      <c r="Y1034" t="s">
        <v>410</v>
      </c>
      <c r="Z1034" t="s">
        <v>410</v>
      </c>
      <c r="AA1034" t="s">
        <v>411</v>
      </c>
      <c r="AB1034" t="s">
        <v>412</v>
      </c>
      <c r="AC1034" t="s">
        <v>411</v>
      </c>
      <c r="AD1034">
        <v>46126</v>
      </c>
      <c r="AE1034">
        <v>46195</v>
      </c>
      <c r="AF1034">
        <v>46132</v>
      </c>
      <c r="AG1034" t="s">
        <v>460</v>
      </c>
      <c r="AH1034">
        <v>6190065</v>
      </c>
      <c r="AI1034">
        <v>46125</v>
      </c>
      <c r="AJ1034">
        <v>46125</v>
      </c>
      <c r="AK1034">
        <v>50000</v>
      </c>
      <c r="AL1034" t="s">
        <v>396</v>
      </c>
      <c r="AM1034" t="s">
        <v>3135</v>
      </c>
      <c r="AN1034">
        <v>46125</v>
      </c>
      <c r="AO1034">
        <v>46125.616875</v>
      </c>
      <c r="AP1034" t="s">
        <v>51</v>
      </c>
      <c r="AQ1034">
        <v>6.3109999999999999E-2</v>
      </c>
      <c r="AR1034">
        <v>3155.5</v>
      </c>
      <c r="AS1034" t="s">
        <v>51</v>
      </c>
      <c r="AT1034">
        <v>3155.5</v>
      </c>
      <c r="AU1034" t="s">
        <v>415</v>
      </c>
      <c r="AV1034" t="s">
        <v>772</v>
      </c>
      <c r="AW1034" t="s">
        <v>3113</v>
      </c>
      <c r="AX1034">
        <v>46132</v>
      </c>
      <c r="AY1034">
        <v>46181</v>
      </c>
      <c r="AZ1034" t="s">
        <v>3114</v>
      </c>
      <c r="BA1034" t="s">
        <v>419</v>
      </c>
      <c r="BB1034" t="s">
        <v>3115</v>
      </c>
      <c r="BE1034">
        <v>0</v>
      </c>
      <c r="BF1034">
        <v>0</v>
      </c>
      <c r="BM1034">
        <v>0</v>
      </c>
      <c r="BN1034">
        <v>0</v>
      </c>
      <c r="BO1034">
        <v>50</v>
      </c>
      <c r="CG1034" t="s">
        <v>421</v>
      </c>
      <c r="CN1034" t="str">
        <v>M01</v>
      </c>
      <c r="CO1034" t="str">
        <v>1318-1030018EN</v>
      </c>
      <c r="CP1034" t="str">
        <v>WHSU2218868</v>
      </c>
      <c r="CQ1034" s="23">
        <v>10</v>
      </c>
      <c r="CR1034" s="25">
        <f t="shared" si="41"/>
        <v>7.7128991204860188E-4</v>
      </c>
      <c r="CS1034" s="21">
        <f t="shared" si="42"/>
        <v>1.9282247801215047</v>
      </c>
    </row>
    <row r="1035" spans="2:97" x14ac:dyDescent="0.35">
      <c r="B1035" t="s">
        <v>299</v>
      </c>
      <c r="C1035" t="s">
        <v>3136</v>
      </c>
      <c r="D1035" t="s">
        <v>395</v>
      </c>
      <c r="E1035" t="s">
        <v>395</v>
      </c>
      <c r="F1035" t="s">
        <v>396</v>
      </c>
      <c r="G1035" t="s">
        <v>397</v>
      </c>
      <c r="H1035" t="s">
        <v>454</v>
      </c>
      <c r="I1035" t="s">
        <v>399</v>
      </c>
      <c r="J1035" t="s">
        <v>400</v>
      </c>
      <c r="K1035" t="s">
        <v>455</v>
      </c>
      <c r="L1035" t="s">
        <v>456</v>
      </c>
      <c r="M1035" t="s">
        <v>403</v>
      </c>
      <c r="N1035">
        <v>1</v>
      </c>
      <c r="O1035">
        <v>1</v>
      </c>
      <c r="P1035" t="s">
        <v>3137</v>
      </c>
      <c r="Q1035" t="s">
        <v>424</v>
      </c>
      <c r="R1035" t="s">
        <v>493</v>
      </c>
      <c r="S1035" t="s">
        <v>3138</v>
      </c>
      <c r="T1035" t="s">
        <v>408</v>
      </c>
      <c r="U1035">
        <v>50950081976</v>
      </c>
      <c r="W1035">
        <v>40500</v>
      </c>
      <c r="X1035" t="s">
        <v>409</v>
      </c>
      <c r="Y1035" t="s">
        <v>410</v>
      </c>
      <c r="Z1035" t="s">
        <v>410</v>
      </c>
      <c r="AA1035" t="s">
        <v>411</v>
      </c>
      <c r="AB1035" t="s">
        <v>412</v>
      </c>
      <c r="AC1035" t="s">
        <v>411</v>
      </c>
      <c r="AD1035">
        <v>46126</v>
      </c>
      <c r="AE1035">
        <v>46202</v>
      </c>
      <c r="AF1035">
        <v>46132</v>
      </c>
      <c r="AG1035" t="s">
        <v>460</v>
      </c>
      <c r="AH1035">
        <v>6190060</v>
      </c>
      <c r="AI1035">
        <v>46125</v>
      </c>
      <c r="AJ1035">
        <v>46125</v>
      </c>
      <c r="AK1035">
        <v>40500</v>
      </c>
      <c r="AL1035" t="s">
        <v>396</v>
      </c>
      <c r="AM1035" t="s">
        <v>3139</v>
      </c>
      <c r="AN1035">
        <v>46125</v>
      </c>
      <c r="AO1035">
        <v>46125.616875</v>
      </c>
      <c r="AP1035" t="s">
        <v>51</v>
      </c>
      <c r="AQ1035">
        <v>7.5920000000000001E-2</v>
      </c>
      <c r="AR1035">
        <v>3074.76</v>
      </c>
      <c r="AS1035" t="s">
        <v>51</v>
      </c>
      <c r="AT1035">
        <v>3074.76</v>
      </c>
      <c r="AU1035" t="s">
        <v>415</v>
      </c>
      <c r="AV1035" t="s">
        <v>772</v>
      </c>
      <c r="AW1035" t="s">
        <v>3113</v>
      </c>
      <c r="AX1035">
        <v>46132</v>
      </c>
      <c r="AY1035">
        <v>46181</v>
      </c>
      <c r="AZ1035" t="s">
        <v>3114</v>
      </c>
      <c r="BA1035" t="s">
        <v>419</v>
      </c>
      <c r="BB1035" t="s">
        <v>3115</v>
      </c>
      <c r="BE1035">
        <v>0</v>
      </c>
      <c r="BF1035">
        <v>0</v>
      </c>
      <c r="BM1035">
        <v>0</v>
      </c>
      <c r="BN1035">
        <v>0</v>
      </c>
      <c r="BO1035">
        <v>10</v>
      </c>
      <c r="CG1035" t="s">
        <v>421</v>
      </c>
      <c r="CN1035" t="str">
        <v>M01</v>
      </c>
      <c r="CO1035" t="str">
        <v>1318-1030030EN</v>
      </c>
      <c r="CP1035" t="str">
        <v>WHSU2218868</v>
      </c>
      <c r="CQ1035" s="23">
        <v>20</v>
      </c>
      <c r="CR1035" s="25">
        <f t="shared" si="41"/>
        <v>1.5425798240972038E-3</v>
      </c>
      <c r="CS1035" s="21">
        <f t="shared" si="42"/>
        <v>3.8564495602430093</v>
      </c>
    </row>
    <row r="1036" spans="2:97" x14ac:dyDescent="0.35">
      <c r="B1036" t="s">
        <v>299</v>
      </c>
      <c r="C1036" t="s">
        <v>3140</v>
      </c>
      <c r="D1036" t="s">
        <v>395</v>
      </c>
      <c r="E1036" t="s">
        <v>395</v>
      </c>
      <c r="F1036" t="s">
        <v>396</v>
      </c>
      <c r="G1036" t="s">
        <v>397</v>
      </c>
      <c r="H1036" t="s">
        <v>454</v>
      </c>
      <c r="I1036" t="s">
        <v>399</v>
      </c>
      <c r="J1036" t="s">
        <v>400</v>
      </c>
      <c r="K1036" t="s">
        <v>455</v>
      </c>
      <c r="L1036" t="s">
        <v>456</v>
      </c>
      <c r="M1036" t="s">
        <v>403</v>
      </c>
      <c r="N1036">
        <v>1</v>
      </c>
      <c r="O1036">
        <v>1</v>
      </c>
      <c r="P1036" t="s">
        <v>3141</v>
      </c>
      <c r="Q1036" t="s">
        <v>424</v>
      </c>
      <c r="R1036" t="s">
        <v>3142</v>
      </c>
      <c r="S1036" t="s">
        <v>3143</v>
      </c>
      <c r="T1036" t="s">
        <v>408</v>
      </c>
      <c r="U1036">
        <v>50950082043</v>
      </c>
      <c r="W1036">
        <v>100000</v>
      </c>
      <c r="X1036" t="s">
        <v>409</v>
      </c>
      <c r="Y1036" t="s">
        <v>410</v>
      </c>
      <c r="Z1036" t="s">
        <v>410</v>
      </c>
      <c r="AA1036" t="s">
        <v>411</v>
      </c>
      <c r="AB1036" t="s">
        <v>412</v>
      </c>
      <c r="AC1036" t="s">
        <v>411</v>
      </c>
      <c r="AD1036">
        <v>46125</v>
      </c>
      <c r="AE1036">
        <v>46195</v>
      </c>
      <c r="AF1036">
        <v>46132</v>
      </c>
      <c r="AG1036" t="s">
        <v>460</v>
      </c>
      <c r="AH1036">
        <v>6190063</v>
      </c>
      <c r="AI1036">
        <v>46125</v>
      </c>
      <c r="AJ1036">
        <v>46125</v>
      </c>
      <c r="AK1036">
        <v>100000</v>
      </c>
      <c r="AL1036" t="s">
        <v>396</v>
      </c>
      <c r="AM1036" t="s">
        <v>3144</v>
      </c>
      <c r="AN1036">
        <v>46125</v>
      </c>
      <c r="AO1036">
        <v>46125.616875</v>
      </c>
      <c r="AP1036" t="s">
        <v>51</v>
      </c>
      <c r="AQ1036">
        <v>1.8890000000000001E-2</v>
      </c>
      <c r="AR1036">
        <v>1889</v>
      </c>
      <c r="AS1036" t="s">
        <v>51</v>
      </c>
      <c r="AT1036">
        <v>1889</v>
      </c>
      <c r="AU1036" t="s">
        <v>415</v>
      </c>
      <c r="AV1036" t="s">
        <v>772</v>
      </c>
      <c r="AW1036" t="s">
        <v>3113</v>
      </c>
      <c r="AX1036">
        <v>46132</v>
      </c>
      <c r="AY1036">
        <v>46181</v>
      </c>
      <c r="AZ1036" t="s">
        <v>3114</v>
      </c>
      <c r="BA1036" t="s">
        <v>419</v>
      </c>
      <c r="BB1036" t="s">
        <v>3115</v>
      </c>
      <c r="BE1036">
        <v>0</v>
      </c>
      <c r="BF1036">
        <v>0</v>
      </c>
      <c r="BM1036">
        <v>0</v>
      </c>
      <c r="BN1036">
        <v>0</v>
      </c>
      <c r="BO1036">
        <v>1</v>
      </c>
      <c r="CG1036" t="s">
        <v>421</v>
      </c>
      <c r="CN1036" t="str">
        <v>M01</v>
      </c>
      <c r="CO1036" t="str">
        <v>1318-1030030EN</v>
      </c>
      <c r="CP1036" t="str">
        <v>WHSU2218868</v>
      </c>
      <c r="CQ1036" s="23">
        <v>20</v>
      </c>
      <c r="CR1036" s="25">
        <f t="shared" si="41"/>
        <v>1.5425798240972038E-3</v>
      </c>
      <c r="CS1036" s="21">
        <f t="shared" si="42"/>
        <v>3.8564495602430093</v>
      </c>
    </row>
    <row r="1037" spans="2:97" x14ac:dyDescent="0.35">
      <c r="B1037" t="s">
        <v>299</v>
      </c>
      <c r="C1037" t="s">
        <v>3145</v>
      </c>
      <c r="D1037" t="s">
        <v>395</v>
      </c>
      <c r="E1037" t="s">
        <v>395</v>
      </c>
      <c r="F1037" t="s">
        <v>396</v>
      </c>
      <c r="G1037" t="s">
        <v>397</v>
      </c>
      <c r="H1037" t="s">
        <v>454</v>
      </c>
      <c r="I1037" t="s">
        <v>399</v>
      </c>
      <c r="J1037" t="s">
        <v>400</v>
      </c>
      <c r="K1037" t="s">
        <v>455</v>
      </c>
      <c r="L1037" t="s">
        <v>456</v>
      </c>
      <c r="M1037" t="s">
        <v>403</v>
      </c>
      <c r="N1037">
        <v>1</v>
      </c>
      <c r="O1037">
        <v>1</v>
      </c>
      <c r="P1037" t="s">
        <v>3137</v>
      </c>
      <c r="Q1037" t="s">
        <v>424</v>
      </c>
      <c r="R1037" t="s">
        <v>493</v>
      </c>
      <c r="S1037" t="s">
        <v>3138</v>
      </c>
      <c r="T1037" t="s">
        <v>408</v>
      </c>
      <c r="U1037">
        <v>50950082065</v>
      </c>
      <c r="W1037">
        <v>40500</v>
      </c>
      <c r="X1037" t="s">
        <v>409</v>
      </c>
      <c r="Y1037" t="s">
        <v>410</v>
      </c>
      <c r="Z1037" t="s">
        <v>410</v>
      </c>
      <c r="AA1037" t="s">
        <v>411</v>
      </c>
      <c r="AB1037" t="s">
        <v>412</v>
      </c>
      <c r="AC1037" t="s">
        <v>411</v>
      </c>
      <c r="AD1037">
        <v>46126</v>
      </c>
      <c r="AE1037">
        <v>46181</v>
      </c>
      <c r="AF1037">
        <v>46132</v>
      </c>
      <c r="AG1037" t="s">
        <v>460</v>
      </c>
      <c r="AH1037">
        <v>6190061</v>
      </c>
      <c r="AI1037">
        <v>46125</v>
      </c>
      <c r="AJ1037">
        <v>46125</v>
      </c>
      <c r="AK1037">
        <v>40500</v>
      </c>
      <c r="AL1037" t="s">
        <v>396</v>
      </c>
      <c r="AM1037" t="s">
        <v>3146</v>
      </c>
      <c r="AN1037">
        <v>46125</v>
      </c>
      <c r="AO1037">
        <v>46125.616875</v>
      </c>
      <c r="AP1037" t="s">
        <v>51</v>
      </c>
      <c r="AQ1037">
        <v>7.5920000000000001E-2</v>
      </c>
      <c r="AR1037">
        <v>3074.76</v>
      </c>
      <c r="AS1037" t="s">
        <v>51</v>
      </c>
      <c r="AT1037">
        <v>3074.76</v>
      </c>
      <c r="AU1037" t="s">
        <v>415</v>
      </c>
      <c r="AV1037" t="s">
        <v>772</v>
      </c>
      <c r="AW1037" t="s">
        <v>3113</v>
      </c>
      <c r="AX1037">
        <v>46132</v>
      </c>
      <c r="AY1037">
        <v>46181</v>
      </c>
      <c r="AZ1037" t="s">
        <v>3114</v>
      </c>
      <c r="BA1037" t="s">
        <v>419</v>
      </c>
      <c r="BB1037" t="s">
        <v>3115</v>
      </c>
      <c r="BE1037">
        <v>0</v>
      </c>
      <c r="BF1037">
        <v>0</v>
      </c>
      <c r="BM1037">
        <v>0</v>
      </c>
      <c r="BN1037">
        <v>0</v>
      </c>
      <c r="BO1037">
        <v>10</v>
      </c>
      <c r="CG1037" t="s">
        <v>421</v>
      </c>
      <c r="CN1037" t="str">
        <v>M45</v>
      </c>
      <c r="CO1037" t="str">
        <v>CPSP61C01032EN</v>
      </c>
      <c r="CP1037" t="str">
        <v>WHSU2218868</v>
      </c>
      <c r="CQ1037" s="23">
        <v>200</v>
      </c>
      <c r="CR1037" s="25">
        <f t="shared" si="41"/>
        <v>1.5425798240972037E-2</v>
      </c>
      <c r="CS1037" s="21">
        <f t="shared" si="42"/>
        <v>38.564495602430092</v>
      </c>
    </row>
    <row r="1038" spans="2:97" x14ac:dyDescent="0.35">
      <c r="B1038" t="s">
        <v>299</v>
      </c>
      <c r="C1038" t="s">
        <v>3147</v>
      </c>
      <c r="D1038" t="s">
        <v>395</v>
      </c>
      <c r="E1038" t="s">
        <v>395</v>
      </c>
      <c r="F1038" t="s">
        <v>396</v>
      </c>
      <c r="G1038" t="s">
        <v>397</v>
      </c>
      <c r="H1038" t="s">
        <v>454</v>
      </c>
      <c r="I1038" t="s">
        <v>399</v>
      </c>
      <c r="J1038" t="s">
        <v>400</v>
      </c>
      <c r="K1038" t="s">
        <v>455</v>
      </c>
      <c r="L1038" t="s">
        <v>456</v>
      </c>
      <c r="M1038" t="s">
        <v>403</v>
      </c>
      <c r="N1038">
        <v>1</v>
      </c>
      <c r="O1038">
        <v>1</v>
      </c>
      <c r="P1038" t="s">
        <v>1689</v>
      </c>
      <c r="Q1038" t="s">
        <v>424</v>
      </c>
      <c r="R1038" t="s">
        <v>493</v>
      </c>
      <c r="S1038" t="s">
        <v>1690</v>
      </c>
      <c r="T1038" t="s">
        <v>408</v>
      </c>
      <c r="U1038">
        <v>50950082089</v>
      </c>
      <c r="W1038">
        <v>50000</v>
      </c>
      <c r="X1038" t="s">
        <v>409</v>
      </c>
      <c r="Y1038" t="s">
        <v>410</v>
      </c>
      <c r="Z1038" t="s">
        <v>410</v>
      </c>
      <c r="AA1038" t="s">
        <v>411</v>
      </c>
      <c r="AB1038" t="s">
        <v>412</v>
      </c>
      <c r="AC1038" t="s">
        <v>411</v>
      </c>
      <c r="AD1038">
        <v>46126</v>
      </c>
      <c r="AE1038">
        <v>46188</v>
      </c>
      <c r="AF1038">
        <v>46132</v>
      </c>
      <c r="AG1038" t="s">
        <v>460</v>
      </c>
      <c r="AH1038">
        <v>6190066</v>
      </c>
      <c r="AI1038">
        <v>46125</v>
      </c>
      <c r="AJ1038">
        <v>46125</v>
      </c>
      <c r="AK1038">
        <v>50000</v>
      </c>
      <c r="AL1038" t="s">
        <v>396</v>
      </c>
      <c r="AM1038" t="s">
        <v>3148</v>
      </c>
      <c r="AN1038">
        <v>46125</v>
      </c>
      <c r="AO1038">
        <v>46125.616875</v>
      </c>
      <c r="AP1038" t="s">
        <v>51</v>
      </c>
      <c r="AQ1038">
        <v>6.3109999999999999E-2</v>
      </c>
      <c r="AR1038">
        <v>3155.5</v>
      </c>
      <c r="AS1038" t="s">
        <v>51</v>
      </c>
      <c r="AT1038">
        <v>3155.5</v>
      </c>
      <c r="AU1038" t="s">
        <v>415</v>
      </c>
      <c r="AV1038" t="s">
        <v>772</v>
      </c>
      <c r="AW1038" t="s">
        <v>3113</v>
      </c>
      <c r="AX1038">
        <v>46132</v>
      </c>
      <c r="AY1038">
        <v>46181</v>
      </c>
      <c r="AZ1038" t="s">
        <v>3114</v>
      </c>
      <c r="BA1038" t="s">
        <v>419</v>
      </c>
      <c r="BB1038" t="s">
        <v>3115</v>
      </c>
      <c r="BE1038">
        <v>0</v>
      </c>
      <c r="BF1038">
        <v>0</v>
      </c>
      <c r="BM1038">
        <v>0</v>
      </c>
      <c r="BN1038">
        <v>0</v>
      </c>
      <c r="BO1038">
        <v>50</v>
      </c>
      <c r="CG1038" t="s">
        <v>421</v>
      </c>
      <c r="CN1038" t="str">
        <v>M45</v>
      </c>
      <c r="CO1038" t="str">
        <v>1318-11A0060EN</v>
      </c>
      <c r="CP1038" t="str">
        <v>WHSU2218868</v>
      </c>
      <c r="CQ1038" s="23">
        <v>50</v>
      </c>
      <c r="CR1038" s="25">
        <f t="shared" si="41"/>
        <v>3.8564495602430092E-3</v>
      </c>
      <c r="CS1038" s="21">
        <f t="shared" si="42"/>
        <v>9.6411239006075231</v>
      </c>
    </row>
    <row r="1039" spans="2:97" x14ac:dyDescent="0.35">
      <c r="B1039" t="s">
        <v>299</v>
      </c>
      <c r="C1039" t="s">
        <v>3149</v>
      </c>
      <c r="D1039" t="s">
        <v>395</v>
      </c>
      <c r="E1039" t="s">
        <v>395</v>
      </c>
      <c r="F1039" t="s">
        <v>396</v>
      </c>
      <c r="G1039" t="s">
        <v>397</v>
      </c>
      <c r="H1039" t="s">
        <v>454</v>
      </c>
      <c r="I1039" t="s">
        <v>399</v>
      </c>
      <c r="J1039" t="s">
        <v>400</v>
      </c>
      <c r="K1039" t="s">
        <v>455</v>
      </c>
      <c r="L1039" t="s">
        <v>456</v>
      </c>
      <c r="M1039" t="s">
        <v>403</v>
      </c>
      <c r="N1039">
        <v>1</v>
      </c>
      <c r="O1039">
        <v>1</v>
      </c>
      <c r="P1039" t="s">
        <v>3150</v>
      </c>
      <c r="Q1039" t="s">
        <v>424</v>
      </c>
      <c r="R1039" t="s">
        <v>493</v>
      </c>
      <c r="S1039" t="s">
        <v>3151</v>
      </c>
      <c r="T1039" t="s">
        <v>408</v>
      </c>
      <c r="U1039">
        <v>50950082096</v>
      </c>
      <c r="W1039">
        <v>50000</v>
      </c>
      <c r="X1039" t="s">
        <v>409</v>
      </c>
      <c r="Y1039" t="s">
        <v>410</v>
      </c>
      <c r="Z1039" t="s">
        <v>410</v>
      </c>
      <c r="AA1039" t="s">
        <v>411</v>
      </c>
      <c r="AB1039" t="s">
        <v>412</v>
      </c>
      <c r="AC1039" t="s">
        <v>411</v>
      </c>
      <c r="AD1039">
        <v>46126</v>
      </c>
      <c r="AE1039">
        <v>46202</v>
      </c>
      <c r="AF1039">
        <v>46132</v>
      </c>
      <c r="AG1039" t="s">
        <v>460</v>
      </c>
      <c r="AH1039">
        <v>6190064</v>
      </c>
      <c r="AI1039">
        <v>46125</v>
      </c>
      <c r="AJ1039">
        <v>46125</v>
      </c>
      <c r="AK1039">
        <v>50000</v>
      </c>
      <c r="AL1039" t="s">
        <v>396</v>
      </c>
      <c r="AM1039" t="s">
        <v>3152</v>
      </c>
      <c r="AN1039">
        <v>46125</v>
      </c>
      <c r="AO1039">
        <v>46125.616875</v>
      </c>
      <c r="AP1039" t="s">
        <v>51</v>
      </c>
      <c r="AQ1039">
        <v>6.3089999999999993E-2</v>
      </c>
      <c r="AR1039">
        <v>3154.5</v>
      </c>
      <c r="AS1039" t="s">
        <v>51</v>
      </c>
      <c r="AT1039">
        <v>3154.5</v>
      </c>
      <c r="AU1039" t="s">
        <v>415</v>
      </c>
      <c r="AV1039" t="s">
        <v>772</v>
      </c>
      <c r="AW1039" t="s">
        <v>3113</v>
      </c>
      <c r="AX1039">
        <v>46132</v>
      </c>
      <c r="AY1039">
        <v>46181</v>
      </c>
      <c r="AZ1039" t="s">
        <v>3114</v>
      </c>
      <c r="BA1039" t="s">
        <v>419</v>
      </c>
      <c r="BB1039" t="s">
        <v>3115</v>
      </c>
      <c r="BE1039">
        <v>0</v>
      </c>
      <c r="BF1039">
        <v>0</v>
      </c>
      <c r="BM1039">
        <v>0</v>
      </c>
      <c r="BN1039">
        <v>0</v>
      </c>
      <c r="BO1039">
        <v>10</v>
      </c>
      <c r="CG1039" t="s">
        <v>421</v>
      </c>
      <c r="CN1039" t="str">
        <v>M45</v>
      </c>
      <c r="CO1039" t="str">
        <v>1318-11A0060EN</v>
      </c>
      <c r="CP1039" t="str">
        <v>WHSU2218868</v>
      </c>
      <c r="CQ1039" s="23">
        <v>50</v>
      </c>
      <c r="CR1039" s="25">
        <f t="shared" si="41"/>
        <v>3.8564495602430092E-3</v>
      </c>
      <c r="CS1039" s="21">
        <f t="shared" si="42"/>
        <v>9.6411239006075231</v>
      </c>
    </row>
    <row r="1040" spans="2:97" x14ac:dyDescent="0.35">
      <c r="B1040" t="s">
        <v>295</v>
      </c>
      <c r="C1040" t="s">
        <v>3153</v>
      </c>
      <c r="D1040" t="s">
        <v>395</v>
      </c>
      <c r="E1040" t="s">
        <v>395</v>
      </c>
      <c r="F1040" t="s">
        <v>396</v>
      </c>
      <c r="G1040" t="s">
        <v>397</v>
      </c>
      <c r="H1040" t="s">
        <v>398</v>
      </c>
      <c r="I1040" t="s">
        <v>399</v>
      </c>
      <c r="J1040" t="s">
        <v>400</v>
      </c>
      <c r="K1040" t="s">
        <v>566</v>
      </c>
      <c r="L1040" t="s">
        <v>1215</v>
      </c>
      <c r="M1040" t="s">
        <v>403</v>
      </c>
      <c r="N1040">
        <v>1</v>
      </c>
      <c r="O1040">
        <v>1</v>
      </c>
      <c r="P1040" t="s">
        <v>1703</v>
      </c>
      <c r="Q1040" t="s">
        <v>405</v>
      </c>
      <c r="R1040" t="s">
        <v>1704</v>
      </c>
      <c r="S1040" t="s">
        <v>732</v>
      </c>
      <c r="T1040" t="s">
        <v>408</v>
      </c>
      <c r="U1040">
        <v>50950081654</v>
      </c>
      <c r="W1040">
        <v>11000</v>
      </c>
      <c r="X1040" t="s">
        <v>409</v>
      </c>
      <c r="Y1040" t="s">
        <v>410</v>
      </c>
      <c r="Z1040" t="s">
        <v>410</v>
      </c>
      <c r="AA1040" t="s">
        <v>411</v>
      </c>
      <c r="AB1040" t="s">
        <v>412</v>
      </c>
      <c r="AC1040" t="s">
        <v>411</v>
      </c>
      <c r="AD1040">
        <v>46119</v>
      </c>
      <c r="AE1040">
        <v>46202</v>
      </c>
      <c r="AF1040">
        <v>46132</v>
      </c>
      <c r="AG1040" t="s">
        <v>413</v>
      </c>
      <c r="AH1040">
        <v>6190088</v>
      </c>
      <c r="AI1040">
        <v>46125</v>
      </c>
      <c r="AJ1040">
        <v>46125</v>
      </c>
      <c r="AK1040">
        <v>11000</v>
      </c>
      <c r="AL1040" t="s">
        <v>396</v>
      </c>
      <c r="AM1040" t="s">
        <v>3154</v>
      </c>
      <c r="AN1040">
        <v>46125</v>
      </c>
      <c r="AO1040">
        <v>46125.616875</v>
      </c>
      <c r="AP1040" t="s">
        <v>51</v>
      </c>
      <c r="AQ1040">
        <v>0.18361</v>
      </c>
      <c r="AR1040">
        <v>2019.71</v>
      </c>
      <c r="AS1040" t="s">
        <v>51</v>
      </c>
      <c r="AT1040">
        <v>2019.71</v>
      </c>
      <c r="AU1040" t="s">
        <v>415</v>
      </c>
      <c r="AV1040" t="s">
        <v>772</v>
      </c>
      <c r="AW1040" t="s">
        <v>3113</v>
      </c>
      <c r="AX1040">
        <v>46132</v>
      </c>
      <c r="AY1040">
        <v>46181</v>
      </c>
      <c r="AZ1040" t="s">
        <v>3114</v>
      </c>
      <c r="BA1040" t="s">
        <v>419</v>
      </c>
      <c r="BB1040" t="s">
        <v>3115</v>
      </c>
      <c r="BE1040">
        <v>0</v>
      </c>
      <c r="BF1040">
        <v>0</v>
      </c>
      <c r="BM1040">
        <v>0</v>
      </c>
      <c r="BN1040">
        <v>0</v>
      </c>
      <c r="BO1040">
        <v>50</v>
      </c>
      <c r="CG1040" t="s">
        <v>421</v>
      </c>
      <c r="CN1040" t="str">
        <v>M45</v>
      </c>
      <c r="CO1040" t="str">
        <v>CPSP61C01028EN</v>
      </c>
      <c r="CP1040" t="str">
        <v>WHSU2218868</v>
      </c>
      <c r="CQ1040" s="23">
        <v>200</v>
      </c>
      <c r="CR1040" s="25">
        <f t="shared" si="41"/>
        <v>1.5425798240972037E-2</v>
      </c>
      <c r="CS1040" s="21">
        <f t="shared" si="42"/>
        <v>38.564495602430092</v>
      </c>
    </row>
    <row r="1041" spans="2:97" x14ac:dyDescent="0.35">
      <c r="B1041" t="s">
        <v>295</v>
      </c>
      <c r="C1041" t="s">
        <v>3155</v>
      </c>
      <c r="D1041" t="s">
        <v>395</v>
      </c>
      <c r="E1041" t="s">
        <v>395</v>
      </c>
      <c r="F1041" t="s">
        <v>396</v>
      </c>
      <c r="G1041" t="s">
        <v>397</v>
      </c>
      <c r="H1041" t="s">
        <v>398</v>
      </c>
      <c r="I1041" t="s">
        <v>399</v>
      </c>
      <c r="J1041" t="s">
        <v>400</v>
      </c>
      <c r="K1041" t="s">
        <v>1214</v>
      </c>
      <c r="L1041" t="s">
        <v>1215</v>
      </c>
      <c r="M1041" t="s">
        <v>403</v>
      </c>
      <c r="N1041">
        <v>1</v>
      </c>
      <c r="O1041">
        <v>1</v>
      </c>
      <c r="P1041" t="s">
        <v>1216</v>
      </c>
      <c r="Q1041" t="s">
        <v>789</v>
      </c>
      <c r="R1041" t="s">
        <v>1217</v>
      </c>
      <c r="S1041" t="s">
        <v>1218</v>
      </c>
      <c r="T1041" t="s">
        <v>408</v>
      </c>
      <c r="U1041">
        <v>50950082592</v>
      </c>
      <c r="W1041">
        <v>108000</v>
      </c>
      <c r="X1041" t="s">
        <v>409</v>
      </c>
      <c r="Y1041" t="s">
        <v>410</v>
      </c>
      <c r="Z1041" t="s">
        <v>410</v>
      </c>
      <c r="AA1041" t="s">
        <v>411</v>
      </c>
      <c r="AB1041" t="s">
        <v>412</v>
      </c>
      <c r="AC1041" t="s">
        <v>411</v>
      </c>
      <c r="AD1041">
        <v>46125</v>
      </c>
      <c r="AE1041">
        <v>46202</v>
      </c>
      <c r="AF1041">
        <v>46132</v>
      </c>
      <c r="AG1041" t="s">
        <v>413</v>
      </c>
      <c r="AH1041">
        <v>6190087</v>
      </c>
      <c r="AI1041">
        <v>46125</v>
      </c>
      <c r="AJ1041">
        <v>46125</v>
      </c>
      <c r="AK1041">
        <v>108000</v>
      </c>
      <c r="AL1041" t="s">
        <v>396</v>
      </c>
      <c r="AM1041" t="s">
        <v>3156</v>
      </c>
      <c r="AN1041">
        <v>46125</v>
      </c>
      <c r="AO1041">
        <v>46125.616875</v>
      </c>
      <c r="AP1041" t="s">
        <v>51</v>
      </c>
      <c r="AQ1041">
        <v>8.1360000000000002E-2</v>
      </c>
      <c r="AR1041">
        <v>8786.8799999999992</v>
      </c>
      <c r="AS1041" t="s">
        <v>51</v>
      </c>
      <c r="AT1041">
        <v>8786.8799999999992</v>
      </c>
      <c r="AU1041" t="s">
        <v>415</v>
      </c>
      <c r="AV1041" t="s">
        <v>772</v>
      </c>
      <c r="AW1041" t="s">
        <v>3113</v>
      </c>
      <c r="AX1041">
        <v>46132</v>
      </c>
      <c r="AY1041">
        <v>46181</v>
      </c>
      <c r="AZ1041" t="s">
        <v>3114</v>
      </c>
      <c r="BA1041" t="s">
        <v>419</v>
      </c>
      <c r="BB1041" t="s">
        <v>3115</v>
      </c>
      <c r="BE1041">
        <v>0</v>
      </c>
      <c r="BF1041">
        <v>0</v>
      </c>
      <c r="BM1041">
        <v>0</v>
      </c>
      <c r="BN1041">
        <v>0</v>
      </c>
      <c r="BO1041">
        <v>0.1</v>
      </c>
      <c r="CG1041" t="s">
        <v>421</v>
      </c>
      <c r="CN1041" t="str">
        <v>M19</v>
      </c>
      <c r="CO1041" t="str">
        <v>1307-5YY0150EN</v>
      </c>
      <c r="CP1041" t="str">
        <v>WHSU2218868</v>
      </c>
      <c r="CQ1041" s="23">
        <v>4000</v>
      </c>
      <c r="CR1041" s="25">
        <f t="shared" si="41"/>
        <v>0.30851596481944077</v>
      </c>
      <c r="CS1041" s="21">
        <f t="shared" si="42"/>
        <v>771.28991204860188</v>
      </c>
    </row>
    <row r="1042" spans="2:97" x14ac:dyDescent="0.35">
      <c r="B1042" t="s">
        <v>3497</v>
      </c>
      <c r="C1042" t="s">
        <v>2243</v>
      </c>
      <c r="D1042" t="s">
        <v>395</v>
      </c>
      <c r="E1042" t="s">
        <v>395</v>
      </c>
      <c r="F1042" t="s">
        <v>396</v>
      </c>
      <c r="G1042" t="s">
        <v>397</v>
      </c>
      <c r="H1042" t="s">
        <v>470</v>
      </c>
      <c r="I1042" t="s">
        <v>399</v>
      </c>
      <c r="J1042" t="s">
        <v>400</v>
      </c>
      <c r="K1042" t="s">
        <v>471</v>
      </c>
      <c r="L1042" t="s">
        <v>472</v>
      </c>
      <c r="M1042" t="s">
        <v>403</v>
      </c>
      <c r="N1042">
        <v>1</v>
      </c>
      <c r="O1042">
        <v>1</v>
      </c>
      <c r="P1042" t="s">
        <v>1221</v>
      </c>
      <c r="Q1042" t="s">
        <v>424</v>
      </c>
      <c r="R1042" t="s">
        <v>474</v>
      </c>
      <c r="S1042" t="s">
        <v>1222</v>
      </c>
      <c r="T1042" t="s">
        <v>408</v>
      </c>
      <c r="U1042">
        <v>50950081662</v>
      </c>
      <c r="W1042">
        <v>3000</v>
      </c>
      <c r="X1042" t="s">
        <v>409</v>
      </c>
      <c r="Y1042" t="s">
        <v>410</v>
      </c>
      <c r="Z1042" t="s">
        <v>410</v>
      </c>
      <c r="AA1042" t="s">
        <v>411</v>
      </c>
      <c r="AB1042" t="s">
        <v>412</v>
      </c>
      <c r="AC1042" t="s">
        <v>411</v>
      </c>
      <c r="AD1042">
        <v>46125</v>
      </c>
      <c r="AE1042">
        <v>46188</v>
      </c>
      <c r="AF1042">
        <v>46132</v>
      </c>
      <c r="AG1042" t="s">
        <v>476</v>
      </c>
      <c r="AH1042">
        <v>6189434</v>
      </c>
      <c r="AI1042">
        <v>46125</v>
      </c>
      <c r="AJ1042">
        <v>46125</v>
      </c>
      <c r="AK1042">
        <v>3000</v>
      </c>
      <c r="AL1042" t="s">
        <v>396</v>
      </c>
      <c r="AM1042" t="s">
        <v>3157</v>
      </c>
      <c r="AN1042">
        <v>46125</v>
      </c>
      <c r="AO1042">
        <v>46125.407905092594</v>
      </c>
      <c r="AP1042" t="s">
        <v>51</v>
      </c>
      <c r="AQ1042">
        <v>2.2955800000000002</v>
      </c>
      <c r="AR1042">
        <v>6886.74</v>
      </c>
      <c r="AS1042" t="s">
        <v>51</v>
      </c>
      <c r="AT1042">
        <v>6886.74</v>
      </c>
      <c r="AU1042" t="s">
        <v>415</v>
      </c>
      <c r="AV1042" t="s">
        <v>772</v>
      </c>
      <c r="AW1042" t="s">
        <v>3113</v>
      </c>
      <c r="AX1042">
        <v>46132</v>
      </c>
      <c r="AY1042">
        <v>46181</v>
      </c>
      <c r="AZ1042" t="s">
        <v>3114</v>
      </c>
      <c r="BA1042" t="s">
        <v>419</v>
      </c>
      <c r="BB1042" t="s">
        <v>3115</v>
      </c>
      <c r="BE1042">
        <v>0</v>
      </c>
      <c r="BF1042">
        <v>0</v>
      </c>
      <c r="BM1042">
        <v>0</v>
      </c>
      <c r="BN1042">
        <v>0</v>
      </c>
      <c r="BO1042" s="23">
        <f t="shared" ref="BO1042:BO1043" si="43">AR1042/AQ1042</f>
        <v>2999.9999999999995</v>
      </c>
      <c r="CG1042" t="s">
        <v>421</v>
      </c>
      <c r="CN1042" t="str">
        <v>M19</v>
      </c>
      <c r="CO1042" t="str">
        <v>1307-5YY0148EN</v>
      </c>
      <c r="CP1042" t="str">
        <v>WHSU2218868</v>
      </c>
      <c r="CQ1042" s="23">
        <v>4000</v>
      </c>
      <c r="CR1042" s="25">
        <f t="shared" si="41"/>
        <v>0.30851596481944077</v>
      </c>
      <c r="CS1042" s="21">
        <f t="shared" si="42"/>
        <v>771.28991204860188</v>
      </c>
    </row>
    <row r="1043" spans="2:97" x14ac:dyDescent="0.35">
      <c r="B1043" t="s">
        <v>3497</v>
      </c>
      <c r="C1043" t="s">
        <v>3158</v>
      </c>
      <c r="D1043" t="s">
        <v>395</v>
      </c>
      <c r="E1043" t="s">
        <v>395</v>
      </c>
      <c r="F1043" t="s">
        <v>396</v>
      </c>
      <c r="G1043" t="s">
        <v>397</v>
      </c>
      <c r="H1043" t="s">
        <v>470</v>
      </c>
      <c r="I1043" t="s">
        <v>399</v>
      </c>
      <c r="J1043" t="s">
        <v>400</v>
      </c>
      <c r="K1043" t="s">
        <v>471</v>
      </c>
      <c r="L1043" t="s">
        <v>472</v>
      </c>
      <c r="M1043" t="s">
        <v>403</v>
      </c>
      <c r="N1043">
        <v>1</v>
      </c>
      <c r="O1043">
        <v>1</v>
      </c>
      <c r="P1043" t="s">
        <v>473</v>
      </c>
      <c r="Q1043" t="s">
        <v>424</v>
      </c>
      <c r="R1043" t="s">
        <v>474</v>
      </c>
      <c r="S1043" t="s">
        <v>475</v>
      </c>
      <c r="T1043" t="s">
        <v>408</v>
      </c>
      <c r="U1043">
        <v>50950081664</v>
      </c>
      <c r="W1043">
        <v>500</v>
      </c>
      <c r="X1043" t="s">
        <v>409</v>
      </c>
      <c r="Y1043" t="s">
        <v>410</v>
      </c>
      <c r="Z1043" t="s">
        <v>410</v>
      </c>
      <c r="AA1043" t="s">
        <v>411</v>
      </c>
      <c r="AB1043" t="s">
        <v>412</v>
      </c>
      <c r="AC1043" t="s">
        <v>411</v>
      </c>
      <c r="AD1043">
        <v>46125</v>
      </c>
      <c r="AE1043">
        <v>46181</v>
      </c>
      <c r="AF1043">
        <v>46132</v>
      </c>
      <c r="AG1043" t="s">
        <v>476</v>
      </c>
      <c r="AH1043">
        <v>6189433</v>
      </c>
      <c r="AI1043">
        <v>46125</v>
      </c>
      <c r="AJ1043">
        <v>46125</v>
      </c>
      <c r="AK1043">
        <v>500</v>
      </c>
      <c r="AL1043" t="s">
        <v>396</v>
      </c>
      <c r="AM1043" t="s">
        <v>3159</v>
      </c>
      <c r="AN1043">
        <v>46125</v>
      </c>
      <c r="AO1043">
        <v>46125.407905092594</v>
      </c>
      <c r="AP1043" t="s">
        <v>51</v>
      </c>
      <c r="AQ1043">
        <v>3.2344300000000001</v>
      </c>
      <c r="AR1043">
        <v>1617.22</v>
      </c>
      <c r="AS1043" t="s">
        <v>51</v>
      </c>
      <c r="AT1043">
        <v>1617.22</v>
      </c>
      <c r="AU1043" t="s">
        <v>415</v>
      </c>
      <c r="AV1043" t="s">
        <v>772</v>
      </c>
      <c r="AW1043" t="s">
        <v>3113</v>
      </c>
      <c r="AX1043">
        <v>46132</v>
      </c>
      <c r="AY1043">
        <v>46181</v>
      </c>
      <c r="AZ1043" t="s">
        <v>3114</v>
      </c>
      <c r="BA1043" t="s">
        <v>419</v>
      </c>
      <c r="BB1043" t="s">
        <v>3115</v>
      </c>
      <c r="BE1043">
        <v>0</v>
      </c>
      <c r="BF1043">
        <v>0</v>
      </c>
      <c r="BM1043">
        <v>0</v>
      </c>
      <c r="BN1043">
        <v>0</v>
      </c>
      <c r="BO1043" s="23">
        <f t="shared" si="43"/>
        <v>500.00154586743258</v>
      </c>
      <c r="CG1043" t="s">
        <v>421</v>
      </c>
      <c r="CN1043" t="str">
        <v>M01</v>
      </c>
      <c r="CO1043" t="str">
        <v>1308-0033550EN</v>
      </c>
      <c r="CP1043" t="str">
        <v>WHSU2218868</v>
      </c>
      <c r="CQ1043" s="23">
        <v>141.04400000000001</v>
      </c>
      <c r="CR1043" s="25">
        <f t="shared" si="41"/>
        <v>1.0878581435498301E-2</v>
      </c>
      <c r="CS1043" s="21">
        <f t="shared" si="42"/>
        <v>27.196453588745751</v>
      </c>
    </row>
    <row r="1044" spans="2:97" x14ac:dyDescent="0.35">
      <c r="B1044" t="s">
        <v>296</v>
      </c>
      <c r="C1044" t="s">
        <v>3160</v>
      </c>
      <c r="D1044" t="s">
        <v>395</v>
      </c>
      <c r="E1044" t="s">
        <v>395</v>
      </c>
      <c r="F1044" t="s">
        <v>396</v>
      </c>
      <c r="G1044" t="s">
        <v>397</v>
      </c>
      <c r="H1044" t="s">
        <v>398</v>
      </c>
      <c r="I1044" t="s">
        <v>399</v>
      </c>
      <c r="J1044" t="s">
        <v>400</v>
      </c>
      <c r="K1044" t="s">
        <v>484</v>
      </c>
      <c r="L1044" t="s">
        <v>485</v>
      </c>
      <c r="M1044" t="s">
        <v>403</v>
      </c>
      <c r="N1044">
        <v>1</v>
      </c>
      <c r="O1044">
        <v>1</v>
      </c>
      <c r="P1044" t="s">
        <v>486</v>
      </c>
      <c r="Q1044" t="s">
        <v>430</v>
      </c>
      <c r="R1044" t="s">
        <v>487</v>
      </c>
      <c r="S1044" t="s">
        <v>488</v>
      </c>
      <c r="T1044" t="s">
        <v>408</v>
      </c>
      <c r="U1044">
        <v>50950080045</v>
      </c>
      <c r="W1044">
        <v>90000</v>
      </c>
      <c r="X1044" t="s">
        <v>409</v>
      </c>
      <c r="Y1044" t="s">
        <v>410</v>
      </c>
      <c r="Z1044" t="s">
        <v>410</v>
      </c>
      <c r="AA1044" t="s">
        <v>411</v>
      </c>
      <c r="AB1044" t="s">
        <v>412</v>
      </c>
      <c r="AC1044" t="s">
        <v>411</v>
      </c>
      <c r="AD1044">
        <v>46125</v>
      </c>
      <c r="AE1044">
        <v>46146</v>
      </c>
      <c r="AF1044">
        <v>46132</v>
      </c>
      <c r="AG1044" t="s">
        <v>489</v>
      </c>
      <c r="AH1044">
        <v>6190100</v>
      </c>
      <c r="AI1044">
        <v>46125</v>
      </c>
      <c r="AJ1044">
        <v>46125</v>
      </c>
      <c r="AK1044">
        <v>90000</v>
      </c>
      <c r="AL1044" t="s">
        <v>396</v>
      </c>
      <c r="AM1044" t="s">
        <v>3161</v>
      </c>
      <c r="AN1044">
        <v>46125</v>
      </c>
      <c r="AO1044">
        <v>46125.616875</v>
      </c>
      <c r="AP1044" t="s">
        <v>51</v>
      </c>
      <c r="AQ1044">
        <v>0.13102</v>
      </c>
      <c r="AR1044">
        <v>11791.8</v>
      </c>
      <c r="AS1044" t="s">
        <v>51</v>
      </c>
      <c r="AT1044">
        <v>11791.8</v>
      </c>
      <c r="AU1044" t="s">
        <v>415</v>
      </c>
      <c r="AV1044" t="s">
        <v>772</v>
      </c>
      <c r="AW1044" t="s">
        <v>3113</v>
      </c>
      <c r="AX1044">
        <v>46132</v>
      </c>
      <c r="AY1044">
        <v>46181</v>
      </c>
      <c r="AZ1044" t="s">
        <v>3114</v>
      </c>
      <c r="BA1044" t="s">
        <v>419</v>
      </c>
      <c r="BB1044" t="s">
        <v>3115</v>
      </c>
      <c r="BE1044">
        <v>0</v>
      </c>
      <c r="BF1044">
        <v>0</v>
      </c>
      <c r="BM1044">
        <v>0</v>
      </c>
      <c r="BN1044">
        <v>0</v>
      </c>
      <c r="BO1044">
        <v>50</v>
      </c>
      <c r="CG1044" t="s">
        <v>421</v>
      </c>
      <c r="CN1044" t="str">
        <v>M19</v>
      </c>
      <c r="CO1044" t="str">
        <v>1252-5YY0073EN</v>
      </c>
      <c r="CP1044" t="str">
        <v>WHSU2218868</v>
      </c>
      <c r="CQ1044" s="23">
        <v>103.98439999999999</v>
      </c>
      <c r="CR1044" s="25">
        <f t="shared" si="41"/>
        <v>8.0202118730426635E-3</v>
      </c>
      <c r="CS1044" s="21">
        <f t="shared" si="42"/>
        <v>20.050529682606658</v>
      </c>
    </row>
    <row r="1045" spans="2:97" x14ac:dyDescent="0.35">
      <c r="B1045" t="s">
        <v>296</v>
      </c>
      <c r="C1045" t="s">
        <v>3162</v>
      </c>
      <c r="D1045" t="s">
        <v>395</v>
      </c>
      <c r="E1045" t="s">
        <v>395</v>
      </c>
      <c r="F1045" t="s">
        <v>396</v>
      </c>
      <c r="G1045" t="s">
        <v>397</v>
      </c>
      <c r="H1045" t="s">
        <v>398</v>
      </c>
      <c r="I1045" t="s">
        <v>399</v>
      </c>
      <c r="J1045" t="s">
        <v>400</v>
      </c>
      <c r="K1045" t="s">
        <v>484</v>
      </c>
      <c r="L1045" t="s">
        <v>485</v>
      </c>
      <c r="M1045" t="s">
        <v>403</v>
      </c>
      <c r="N1045">
        <v>1</v>
      </c>
      <c r="O1045">
        <v>1</v>
      </c>
      <c r="P1045" t="s">
        <v>1236</v>
      </c>
      <c r="Q1045" t="s">
        <v>424</v>
      </c>
      <c r="R1045" t="s">
        <v>1237</v>
      </c>
      <c r="S1045" t="s">
        <v>1238</v>
      </c>
      <c r="T1045" t="s">
        <v>408</v>
      </c>
      <c r="U1045">
        <v>50950081436</v>
      </c>
      <c r="W1045">
        <v>2033.41</v>
      </c>
      <c r="X1045" t="s">
        <v>409</v>
      </c>
      <c r="Y1045" t="s">
        <v>410</v>
      </c>
      <c r="Z1045" t="s">
        <v>410</v>
      </c>
      <c r="AA1045" t="s">
        <v>411</v>
      </c>
      <c r="AB1045" t="s">
        <v>412</v>
      </c>
      <c r="AC1045" t="s">
        <v>411</v>
      </c>
      <c r="AD1045">
        <v>46125</v>
      </c>
      <c r="AE1045">
        <v>46181</v>
      </c>
      <c r="AF1045">
        <v>46132</v>
      </c>
      <c r="AG1045" t="s">
        <v>489</v>
      </c>
      <c r="AH1045">
        <v>6190093</v>
      </c>
      <c r="AI1045">
        <v>46125</v>
      </c>
      <c r="AJ1045">
        <v>46125</v>
      </c>
      <c r="AK1045">
        <v>2033.41</v>
      </c>
      <c r="AL1045" t="s">
        <v>396</v>
      </c>
      <c r="AM1045" t="s">
        <v>3163</v>
      </c>
      <c r="AN1045">
        <v>46125</v>
      </c>
      <c r="AO1045">
        <v>46125.616875</v>
      </c>
      <c r="AP1045" t="s">
        <v>51</v>
      </c>
      <c r="AQ1045">
        <v>7.5658300000000001</v>
      </c>
      <c r="AR1045">
        <v>15384.43</v>
      </c>
      <c r="AS1045" t="s">
        <v>51</v>
      </c>
      <c r="AT1045">
        <v>15384.43</v>
      </c>
      <c r="AU1045" t="s">
        <v>415</v>
      </c>
      <c r="AV1045" t="s">
        <v>772</v>
      </c>
      <c r="AW1045" t="s">
        <v>3113</v>
      </c>
      <c r="AX1045">
        <v>46132</v>
      </c>
      <c r="AY1045">
        <v>46181</v>
      </c>
      <c r="AZ1045" t="s">
        <v>3114</v>
      </c>
      <c r="BA1045" t="s">
        <v>419</v>
      </c>
      <c r="BB1045" t="s">
        <v>3115</v>
      </c>
      <c r="BO1045" s="23">
        <f t="shared" ref="BO1045:BO1046" si="44">AR1045/AQ1045</f>
        <v>2033.4094210417099</v>
      </c>
      <c r="CG1045" t="s">
        <v>421</v>
      </c>
      <c r="CN1045" t="str">
        <v>M19</v>
      </c>
      <c r="CO1045" t="str">
        <v>1106-5YY0014-T2EN</v>
      </c>
      <c r="CP1045" t="str">
        <v>WHSU2218868</v>
      </c>
      <c r="CQ1045" s="23">
        <v>122.69712</v>
      </c>
      <c r="CR1045" s="25">
        <f t="shared" si="41"/>
        <v>9.4635050893416752E-3</v>
      </c>
      <c r="CS1045" s="21">
        <f t="shared" si="42"/>
        <v>23.658762723354187</v>
      </c>
    </row>
    <row r="1046" spans="2:97" x14ac:dyDescent="0.35">
      <c r="B1046" t="s">
        <v>296</v>
      </c>
      <c r="C1046" t="s">
        <v>3164</v>
      </c>
      <c r="D1046" t="s">
        <v>395</v>
      </c>
      <c r="E1046" t="s">
        <v>395</v>
      </c>
      <c r="F1046" t="s">
        <v>396</v>
      </c>
      <c r="G1046" t="s">
        <v>397</v>
      </c>
      <c r="H1046" t="s">
        <v>398</v>
      </c>
      <c r="I1046" t="s">
        <v>399</v>
      </c>
      <c r="J1046" t="s">
        <v>400</v>
      </c>
      <c r="K1046" t="s">
        <v>484</v>
      </c>
      <c r="L1046" t="s">
        <v>485</v>
      </c>
      <c r="M1046" t="s">
        <v>403</v>
      </c>
      <c r="N1046">
        <v>1</v>
      </c>
      <c r="O1046">
        <v>1</v>
      </c>
      <c r="P1046" t="s">
        <v>1241</v>
      </c>
      <c r="Q1046" t="s">
        <v>424</v>
      </c>
      <c r="R1046" t="s">
        <v>1242</v>
      </c>
      <c r="S1046" t="s">
        <v>1243</v>
      </c>
      <c r="T1046" t="s">
        <v>408</v>
      </c>
      <c r="U1046">
        <v>50950081454</v>
      </c>
      <c r="W1046">
        <v>20</v>
      </c>
      <c r="X1046" t="s">
        <v>409</v>
      </c>
      <c r="Y1046" t="s">
        <v>410</v>
      </c>
      <c r="Z1046" t="s">
        <v>410</v>
      </c>
      <c r="AA1046" t="s">
        <v>411</v>
      </c>
      <c r="AB1046" t="s">
        <v>412</v>
      </c>
      <c r="AC1046" t="s">
        <v>411</v>
      </c>
      <c r="AD1046">
        <v>46125</v>
      </c>
      <c r="AE1046">
        <v>46181</v>
      </c>
      <c r="AF1046">
        <v>46132</v>
      </c>
      <c r="AG1046" t="s">
        <v>489</v>
      </c>
      <c r="AH1046">
        <v>6190099</v>
      </c>
      <c r="AI1046">
        <v>46125</v>
      </c>
      <c r="AJ1046">
        <v>46125</v>
      </c>
      <c r="AK1046">
        <v>20</v>
      </c>
      <c r="AL1046" t="s">
        <v>396</v>
      </c>
      <c r="AM1046" t="s">
        <v>3165</v>
      </c>
      <c r="AN1046">
        <v>46125</v>
      </c>
      <c r="AO1046">
        <v>46125.616875</v>
      </c>
      <c r="AP1046" t="s">
        <v>51</v>
      </c>
      <c r="AQ1046">
        <v>130.63573</v>
      </c>
      <c r="AR1046">
        <v>2612.71</v>
      </c>
      <c r="AS1046" t="s">
        <v>51</v>
      </c>
      <c r="AT1046">
        <v>2612.71</v>
      </c>
      <c r="AU1046" t="s">
        <v>415</v>
      </c>
      <c r="AV1046" t="s">
        <v>772</v>
      </c>
      <c r="AW1046" t="s">
        <v>3113</v>
      </c>
      <c r="AX1046">
        <v>46132</v>
      </c>
      <c r="AY1046">
        <v>46181</v>
      </c>
      <c r="AZ1046" t="s">
        <v>3114</v>
      </c>
      <c r="BA1046" t="s">
        <v>419</v>
      </c>
      <c r="BB1046" t="s">
        <v>3115</v>
      </c>
      <c r="BO1046" s="23">
        <f t="shared" si="44"/>
        <v>19.999964787581469</v>
      </c>
      <c r="CG1046" t="s">
        <v>421</v>
      </c>
      <c r="CN1046" t="str">
        <v>M19</v>
      </c>
      <c r="CO1046" t="str">
        <v>1106-5YY0031EN</v>
      </c>
      <c r="CP1046" t="str">
        <v>WHSU2218868</v>
      </c>
      <c r="CQ1046" s="23">
        <v>132.75839999999999</v>
      </c>
      <c r="CR1046" s="25">
        <f t="shared" si="41"/>
        <v>1.023952146597131E-2</v>
      </c>
      <c r="CS1046" s="21">
        <f t="shared" si="42"/>
        <v>25.598803664928276</v>
      </c>
    </row>
    <row r="1047" spans="2:97" x14ac:dyDescent="0.35">
      <c r="B1047" t="s">
        <v>296</v>
      </c>
      <c r="C1047" t="s">
        <v>3166</v>
      </c>
      <c r="D1047" t="s">
        <v>395</v>
      </c>
      <c r="E1047" t="s">
        <v>395</v>
      </c>
      <c r="F1047" t="s">
        <v>396</v>
      </c>
      <c r="G1047" t="s">
        <v>397</v>
      </c>
      <c r="H1047" t="s">
        <v>398</v>
      </c>
      <c r="I1047" t="s">
        <v>399</v>
      </c>
      <c r="J1047" t="s">
        <v>400</v>
      </c>
      <c r="K1047" t="s">
        <v>484</v>
      </c>
      <c r="L1047" t="s">
        <v>485</v>
      </c>
      <c r="M1047" t="s">
        <v>403</v>
      </c>
      <c r="N1047">
        <v>1</v>
      </c>
      <c r="O1047">
        <v>1</v>
      </c>
      <c r="P1047" t="s">
        <v>492</v>
      </c>
      <c r="Q1047" t="s">
        <v>430</v>
      </c>
      <c r="R1047" t="s">
        <v>493</v>
      </c>
      <c r="S1047" t="s">
        <v>494</v>
      </c>
      <c r="T1047" t="s">
        <v>408</v>
      </c>
      <c r="U1047">
        <v>50950081825</v>
      </c>
      <c r="W1047">
        <v>60000</v>
      </c>
      <c r="X1047" t="s">
        <v>409</v>
      </c>
      <c r="Y1047" t="s">
        <v>410</v>
      </c>
      <c r="Z1047" t="s">
        <v>410</v>
      </c>
      <c r="AA1047" t="s">
        <v>411</v>
      </c>
      <c r="AB1047" t="s">
        <v>412</v>
      </c>
      <c r="AC1047" t="s">
        <v>411</v>
      </c>
      <c r="AD1047">
        <v>46125</v>
      </c>
      <c r="AE1047">
        <v>46181</v>
      </c>
      <c r="AF1047">
        <v>46132</v>
      </c>
      <c r="AG1047" t="s">
        <v>489</v>
      </c>
      <c r="AH1047">
        <v>6190097</v>
      </c>
      <c r="AI1047">
        <v>46125</v>
      </c>
      <c r="AJ1047">
        <v>46125</v>
      </c>
      <c r="AK1047">
        <v>60000</v>
      </c>
      <c r="AL1047" t="s">
        <v>396</v>
      </c>
      <c r="AM1047" t="s">
        <v>3167</v>
      </c>
      <c r="AN1047">
        <v>46125</v>
      </c>
      <c r="AO1047">
        <v>46125.616875</v>
      </c>
      <c r="AP1047" t="s">
        <v>51</v>
      </c>
      <c r="AQ1047">
        <v>4.4499999999999998E-2</v>
      </c>
      <c r="AR1047">
        <v>2670</v>
      </c>
      <c r="AS1047" t="s">
        <v>51</v>
      </c>
      <c r="AT1047">
        <v>2670</v>
      </c>
      <c r="AU1047" t="s">
        <v>415</v>
      </c>
      <c r="AV1047" t="s">
        <v>772</v>
      </c>
      <c r="AW1047" t="s">
        <v>3113</v>
      </c>
      <c r="AX1047">
        <v>46132</v>
      </c>
      <c r="AY1047">
        <v>46181</v>
      </c>
      <c r="AZ1047" t="s">
        <v>3114</v>
      </c>
      <c r="BA1047" t="s">
        <v>419</v>
      </c>
      <c r="BB1047" t="s">
        <v>3115</v>
      </c>
      <c r="BE1047">
        <v>0</v>
      </c>
      <c r="BF1047">
        <v>0</v>
      </c>
      <c r="BM1047">
        <v>0</v>
      </c>
      <c r="BN1047">
        <v>0</v>
      </c>
      <c r="BO1047">
        <v>50</v>
      </c>
      <c r="CG1047" t="s">
        <v>421</v>
      </c>
      <c r="CN1047" t="str">
        <v>MCS</v>
      </c>
      <c r="CO1047" t="str">
        <v>1209-5YY0465EN</v>
      </c>
      <c r="CP1047" t="str">
        <v>WHSU2218868</v>
      </c>
      <c r="CQ1047" s="23">
        <v>152.51071999999999</v>
      </c>
      <c r="CR1047" s="25">
        <f t="shared" si="41"/>
        <v>1.1762997981526893E-2</v>
      </c>
      <c r="CS1047" s="21">
        <f t="shared" si="42"/>
        <v>29.407494953817235</v>
      </c>
    </row>
    <row r="1048" spans="2:97" x14ac:dyDescent="0.35">
      <c r="B1048" t="s">
        <v>296</v>
      </c>
      <c r="C1048" t="s">
        <v>3168</v>
      </c>
      <c r="D1048" t="s">
        <v>395</v>
      </c>
      <c r="E1048" t="s">
        <v>395</v>
      </c>
      <c r="F1048" t="s">
        <v>396</v>
      </c>
      <c r="G1048" t="s">
        <v>397</v>
      </c>
      <c r="H1048" t="s">
        <v>398</v>
      </c>
      <c r="I1048" t="s">
        <v>399</v>
      </c>
      <c r="J1048" t="s">
        <v>400</v>
      </c>
      <c r="K1048" t="s">
        <v>484</v>
      </c>
      <c r="L1048" t="s">
        <v>485</v>
      </c>
      <c r="M1048" t="s">
        <v>403</v>
      </c>
      <c r="N1048">
        <v>1</v>
      </c>
      <c r="O1048">
        <v>1</v>
      </c>
      <c r="P1048" t="s">
        <v>1734</v>
      </c>
      <c r="Q1048" t="s">
        <v>424</v>
      </c>
      <c r="R1048" t="s">
        <v>493</v>
      </c>
      <c r="S1048" t="s">
        <v>426</v>
      </c>
      <c r="T1048" t="s">
        <v>408</v>
      </c>
      <c r="U1048">
        <v>50950081826</v>
      </c>
      <c r="W1048">
        <v>140000</v>
      </c>
      <c r="X1048" t="s">
        <v>409</v>
      </c>
      <c r="Y1048" t="s">
        <v>410</v>
      </c>
      <c r="Z1048" t="s">
        <v>410</v>
      </c>
      <c r="AA1048" t="s">
        <v>411</v>
      </c>
      <c r="AB1048" t="s">
        <v>412</v>
      </c>
      <c r="AC1048" t="s">
        <v>411</v>
      </c>
      <c r="AD1048">
        <v>46126</v>
      </c>
      <c r="AE1048">
        <v>46195</v>
      </c>
      <c r="AF1048">
        <v>46132</v>
      </c>
      <c r="AG1048" t="s">
        <v>489</v>
      </c>
      <c r="AH1048">
        <v>6190098</v>
      </c>
      <c r="AI1048">
        <v>46125</v>
      </c>
      <c r="AJ1048">
        <v>46125</v>
      </c>
      <c r="AK1048">
        <v>140000</v>
      </c>
      <c r="AL1048" t="s">
        <v>396</v>
      </c>
      <c r="AM1048" t="s">
        <v>3169</v>
      </c>
      <c r="AN1048">
        <v>46125</v>
      </c>
      <c r="AO1048">
        <v>46125.616875</v>
      </c>
      <c r="AP1048" t="s">
        <v>51</v>
      </c>
      <c r="AQ1048">
        <v>1.874E-2</v>
      </c>
      <c r="AR1048">
        <v>2623.6</v>
      </c>
      <c r="AS1048" t="s">
        <v>51</v>
      </c>
      <c r="AT1048">
        <v>2623.6</v>
      </c>
      <c r="AU1048" t="s">
        <v>415</v>
      </c>
      <c r="AV1048" t="s">
        <v>772</v>
      </c>
      <c r="AW1048" t="s">
        <v>3113</v>
      </c>
      <c r="AX1048">
        <v>46132</v>
      </c>
      <c r="AY1048">
        <v>46181</v>
      </c>
      <c r="AZ1048" t="s">
        <v>3114</v>
      </c>
      <c r="BA1048" t="s">
        <v>419</v>
      </c>
      <c r="BB1048" t="s">
        <v>3115</v>
      </c>
      <c r="BE1048">
        <v>0</v>
      </c>
      <c r="BF1048">
        <v>0</v>
      </c>
      <c r="BM1048">
        <v>0</v>
      </c>
      <c r="BN1048">
        <v>0</v>
      </c>
      <c r="BO1048">
        <v>50</v>
      </c>
      <c r="CG1048" t="s">
        <v>421</v>
      </c>
      <c r="CN1048" t="str">
        <v>MCS</v>
      </c>
      <c r="CO1048" t="str">
        <v>1209-5YY0496EN</v>
      </c>
      <c r="CP1048" t="str">
        <v>WHSU2218868</v>
      </c>
      <c r="CQ1048" s="23">
        <v>115.389</v>
      </c>
      <c r="CR1048" s="25">
        <f t="shared" si="41"/>
        <v>8.8998371661376113E-3</v>
      </c>
      <c r="CS1048" s="21">
        <f t="shared" si="42"/>
        <v>22.249592915344028</v>
      </c>
    </row>
    <row r="1049" spans="2:97" x14ac:dyDescent="0.35">
      <c r="B1049" t="s">
        <v>296</v>
      </c>
      <c r="C1049" t="s">
        <v>3170</v>
      </c>
      <c r="D1049" t="s">
        <v>395</v>
      </c>
      <c r="E1049" t="s">
        <v>395</v>
      </c>
      <c r="F1049" t="s">
        <v>396</v>
      </c>
      <c r="G1049" t="s">
        <v>397</v>
      </c>
      <c r="H1049" t="s">
        <v>398</v>
      </c>
      <c r="I1049" t="s">
        <v>399</v>
      </c>
      <c r="J1049" t="s">
        <v>400</v>
      </c>
      <c r="K1049" t="s">
        <v>484</v>
      </c>
      <c r="L1049" t="s">
        <v>485</v>
      </c>
      <c r="M1049" t="s">
        <v>403</v>
      </c>
      <c r="N1049">
        <v>1</v>
      </c>
      <c r="O1049">
        <v>1</v>
      </c>
      <c r="P1049" t="s">
        <v>1731</v>
      </c>
      <c r="Q1049" t="s">
        <v>424</v>
      </c>
      <c r="R1049" t="s">
        <v>493</v>
      </c>
      <c r="S1049" t="s">
        <v>426</v>
      </c>
      <c r="T1049" t="s">
        <v>408</v>
      </c>
      <c r="U1049">
        <v>50950081870</v>
      </c>
      <c r="W1049">
        <v>32000</v>
      </c>
      <c r="X1049" t="s">
        <v>409</v>
      </c>
      <c r="Y1049" t="s">
        <v>410</v>
      </c>
      <c r="Z1049" t="s">
        <v>410</v>
      </c>
      <c r="AA1049" t="s">
        <v>411</v>
      </c>
      <c r="AB1049" t="s">
        <v>412</v>
      </c>
      <c r="AC1049" t="s">
        <v>411</v>
      </c>
      <c r="AD1049">
        <v>46126</v>
      </c>
      <c r="AE1049">
        <v>46195</v>
      </c>
      <c r="AF1049">
        <v>46132</v>
      </c>
      <c r="AG1049" t="s">
        <v>489</v>
      </c>
      <c r="AH1049">
        <v>6190095</v>
      </c>
      <c r="AI1049">
        <v>46125</v>
      </c>
      <c r="AJ1049">
        <v>46125</v>
      </c>
      <c r="AK1049">
        <v>32000</v>
      </c>
      <c r="AL1049" t="s">
        <v>396</v>
      </c>
      <c r="AM1049" t="s">
        <v>3171</v>
      </c>
      <c r="AN1049">
        <v>46125</v>
      </c>
      <c r="AO1049">
        <v>46125.616875</v>
      </c>
      <c r="AP1049" t="s">
        <v>51</v>
      </c>
      <c r="AQ1049">
        <v>9.6250000000000002E-2</v>
      </c>
      <c r="AR1049">
        <v>3080</v>
      </c>
      <c r="AS1049" t="s">
        <v>51</v>
      </c>
      <c r="AT1049">
        <v>3080</v>
      </c>
      <c r="AU1049" t="s">
        <v>415</v>
      </c>
      <c r="AV1049" t="s">
        <v>772</v>
      </c>
      <c r="AW1049" t="s">
        <v>3113</v>
      </c>
      <c r="AX1049">
        <v>46132</v>
      </c>
      <c r="AY1049">
        <v>46181</v>
      </c>
      <c r="AZ1049" t="s">
        <v>3114</v>
      </c>
      <c r="BA1049" t="s">
        <v>419</v>
      </c>
      <c r="BB1049" t="s">
        <v>3115</v>
      </c>
      <c r="BE1049">
        <v>0</v>
      </c>
      <c r="BF1049">
        <v>0</v>
      </c>
      <c r="BM1049">
        <v>0</v>
      </c>
      <c r="BN1049">
        <v>0</v>
      </c>
      <c r="BO1049">
        <v>50</v>
      </c>
      <c r="CG1049" t="s">
        <v>421</v>
      </c>
      <c r="CN1049" t="str">
        <v>M19</v>
      </c>
      <c r="CO1049" t="str">
        <v>1101-5YY0299EN</v>
      </c>
      <c r="CP1049" t="str">
        <v>WHSU2218868</v>
      </c>
      <c r="CQ1049" s="23">
        <v>166.35936000000001</v>
      </c>
      <c r="CR1049" s="25">
        <f t="shared" si="41"/>
        <v>1.2831129614286171E-2</v>
      </c>
      <c r="CS1049" s="21">
        <f t="shared" si="42"/>
        <v>32.077824035715423</v>
      </c>
    </row>
    <row r="1050" spans="2:97" x14ac:dyDescent="0.35">
      <c r="B1050" t="s">
        <v>296</v>
      </c>
      <c r="C1050" t="s">
        <v>3172</v>
      </c>
      <c r="D1050" t="s">
        <v>395</v>
      </c>
      <c r="E1050" t="s">
        <v>395</v>
      </c>
      <c r="F1050" t="s">
        <v>396</v>
      </c>
      <c r="G1050" t="s">
        <v>397</v>
      </c>
      <c r="H1050" t="s">
        <v>398</v>
      </c>
      <c r="I1050" t="s">
        <v>399</v>
      </c>
      <c r="J1050" t="s">
        <v>400</v>
      </c>
      <c r="K1050" t="s">
        <v>484</v>
      </c>
      <c r="L1050" t="s">
        <v>485</v>
      </c>
      <c r="M1050" t="s">
        <v>403</v>
      </c>
      <c r="N1050">
        <v>1</v>
      </c>
      <c r="O1050">
        <v>1</v>
      </c>
      <c r="P1050" t="s">
        <v>1731</v>
      </c>
      <c r="Q1050" t="s">
        <v>424</v>
      </c>
      <c r="R1050" t="s">
        <v>493</v>
      </c>
      <c r="S1050" t="s">
        <v>426</v>
      </c>
      <c r="T1050" t="s">
        <v>408</v>
      </c>
      <c r="U1050">
        <v>50950082366</v>
      </c>
      <c r="W1050">
        <v>54000</v>
      </c>
      <c r="X1050" t="s">
        <v>409</v>
      </c>
      <c r="Y1050" t="s">
        <v>410</v>
      </c>
      <c r="Z1050" t="s">
        <v>410</v>
      </c>
      <c r="AA1050" t="s">
        <v>411</v>
      </c>
      <c r="AB1050" t="s">
        <v>412</v>
      </c>
      <c r="AC1050" t="s">
        <v>411</v>
      </c>
      <c r="AD1050">
        <v>46126</v>
      </c>
      <c r="AE1050">
        <v>46167</v>
      </c>
      <c r="AF1050">
        <v>46132</v>
      </c>
      <c r="AG1050" t="s">
        <v>489</v>
      </c>
      <c r="AH1050">
        <v>6190096</v>
      </c>
      <c r="AI1050">
        <v>46125</v>
      </c>
      <c r="AJ1050">
        <v>46125</v>
      </c>
      <c r="AK1050">
        <v>54000</v>
      </c>
      <c r="AL1050" t="s">
        <v>396</v>
      </c>
      <c r="AM1050" t="s">
        <v>3173</v>
      </c>
      <c r="AN1050">
        <v>46125</v>
      </c>
      <c r="AO1050">
        <v>46125.616875</v>
      </c>
      <c r="AP1050" t="s">
        <v>51</v>
      </c>
      <c r="AQ1050">
        <v>9.6250000000000002E-2</v>
      </c>
      <c r="AR1050">
        <v>5197.5</v>
      </c>
      <c r="AS1050" t="s">
        <v>51</v>
      </c>
      <c r="AT1050">
        <v>5197.5</v>
      </c>
      <c r="AU1050" t="s">
        <v>415</v>
      </c>
      <c r="AV1050" t="s">
        <v>772</v>
      </c>
      <c r="AW1050" t="s">
        <v>3113</v>
      </c>
      <c r="AX1050">
        <v>46132</v>
      </c>
      <c r="AY1050">
        <v>46181</v>
      </c>
      <c r="AZ1050" t="s">
        <v>3114</v>
      </c>
      <c r="BA1050" t="s">
        <v>419</v>
      </c>
      <c r="BB1050" t="s">
        <v>3115</v>
      </c>
      <c r="BE1050">
        <v>0</v>
      </c>
      <c r="BF1050">
        <v>0</v>
      </c>
      <c r="BM1050">
        <v>0</v>
      </c>
      <c r="BN1050">
        <v>0</v>
      </c>
      <c r="BO1050">
        <v>50</v>
      </c>
      <c r="CG1050" t="s">
        <v>421</v>
      </c>
      <c r="CN1050" t="str">
        <v>M19</v>
      </c>
      <c r="CO1050" t="str">
        <v>1106-5YY0033EN</v>
      </c>
      <c r="CP1050" t="str">
        <v>WHSU2218868</v>
      </c>
      <c r="CQ1050" s="23">
        <v>207.95160000000001</v>
      </c>
      <c r="CR1050" s="25">
        <f t="shared" si="41"/>
        <v>1.6039097127436605E-2</v>
      </c>
      <c r="CS1050" s="21">
        <f t="shared" si="42"/>
        <v>40.097742818591513</v>
      </c>
    </row>
    <row r="1051" spans="2:97" x14ac:dyDescent="0.35">
      <c r="B1051" t="s">
        <v>296</v>
      </c>
      <c r="C1051" t="s">
        <v>3174</v>
      </c>
      <c r="D1051" t="s">
        <v>395</v>
      </c>
      <c r="E1051" t="s">
        <v>395</v>
      </c>
      <c r="F1051" t="s">
        <v>396</v>
      </c>
      <c r="G1051" t="s">
        <v>397</v>
      </c>
      <c r="H1051" t="s">
        <v>398</v>
      </c>
      <c r="I1051" t="s">
        <v>399</v>
      </c>
      <c r="J1051" t="s">
        <v>400</v>
      </c>
      <c r="K1051" t="s">
        <v>484</v>
      </c>
      <c r="L1051" t="s">
        <v>485</v>
      </c>
      <c r="M1051" t="s">
        <v>403</v>
      </c>
      <c r="N1051">
        <v>1</v>
      </c>
      <c r="O1051">
        <v>1</v>
      </c>
      <c r="P1051" t="s">
        <v>2260</v>
      </c>
      <c r="Q1051" t="s">
        <v>424</v>
      </c>
      <c r="R1051" t="s">
        <v>2261</v>
      </c>
      <c r="S1051" t="s">
        <v>1238</v>
      </c>
      <c r="T1051" t="s">
        <v>408</v>
      </c>
      <c r="U1051">
        <v>50950082582</v>
      </c>
      <c r="W1051">
        <v>583.26</v>
      </c>
      <c r="X1051" t="s">
        <v>409</v>
      </c>
      <c r="Y1051" t="s">
        <v>410</v>
      </c>
      <c r="Z1051" t="s">
        <v>410</v>
      </c>
      <c r="AA1051" t="s">
        <v>411</v>
      </c>
      <c r="AB1051" t="s">
        <v>412</v>
      </c>
      <c r="AC1051" t="s">
        <v>411</v>
      </c>
      <c r="AD1051">
        <v>46125</v>
      </c>
      <c r="AE1051">
        <v>46188</v>
      </c>
      <c r="AF1051">
        <v>46132</v>
      </c>
      <c r="AG1051" t="s">
        <v>489</v>
      </c>
      <c r="AH1051">
        <v>6190092</v>
      </c>
      <c r="AI1051">
        <v>46125</v>
      </c>
      <c r="AJ1051">
        <v>46125</v>
      </c>
      <c r="AK1051">
        <v>583.26</v>
      </c>
      <c r="AL1051" t="s">
        <v>396</v>
      </c>
      <c r="AM1051" t="s">
        <v>3175</v>
      </c>
      <c r="AN1051">
        <v>46125</v>
      </c>
      <c r="AO1051">
        <v>46125.616875</v>
      </c>
      <c r="AP1051" t="s">
        <v>51</v>
      </c>
      <c r="AQ1051">
        <v>6.9561900000000003</v>
      </c>
      <c r="AR1051">
        <v>4057.27</v>
      </c>
      <c r="AS1051" t="s">
        <v>51</v>
      </c>
      <c r="AT1051">
        <v>4057.27</v>
      </c>
      <c r="AU1051" t="s">
        <v>415</v>
      </c>
      <c r="AV1051" t="s">
        <v>772</v>
      </c>
      <c r="AW1051" t="s">
        <v>3113</v>
      </c>
      <c r="AX1051">
        <v>46132</v>
      </c>
      <c r="AY1051">
        <v>46181</v>
      </c>
      <c r="AZ1051" t="s">
        <v>3114</v>
      </c>
      <c r="BA1051" t="s">
        <v>419</v>
      </c>
      <c r="BB1051" t="s">
        <v>3115</v>
      </c>
      <c r="BO1051" s="23">
        <f t="shared" ref="BO1051:BO1052" si="45">AR1051/AQ1051</f>
        <v>583.2603767292153</v>
      </c>
      <c r="CG1051" t="s">
        <v>421</v>
      </c>
      <c r="CN1051" t="str">
        <v>MCS</v>
      </c>
      <c r="CO1051" t="str">
        <v>1209-5YY0476EN</v>
      </c>
      <c r="CP1051" t="str">
        <v>WHSU2218868</v>
      </c>
      <c r="CQ1051" s="23">
        <v>46.318399999999997</v>
      </c>
      <c r="CR1051" s="25">
        <f t="shared" si="41"/>
        <v>3.572491466223196E-3</v>
      </c>
      <c r="CS1051" s="21">
        <f t="shared" si="42"/>
        <v>8.93122866555799</v>
      </c>
    </row>
    <row r="1052" spans="2:97" x14ac:dyDescent="0.35">
      <c r="B1052" t="s">
        <v>296</v>
      </c>
      <c r="C1052" t="s">
        <v>3176</v>
      </c>
      <c r="D1052" t="s">
        <v>395</v>
      </c>
      <c r="E1052" t="s">
        <v>395</v>
      </c>
      <c r="F1052" t="s">
        <v>396</v>
      </c>
      <c r="G1052" t="s">
        <v>397</v>
      </c>
      <c r="H1052" t="s">
        <v>398</v>
      </c>
      <c r="I1052" t="s">
        <v>399</v>
      </c>
      <c r="J1052" t="s">
        <v>400</v>
      </c>
      <c r="K1052" t="s">
        <v>484</v>
      </c>
      <c r="L1052" t="s">
        <v>485</v>
      </c>
      <c r="M1052" t="s">
        <v>403</v>
      </c>
      <c r="N1052">
        <v>1</v>
      </c>
      <c r="O1052">
        <v>1</v>
      </c>
      <c r="P1052" t="s">
        <v>1236</v>
      </c>
      <c r="Q1052" t="s">
        <v>424</v>
      </c>
      <c r="R1052" t="s">
        <v>1237</v>
      </c>
      <c r="S1052" t="s">
        <v>1238</v>
      </c>
      <c r="T1052" t="s">
        <v>408</v>
      </c>
      <c r="U1052">
        <v>50950082818</v>
      </c>
      <c r="W1052">
        <v>2562.27</v>
      </c>
      <c r="X1052" t="s">
        <v>409</v>
      </c>
      <c r="Y1052" t="s">
        <v>410</v>
      </c>
      <c r="Z1052" t="s">
        <v>410</v>
      </c>
      <c r="AA1052" t="s">
        <v>411</v>
      </c>
      <c r="AB1052" t="s">
        <v>412</v>
      </c>
      <c r="AC1052" t="s">
        <v>411</v>
      </c>
      <c r="AD1052">
        <v>46125</v>
      </c>
      <c r="AE1052">
        <v>46195</v>
      </c>
      <c r="AF1052">
        <v>46132</v>
      </c>
      <c r="AG1052" t="s">
        <v>489</v>
      </c>
      <c r="AH1052">
        <v>6190094</v>
      </c>
      <c r="AI1052">
        <v>46125</v>
      </c>
      <c r="AJ1052">
        <v>46125</v>
      </c>
      <c r="AK1052">
        <v>2562.27</v>
      </c>
      <c r="AL1052" t="s">
        <v>396</v>
      </c>
      <c r="AM1052" t="s">
        <v>3177</v>
      </c>
      <c r="AN1052">
        <v>46125</v>
      </c>
      <c r="AO1052">
        <v>46125.616875</v>
      </c>
      <c r="AP1052" t="s">
        <v>51</v>
      </c>
      <c r="AQ1052">
        <v>7.5658300000000001</v>
      </c>
      <c r="AR1052">
        <v>19385.7</v>
      </c>
      <c r="AS1052" t="s">
        <v>51</v>
      </c>
      <c r="AT1052">
        <v>19385.7</v>
      </c>
      <c r="AU1052" t="s">
        <v>415</v>
      </c>
      <c r="AV1052" t="s">
        <v>772</v>
      </c>
      <c r="AW1052" t="s">
        <v>3113</v>
      </c>
      <c r="AX1052">
        <v>46132</v>
      </c>
      <c r="AY1052">
        <v>46181</v>
      </c>
      <c r="AZ1052" t="s">
        <v>3114</v>
      </c>
      <c r="BA1052" t="s">
        <v>419</v>
      </c>
      <c r="BB1052" t="s">
        <v>3115</v>
      </c>
      <c r="BO1052" s="23">
        <f t="shared" si="45"/>
        <v>2562.2701012314578</v>
      </c>
      <c r="CG1052" t="s">
        <v>421</v>
      </c>
      <c r="CN1052" t="str">
        <v>MCS</v>
      </c>
      <c r="CO1052" t="str">
        <v>1209-5YY0497EN</v>
      </c>
      <c r="CP1052" t="str">
        <v>WHSU2218868</v>
      </c>
      <c r="CQ1052" s="23">
        <v>31.720800000000001</v>
      </c>
      <c r="CR1052" s="25">
        <f t="shared" si="41"/>
        <v>2.4465933042111289E-3</v>
      </c>
      <c r="CS1052" s="21">
        <f t="shared" si="42"/>
        <v>6.1164832605278221</v>
      </c>
    </row>
    <row r="1053" spans="2:97" x14ac:dyDescent="0.35">
      <c r="B1053" t="s">
        <v>296</v>
      </c>
      <c r="C1053" t="s">
        <v>3178</v>
      </c>
      <c r="D1053" t="s">
        <v>395</v>
      </c>
      <c r="E1053" t="s">
        <v>395</v>
      </c>
      <c r="F1053" t="s">
        <v>396</v>
      </c>
      <c r="G1053" t="s">
        <v>397</v>
      </c>
      <c r="H1053" t="s">
        <v>398</v>
      </c>
      <c r="I1053" t="s">
        <v>399</v>
      </c>
      <c r="J1053" t="s">
        <v>400</v>
      </c>
      <c r="K1053" t="s">
        <v>484</v>
      </c>
      <c r="L1053" t="s">
        <v>497</v>
      </c>
      <c r="M1053" t="s">
        <v>403</v>
      </c>
      <c r="N1053">
        <v>1</v>
      </c>
      <c r="O1053">
        <v>1</v>
      </c>
      <c r="P1053" t="s">
        <v>1258</v>
      </c>
      <c r="Q1053" t="s">
        <v>424</v>
      </c>
      <c r="R1053" t="s">
        <v>1259</v>
      </c>
      <c r="S1053" t="s">
        <v>1260</v>
      </c>
      <c r="T1053" t="s">
        <v>408</v>
      </c>
      <c r="U1053">
        <v>50950078108</v>
      </c>
      <c r="W1053">
        <v>59400</v>
      </c>
      <c r="X1053" t="s">
        <v>409</v>
      </c>
      <c r="Y1053" t="s">
        <v>410</v>
      </c>
      <c r="Z1053" t="s">
        <v>410</v>
      </c>
      <c r="AA1053" t="s">
        <v>411</v>
      </c>
      <c r="AB1053" t="s">
        <v>412</v>
      </c>
      <c r="AC1053" t="s">
        <v>411</v>
      </c>
      <c r="AD1053">
        <v>46125</v>
      </c>
      <c r="AE1053">
        <v>46181</v>
      </c>
      <c r="AF1053">
        <v>46132</v>
      </c>
      <c r="AG1053" t="s">
        <v>489</v>
      </c>
      <c r="AH1053">
        <v>6190110</v>
      </c>
      <c r="AI1053">
        <v>46125</v>
      </c>
      <c r="AJ1053">
        <v>46125</v>
      </c>
      <c r="AK1053">
        <v>59400</v>
      </c>
      <c r="AL1053" t="s">
        <v>396</v>
      </c>
      <c r="AM1053" t="s">
        <v>3179</v>
      </c>
      <c r="AN1053">
        <v>46125</v>
      </c>
      <c r="AO1053">
        <v>46125.616875</v>
      </c>
      <c r="AP1053" t="s">
        <v>51</v>
      </c>
      <c r="AQ1053">
        <v>1.44974</v>
      </c>
      <c r="AR1053">
        <v>86114.559999999998</v>
      </c>
      <c r="AS1053" t="s">
        <v>51</v>
      </c>
      <c r="AT1053">
        <v>86114.559999999998</v>
      </c>
      <c r="AU1053" t="s">
        <v>415</v>
      </c>
      <c r="AV1053" t="s">
        <v>772</v>
      </c>
      <c r="AW1053" t="s">
        <v>3113</v>
      </c>
      <c r="AX1053">
        <v>46132</v>
      </c>
      <c r="AY1053">
        <v>46181</v>
      </c>
      <c r="AZ1053" t="s">
        <v>3114</v>
      </c>
      <c r="BA1053" t="s">
        <v>419</v>
      </c>
      <c r="BB1053" t="s">
        <v>3115</v>
      </c>
      <c r="BE1053">
        <v>0</v>
      </c>
      <c r="BF1053">
        <v>0</v>
      </c>
      <c r="BM1053">
        <v>0</v>
      </c>
      <c r="BN1053">
        <v>0</v>
      </c>
      <c r="BO1053">
        <v>50</v>
      </c>
      <c r="CG1053" t="s">
        <v>421</v>
      </c>
      <c r="CN1053" t="str">
        <v>M19</v>
      </c>
      <c r="CO1053" t="str">
        <v>1106-5YY0012-T2EN</v>
      </c>
      <c r="CP1053" t="str">
        <v>WHSU2218868</v>
      </c>
      <c r="CQ1053" s="23">
        <v>124.7988</v>
      </c>
      <c r="CR1053" s="25">
        <f t="shared" si="41"/>
        <v>9.6256055475771058E-3</v>
      </c>
      <c r="CS1053" s="21">
        <f t="shared" si="42"/>
        <v>24.064013868942766</v>
      </c>
    </row>
    <row r="1054" spans="2:97" x14ac:dyDescent="0.35">
      <c r="B1054" t="s">
        <v>296</v>
      </c>
      <c r="C1054" t="s">
        <v>3180</v>
      </c>
      <c r="D1054" t="s">
        <v>395</v>
      </c>
      <c r="E1054" t="s">
        <v>395</v>
      </c>
      <c r="F1054" t="s">
        <v>396</v>
      </c>
      <c r="G1054" t="s">
        <v>397</v>
      </c>
      <c r="H1054" t="s">
        <v>398</v>
      </c>
      <c r="I1054" t="s">
        <v>399</v>
      </c>
      <c r="J1054" t="s">
        <v>400</v>
      </c>
      <c r="K1054" t="s">
        <v>484</v>
      </c>
      <c r="L1054" t="s">
        <v>497</v>
      </c>
      <c r="M1054" t="s">
        <v>403</v>
      </c>
      <c r="N1054">
        <v>1</v>
      </c>
      <c r="O1054">
        <v>1</v>
      </c>
      <c r="P1054" t="s">
        <v>510</v>
      </c>
      <c r="Q1054" t="s">
        <v>424</v>
      </c>
      <c r="R1054" t="s">
        <v>511</v>
      </c>
      <c r="S1054" t="s">
        <v>512</v>
      </c>
      <c r="T1054" t="s">
        <v>408</v>
      </c>
      <c r="U1054">
        <v>50950081667</v>
      </c>
      <c r="W1054">
        <v>3358.36</v>
      </c>
      <c r="X1054" t="s">
        <v>409</v>
      </c>
      <c r="Y1054" t="s">
        <v>410</v>
      </c>
      <c r="Z1054" t="s">
        <v>410</v>
      </c>
      <c r="AA1054" t="s">
        <v>411</v>
      </c>
      <c r="AB1054" t="s">
        <v>412</v>
      </c>
      <c r="AC1054" t="s">
        <v>411</v>
      </c>
      <c r="AD1054">
        <v>46125</v>
      </c>
      <c r="AE1054">
        <v>46181</v>
      </c>
      <c r="AF1054">
        <v>46132</v>
      </c>
      <c r="AG1054" t="s">
        <v>489</v>
      </c>
      <c r="AH1054">
        <v>6190109</v>
      </c>
      <c r="AI1054">
        <v>46125</v>
      </c>
      <c r="AJ1054">
        <v>46125</v>
      </c>
      <c r="AK1054">
        <v>3358.36</v>
      </c>
      <c r="AL1054" t="s">
        <v>396</v>
      </c>
      <c r="AM1054" t="s">
        <v>3181</v>
      </c>
      <c r="AN1054">
        <v>46125</v>
      </c>
      <c r="AO1054">
        <v>46125.616875</v>
      </c>
      <c r="AP1054" t="s">
        <v>51</v>
      </c>
      <c r="AQ1054">
        <v>6.66547</v>
      </c>
      <c r="AR1054">
        <v>22385.05</v>
      </c>
      <c r="AS1054" t="s">
        <v>51</v>
      </c>
      <c r="AT1054">
        <v>22385.05</v>
      </c>
      <c r="AU1054" t="s">
        <v>415</v>
      </c>
      <c r="AV1054" t="s">
        <v>772</v>
      </c>
      <c r="AW1054" t="s">
        <v>3113</v>
      </c>
      <c r="AX1054">
        <v>46132</v>
      </c>
      <c r="AY1054">
        <v>46181</v>
      </c>
      <c r="AZ1054" t="s">
        <v>3114</v>
      </c>
      <c r="BA1054" t="s">
        <v>419</v>
      </c>
      <c r="BB1054" t="s">
        <v>3115</v>
      </c>
      <c r="BO1054" s="23">
        <f>AR1054/AQ1054</f>
        <v>3358.360325678459</v>
      </c>
      <c r="CG1054" t="s">
        <v>421</v>
      </c>
      <c r="CN1054" t="str">
        <v>M19</v>
      </c>
      <c r="CO1054" t="str">
        <v>1140-5YY0004EN</v>
      </c>
      <c r="CP1054" t="str">
        <v>WHSU2218868</v>
      </c>
      <c r="CQ1054" s="23">
        <v>1149.5168000000001</v>
      </c>
      <c r="CR1054" s="25">
        <f t="shared" si="41"/>
        <v>8.8661071157039029E-2</v>
      </c>
      <c r="CS1054" s="21">
        <f t="shared" si="42"/>
        <v>221.65267789259758</v>
      </c>
    </row>
    <row r="1055" spans="2:97" x14ac:dyDescent="0.35">
      <c r="B1055" t="s">
        <v>296</v>
      </c>
      <c r="C1055" t="s">
        <v>3182</v>
      </c>
      <c r="D1055" t="s">
        <v>395</v>
      </c>
      <c r="E1055" t="s">
        <v>395</v>
      </c>
      <c r="F1055" t="s">
        <v>396</v>
      </c>
      <c r="G1055" t="s">
        <v>397</v>
      </c>
      <c r="H1055" t="s">
        <v>398</v>
      </c>
      <c r="I1055" t="s">
        <v>399</v>
      </c>
      <c r="J1055" t="s">
        <v>400</v>
      </c>
      <c r="K1055" t="s">
        <v>484</v>
      </c>
      <c r="L1055" t="s">
        <v>497</v>
      </c>
      <c r="M1055" t="s">
        <v>403</v>
      </c>
      <c r="N1055">
        <v>1</v>
      </c>
      <c r="O1055">
        <v>1</v>
      </c>
      <c r="P1055" t="s">
        <v>1754</v>
      </c>
      <c r="Q1055" t="s">
        <v>405</v>
      </c>
      <c r="R1055" t="s">
        <v>499</v>
      </c>
      <c r="S1055" t="s">
        <v>1196</v>
      </c>
      <c r="T1055" t="s">
        <v>408</v>
      </c>
      <c r="U1055">
        <v>50950082252</v>
      </c>
      <c r="W1055">
        <v>10000</v>
      </c>
      <c r="X1055" t="s">
        <v>409</v>
      </c>
      <c r="Y1055" t="s">
        <v>410</v>
      </c>
      <c r="Z1055" t="s">
        <v>410</v>
      </c>
      <c r="AA1055" t="s">
        <v>411</v>
      </c>
      <c r="AB1055" t="s">
        <v>412</v>
      </c>
      <c r="AC1055" t="s">
        <v>411</v>
      </c>
      <c r="AD1055">
        <v>46125</v>
      </c>
      <c r="AE1055">
        <v>46181</v>
      </c>
      <c r="AF1055">
        <v>46132</v>
      </c>
      <c r="AG1055" t="s">
        <v>489</v>
      </c>
      <c r="AH1055">
        <v>6190112</v>
      </c>
      <c r="AI1055">
        <v>46125</v>
      </c>
      <c r="AJ1055">
        <v>46125</v>
      </c>
      <c r="AK1055">
        <v>10000</v>
      </c>
      <c r="AL1055" t="s">
        <v>396</v>
      </c>
      <c r="AM1055" t="s">
        <v>3183</v>
      </c>
      <c r="AN1055">
        <v>46125</v>
      </c>
      <c r="AO1055">
        <v>46125.616875</v>
      </c>
      <c r="AP1055" t="s">
        <v>51</v>
      </c>
      <c r="AQ1055">
        <v>1.1509999999999999E-2</v>
      </c>
      <c r="AR1055">
        <v>115.1</v>
      </c>
      <c r="AS1055" t="s">
        <v>51</v>
      </c>
      <c r="AT1055">
        <v>115.1</v>
      </c>
      <c r="AU1055" t="s">
        <v>415</v>
      </c>
      <c r="AV1055" t="s">
        <v>772</v>
      </c>
      <c r="AW1055" t="s">
        <v>3113</v>
      </c>
      <c r="AX1055">
        <v>46132</v>
      </c>
      <c r="AY1055">
        <v>46181</v>
      </c>
      <c r="AZ1055" t="s">
        <v>3114</v>
      </c>
      <c r="BA1055" t="s">
        <v>419</v>
      </c>
      <c r="BB1055" t="s">
        <v>3115</v>
      </c>
      <c r="BE1055">
        <v>0</v>
      </c>
      <c r="BF1055">
        <v>0</v>
      </c>
      <c r="BM1055">
        <v>0</v>
      </c>
      <c r="BN1055">
        <v>0</v>
      </c>
      <c r="BO1055">
        <v>0.1</v>
      </c>
      <c r="CG1055" t="s">
        <v>421</v>
      </c>
      <c r="CN1055" t="str">
        <v>M19</v>
      </c>
      <c r="CO1055" t="str">
        <v>1101-5YY0343EN</v>
      </c>
      <c r="CP1055" t="str">
        <v>WHSU2218868</v>
      </c>
      <c r="CQ1055" s="23">
        <v>134.86425600000001</v>
      </c>
      <c r="CR1055" s="25">
        <f t="shared" si="41"/>
        <v>1.0401944014874013E-2</v>
      </c>
      <c r="CS1055" s="21">
        <f t="shared" si="42"/>
        <v>26.004860037185033</v>
      </c>
    </row>
    <row r="1056" spans="2:97" x14ac:dyDescent="0.35">
      <c r="B1056" t="s">
        <v>296</v>
      </c>
      <c r="C1056" t="s">
        <v>3184</v>
      </c>
      <c r="D1056" t="s">
        <v>395</v>
      </c>
      <c r="E1056" t="s">
        <v>395</v>
      </c>
      <c r="F1056" t="s">
        <v>396</v>
      </c>
      <c r="G1056" t="s">
        <v>397</v>
      </c>
      <c r="H1056" t="s">
        <v>398</v>
      </c>
      <c r="I1056" t="s">
        <v>399</v>
      </c>
      <c r="J1056" t="s">
        <v>400</v>
      </c>
      <c r="K1056" t="s">
        <v>484</v>
      </c>
      <c r="L1056" t="s">
        <v>497</v>
      </c>
      <c r="M1056" t="s">
        <v>403</v>
      </c>
      <c r="N1056">
        <v>1</v>
      </c>
      <c r="O1056">
        <v>1</v>
      </c>
      <c r="P1056" t="s">
        <v>1754</v>
      </c>
      <c r="Q1056" t="s">
        <v>405</v>
      </c>
      <c r="R1056" t="s">
        <v>499</v>
      </c>
      <c r="S1056" t="s">
        <v>1196</v>
      </c>
      <c r="T1056" t="s">
        <v>408</v>
      </c>
      <c r="U1056">
        <v>50950082253</v>
      </c>
      <c r="W1056">
        <v>10000</v>
      </c>
      <c r="X1056" t="s">
        <v>409</v>
      </c>
      <c r="Y1056" t="s">
        <v>410</v>
      </c>
      <c r="Z1056" t="s">
        <v>410</v>
      </c>
      <c r="AA1056" t="s">
        <v>411</v>
      </c>
      <c r="AB1056" t="s">
        <v>412</v>
      </c>
      <c r="AC1056" t="s">
        <v>411</v>
      </c>
      <c r="AD1056">
        <v>46125</v>
      </c>
      <c r="AE1056">
        <v>46188</v>
      </c>
      <c r="AF1056">
        <v>46132</v>
      </c>
      <c r="AG1056" t="s">
        <v>489</v>
      </c>
      <c r="AH1056">
        <v>6190113</v>
      </c>
      <c r="AI1056">
        <v>46125</v>
      </c>
      <c r="AJ1056">
        <v>46125</v>
      </c>
      <c r="AK1056">
        <v>10000</v>
      </c>
      <c r="AL1056" t="s">
        <v>396</v>
      </c>
      <c r="AM1056" t="s">
        <v>3185</v>
      </c>
      <c r="AN1056">
        <v>46125</v>
      </c>
      <c r="AO1056">
        <v>46125.616875</v>
      </c>
      <c r="AP1056" t="s">
        <v>51</v>
      </c>
      <c r="AQ1056">
        <v>1.1509999999999999E-2</v>
      </c>
      <c r="AR1056">
        <v>115.1</v>
      </c>
      <c r="AS1056" t="s">
        <v>51</v>
      </c>
      <c r="AT1056">
        <v>115.1</v>
      </c>
      <c r="AU1056" t="s">
        <v>415</v>
      </c>
      <c r="AV1056" t="s">
        <v>772</v>
      </c>
      <c r="AW1056" t="s">
        <v>3113</v>
      </c>
      <c r="AX1056">
        <v>46132</v>
      </c>
      <c r="AY1056">
        <v>46181</v>
      </c>
      <c r="AZ1056" t="s">
        <v>3114</v>
      </c>
      <c r="BA1056" t="s">
        <v>419</v>
      </c>
      <c r="BB1056" t="s">
        <v>3115</v>
      </c>
      <c r="BE1056">
        <v>0</v>
      </c>
      <c r="BF1056">
        <v>0</v>
      </c>
      <c r="BM1056">
        <v>0</v>
      </c>
      <c r="BN1056">
        <v>0</v>
      </c>
      <c r="BO1056">
        <v>0.1</v>
      </c>
      <c r="CG1056" t="s">
        <v>421</v>
      </c>
      <c r="CN1056" t="str">
        <v>MCS</v>
      </c>
      <c r="CO1056" t="str">
        <v>1209-5YY0475EN</v>
      </c>
      <c r="CP1056" t="str">
        <v>WHSU2218868</v>
      </c>
      <c r="CQ1056" s="23">
        <v>130.94399999999999</v>
      </c>
      <c r="CR1056" s="25">
        <f t="shared" si="41"/>
        <v>1.0099578624329211E-2</v>
      </c>
      <c r="CS1056" s="21">
        <f t="shared" si="42"/>
        <v>25.248946560823029</v>
      </c>
    </row>
    <row r="1057" spans="2:97" x14ac:dyDescent="0.35">
      <c r="B1057" t="s">
        <v>296</v>
      </c>
      <c r="C1057" t="s">
        <v>3186</v>
      </c>
      <c r="D1057" t="s">
        <v>395</v>
      </c>
      <c r="E1057" t="s">
        <v>395</v>
      </c>
      <c r="F1057" t="s">
        <v>396</v>
      </c>
      <c r="G1057" t="s">
        <v>397</v>
      </c>
      <c r="H1057" t="s">
        <v>398</v>
      </c>
      <c r="I1057" t="s">
        <v>399</v>
      </c>
      <c r="J1057" t="s">
        <v>400</v>
      </c>
      <c r="K1057" t="s">
        <v>484</v>
      </c>
      <c r="L1057" t="s">
        <v>497</v>
      </c>
      <c r="M1057" t="s">
        <v>403</v>
      </c>
      <c r="N1057">
        <v>1</v>
      </c>
      <c r="O1057">
        <v>1</v>
      </c>
      <c r="P1057" t="s">
        <v>1754</v>
      </c>
      <c r="Q1057" t="s">
        <v>405</v>
      </c>
      <c r="R1057" t="s">
        <v>499</v>
      </c>
      <c r="S1057" t="s">
        <v>1196</v>
      </c>
      <c r="T1057" t="s">
        <v>408</v>
      </c>
      <c r="U1057">
        <v>50950082254</v>
      </c>
      <c r="W1057">
        <v>10000</v>
      </c>
      <c r="X1057" t="s">
        <v>409</v>
      </c>
      <c r="Y1057" t="s">
        <v>410</v>
      </c>
      <c r="Z1057" t="s">
        <v>410</v>
      </c>
      <c r="AA1057" t="s">
        <v>411</v>
      </c>
      <c r="AB1057" t="s">
        <v>412</v>
      </c>
      <c r="AC1057" t="s">
        <v>411</v>
      </c>
      <c r="AD1057">
        <v>46125</v>
      </c>
      <c r="AE1057">
        <v>46195</v>
      </c>
      <c r="AF1057">
        <v>46132</v>
      </c>
      <c r="AG1057" t="s">
        <v>489</v>
      </c>
      <c r="AH1057">
        <v>6190114</v>
      </c>
      <c r="AI1057">
        <v>46125</v>
      </c>
      <c r="AJ1057">
        <v>46125</v>
      </c>
      <c r="AK1057">
        <v>10000</v>
      </c>
      <c r="AL1057" t="s">
        <v>396</v>
      </c>
      <c r="AM1057" t="s">
        <v>3187</v>
      </c>
      <c r="AN1057">
        <v>46125</v>
      </c>
      <c r="AO1057">
        <v>46125.616875</v>
      </c>
      <c r="AP1057" t="s">
        <v>51</v>
      </c>
      <c r="AQ1057">
        <v>1.1509999999999999E-2</v>
      </c>
      <c r="AR1057">
        <v>115.1</v>
      </c>
      <c r="AS1057" t="s">
        <v>51</v>
      </c>
      <c r="AT1057">
        <v>115.1</v>
      </c>
      <c r="AU1057" t="s">
        <v>415</v>
      </c>
      <c r="AV1057" t="s">
        <v>772</v>
      </c>
      <c r="AW1057" t="s">
        <v>3113</v>
      </c>
      <c r="AX1057">
        <v>46132</v>
      </c>
      <c r="AY1057">
        <v>46181</v>
      </c>
      <c r="AZ1057" t="s">
        <v>3114</v>
      </c>
      <c r="BA1057" t="s">
        <v>419</v>
      </c>
      <c r="BB1057" t="s">
        <v>3115</v>
      </c>
      <c r="BE1057">
        <v>0</v>
      </c>
      <c r="BF1057">
        <v>0</v>
      </c>
      <c r="BM1057">
        <v>0</v>
      </c>
      <c r="BN1057">
        <v>0</v>
      </c>
      <c r="BO1057">
        <v>0.1</v>
      </c>
      <c r="CG1057" t="s">
        <v>421</v>
      </c>
      <c r="CN1057" t="str">
        <v>MCS</v>
      </c>
      <c r="CO1057" t="str">
        <v>1209-5YY0494EN</v>
      </c>
      <c r="CP1057" t="str">
        <v>WHSU2218868</v>
      </c>
      <c r="CQ1057" s="23">
        <v>88.445440000000005</v>
      </c>
      <c r="CR1057" s="25">
        <f t="shared" si="41"/>
        <v>6.8217075638699895E-3</v>
      </c>
      <c r="CS1057" s="21">
        <f t="shared" si="42"/>
        <v>17.054268909674974</v>
      </c>
    </row>
    <row r="1058" spans="2:97" x14ac:dyDescent="0.35">
      <c r="B1058" t="s">
        <v>296</v>
      </c>
      <c r="C1058" t="s">
        <v>3188</v>
      </c>
      <c r="D1058" t="s">
        <v>395</v>
      </c>
      <c r="E1058" t="s">
        <v>395</v>
      </c>
      <c r="F1058" t="s">
        <v>396</v>
      </c>
      <c r="G1058" t="s">
        <v>397</v>
      </c>
      <c r="H1058" t="s">
        <v>398</v>
      </c>
      <c r="I1058" t="s">
        <v>399</v>
      </c>
      <c r="J1058" t="s">
        <v>400</v>
      </c>
      <c r="K1058" t="s">
        <v>484</v>
      </c>
      <c r="L1058" t="s">
        <v>497</v>
      </c>
      <c r="M1058" t="s">
        <v>403</v>
      </c>
      <c r="N1058">
        <v>1</v>
      </c>
      <c r="O1058">
        <v>1</v>
      </c>
      <c r="P1058" t="s">
        <v>1263</v>
      </c>
      <c r="Q1058" t="s">
        <v>424</v>
      </c>
      <c r="R1058" t="s">
        <v>1264</v>
      </c>
      <c r="S1058" t="s">
        <v>1265</v>
      </c>
      <c r="T1058" t="s">
        <v>408</v>
      </c>
      <c r="U1058">
        <v>50950082255</v>
      </c>
      <c r="W1058">
        <v>200000</v>
      </c>
      <c r="X1058" t="s">
        <v>409</v>
      </c>
      <c r="Y1058" t="s">
        <v>410</v>
      </c>
      <c r="Z1058" t="s">
        <v>410</v>
      </c>
      <c r="AA1058" t="s">
        <v>411</v>
      </c>
      <c r="AB1058" t="s">
        <v>412</v>
      </c>
      <c r="AC1058" t="s">
        <v>411</v>
      </c>
      <c r="AD1058">
        <v>46122</v>
      </c>
      <c r="AE1058">
        <v>46181</v>
      </c>
      <c r="AF1058">
        <v>46132</v>
      </c>
      <c r="AG1058" t="s">
        <v>489</v>
      </c>
      <c r="AH1058">
        <v>6190108</v>
      </c>
      <c r="AI1058">
        <v>46125</v>
      </c>
      <c r="AJ1058">
        <v>46125</v>
      </c>
      <c r="AK1058">
        <v>200000</v>
      </c>
      <c r="AL1058" t="s">
        <v>396</v>
      </c>
      <c r="AM1058" t="s">
        <v>3189</v>
      </c>
      <c r="AN1058">
        <v>46125</v>
      </c>
      <c r="AO1058">
        <v>46125.616875</v>
      </c>
      <c r="AP1058" t="s">
        <v>51</v>
      </c>
      <c r="AQ1058">
        <v>9.1699999999999993E-3</v>
      </c>
      <c r="AR1058">
        <v>1834</v>
      </c>
      <c r="AS1058" t="s">
        <v>51</v>
      </c>
      <c r="AT1058">
        <v>1834</v>
      </c>
      <c r="AU1058" t="s">
        <v>415</v>
      </c>
      <c r="AV1058" t="s">
        <v>772</v>
      </c>
      <c r="AW1058" t="s">
        <v>3113</v>
      </c>
      <c r="AX1058">
        <v>46132</v>
      </c>
      <c r="AY1058">
        <v>46181</v>
      </c>
      <c r="AZ1058" t="s">
        <v>3114</v>
      </c>
      <c r="BA1058" t="s">
        <v>419</v>
      </c>
      <c r="BB1058" t="s">
        <v>3115</v>
      </c>
      <c r="BE1058">
        <v>0</v>
      </c>
      <c r="BF1058">
        <v>0</v>
      </c>
      <c r="BM1058">
        <v>0</v>
      </c>
      <c r="BN1058">
        <v>0</v>
      </c>
      <c r="BO1058">
        <v>0.1</v>
      </c>
      <c r="CG1058" t="s">
        <v>421</v>
      </c>
      <c r="CN1058" t="str">
        <v>MCS</v>
      </c>
      <c r="CO1058" t="str">
        <v>1209-5YY0495EN</v>
      </c>
      <c r="CP1058" t="str">
        <v>WHSU2218868</v>
      </c>
      <c r="CQ1058" s="23">
        <v>198.2</v>
      </c>
      <c r="CR1058" s="25">
        <f t="shared" si="41"/>
        <v>1.5286966056803289E-2</v>
      </c>
      <c r="CS1058" s="21">
        <f t="shared" si="42"/>
        <v>38.217415142008221</v>
      </c>
    </row>
    <row r="1059" spans="2:97" x14ac:dyDescent="0.35">
      <c r="B1059" t="s">
        <v>295</v>
      </c>
      <c r="C1059" t="s">
        <v>3190</v>
      </c>
      <c r="D1059" t="s">
        <v>395</v>
      </c>
      <c r="E1059" t="s">
        <v>395</v>
      </c>
      <c r="F1059" t="s">
        <v>396</v>
      </c>
      <c r="G1059" t="s">
        <v>397</v>
      </c>
      <c r="H1059" t="s">
        <v>398</v>
      </c>
      <c r="I1059" t="s">
        <v>399</v>
      </c>
      <c r="J1059" t="s">
        <v>400</v>
      </c>
      <c r="K1059" t="s">
        <v>1214</v>
      </c>
      <c r="L1059" t="s">
        <v>2272</v>
      </c>
      <c r="M1059" t="s">
        <v>403</v>
      </c>
      <c r="N1059">
        <v>1</v>
      </c>
      <c r="O1059">
        <v>1</v>
      </c>
      <c r="P1059" t="s">
        <v>3191</v>
      </c>
      <c r="Q1059" t="s">
        <v>424</v>
      </c>
      <c r="R1059" t="s">
        <v>3192</v>
      </c>
      <c r="S1059" t="s">
        <v>1185</v>
      </c>
      <c r="T1059" t="s">
        <v>408</v>
      </c>
      <c r="U1059">
        <v>50950082597</v>
      </c>
      <c r="W1059">
        <v>86400</v>
      </c>
      <c r="X1059" t="s">
        <v>409</v>
      </c>
      <c r="Y1059" t="s">
        <v>410</v>
      </c>
      <c r="Z1059" t="s">
        <v>410</v>
      </c>
      <c r="AA1059" t="s">
        <v>411</v>
      </c>
      <c r="AB1059" t="s">
        <v>412</v>
      </c>
      <c r="AC1059" t="s">
        <v>411</v>
      </c>
      <c r="AD1059">
        <v>46122</v>
      </c>
      <c r="AE1059">
        <v>46160</v>
      </c>
      <c r="AF1059">
        <v>46132</v>
      </c>
      <c r="AG1059" t="s">
        <v>413</v>
      </c>
      <c r="AH1059">
        <v>6190084</v>
      </c>
      <c r="AI1059">
        <v>46125</v>
      </c>
      <c r="AJ1059">
        <v>46125</v>
      </c>
      <c r="AK1059">
        <v>86400</v>
      </c>
      <c r="AL1059" t="s">
        <v>396</v>
      </c>
      <c r="AM1059" t="s">
        <v>3193</v>
      </c>
      <c r="AN1059">
        <v>46125</v>
      </c>
      <c r="AO1059">
        <v>46125.616875</v>
      </c>
      <c r="AP1059" t="s">
        <v>51</v>
      </c>
      <c r="AQ1059">
        <v>0.16477</v>
      </c>
      <c r="AR1059">
        <v>14236.13</v>
      </c>
      <c r="AS1059" t="s">
        <v>51</v>
      </c>
      <c r="AT1059">
        <v>14236.13</v>
      </c>
      <c r="AU1059" t="s">
        <v>415</v>
      </c>
      <c r="AV1059" t="s">
        <v>772</v>
      </c>
      <c r="AW1059" t="s">
        <v>3113</v>
      </c>
      <c r="AX1059">
        <v>46132</v>
      </c>
      <c r="AY1059">
        <v>46181</v>
      </c>
      <c r="AZ1059" t="s">
        <v>3114</v>
      </c>
      <c r="BA1059" t="s">
        <v>419</v>
      </c>
      <c r="BB1059" t="s">
        <v>3115</v>
      </c>
      <c r="BE1059">
        <v>0</v>
      </c>
      <c r="BF1059">
        <v>0</v>
      </c>
      <c r="BM1059">
        <v>0</v>
      </c>
      <c r="BN1059">
        <v>0</v>
      </c>
      <c r="BO1059">
        <v>21</v>
      </c>
      <c r="CG1059" t="s">
        <v>421</v>
      </c>
      <c r="CN1059" t="str">
        <v>M19</v>
      </c>
      <c r="CO1059" t="str">
        <v>1101-5YY0361EN</v>
      </c>
      <c r="CP1059" t="str">
        <v>WHSU2218868</v>
      </c>
      <c r="CQ1059" s="23">
        <v>494.18649599999998</v>
      </c>
      <c r="CR1059" s="25">
        <f t="shared" si="41"/>
        <v>3.8116105903544674E-2</v>
      </c>
      <c r="CS1059" s="21">
        <f t="shared" si="42"/>
        <v>95.290264758861682</v>
      </c>
    </row>
    <row r="1060" spans="2:97" x14ac:dyDescent="0.35">
      <c r="B1060" t="s">
        <v>295</v>
      </c>
      <c r="C1060" t="s">
        <v>3194</v>
      </c>
      <c r="D1060" t="s">
        <v>395</v>
      </c>
      <c r="E1060" t="s">
        <v>395</v>
      </c>
      <c r="F1060" t="s">
        <v>396</v>
      </c>
      <c r="G1060" t="s">
        <v>397</v>
      </c>
      <c r="H1060" t="s">
        <v>398</v>
      </c>
      <c r="I1060" t="s">
        <v>399</v>
      </c>
      <c r="J1060" t="s">
        <v>400</v>
      </c>
      <c r="K1060" t="s">
        <v>1214</v>
      </c>
      <c r="L1060" t="s">
        <v>2272</v>
      </c>
      <c r="M1060" t="s">
        <v>403</v>
      </c>
      <c r="N1060">
        <v>1</v>
      </c>
      <c r="O1060">
        <v>1</v>
      </c>
      <c r="P1060" t="s">
        <v>2280</v>
      </c>
      <c r="Q1060" t="s">
        <v>637</v>
      </c>
      <c r="R1060" t="s">
        <v>2274</v>
      </c>
      <c r="S1060" t="s">
        <v>2281</v>
      </c>
      <c r="T1060" t="s">
        <v>408</v>
      </c>
      <c r="U1060">
        <v>50950082661</v>
      </c>
      <c r="W1060">
        <v>23000</v>
      </c>
      <c r="X1060" t="s">
        <v>409</v>
      </c>
      <c r="Y1060" t="s">
        <v>410</v>
      </c>
      <c r="Z1060" t="s">
        <v>410</v>
      </c>
      <c r="AA1060" t="s">
        <v>411</v>
      </c>
      <c r="AB1060" t="s">
        <v>412</v>
      </c>
      <c r="AC1060" t="s">
        <v>411</v>
      </c>
      <c r="AD1060">
        <v>46125</v>
      </c>
      <c r="AE1060">
        <v>46181</v>
      </c>
      <c r="AF1060">
        <v>46132</v>
      </c>
      <c r="AG1060" t="s">
        <v>413</v>
      </c>
      <c r="AH1060">
        <v>6190610</v>
      </c>
      <c r="AI1060">
        <v>46125</v>
      </c>
      <c r="AJ1060">
        <v>46125</v>
      </c>
      <c r="AK1060">
        <v>23000</v>
      </c>
      <c r="AL1060" t="s">
        <v>396</v>
      </c>
      <c r="AM1060" t="s">
        <v>3195</v>
      </c>
      <c r="AN1060">
        <v>46125</v>
      </c>
      <c r="AO1060">
        <v>46125.745405092595</v>
      </c>
      <c r="AP1060" t="s">
        <v>51</v>
      </c>
      <c r="AQ1060">
        <v>1.643E-2</v>
      </c>
      <c r="AR1060">
        <v>377.89</v>
      </c>
      <c r="AS1060" t="s">
        <v>51</v>
      </c>
      <c r="AT1060">
        <v>377.89</v>
      </c>
      <c r="AU1060" t="s">
        <v>415</v>
      </c>
      <c r="AV1060" t="s">
        <v>772</v>
      </c>
      <c r="AW1060" t="s">
        <v>3113</v>
      </c>
      <c r="AX1060">
        <v>46132</v>
      </c>
      <c r="AY1060">
        <v>46181</v>
      </c>
      <c r="AZ1060" t="s">
        <v>3114</v>
      </c>
      <c r="BA1060" t="s">
        <v>419</v>
      </c>
      <c r="BB1060" t="s">
        <v>3115</v>
      </c>
      <c r="BE1060">
        <v>0</v>
      </c>
      <c r="BF1060">
        <v>0</v>
      </c>
      <c r="BM1060">
        <v>0</v>
      </c>
      <c r="BN1060">
        <v>0</v>
      </c>
      <c r="BO1060">
        <v>10</v>
      </c>
      <c r="CG1060" t="s">
        <v>421</v>
      </c>
      <c r="CN1060" t="str">
        <v>MCS</v>
      </c>
      <c r="CO1060" t="str">
        <v>1209-5YY0499EN</v>
      </c>
      <c r="CP1060" t="str">
        <v>WHSU2218868</v>
      </c>
      <c r="CQ1060" s="23">
        <v>33.845999999999997</v>
      </c>
      <c r="CR1060" s="25">
        <f t="shared" si="41"/>
        <v>2.6105078363196977E-3</v>
      </c>
      <c r="CS1060" s="21">
        <f t="shared" si="42"/>
        <v>6.5262695907992443</v>
      </c>
    </row>
    <row r="1061" spans="2:97" x14ac:dyDescent="0.35">
      <c r="B1061" t="s">
        <v>295</v>
      </c>
      <c r="C1061" t="s">
        <v>2833</v>
      </c>
      <c r="D1061" t="s">
        <v>575</v>
      </c>
      <c r="E1061" t="s">
        <v>395</v>
      </c>
      <c r="F1061" t="s">
        <v>396</v>
      </c>
      <c r="G1061" t="s">
        <v>397</v>
      </c>
      <c r="H1061" t="s">
        <v>398</v>
      </c>
      <c r="I1061" t="s">
        <v>399</v>
      </c>
      <c r="J1061" t="s">
        <v>400</v>
      </c>
      <c r="K1061" t="s">
        <v>566</v>
      </c>
      <c r="L1061" t="s">
        <v>1268</v>
      </c>
      <c r="M1061" t="s">
        <v>751</v>
      </c>
      <c r="N1061">
        <v>1</v>
      </c>
      <c r="O1061">
        <v>4</v>
      </c>
      <c r="P1061" t="s">
        <v>2834</v>
      </c>
      <c r="Q1061" t="s">
        <v>430</v>
      </c>
      <c r="R1061" t="s">
        <v>2835</v>
      </c>
      <c r="S1061" t="s">
        <v>2836</v>
      </c>
      <c r="T1061" t="s">
        <v>408</v>
      </c>
      <c r="U1061">
        <v>50950082652</v>
      </c>
      <c r="W1061">
        <v>3312</v>
      </c>
      <c r="X1061" t="s">
        <v>448</v>
      </c>
      <c r="Y1061" t="s">
        <v>410</v>
      </c>
      <c r="Z1061" t="s">
        <v>410</v>
      </c>
      <c r="AA1061" t="s">
        <v>411</v>
      </c>
      <c r="AB1061" t="s">
        <v>412</v>
      </c>
      <c r="AC1061" t="s">
        <v>411</v>
      </c>
      <c r="AD1061">
        <v>46138</v>
      </c>
      <c r="AE1061">
        <v>46111</v>
      </c>
      <c r="AF1061">
        <v>46128</v>
      </c>
      <c r="AG1061" t="s">
        <v>570</v>
      </c>
      <c r="AH1061">
        <v>6190267</v>
      </c>
      <c r="AI1061">
        <v>46125</v>
      </c>
      <c r="AJ1061">
        <v>46126</v>
      </c>
      <c r="AK1061">
        <v>3312</v>
      </c>
      <c r="AL1061" t="s">
        <v>396</v>
      </c>
      <c r="AM1061" t="s">
        <v>3196</v>
      </c>
      <c r="AN1061">
        <v>46126</v>
      </c>
      <c r="AO1061">
        <v>46126.323935185188</v>
      </c>
      <c r="AP1061" t="s">
        <v>51</v>
      </c>
      <c r="AQ1061">
        <v>0.45693</v>
      </c>
      <c r="AR1061">
        <v>1513.35</v>
      </c>
      <c r="AS1061" t="s">
        <v>51</v>
      </c>
      <c r="AT1061">
        <v>1513.35</v>
      </c>
      <c r="AU1061" t="s">
        <v>450</v>
      </c>
      <c r="AV1061" t="s">
        <v>1597</v>
      </c>
      <c r="AW1061" t="s">
        <v>3197</v>
      </c>
      <c r="AX1061">
        <v>46127</v>
      </c>
      <c r="AY1061">
        <v>46133</v>
      </c>
      <c r="BA1061" t="s">
        <v>448</v>
      </c>
      <c r="BB1061" t="s">
        <v>3198</v>
      </c>
      <c r="BC1061">
        <v>69</v>
      </c>
      <c r="BD1061" t="s">
        <v>521</v>
      </c>
      <c r="BE1061">
        <v>6.2408999999999999</v>
      </c>
      <c r="BF1061">
        <v>5.3475000000000001</v>
      </c>
      <c r="BG1061" t="s">
        <v>522</v>
      </c>
      <c r="BH1061">
        <v>395</v>
      </c>
      <c r="BI1061">
        <v>295</v>
      </c>
      <c r="BJ1061">
        <v>120</v>
      </c>
      <c r="BK1061">
        <v>48</v>
      </c>
      <c r="BL1061" t="s">
        <v>521</v>
      </c>
      <c r="BM1061">
        <v>324.56319999999999</v>
      </c>
      <c r="BN1061">
        <v>256.68</v>
      </c>
      <c r="BO1061">
        <v>324.56319999999999</v>
      </c>
      <c r="BP1061" t="s">
        <v>522</v>
      </c>
      <c r="BQ1061">
        <v>1200</v>
      </c>
      <c r="BR1061">
        <v>800</v>
      </c>
      <c r="BS1061">
        <v>1025</v>
      </c>
      <c r="BT1061">
        <v>1</v>
      </c>
      <c r="BU1061">
        <v>0</v>
      </c>
      <c r="BV1061">
        <v>1</v>
      </c>
      <c r="BW1061">
        <v>48</v>
      </c>
      <c r="BX1061">
        <v>0</v>
      </c>
      <c r="BY1061">
        <v>48</v>
      </c>
      <c r="BZ1061">
        <v>3312</v>
      </c>
      <c r="CA1061">
        <v>0</v>
      </c>
      <c r="CB1061">
        <v>3312</v>
      </c>
      <c r="CC1061">
        <v>256.68</v>
      </c>
      <c r="CD1061" t="s">
        <v>2839</v>
      </c>
      <c r="CE1061" t="s">
        <v>2840</v>
      </c>
      <c r="CG1061" t="s">
        <v>421</v>
      </c>
      <c r="CN1061" t="str">
        <v>MCS</v>
      </c>
      <c r="CO1061" t="str">
        <v>1209-5YY0500EN</v>
      </c>
      <c r="CP1061" t="str">
        <v>WHSU2218868</v>
      </c>
      <c r="CQ1061" s="23">
        <v>33.695999999999998</v>
      </c>
      <c r="CR1061" s="25">
        <f t="shared" si="41"/>
        <v>2.5989384876389686E-3</v>
      </c>
      <c r="CS1061" s="21">
        <f t="shared" si="42"/>
        <v>6.4973462190974214</v>
      </c>
    </row>
    <row r="1062" spans="2:97" x14ac:dyDescent="0.35">
      <c r="B1062" t="s">
        <v>296</v>
      </c>
      <c r="C1062" t="s">
        <v>3199</v>
      </c>
      <c r="D1062" t="s">
        <v>395</v>
      </c>
      <c r="E1062" t="s">
        <v>395</v>
      </c>
      <c r="F1062" t="s">
        <v>396</v>
      </c>
      <c r="G1062" t="s">
        <v>397</v>
      </c>
      <c r="H1062" t="s">
        <v>398</v>
      </c>
      <c r="I1062" t="s">
        <v>399</v>
      </c>
      <c r="J1062" t="s">
        <v>400</v>
      </c>
      <c r="K1062" t="s">
        <v>515</v>
      </c>
      <c r="L1062" t="s">
        <v>472</v>
      </c>
      <c r="M1062" t="s">
        <v>403</v>
      </c>
      <c r="N1062">
        <v>1</v>
      </c>
      <c r="O1062">
        <v>1</v>
      </c>
      <c r="P1062" t="s">
        <v>516</v>
      </c>
      <c r="Q1062" t="s">
        <v>430</v>
      </c>
      <c r="R1062" t="s">
        <v>517</v>
      </c>
      <c r="S1062" t="s">
        <v>518</v>
      </c>
      <c r="T1062" t="s">
        <v>408</v>
      </c>
      <c r="U1062">
        <v>50950079992</v>
      </c>
      <c r="W1062">
        <v>76800</v>
      </c>
      <c r="X1062" t="s">
        <v>409</v>
      </c>
      <c r="Y1062" t="s">
        <v>410</v>
      </c>
      <c r="Z1062" t="s">
        <v>410</v>
      </c>
      <c r="AA1062" t="s">
        <v>411</v>
      </c>
      <c r="AB1062" t="s">
        <v>412</v>
      </c>
      <c r="AC1062" t="s">
        <v>411</v>
      </c>
      <c r="AD1062">
        <v>46125</v>
      </c>
      <c r="AE1062">
        <v>46181</v>
      </c>
      <c r="AF1062">
        <v>46132</v>
      </c>
      <c r="AG1062" t="s">
        <v>519</v>
      </c>
      <c r="AH1062">
        <v>6180856</v>
      </c>
      <c r="AI1062">
        <v>46120</v>
      </c>
      <c r="AJ1062">
        <v>46127</v>
      </c>
      <c r="AK1062">
        <v>76800</v>
      </c>
      <c r="AL1062" t="s">
        <v>396</v>
      </c>
      <c r="AM1062" t="s">
        <v>3200</v>
      </c>
      <c r="AN1062">
        <v>46127</v>
      </c>
      <c r="AO1062">
        <v>46127.44940972222</v>
      </c>
      <c r="AP1062" t="s">
        <v>51</v>
      </c>
      <c r="AQ1062">
        <v>8.9039999999999994E-2</v>
      </c>
      <c r="AR1062">
        <v>6838.28</v>
      </c>
      <c r="AS1062" t="s">
        <v>51</v>
      </c>
      <c r="AT1062">
        <v>6838.28</v>
      </c>
      <c r="AU1062" t="s">
        <v>415</v>
      </c>
      <c r="AV1062" t="s">
        <v>772</v>
      </c>
      <c r="AW1062" t="s">
        <v>3113</v>
      </c>
      <c r="AX1062">
        <v>46132</v>
      </c>
      <c r="AY1062">
        <v>46181</v>
      </c>
      <c r="AZ1062" t="s">
        <v>3114</v>
      </c>
      <c r="BA1062" t="s">
        <v>419</v>
      </c>
      <c r="BB1062" t="s">
        <v>3115</v>
      </c>
      <c r="BC1062">
        <v>3200</v>
      </c>
      <c r="BD1062" t="s">
        <v>521</v>
      </c>
      <c r="BE1062">
        <v>5.4577999999999998</v>
      </c>
      <c r="BF1062">
        <v>4.7328000000000001</v>
      </c>
      <c r="BG1062" t="s">
        <v>522</v>
      </c>
      <c r="BH1062">
        <v>395</v>
      </c>
      <c r="BI1062">
        <v>295</v>
      </c>
      <c r="BJ1062">
        <v>120</v>
      </c>
      <c r="BK1062">
        <v>8</v>
      </c>
      <c r="BL1062" t="s">
        <v>521</v>
      </c>
      <c r="BM1062">
        <v>51.662399999999998</v>
      </c>
      <c r="BN1062">
        <v>37.862400000000001</v>
      </c>
      <c r="BO1062">
        <v>154.9872</v>
      </c>
      <c r="BP1062" t="s">
        <v>522</v>
      </c>
      <c r="BQ1062">
        <v>800</v>
      </c>
      <c r="BR1062">
        <v>300</v>
      </c>
      <c r="BS1062">
        <v>608</v>
      </c>
      <c r="BT1062">
        <v>3</v>
      </c>
      <c r="BU1062">
        <v>0</v>
      </c>
      <c r="BV1062">
        <v>3</v>
      </c>
      <c r="BW1062">
        <v>24</v>
      </c>
      <c r="BX1062">
        <v>0</v>
      </c>
      <c r="BY1062">
        <v>24</v>
      </c>
      <c r="BZ1062">
        <v>76800</v>
      </c>
      <c r="CA1062">
        <v>0</v>
      </c>
      <c r="CB1062">
        <v>76800</v>
      </c>
      <c r="CC1062">
        <v>113.5872</v>
      </c>
      <c r="CD1062" t="s">
        <v>523</v>
      </c>
      <c r="CE1062" t="s">
        <v>524</v>
      </c>
      <c r="CG1062" t="s">
        <v>421</v>
      </c>
      <c r="CN1062" t="str">
        <v>MCS</v>
      </c>
      <c r="CO1062" t="str">
        <v>1209-5YY0498EN</v>
      </c>
      <c r="CP1062" t="str">
        <v>WHSU2218868</v>
      </c>
      <c r="CQ1062" s="23">
        <v>32.692799999999998</v>
      </c>
      <c r="CR1062" s="25">
        <f t="shared" si="41"/>
        <v>2.5215626836622529E-3</v>
      </c>
      <c r="CS1062" s="21">
        <f t="shared" si="42"/>
        <v>6.3039067091556324</v>
      </c>
    </row>
    <row r="1063" spans="2:97" x14ac:dyDescent="0.35">
      <c r="B1063" s="34" t="s">
        <v>298</v>
      </c>
      <c r="C1063" t="s">
        <v>3201</v>
      </c>
      <c r="D1063" t="s">
        <v>395</v>
      </c>
      <c r="E1063" t="s">
        <v>395</v>
      </c>
      <c r="F1063" t="s">
        <v>396</v>
      </c>
      <c r="G1063" t="s">
        <v>397</v>
      </c>
      <c r="H1063" t="s">
        <v>398</v>
      </c>
      <c r="I1063" t="s">
        <v>399</v>
      </c>
      <c r="J1063" t="s">
        <v>400</v>
      </c>
      <c r="K1063" t="s">
        <v>607</v>
      </c>
      <c r="L1063" t="s">
        <v>2254</v>
      </c>
      <c r="M1063" t="s">
        <v>403</v>
      </c>
      <c r="N1063">
        <v>1</v>
      </c>
      <c r="O1063">
        <v>1</v>
      </c>
      <c r="P1063" t="s">
        <v>2332</v>
      </c>
      <c r="Q1063" t="s">
        <v>430</v>
      </c>
      <c r="R1063" t="s">
        <v>2333</v>
      </c>
      <c r="S1063" t="s">
        <v>2334</v>
      </c>
      <c r="T1063" t="s">
        <v>408</v>
      </c>
      <c r="U1063">
        <v>50950082735</v>
      </c>
      <c r="W1063">
        <v>9360</v>
      </c>
      <c r="X1063" t="s">
        <v>409</v>
      </c>
      <c r="Y1063" t="s">
        <v>410</v>
      </c>
      <c r="Z1063" t="s">
        <v>410</v>
      </c>
      <c r="AA1063" t="s">
        <v>411</v>
      </c>
      <c r="AB1063" t="s">
        <v>412</v>
      </c>
      <c r="AC1063" t="s">
        <v>411</v>
      </c>
      <c r="AD1063">
        <v>46122</v>
      </c>
      <c r="AE1063">
        <v>46174</v>
      </c>
      <c r="AF1063">
        <v>46132</v>
      </c>
      <c r="AG1063" t="s">
        <v>519</v>
      </c>
      <c r="AH1063">
        <v>6181080</v>
      </c>
      <c r="AI1063">
        <v>46120</v>
      </c>
      <c r="AJ1063">
        <v>46127</v>
      </c>
      <c r="AK1063">
        <v>9360</v>
      </c>
      <c r="AL1063" t="s">
        <v>396</v>
      </c>
      <c r="AM1063" t="s">
        <v>3202</v>
      </c>
      <c r="AN1063">
        <v>46127</v>
      </c>
      <c r="AO1063">
        <v>46127.44940972222</v>
      </c>
      <c r="AP1063" t="s">
        <v>51</v>
      </c>
      <c r="AQ1063">
        <v>0.30709999999999998</v>
      </c>
      <c r="AR1063">
        <v>2874.46</v>
      </c>
      <c r="AS1063" t="s">
        <v>51</v>
      </c>
      <c r="AT1063">
        <v>2874.46</v>
      </c>
      <c r="AU1063" t="s">
        <v>415</v>
      </c>
      <c r="AV1063" t="s">
        <v>772</v>
      </c>
      <c r="AW1063" t="s">
        <v>3113</v>
      </c>
      <c r="AX1063">
        <v>46132</v>
      </c>
      <c r="AY1063">
        <v>46181</v>
      </c>
      <c r="AZ1063" t="s">
        <v>3114</v>
      </c>
      <c r="BA1063" t="s">
        <v>419</v>
      </c>
      <c r="BB1063" t="s">
        <v>3115</v>
      </c>
      <c r="BC1063">
        <v>780</v>
      </c>
      <c r="BD1063" t="s">
        <v>521</v>
      </c>
      <c r="BE1063">
        <v>8.4613999999999994</v>
      </c>
      <c r="BF1063">
        <v>7.6353999999999997</v>
      </c>
      <c r="BG1063" t="s">
        <v>522</v>
      </c>
      <c r="BH1063">
        <v>395</v>
      </c>
      <c r="BI1063">
        <v>295</v>
      </c>
      <c r="BJ1063">
        <v>150</v>
      </c>
      <c r="BK1063">
        <v>8</v>
      </c>
      <c r="BL1063" t="s">
        <v>521</v>
      </c>
      <c r="BM1063">
        <v>75.691199999999995</v>
      </c>
      <c r="BN1063">
        <v>61.083199999999998</v>
      </c>
      <c r="BO1063">
        <v>117.53704</v>
      </c>
      <c r="BP1063" t="s">
        <v>522</v>
      </c>
      <c r="BQ1063">
        <v>800</v>
      </c>
      <c r="BR1063">
        <v>300</v>
      </c>
      <c r="BS1063">
        <v>760</v>
      </c>
      <c r="BT1063">
        <v>1</v>
      </c>
      <c r="BU1063">
        <v>1</v>
      </c>
      <c r="BV1063">
        <v>2</v>
      </c>
      <c r="BW1063">
        <v>12</v>
      </c>
      <c r="BX1063">
        <v>0</v>
      </c>
      <c r="BY1063">
        <v>12</v>
      </c>
      <c r="BZ1063">
        <v>6240</v>
      </c>
      <c r="CA1063">
        <v>3120</v>
      </c>
      <c r="CB1063">
        <v>9360</v>
      </c>
      <c r="CC1063">
        <v>91.625039999999998</v>
      </c>
      <c r="CD1063" t="s">
        <v>700</v>
      </c>
      <c r="CE1063" t="s">
        <v>2337</v>
      </c>
      <c r="CG1063" t="s">
        <v>421</v>
      </c>
      <c r="CN1063" t="str">
        <v>M19</v>
      </c>
      <c r="CO1063" t="str">
        <v>1326-5YY0082EN</v>
      </c>
      <c r="CP1063" t="str">
        <v>WHSU2218868</v>
      </c>
      <c r="CQ1063" s="23">
        <v>66.947199999999995</v>
      </c>
      <c r="CR1063" s="25">
        <f t="shared" si="41"/>
        <v>5.1635699999900151E-3</v>
      </c>
      <c r="CS1063" s="21">
        <f t="shared" si="42"/>
        <v>12.908924999975037</v>
      </c>
    </row>
    <row r="1064" spans="2:97" x14ac:dyDescent="0.35">
      <c r="B1064" t="s">
        <v>297</v>
      </c>
      <c r="C1064" t="s">
        <v>3203</v>
      </c>
      <c r="D1064" t="s">
        <v>549</v>
      </c>
      <c r="E1064" t="s">
        <v>395</v>
      </c>
      <c r="F1064" t="s">
        <v>396</v>
      </c>
      <c r="G1064" t="s">
        <v>397</v>
      </c>
      <c r="H1064" t="s">
        <v>398</v>
      </c>
      <c r="I1064" t="s">
        <v>399</v>
      </c>
      <c r="J1064" t="s">
        <v>400</v>
      </c>
      <c r="K1064" t="s">
        <v>401</v>
      </c>
      <c r="L1064" t="s">
        <v>550</v>
      </c>
      <c r="M1064" t="s">
        <v>403</v>
      </c>
      <c r="N1064">
        <v>1</v>
      </c>
      <c r="O1064">
        <v>1</v>
      </c>
      <c r="P1064" t="s">
        <v>551</v>
      </c>
      <c r="Q1064" t="s">
        <v>430</v>
      </c>
      <c r="R1064" t="s">
        <v>552</v>
      </c>
      <c r="S1064" t="s">
        <v>553</v>
      </c>
      <c r="T1064" t="s">
        <v>408</v>
      </c>
      <c r="U1064">
        <v>50950082374</v>
      </c>
      <c r="W1064">
        <v>34560</v>
      </c>
      <c r="X1064" t="s">
        <v>409</v>
      </c>
      <c r="Y1064" t="s">
        <v>410</v>
      </c>
      <c r="Z1064" t="s">
        <v>410</v>
      </c>
      <c r="AA1064" t="s">
        <v>411</v>
      </c>
      <c r="AB1064" t="s">
        <v>554</v>
      </c>
      <c r="AC1064" t="s">
        <v>411</v>
      </c>
      <c r="AD1064">
        <v>46125</v>
      </c>
      <c r="AE1064">
        <v>46181</v>
      </c>
      <c r="AF1064">
        <v>46134</v>
      </c>
      <c r="AG1064" t="s">
        <v>555</v>
      </c>
      <c r="AH1064">
        <v>6196096</v>
      </c>
      <c r="AI1064">
        <v>46128</v>
      </c>
      <c r="AJ1064">
        <v>46129</v>
      </c>
      <c r="AK1064">
        <v>34560</v>
      </c>
      <c r="AL1064" t="s">
        <v>396</v>
      </c>
      <c r="AM1064" t="s">
        <v>3204</v>
      </c>
      <c r="AN1064">
        <v>46129</v>
      </c>
      <c r="AO1064">
        <v>46129.476770833331</v>
      </c>
      <c r="AP1064" t="s">
        <v>51</v>
      </c>
      <c r="AQ1064">
        <v>0.28977000000000003</v>
      </c>
      <c r="AR1064">
        <v>10014.459999999999</v>
      </c>
      <c r="AS1064" t="s">
        <v>51</v>
      </c>
      <c r="AT1064">
        <v>10014.459999999999</v>
      </c>
      <c r="AU1064" t="s">
        <v>415</v>
      </c>
      <c r="AV1064" t="s">
        <v>557</v>
      </c>
      <c r="AW1064" t="s">
        <v>3205</v>
      </c>
      <c r="AX1064">
        <v>46134</v>
      </c>
      <c r="AY1064">
        <v>46183</v>
      </c>
      <c r="AZ1064" t="s">
        <v>3206</v>
      </c>
      <c r="BA1064" t="s">
        <v>560</v>
      </c>
      <c r="BB1064" t="s">
        <v>3207</v>
      </c>
      <c r="BC1064">
        <v>240</v>
      </c>
      <c r="BD1064" t="s">
        <v>521</v>
      </c>
      <c r="BE1064">
        <v>2.8610000000000002</v>
      </c>
      <c r="BF1064">
        <v>1.5840000000000001</v>
      </c>
      <c r="BG1064" t="s">
        <v>522</v>
      </c>
      <c r="BH1064">
        <v>340</v>
      </c>
      <c r="BI1064">
        <v>250</v>
      </c>
      <c r="BJ1064">
        <v>230</v>
      </c>
      <c r="BK1064">
        <v>48</v>
      </c>
      <c r="BL1064" t="s">
        <v>521</v>
      </c>
      <c r="BM1064">
        <v>158.328</v>
      </c>
      <c r="BN1064">
        <v>76.031999999999996</v>
      </c>
      <c r="BO1064">
        <v>474.98399999999998</v>
      </c>
      <c r="BP1064" t="s">
        <v>522</v>
      </c>
      <c r="BQ1064">
        <v>1066</v>
      </c>
      <c r="BR1064">
        <v>1066</v>
      </c>
      <c r="BS1064">
        <v>1080</v>
      </c>
      <c r="BT1064">
        <v>3</v>
      </c>
      <c r="BU1064">
        <v>0</v>
      </c>
      <c r="BV1064">
        <v>3</v>
      </c>
      <c r="BW1064">
        <v>144</v>
      </c>
      <c r="BX1064">
        <v>0</v>
      </c>
      <c r="BY1064">
        <v>144</v>
      </c>
      <c r="BZ1064">
        <v>34560</v>
      </c>
      <c r="CA1064">
        <v>0</v>
      </c>
      <c r="CB1064">
        <v>34560</v>
      </c>
      <c r="CC1064">
        <v>228.096</v>
      </c>
      <c r="CD1064" t="s">
        <v>562</v>
      </c>
      <c r="CE1064" t="s">
        <v>563</v>
      </c>
      <c r="CG1064" t="s">
        <v>421</v>
      </c>
      <c r="CN1064" t="str">
        <v>M01</v>
      </c>
      <c r="CO1064" t="str">
        <v>1101-0037350EN</v>
      </c>
      <c r="CP1064" t="str">
        <v>WHSU2218868</v>
      </c>
      <c r="CQ1064" s="23">
        <v>351.31</v>
      </c>
      <c r="CR1064" s="25">
        <f t="shared" si="41"/>
        <v>2.7096185900179433E-2</v>
      </c>
      <c r="CS1064" s="21">
        <f t="shared" si="42"/>
        <v>67.740464750448581</v>
      </c>
    </row>
    <row r="1065" spans="2:97" x14ac:dyDescent="0.35">
      <c r="B1065" t="s">
        <v>298</v>
      </c>
      <c r="C1065" t="s">
        <v>3208</v>
      </c>
      <c r="D1065" t="s">
        <v>565</v>
      </c>
      <c r="E1065" t="s">
        <v>395</v>
      </c>
      <c r="F1065" t="s">
        <v>396</v>
      </c>
      <c r="G1065" t="s">
        <v>397</v>
      </c>
      <c r="H1065" t="s">
        <v>398</v>
      </c>
      <c r="I1065" t="s">
        <v>399</v>
      </c>
      <c r="J1065" t="s">
        <v>400</v>
      </c>
      <c r="K1065" t="s">
        <v>566</v>
      </c>
      <c r="L1065" t="s">
        <v>567</v>
      </c>
      <c r="M1065" t="s">
        <v>403</v>
      </c>
      <c r="N1065">
        <v>1</v>
      </c>
      <c r="O1065">
        <v>1</v>
      </c>
      <c r="P1065" t="s">
        <v>1767</v>
      </c>
      <c r="Q1065" t="s">
        <v>424</v>
      </c>
      <c r="R1065" t="s">
        <v>1768</v>
      </c>
      <c r="S1065" t="s">
        <v>1769</v>
      </c>
      <c r="T1065" t="s">
        <v>408</v>
      </c>
      <c r="U1065">
        <v>50950082455</v>
      </c>
      <c r="W1065">
        <v>3888</v>
      </c>
      <c r="X1065" t="s">
        <v>409</v>
      </c>
      <c r="Y1065" t="s">
        <v>410</v>
      </c>
      <c r="Z1065" t="s">
        <v>410</v>
      </c>
      <c r="AA1065" t="s">
        <v>411</v>
      </c>
      <c r="AB1065" t="s">
        <v>554</v>
      </c>
      <c r="AC1065" t="s">
        <v>411</v>
      </c>
      <c r="AD1065">
        <v>46125</v>
      </c>
      <c r="AE1065">
        <v>46181</v>
      </c>
      <c r="AF1065">
        <v>46134</v>
      </c>
      <c r="AG1065" t="s">
        <v>570</v>
      </c>
      <c r="AH1065">
        <v>6196097</v>
      </c>
      <c r="AI1065">
        <v>46128</v>
      </c>
      <c r="AJ1065">
        <v>46129</v>
      </c>
      <c r="AK1065">
        <v>3888</v>
      </c>
      <c r="AL1065" t="s">
        <v>396</v>
      </c>
      <c r="AM1065" t="s">
        <v>3209</v>
      </c>
      <c r="AN1065">
        <v>46129</v>
      </c>
      <c r="AO1065">
        <v>46129.476770833331</v>
      </c>
      <c r="AP1065" t="s">
        <v>51</v>
      </c>
      <c r="AQ1065">
        <v>0.36332999999999999</v>
      </c>
      <c r="AR1065">
        <v>1412.63</v>
      </c>
      <c r="AS1065" t="s">
        <v>51</v>
      </c>
      <c r="AT1065">
        <v>1412.63</v>
      </c>
      <c r="AU1065" t="s">
        <v>415</v>
      </c>
      <c r="AV1065" t="s">
        <v>557</v>
      </c>
      <c r="AW1065" t="s">
        <v>3205</v>
      </c>
      <c r="AX1065">
        <v>46134</v>
      </c>
      <c r="AY1065">
        <v>46183</v>
      </c>
      <c r="AZ1065" t="s">
        <v>3206</v>
      </c>
      <c r="BA1065" t="s">
        <v>560</v>
      </c>
      <c r="BB1065" t="s">
        <v>3207</v>
      </c>
      <c r="BC1065">
        <v>81</v>
      </c>
      <c r="BD1065" t="s">
        <v>521</v>
      </c>
      <c r="BE1065">
        <v>6.1428000000000003</v>
      </c>
      <c r="BF1065">
        <v>5.2187999999999999</v>
      </c>
      <c r="BG1065" t="s">
        <v>522</v>
      </c>
      <c r="BH1065">
        <v>395</v>
      </c>
      <c r="BI1065">
        <v>295</v>
      </c>
      <c r="BJ1065">
        <v>150</v>
      </c>
      <c r="BK1065">
        <v>48</v>
      </c>
      <c r="BL1065" t="s">
        <v>521</v>
      </c>
      <c r="BM1065">
        <v>318.85584</v>
      </c>
      <c r="BN1065">
        <v>250.50384</v>
      </c>
      <c r="BO1065">
        <v>318.85584</v>
      </c>
      <c r="BP1065" t="s">
        <v>522</v>
      </c>
      <c r="BQ1065">
        <v>1200</v>
      </c>
      <c r="BR1065">
        <v>800</v>
      </c>
      <c r="BS1065">
        <v>1060</v>
      </c>
      <c r="BT1065">
        <v>1</v>
      </c>
      <c r="BU1065">
        <v>0</v>
      </c>
      <c r="BV1065">
        <v>1</v>
      </c>
      <c r="BW1065">
        <v>48</v>
      </c>
      <c r="BX1065">
        <v>0</v>
      </c>
      <c r="BY1065">
        <v>48</v>
      </c>
      <c r="BZ1065">
        <v>3888</v>
      </c>
      <c r="CA1065">
        <v>0</v>
      </c>
      <c r="CB1065">
        <v>3888</v>
      </c>
      <c r="CC1065">
        <v>250.50384</v>
      </c>
      <c r="CD1065" t="s">
        <v>694</v>
      </c>
      <c r="CE1065" t="s">
        <v>1771</v>
      </c>
      <c r="CG1065" t="s">
        <v>421</v>
      </c>
      <c r="CN1065" t="str">
        <v>M01</v>
      </c>
      <c r="CO1065" t="str">
        <v>1110-0035030EN</v>
      </c>
      <c r="CP1065" t="str">
        <v>WHSU2218868</v>
      </c>
      <c r="CQ1065" s="23">
        <v>13.156000000000001</v>
      </c>
      <c r="CR1065" s="25">
        <f t="shared" si="41"/>
        <v>1.0147090082911407E-3</v>
      </c>
      <c r="CS1065" s="21">
        <f t="shared" si="42"/>
        <v>2.5367725207278515</v>
      </c>
    </row>
    <row r="1066" spans="2:97" x14ac:dyDescent="0.35">
      <c r="B1066" t="s">
        <v>298</v>
      </c>
      <c r="C1066" t="s">
        <v>3210</v>
      </c>
      <c r="D1066" t="s">
        <v>565</v>
      </c>
      <c r="E1066" t="s">
        <v>395</v>
      </c>
      <c r="F1066" t="s">
        <v>396</v>
      </c>
      <c r="G1066" t="s">
        <v>397</v>
      </c>
      <c r="H1066" t="s">
        <v>398</v>
      </c>
      <c r="I1066" t="s">
        <v>399</v>
      </c>
      <c r="J1066" t="s">
        <v>400</v>
      </c>
      <c r="K1066" t="s">
        <v>566</v>
      </c>
      <c r="L1066" t="s">
        <v>567</v>
      </c>
      <c r="M1066" t="s">
        <v>403</v>
      </c>
      <c r="N1066">
        <v>1</v>
      </c>
      <c r="O1066">
        <v>1</v>
      </c>
      <c r="P1066" t="s">
        <v>1767</v>
      </c>
      <c r="Q1066" t="s">
        <v>424</v>
      </c>
      <c r="R1066" t="s">
        <v>1768</v>
      </c>
      <c r="S1066" t="s">
        <v>1769</v>
      </c>
      <c r="T1066" t="s">
        <v>408</v>
      </c>
      <c r="U1066">
        <v>50950082458</v>
      </c>
      <c r="W1066">
        <v>7776</v>
      </c>
      <c r="X1066" t="s">
        <v>409</v>
      </c>
      <c r="Y1066" t="s">
        <v>410</v>
      </c>
      <c r="Z1066" t="s">
        <v>410</v>
      </c>
      <c r="AA1066" t="s">
        <v>411</v>
      </c>
      <c r="AB1066" t="s">
        <v>554</v>
      </c>
      <c r="AC1066" t="s">
        <v>411</v>
      </c>
      <c r="AD1066">
        <v>46126</v>
      </c>
      <c r="AE1066">
        <v>46188</v>
      </c>
      <c r="AF1066">
        <v>46134</v>
      </c>
      <c r="AG1066" t="s">
        <v>570</v>
      </c>
      <c r="AH1066">
        <v>6196098</v>
      </c>
      <c r="AI1066">
        <v>46128</v>
      </c>
      <c r="AJ1066">
        <v>46129</v>
      </c>
      <c r="AK1066">
        <v>7776</v>
      </c>
      <c r="AL1066" t="s">
        <v>396</v>
      </c>
      <c r="AM1066" t="s">
        <v>3211</v>
      </c>
      <c r="AN1066">
        <v>46129</v>
      </c>
      <c r="AO1066">
        <v>46129.476770833331</v>
      </c>
      <c r="AP1066" t="s">
        <v>51</v>
      </c>
      <c r="AQ1066">
        <v>0.36332999999999999</v>
      </c>
      <c r="AR1066">
        <v>2825.26</v>
      </c>
      <c r="AS1066" t="s">
        <v>51</v>
      </c>
      <c r="AT1066">
        <v>2825.26</v>
      </c>
      <c r="AU1066" t="s">
        <v>415</v>
      </c>
      <c r="AV1066" t="s">
        <v>557</v>
      </c>
      <c r="AW1066" t="s">
        <v>3205</v>
      </c>
      <c r="AX1066">
        <v>46134</v>
      </c>
      <c r="AY1066">
        <v>46183</v>
      </c>
      <c r="AZ1066" t="s">
        <v>3206</v>
      </c>
      <c r="BA1066" t="s">
        <v>560</v>
      </c>
      <c r="BB1066" t="s">
        <v>3207</v>
      </c>
      <c r="BC1066">
        <v>81</v>
      </c>
      <c r="BD1066" t="s">
        <v>521</v>
      </c>
      <c r="BE1066">
        <v>6.1428000000000003</v>
      </c>
      <c r="BF1066">
        <v>5.2187999999999999</v>
      </c>
      <c r="BG1066" t="s">
        <v>522</v>
      </c>
      <c r="BH1066">
        <v>395</v>
      </c>
      <c r="BI1066">
        <v>295</v>
      </c>
      <c r="BJ1066">
        <v>150</v>
      </c>
      <c r="BK1066">
        <v>48</v>
      </c>
      <c r="BL1066" t="s">
        <v>521</v>
      </c>
      <c r="BM1066">
        <v>318.8544</v>
      </c>
      <c r="BN1066">
        <v>250.50239999999999</v>
      </c>
      <c r="BO1066">
        <v>637.71168</v>
      </c>
      <c r="BP1066" t="s">
        <v>522</v>
      </c>
      <c r="BQ1066">
        <v>1200</v>
      </c>
      <c r="BR1066">
        <v>800</v>
      </c>
      <c r="BS1066">
        <v>1060</v>
      </c>
      <c r="BT1066">
        <v>2</v>
      </c>
      <c r="BU1066">
        <v>0</v>
      </c>
      <c r="BV1066">
        <v>2</v>
      </c>
      <c r="BW1066">
        <v>96</v>
      </c>
      <c r="BX1066">
        <v>0</v>
      </c>
      <c r="BY1066">
        <v>96</v>
      </c>
      <c r="BZ1066">
        <v>7776</v>
      </c>
      <c r="CA1066">
        <v>0</v>
      </c>
      <c r="CB1066">
        <v>7776</v>
      </c>
      <c r="CC1066">
        <v>501.00767999999999</v>
      </c>
      <c r="CD1066" t="s">
        <v>694</v>
      </c>
      <c r="CE1066" t="s">
        <v>1771</v>
      </c>
      <c r="CG1066" t="s">
        <v>421</v>
      </c>
      <c r="CN1066" t="str">
        <v>M01</v>
      </c>
      <c r="CO1066" t="str">
        <v>1202-1030350EN</v>
      </c>
      <c r="CP1066" t="str">
        <v>WHSU2218868</v>
      </c>
      <c r="CQ1066" s="23">
        <v>196.8768</v>
      </c>
      <c r="CR1066" s="25">
        <f t="shared" si="41"/>
        <v>1.5184908975641018E-2</v>
      </c>
      <c r="CS1066" s="21">
        <f t="shared" si="42"/>
        <v>37.962272439102549</v>
      </c>
    </row>
    <row r="1067" spans="2:97" x14ac:dyDescent="0.35">
      <c r="B1067" t="s">
        <v>295</v>
      </c>
      <c r="C1067" t="s">
        <v>2833</v>
      </c>
      <c r="D1067" t="s">
        <v>575</v>
      </c>
      <c r="E1067" t="s">
        <v>395</v>
      </c>
      <c r="F1067" t="s">
        <v>396</v>
      </c>
      <c r="G1067" t="s">
        <v>397</v>
      </c>
      <c r="H1067" t="s">
        <v>398</v>
      </c>
      <c r="I1067" t="s">
        <v>399</v>
      </c>
      <c r="J1067" t="s">
        <v>400</v>
      </c>
      <c r="K1067" t="s">
        <v>566</v>
      </c>
      <c r="L1067" t="s">
        <v>1268</v>
      </c>
      <c r="M1067" t="s">
        <v>751</v>
      </c>
      <c r="N1067">
        <v>1</v>
      </c>
      <c r="O1067">
        <v>5</v>
      </c>
      <c r="P1067" t="s">
        <v>2834</v>
      </c>
      <c r="Q1067" t="s">
        <v>430</v>
      </c>
      <c r="R1067" t="s">
        <v>2835</v>
      </c>
      <c r="S1067" t="s">
        <v>2836</v>
      </c>
      <c r="T1067" t="s">
        <v>408</v>
      </c>
      <c r="U1067">
        <v>50950082652</v>
      </c>
      <c r="W1067">
        <v>6624</v>
      </c>
      <c r="X1067" t="s">
        <v>448</v>
      </c>
      <c r="Y1067" t="s">
        <v>410</v>
      </c>
      <c r="Z1067" t="s">
        <v>410</v>
      </c>
      <c r="AA1067" t="s">
        <v>411</v>
      </c>
      <c r="AC1067" t="s">
        <v>411</v>
      </c>
      <c r="AD1067">
        <v>46138</v>
      </c>
      <c r="AE1067">
        <v>46111</v>
      </c>
      <c r="AF1067">
        <v>46131</v>
      </c>
      <c r="AG1067" t="s">
        <v>570</v>
      </c>
      <c r="AH1067">
        <v>6196756</v>
      </c>
      <c r="AI1067">
        <v>46128</v>
      </c>
      <c r="AJ1067">
        <v>46129</v>
      </c>
      <c r="AK1067">
        <v>6624</v>
      </c>
      <c r="AL1067" t="s">
        <v>396</v>
      </c>
      <c r="AM1067" t="s">
        <v>3212</v>
      </c>
      <c r="AN1067">
        <v>46129</v>
      </c>
      <c r="AO1067">
        <v>46129.415925925925</v>
      </c>
      <c r="AP1067" t="s">
        <v>51</v>
      </c>
      <c r="AQ1067">
        <v>0.45693</v>
      </c>
      <c r="AR1067">
        <v>3026.71</v>
      </c>
      <c r="AS1067" t="s">
        <v>51</v>
      </c>
      <c r="AT1067">
        <v>3026.71</v>
      </c>
      <c r="AU1067" t="s">
        <v>450</v>
      </c>
      <c r="AV1067" t="s">
        <v>1597</v>
      </c>
      <c r="AX1067">
        <v>46131</v>
      </c>
      <c r="AY1067">
        <v>46136</v>
      </c>
      <c r="BA1067" t="s">
        <v>448</v>
      </c>
      <c r="BB1067" t="s">
        <v>3213</v>
      </c>
      <c r="BC1067">
        <v>69</v>
      </c>
      <c r="BD1067" t="s">
        <v>521</v>
      </c>
      <c r="BE1067">
        <v>6.2408999999999999</v>
      </c>
      <c r="BF1067">
        <v>5.3475000000000001</v>
      </c>
      <c r="BG1067" t="s">
        <v>522</v>
      </c>
      <c r="BH1067">
        <v>395</v>
      </c>
      <c r="BI1067">
        <v>295</v>
      </c>
      <c r="BJ1067">
        <v>120</v>
      </c>
      <c r="BK1067">
        <v>48</v>
      </c>
      <c r="BL1067" t="s">
        <v>521</v>
      </c>
      <c r="BM1067">
        <v>324.56319999999999</v>
      </c>
      <c r="BN1067">
        <v>256.68</v>
      </c>
      <c r="BO1067">
        <v>649.12639999999999</v>
      </c>
      <c r="BP1067" t="s">
        <v>522</v>
      </c>
      <c r="BQ1067">
        <v>1200</v>
      </c>
      <c r="BR1067">
        <v>800</v>
      </c>
      <c r="BS1067">
        <v>1025</v>
      </c>
      <c r="BT1067">
        <v>2</v>
      </c>
      <c r="BU1067">
        <v>0</v>
      </c>
      <c r="BV1067">
        <v>2</v>
      </c>
      <c r="BW1067">
        <v>96</v>
      </c>
      <c r="BX1067">
        <v>0</v>
      </c>
      <c r="BY1067">
        <v>96</v>
      </c>
      <c r="BZ1067">
        <v>6624</v>
      </c>
      <c r="CA1067">
        <v>0</v>
      </c>
      <c r="CB1067">
        <v>6624</v>
      </c>
      <c r="CC1067">
        <v>513.36</v>
      </c>
      <c r="CD1067" t="s">
        <v>2839</v>
      </c>
      <c r="CE1067" t="s">
        <v>2840</v>
      </c>
      <c r="CG1067" t="s">
        <v>421</v>
      </c>
      <c r="CN1067" t="str">
        <v>MCS</v>
      </c>
      <c r="CO1067" t="str">
        <v>1209-5YY0477EN</v>
      </c>
      <c r="CP1067" t="str">
        <v>WHSU2218868</v>
      </c>
      <c r="CQ1067" s="23">
        <v>46.138399999999997</v>
      </c>
      <c r="CR1067" s="25">
        <f t="shared" si="41"/>
        <v>3.558608247806321E-3</v>
      </c>
      <c r="CS1067" s="21">
        <f t="shared" si="42"/>
        <v>8.8965206195158029</v>
      </c>
    </row>
    <row r="1068" spans="2:97" x14ac:dyDescent="0.35">
      <c r="B1068" s="34" t="s">
        <v>298</v>
      </c>
      <c r="C1068" t="s">
        <v>2589</v>
      </c>
      <c r="D1068" t="s">
        <v>395</v>
      </c>
      <c r="E1068" t="s">
        <v>395</v>
      </c>
      <c r="F1068" t="s">
        <v>396</v>
      </c>
      <c r="G1068" t="s">
        <v>397</v>
      </c>
      <c r="H1068" t="s">
        <v>398</v>
      </c>
      <c r="I1068" t="s">
        <v>399</v>
      </c>
      <c r="J1068" t="s">
        <v>400</v>
      </c>
      <c r="K1068" t="s">
        <v>607</v>
      </c>
      <c r="L1068" t="s">
        <v>746</v>
      </c>
      <c r="M1068" t="s">
        <v>751</v>
      </c>
      <c r="N1068">
        <v>1</v>
      </c>
      <c r="O1068">
        <v>2</v>
      </c>
      <c r="P1068" t="s">
        <v>2590</v>
      </c>
      <c r="Q1068" t="s">
        <v>430</v>
      </c>
      <c r="R1068" t="s">
        <v>2591</v>
      </c>
      <c r="S1068" t="s">
        <v>2281</v>
      </c>
      <c r="T1068" t="s">
        <v>408</v>
      </c>
      <c r="U1068">
        <v>50950082523</v>
      </c>
      <c r="W1068">
        <v>1200</v>
      </c>
      <c r="X1068" t="s">
        <v>448</v>
      </c>
      <c r="Y1068" t="s">
        <v>410</v>
      </c>
      <c r="Z1068" t="s">
        <v>410</v>
      </c>
      <c r="AA1068" t="s">
        <v>411</v>
      </c>
      <c r="AC1068" t="s">
        <v>411</v>
      </c>
      <c r="AD1068">
        <v>46119</v>
      </c>
      <c r="AE1068">
        <v>46111</v>
      </c>
      <c r="AF1068">
        <v>46132</v>
      </c>
      <c r="AG1068" t="s">
        <v>590</v>
      </c>
      <c r="AH1068">
        <v>6197601</v>
      </c>
      <c r="AI1068">
        <v>46129</v>
      </c>
      <c r="AJ1068">
        <v>46129</v>
      </c>
      <c r="AK1068">
        <v>1200</v>
      </c>
      <c r="AL1068" t="s">
        <v>396</v>
      </c>
      <c r="AM1068" t="s">
        <v>3214</v>
      </c>
      <c r="AN1068">
        <v>46129</v>
      </c>
      <c r="AO1068">
        <v>46129.415925925925</v>
      </c>
      <c r="AP1068" t="s">
        <v>51</v>
      </c>
      <c r="AQ1068">
        <v>0.36466999999999999</v>
      </c>
      <c r="AR1068">
        <v>437.6</v>
      </c>
      <c r="AS1068" t="s">
        <v>51</v>
      </c>
      <c r="AT1068">
        <v>437.6</v>
      </c>
      <c r="AU1068" t="s">
        <v>3215</v>
      </c>
      <c r="AV1068" t="s">
        <v>756</v>
      </c>
      <c r="AX1068">
        <v>46132</v>
      </c>
      <c r="AY1068">
        <v>46137</v>
      </c>
      <c r="BC1068">
        <v>300</v>
      </c>
      <c r="BD1068" t="s">
        <v>521</v>
      </c>
      <c r="BE1068">
        <v>13.079499999999999</v>
      </c>
      <c r="BF1068">
        <v>12.7515</v>
      </c>
      <c r="BG1068" t="s">
        <v>522</v>
      </c>
      <c r="BH1068">
        <v>296</v>
      </c>
      <c r="BI1068">
        <v>195</v>
      </c>
      <c r="BJ1068">
        <v>145</v>
      </c>
      <c r="BK1068">
        <v>12</v>
      </c>
      <c r="BL1068" t="s">
        <v>521</v>
      </c>
      <c r="BM1068">
        <v>60.31812</v>
      </c>
      <c r="BN1068">
        <v>51.006120000000003</v>
      </c>
      <c r="BO1068">
        <v>60.31812</v>
      </c>
      <c r="BP1068" t="s">
        <v>522</v>
      </c>
      <c r="BQ1068">
        <v>800</v>
      </c>
      <c r="BR1068">
        <v>300</v>
      </c>
      <c r="BS1068">
        <v>608</v>
      </c>
      <c r="BT1068">
        <v>0</v>
      </c>
      <c r="BU1068">
        <v>1</v>
      </c>
      <c r="BV1068">
        <v>1</v>
      </c>
      <c r="BW1068">
        <v>4</v>
      </c>
      <c r="BX1068">
        <v>0</v>
      </c>
      <c r="BY1068">
        <v>4</v>
      </c>
      <c r="BZ1068">
        <v>0</v>
      </c>
      <c r="CA1068">
        <v>1200</v>
      </c>
      <c r="CB1068">
        <v>1200</v>
      </c>
      <c r="CC1068">
        <v>51.006120000000003</v>
      </c>
      <c r="CD1068" t="s">
        <v>523</v>
      </c>
      <c r="CE1068" t="s">
        <v>728</v>
      </c>
      <c r="CG1068" t="s">
        <v>421</v>
      </c>
      <c r="CN1068" t="str">
        <v>M46</v>
      </c>
      <c r="CO1068" t="str">
        <v>1101-EQN0004EN</v>
      </c>
      <c r="CP1068" t="str">
        <v>WHSU2218868</v>
      </c>
      <c r="CQ1068" s="23">
        <v>48.073599999999999</v>
      </c>
      <c r="CR1068" s="25">
        <f t="shared" si="41"/>
        <v>3.7078682715859664E-3</v>
      </c>
      <c r="CS1068" s="21">
        <f t="shared" si="42"/>
        <v>9.2696706789649159</v>
      </c>
    </row>
    <row r="1069" spans="2:97" x14ac:dyDescent="0.35">
      <c r="B1069" s="34" t="s">
        <v>298</v>
      </c>
      <c r="C1069" t="s">
        <v>3216</v>
      </c>
      <c r="D1069" t="s">
        <v>395</v>
      </c>
      <c r="E1069" t="s">
        <v>395</v>
      </c>
      <c r="F1069" t="s">
        <v>396</v>
      </c>
      <c r="G1069" t="s">
        <v>397</v>
      </c>
      <c r="H1069" t="s">
        <v>398</v>
      </c>
      <c r="I1069" t="s">
        <v>399</v>
      </c>
      <c r="J1069" t="s">
        <v>400</v>
      </c>
      <c r="K1069" t="s">
        <v>607</v>
      </c>
      <c r="L1069" t="s">
        <v>746</v>
      </c>
      <c r="M1069" t="s">
        <v>751</v>
      </c>
      <c r="N1069">
        <v>1</v>
      </c>
      <c r="O1069">
        <v>1</v>
      </c>
      <c r="P1069" t="s">
        <v>2595</v>
      </c>
      <c r="Q1069" t="s">
        <v>405</v>
      </c>
      <c r="R1069" t="s">
        <v>2591</v>
      </c>
      <c r="S1069" t="s">
        <v>2281</v>
      </c>
      <c r="T1069" t="s">
        <v>408</v>
      </c>
      <c r="U1069">
        <v>50950082732</v>
      </c>
      <c r="W1069">
        <v>2400</v>
      </c>
      <c r="X1069" t="s">
        <v>448</v>
      </c>
      <c r="Y1069" t="s">
        <v>410</v>
      </c>
      <c r="Z1069" t="s">
        <v>410</v>
      </c>
      <c r="AA1069" t="s">
        <v>411</v>
      </c>
      <c r="AC1069" t="s">
        <v>411</v>
      </c>
      <c r="AD1069">
        <v>46132</v>
      </c>
      <c r="AE1069">
        <v>46188</v>
      </c>
      <c r="AF1069">
        <v>46139</v>
      </c>
      <c r="AG1069" t="s">
        <v>590</v>
      </c>
      <c r="AH1069">
        <v>6197602</v>
      </c>
      <c r="AI1069">
        <v>46129</v>
      </c>
      <c r="AJ1069">
        <v>46129</v>
      </c>
      <c r="AK1069">
        <v>2400</v>
      </c>
      <c r="AL1069" t="s">
        <v>396</v>
      </c>
      <c r="AM1069" t="s">
        <v>3217</v>
      </c>
      <c r="AN1069">
        <v>46129</v>
      </c>
      <c r="AO1069">
        <v>46129.415925925925</v>
      </c>
      <c r="AP1069" t="s">
        <v>51</v>
      </c>
      <c r="AQ1069">
        <v>4.684E-2</v>
      </c>
      <c r="AR1069">
        <v>112.42</v>
      </c>
      <c r="AS1069" t="s">
        <v>51</v>
      </c>
      <c r="AT1069">
        <v>112.42</v>
      </c>
      <c r="AU1069" t="s">
        <v>3215</v>
      </c>
      <c r="AV1069" t="s">
        <v>756</v>
      </c>
      <c r="AX1069">
        <v>46139</v>
      </c>
      <c r="AY1069">
        <v>46144</v>
      </c>
      <c r="BC1069">
        <v>3000</v>
      </c>
      <c r="BD1069" t="s">
        <v>521</v>
      </c>
      <c r="BE1069">
        <v>13.56456</v>
      </c>
      <c r="BF1069">
        <v>13.17456</v>
      </c>
      <c r="BG1069" t="s">
        <v>522</v>
      </c>
      <c r="BH1069">
        <v>368</v>
      </c>
      <c r="BI1069">
        <v>257</v>
      </c>
      <c r="BJ1069">
        <v>136</v>
      </c>
      <c r="BK1069">
        <v>6</v>
      </c>
      <c r="BL1069" t="s">
        <v>521</v>
      </c>
      <c r="BM1069">
        <v>21.56456</v>
      </c>
      <c r="BN1069">
        <v>13.17456</v>
      </c>
      <c r="BO1069">
        <v>21.56456</v>
      </c>
      <c r="BP1069" t="s">
        <v>522</v>
      </c>
      <c r="BQ1069">
        <v>800</v>
      </c>
      <c r="BR1069">
        <v>300</v>
      </c>
      <c r="BS1069">
        <v>608</v>
      </c>
      <c r="BT1069">
        <v>0</v>
      </c>
      <c r="BU1069">
        <v>1</v>
      </c>
      <c r="BV1069">
        <v>1</v>
      </c>
      <c r="BW1069">
        <v>0</v>
      </c>
      <c r="BX1069">
        <v>1</v>
      </c>
      <c r="BY1069">
        <v>1</v>
      </c>
      <c r="BZ1069">
        <v>0</v>
      </c>
      <c r="CA1069">
        <v>2400</v>
      </c>
      <c r="CB1069">
        <v>2400</v>
      </c>
      <c r="CC1069">
        <v>13.17456</v>
      </c>
      <c r="CD1069" t="s">
        <v>523</v>
      </c>
      <c r="CE1069" t="s">
        <v>653</v>
      </c>
      <c r="CG1069" t="s">
        <v>421</v>
      </c>
      <c r="CN1069" t="str">
        <v>M01</v>
      </c>
      <c r="CO1069" t="str">
        <v>1109-0037210EN</v>
      </c>
      <c r="CP1069" t="str">
        <v>WHSU2218868</v>
      </c>
      <c r="CQ1069" s="23">
        <v>15.78</v>
      </c>
      <c r="CR1069" s="25">
        <f t="shared" si="41"/>
        <v>1.2170954812126937E-3</v>
      </c>
      <c r="CS1069" s="21">
        <f t="shared" si="42"/>
        <v>3.0427387030317341</v>
      </c>
    </row>
    <row r="1070" spans="2:97" x14ac:dyDescent="0.35">
      <c r="B1070" t="s">
        <v>295</v>
      </c>
      <c r="C1070" t="s">
        <v>3218</v>
      </c>
      <c r="D1070" t="s">
        <v>575</v>
      </c>
      <c r="E1070" t="s">
        <v>395</v>
      </c>
      <c r="F1070" t="s">
        <v>396</v>
      </c>
      <c r="G1070" t="s">
        <v>397</v>
      </c>
      <c r="H1070" t="s">
        <v>398</v>
      </c>
      <c r="I1070" t="s">
        <v>399</v>
      </c>
      <c r="J1070" t="s">
        <v>400</v>
      </c>
      <c r="K1070" t="s">
        <v>566</v>
      </c>
      <c r="L1070" t="s">
        <v>567</v>
      </c>
      <c r="M1070" t="s">
        <v>403</v>
      </c>
      <c r="N1070">
        <v>1</v>
      </c>
      <c r="O1070">
        <v>1</v>
      </c>
      <c r="P1070" t="s">
        <v>3219</v>
      </c>
      <c r="Q1070" t="s">
        <v>424</v>
      </c>
      <c r="R1070" t="s">
        <v>552</v>
      </c>
      <c r="S1070" t="s">
        <v>569</v>
      </c>
      <c r="T1070" t="s">
        <v>408</v>
      </c>
      <c r="U1070">
        <v>50950082601</v>
      </c>
      <c r="W1070">
        <v>35328</v>
      </c>
      <c r="X1070" t="s">
        <v>409</v>
      </c>
      <c r="Y1070" t="s">
        <v>410</v>
      </c>
      <c r="Z1070" t="s">
        <v>410</v>
      </c>
      <c r="AA1070" t="s">
        <v>411</v>
      </c>
      <c r="AB1070" t="s">
        <v>554</v>
      </c>
      <c r="AC1070" t="s">
        <v>411</v>
      </c>
      <c r="AD1070">
        <v>46134</v>
      </c>
      <c r="AE1070">
        <v>46195</v>
      </c>
      <c r="AF1070">
        <v>46132</v>
      </c>
      <c r="AG1070" t="s">
        <v>570</v>
      </c>
      <c r="AH1070">
        <v>6198818</v>
      </c>
      <c r="AI1070">
        <v>46129</v>
      </c>
      <c r="AJ1070">
        <v>46130</v>
      </c>
      <c r="AK1070">
        <v>35328</v>
      </c>
      <c r="AL1070" t="s">
        <v>396</v>
      </c>
      <c r="AM1070" t="s">
        <v>3220</v>
      </c>
      <c r="AN1070">
        <v>46130</v>
      </c>
      <c r="AO1070">
        <v>46130.61037037037</v>
      </c>
      <c r="AP1070" t="s">
        <v>51</v>
      </c>
      <c r="AQ1070">
        <v>0.23116</v>
      </c>
      <c r="AR1070">
        <v>8166.44</v>
      </c>
      <c r="AS1070" t="s">
        <v>51</v>
      </c>
      <c r="AT1070">
        <v>8166.44</v>
      </c>
      <c r="AU1070" t="s">
        <v>415</v>
      </c>
      <c r="AV1070" t="s">
        <v>557</v>
      </c>
      <c r="AW1070" t="s">
        <v>3205</v>
      </c>
      <c r="AX1070">
        <v>46134</v>
      </c>
      <c r="AY1070">
        <v>46183</v>
      </c>
      <c r="AZ1070" t="s">
        <v>3221</v>
      </c>
      <c r="BA1070" t="s">
        <v>1274</v>
      </c>
      <c r="BB1070" t="s">
        <v>3222</v>
      </c>
      <c r="BC1070">
        <v>736</v>
      </c>
      <c r="BD1070" t="s">
        <v>521</v>
      </c>
      <c r="BE1070">
        <v>11.0594</v>
      </c>
      <c r="BF1070">
        <v>8.7294</v>
      </c>
      <c r="BG1070" t="s">
        <v>522</v>
      </c>
      <c r="BH1070">
        <v>395</v>
      </c>
      <c r="BI1070">
        <v>295</v>
      </c>
      <c r="BJ1070">
        <v>150</v>
      </c>
      <c r="BK1070">
        <v>48</v>
      </c>
      <c r="BL1070" t="s">
        <v>521</v>
      </c>
      <c r="BM1070">
        <v>555.75127680000003</v>
      </c>
      <c r="BN1070">
        <v>419.01127680000002</v>
      </c>
      <c r="BO1070">
        <v>555.75127680000003</v>
      </c>
      <c r="BP1070" t="s">
        <v>522</v>
      </c>
      <c r="BQ1070">
        <v>1200</v>
      </c>
      <c r="BR1070">
        <v>800</v>
      </c>
      <c r="BS1070">
        <v>1060</v>
      </c>
      <c r="BT1070">
        <v>1</v>
      </c>
      <c r="BU1070">
        <v>0</v>
      </c>
      <c r="BV1070">
        <v>1</v>
      </c>
      <c r="BW1070">
        <v>48</v>
      </c>
      <c r="BX1070">
        <v>0</v>
      </c>
      <c r="BY1070">
        <v>48</v>
      </c>
      <c r="BZ1070">
        <v>35328</v>
      </c>
      <c r="CA1070">
        <v>0</v>
      </c>
      <c r="CB1070">
        <v>35328</v>
      </c>
      <c r="CC1070">
        <v>419.01127680000002</v>
      </c>
      <c r="CD1070" t="s">
        <v>3223</v>
      </c>
      <c r="CE1070" t="s">
        <v>3224</v>
      </c>
      <c r="CG1070" t="s">
        <v>421</v>
      </c>
      <c r="CN1070" t="str">
        <v>M23</v>
      </c>
      <c r="CO1070" t="str">
        <v>1110-1060119-56EN</v>
      </c>
      <c r="CP1070" t="str">
        <v>WHSU2218868</v>
      </c>
      <c r="CQ1070" s="23">
        <v>15.087</v>
      </c>
      <c r="CR1070" s="25">
        <f t="shared" si="41"/>
        <v>1.1636450903077255E-3</v>
      </c>
      <c r="CS1070" s="21">
        <f t="shared" si="42"/>
        <v>2.9091127257693139</v>
      </c>
    </row>
    <row r="1071" spans="2:97" x14ac:dyDescent="0.35">
      <c r="B1071" t="s">
        <v>298</v>
      </c>
      <c r="C1071" t="s">
        <v>3225</v>
      </c>
      <c r="D1071" t="s">
        <v>395</v>
      </c>
      <c r="E1071" t="s">
        <v>395</v>
      </c>
      <c r="F1071" t="s">
        <v>396</v>
      </c>
      <c r="G1071" t="s">
        <v>397</v>
      </c>
      <c r="H1071" t="s">
        <v>398</v>
      </c>
      <c r="I1071" t="s">
        <v>399</v>
      </c>
      <c r="J1071" t="s">
        <v>400</v>
      </c>
      <c r="K1071" t="s">
        <v>607</v>
      </c>
      <c r="L1071" t="s">
        <v>585</v>
      </c>
      <c r="M1071" t="s">
        <v>403</v>
      </c>
      <c r="N1071">
        <v>1</v>
      </c>
      <c r="O1071">
        <v>1</v>
      </c>
      <c r="P1071" t="s">
        <v>649</v>
      </c>
      <c r="Q1071" t="s">
        <v>430</v>
      </c>
      <c r="R1071" t="s">
        <v>650</v>
      </c>
      <c r="S1071" t="s">
        <v>651</v>
      </c>
      <c r="T1071" t="s">
        <v>408</v>
      </c>
      <c r="U1071">
        <v>50950080684</v>
      </c>
      <c r="W1071">
        <v>10800</v>
      </c>
      <c r="X1071" t="s">
        <v>409</v>
      </c>
      <c r="Y1071" t="s">
        <v>410</v>
      </c>
      <c r="Z1071" t="s">
        <v>410</v>
      </c>
      <c r="AA1071" t="s">
        <v>411</v>
      </c>
      <c r="AB1071" t="s">
        <v>554</v>
      </c>
      <c r="AC1071" t="s">
        <v>411</v>
      </c>
      <c r="AD1071">
        <v>46125</v>
      </c>
      <c r="AE1071">
        <v>46181</v>
      </c>
      <c r="AF1071">
        <v>46132</v>
      </c>
      <c r="AG1071" t="s">
        <v>590</v>
      </c>
      <c r="AH1071">
        <v>6198819</v>
      </c>
      <c r="AI1071">
        <v>46129</v>
      </c>
      <c r="AJ1071">
        <v>46130</v>
      </c>
      <c r="AK1071">
        <v>10800</v>
      </c>
      <c r="AL1071" t="s">
        <v>396</v>
      </c>
      <c r="AM1071" t="s">
        <v>3226</v>
      </c>
      <c r="AN1071">
        <v>46130</v>
      </c>
      <c r="AO1071">
        <v>46130.61037037037</v>
      </c>
      <c r="AP1071" t="s">
        <v>51</v>
      </c>
      <c r="AQ1071">
        <v>0.19953000000000001</v>
      </c>
      <c r="AR1071">
        <v>2154.92</v>
      </c>
      <c r="AS1071" t="s">
        <v>51</v>
      </c>
      <c r="AT1071">
        <v>2154.92</v>
      </c>
      <c r="AU1071" t="s">
        <v>415</v>
      </c>
      <c r="AV1071" t="s">
        <v>557</v>
      </c>
      <c r="AW1071" t="s">
        <v>3205</v>
      </c>
      <c r="AX1071">
        <v>46134</v>
      </c>
      <c r="AY1071">
        <v>46183</v>
      </c>
      <c r="AZ1071" t="s">
        <v>3221</v>
      </c>
      <c r="BA1071" t="s">
        <v>1274</v>
      </c>
      <c r="BB1071" t="s">
        <v>3222</v>
      </c>
      <c r="BC1071">
        <v>900</v>
      </c>
      <c r="BD1071" t="s">
        <v>521</v>
      </c>
      <c r="BE1071">
        <v>16.950500000000002</v>
      </c>
      <c r="BF1071">
        <v>16.560500000000001</v>
      </c>
      <c r="BG1071" t="s">
        <v>522</v>
      </c>
      <c r="BH1071">
        <v>368</v>
      </c>
      <c r="BI1071">
        <v>257</v>
      </c>
      <c r="BJ1071">
        <v>136</v>
      </c>
      <c r="BK1071">
        <v>6</v>
      </c>
      <c r="BL1071" t="s">
        <v>521</v>
      </c>
      <c r="BM1071">
        <v>109.703</v>
      </c>
      <c r="BN1071">
        <v>99.363</v>
      </c>
      <c r="BO1071">
        <v>219.40539999999999</v>
      </c>
      <c r="BP1071" t="s">
        <v>522</v>
      </c>
      <c r="BQ1071">
        <v>800</v>
      </c>
      <c r="BR1071">
        <v>300</v>
      </c>
      <c r="BS1071">
        <v>608</v>
      </c>
      <c r="BT1071">
        <v>2</v>
      </c>
      <c r="BU1071">
        <v>0</v>
      </c>
      <c r="BV1071">
        <v>2</v>
      </c>
      <c r="BW1071">
        <v>12</v>
      </c>
      <c r="BX1071">
        <v>0</v>
      </c>
      <c r="BY1071">
        <v>12</v>
      </c>
      <c r="BZ1071">
        <v>10800</v>
      </c>
      <c r="CA1071">
        <v>0</v>
      </c>
      <c r="CB1071">
        <v>10800</v>
      </c>
      <c r="CC1071">
        <v>198.72540000000001</v>
      </c>
      <c r="CD1071" t="s">
        <v>523</v>
      </c>
      <c r="CE1071" t="s">
        <v>653</v>
      </c>
      <c r="CG1071" t="s">
        <v>421</v>
      </c>
      <c r="CN1071" t="str">
        <v>M01</v>
      </c>
      <c r="CO1071" t="str">
        <v>1318-1030054EN</v>
      </c>
      <c r="CP1071" t="str">
        <v>WHSU5613188</v>
      </c>
      <c r="CQ1071" s="23">
        <v>10</v>
      </c>
      <c r="CR1071" s="25">
        <f t="shared" si="41"/>
        <v>5.0702426925206131E-4</v>
      </c>
      <c r="CS1071" s="21">
        <f t="shared" si="42"/>
        <v>1.2675606731301532</v>
      </c>
    </row>
    <row r="1072" spans="2:97" x14ac:dyDescent="0.35">
      <c r="B1072" t="s">
        <v>299</v>
      </c>
      <c r="C1072" t="s">
        <v>2887</v>
      </c>
      <c r="D1072" t="s">
        <v>395</v>
      </c>
      <c r="E1072" t="s">
        <v>395</v>
      </c>
      <c r="F1072" t="s">
        <v>396</v>
      </c>
      <c r="G1072" t="s">
        <v>397</v>
      </c>
      <c r="H1072" t="s">
        <v>532</v>
      </c>
      <c r="I1072" t="s">
        <v>399</v>
      </c>
      <c r="J1072" t="s">
        <v>400</v>
      </c>
      <c r="K1072" t="s">
        <v>607</v>
      </c>
      <c r="L1072" t="s">
        <v>585</v>
      </c>
      <c r="M1072" t="s">
        <v>403</v>
      </c>
      <c r="N1072">
        <v>1</v>
      </c>
      <c r="O1072">
        <v>2</v>
      </c>
      <c r="P1072" t="s">
        <v>608</v>
      </c>
      <c r="Q1072" t="s">
        <v>405</v>
      </c>
      <c r="R1072" t="s">
        <v>609</v>
      </c>
      <c r="S1072" t="s">
        <v>610</v>
      </c>
      <c r="T1072" t="s">
        <v>408</v>
      </c>
      <c r="U1072">
        <v>50950081122</v>
      </c>
      <c r="W1072">
        <v>17600</v>
      </c>
      <c r="X1072" t="s">
        <v>409</v>
      </c>
      <c r="Y1072" t="s">
        <v>410</v>
      </c>
      <c r="Z1072" t="s">
        <v>410</v>
      </c>
      <c r="AA1072" t="s">
        <v>411</v>
      </c>
      <c r="AB1072" t="s">
        <v>554</v>
      </c>
      <c r="AC1072" t="s">
        <v>411</v>
      </c>
      <c r="AD1072">
        <v>46111</v>
      </c>
      <c r="AE1072">
        <v>46167</v>
      </c>
      <c r="AF1072">
        <v>46132</v>
      </c>
      <c r="AG1072" t="s">
        <v>590</v>
      </c>
      <c r="AH1072">
        <v>6198820</v>
      </c>
      <c r="AI1072">
        <v>46129</v>
      </c>
      <c r="AJ1072">
        <v>46130</v>
      </c>
      <c r="AK1072">
        <v>17600</v>
      </c>
      <c r="AL1072" t="s">
        <v>396</v>
      </c>
      <c r="AM1072" t="s">
        <v>3227</v>
      </c>
      <c r="AN1072">
        <v>46130</v>
      </c>
      <c r="AO1072">
        <v>46130.61037037037</v>
      </c>
      <c r="AP1072" t="s">
        <v>51</v>
      </c>
      <c r="AQ1072">
        <v>0.12169000000000001</v>
      </c>
      <c r="AR1072">
        <v>2141.7399999999998</v>
      </c>
      <c r="AS1072" t="s">
        <v>51</v>
      </c>
      <c r="AT1072">
        <v>2141.7399999999998</v>
      </c>
      <c r="AU1072" t="s">
        <v>415</v>
      </c>
      <c r="AV1072" t="s">
        <v>557</v>
      </c>
      <c r="AW1072" t="s">
        <v>3205</v>
      </c>
      <c r="AX1072">
        <v>46134</v>
      </c>
      <c r="AY1072">
        <v>46183</v>
      </c>
      <c r="AZ1072" t="s">
        <v>3221</v>
      </c>
      <c r="BA1072" t="s">
        <v>1274</v>
      </c>
      <c r="BB1072" t="s">
        <v>3222</v>
      </c>
      <c r="BC1072">
        <v>880</v>
      </c>
      <c r="BD1072" t="s">
        <v>521</v>
      </c>
      <c r="BE1072">
        <v>13.593999999999999</v>
      </c>
      <c r="BF1072">
        <v>11.994</v>
      </c>
      <c r="BG1072" t="s">
        <v>522</v>
      </c>
      <c r="BH1072">
        <v>395</v>
      </c>
      <c r="BI1072">
        <v>295</v>
      </c>
      <c r="BJ1072">
        <v>230</v>
      </c>
      <c r="BK1072">
        <v>40</v>
      </c>
      <c r="BL1072" t="s">
        <v>521</v>
      </c>
      <c r="BM1072">
        <v>302.87920000000003</v>
      </c>
      <c r="BN1072">
        <v>239.8792</v>
      </c>
      <c r="BO1072">
        <v>302.87920000000003</v>
      </c>
      <c r="BP1072" t="s">
        <v>522</v>
      </c>
      <c r="BQ1072">
        <v>1200</v>
      </c>
      <c r="BR1072">
        <v>1000</v>
      </c>
      <c r="BS1072">
        <v>1075</v>
      </c>
      <c r="BT1072">
        <v>0</v>
      </c>
      <c r="BU1072">
        <v>1</v>
      </c>
      <c r="BV1072">
        <v>1</v>
      </c>
      <c r="BW1072">
        <v>20</v>
      </c>
      <c r="BX1072">
        <v>0</v>
      </c>
      <c r="BY1072">
        <v>20</v>
      </c>
      <c r="BZ1072">
        <v>0</v>
      </c>
      <c r="CA1072">
        <v>17600</v>
      </c>
      <c r="CB1072">
        <v>17600</v>
      </c>
      <c r="CC1072">
        <v>239.8792</v>
      </c>
      <c r="CD1072" t="s">
        <v>612</v>
      </c>
      <c r="CE1072" t="s">
        <v>613</v>
      </c>
      <c r="CG1072" t="s">
        <v>421</v>
      </c>
      <c r="CN1072" t="str">
        <v>M01</v>
      </c>
      <c r="CO1072" t="str">
        <v>1104-1030078EN</v>
      </c>
      <c r="CP1072" t="str">
        <v>WHSU5613188</v>
      </c>
      <c r="CQ1072" s="23">
        <v>20.159996717005907</v>
      </c>
      <c r="CR1072" s="25">
        <f t="shared" si="41"/>
        <v>1.0221607603563875E-3</v>
      </c>
      <c r="CS1072" s="21">
        <f t="shared" si="42"/>
        <v>2.5554019008909687</v>
      </c>
    </row>
    <row r="1073" spans="2:97" x14ac:dyDescent="0.35">
      <c r="B1073" t="s">
        <v>3497</v>
      </c>
      <c r="C1073" t="s">
        <v>3228</v>
      </c>
      <c r="D1073" t="s">
        <v>395</v>
      </c>
      <c r="E1073" t="s">
        <v>395</v>
      </c>
      <c r="F1073" t="s">
        <v>396</v>
      </c>
      <c r="G1073" t="s">
        <v>397</v>
      </c>
      <c r="H1073" t="s">
        <v>398</v>
      </c>
      <c r="I1073" t="s">
        <v>399</v>
      </c>
      <c r="J1073" t="s">
        <v>400</v>
      </c>
      <c r="K1073" t="s">
        <v>515</v>
      </c>
      <c r="L1073" t="s">
        <v>585</v>
      </c>
      <c r="M1073" t="s">
        <v>403</v>
      </c>
      <c r="N1073">
        <v>1</v>
      </c>
      <c r="O1073">
        <v>1</v>
      </c>
      <c r="P1073" t="s">
        <v>690</v>
      </c>
      <c r="Q1073" t="s">
        <v>424</v>
      </c>
      <c r="R1073" t="s">
        <v>691</v>
      </c>
      <c r="S1073" t="s">
        <v>692</v>
      </c>
      <c r="T1073" t="s">
        <v>408</v>
      </c>
      <c r="U1073">
        <v>50950081162</v>
      </c>
      <c r="W1073">
        <v>7200</v>
      </c>
      <c r="X1073" t="s">
        <v>409</v>
      </c>
      <c r="Y1073" t="s">
        <v>410</v>
      </c>
      <c r="Z1073" t="s">
        <v>410</v>
      </c>
      <c r="AA1073" t="s">
        <v>411</v>
      </c>
      <c r="AB1073" t="s">
        <v>554</v>
      </c>
      <c r="AC1073" t="s">
        <v>411</v>
      </c>
      <c r="AD1073">
        <v>46125</v>
      </c>
      <c r="AE1073">
        <v>46174</v>
      </c>
      <c r="AF1073">
        <v>46132</v>
      </c>
      <c r="AG1073" t="s">
        <v>590</v>
      </c>
      <c r="AH1073">
        <v>6198821</v>
      </c>
      <c r="AI1073">
        <v>46129</v>
      </c>
      <c r="AJ1073">
        <v>46130</v>
      </c>
      <c r="AK1073">
        <v>7200</v>
      </c>
      <c r="AL1073" t="s">
        <v>396</v>
      </c>
      <c r="AM1073" t="s">
        <v>3229</v>
      </c>
      <c r="AN1073">
        <v>46130</v>
      </c>
      <c r="AO1073">
        <v>46130.61037037037</v>
      </c>
      <c r="AP1073" t="s">
        <v>51</v>
      </c>
      <c r="AQ1073">
        <v>5.6489999999999999E-2</v>
      </c>
      <c r="AR1073">
        <v>406.73</v>
      </c>
      <c r="AS1073" t="s">
        <v>51</v>
      </c>
      <c r="AT1073">
        <v>406.73</v>
      </c>
      <c r="AU1073" t="s">
        <v>415</v>
      </c>
      <c r="AV1073" t="s">
        <v>557</v>
      </c>
      <c r="AW1073" t="s">
        <v>3205</v>
      </c>
      <c r="AX1073">
        <v>46134</v>
      </c>
      <c r="AY1073">
        <v>46183</v>
      </c>
      <c r="AZ1073" t="s">
        <v>3221</v>
      </c>
      <c r="BA1073" t="s">
        <v>1274</v>
      </c>
      <c r="BB1073" t="s">
        <v>3222</v>
      </c>
      <c r="BC1073">
        <v>900</v>
      </c>
      <c r="BD1073" t="s">
        <v>521</v>
      </c>
      <c r="BE1073">
        <v>2.7898000000000001</v>
      </c>
      <c r="BF1073">
        <v>1.1898</v>
      </c>
      <c r="BG1073" t="s">
        <v>522</v>
      </c>
      <c r="BH1073">
        <v>395</v>
      </c>
      <c r="BI1073">
        <v>295</v>
      </c>
      <c r="BJ1073">
        <v>150</v>
      </c>
      <c r="BK1073">
        <v>48</v>
      </c>
      <c r="BL1073" t="s">
        <v>521</v>
      </c>
      <c r="BM1073">
        <v>46.318399999999997</v>
      </c>
      <c r="BN1073">
        <v>9.5183999999999997</v>
      </c>
      <c r="BO1073">
        <v>46.318399999999997</v>
      </c>
      <c r="BP1073" t="s">
        <v>522</v>
      </c>
      <c r="BQ1073">
        <v>1200</v>
      </c>
      <c r="BR1073">
        <v>800</v>
      </c>
      <c r="BS1073">
        <v>1060</v>
      </c>
      <c r="BT1073">
        <v>0</v>
      </c>
      <c r="BU1073">
        <v>1</v>
      </c>
      <c r="BV1073">
        <v>1</v>
      </c>
      <c r="BW1073">
        <v>8</v>
      </c>
      <c r="BX1073">
        <v>0</v>
      </c>
      <c r="BY1073">
        <v>8</v>
      </c>
      <c r="BZ1073">
        <v>0</v>
      </c>
      <c r="CA1073">
        <v>7200</v>
      </c>
      <c r="CB1073">
        <v>7200</v>
      </c>
      <c r="CC1073">
        <v>9.5183999999999997</v>
      </c>
      <c r="CD1073" t="s">
        <v>694</v>
      </c>
      <c r="CE1073" t="s">
        <v>695</v>
      </c>
      <c r="CG1073" t="s">
        <v>421</v>
      </c>
      <c r="CN1073" t="str">
        <v>M19</v>
      </c>
      <c r="CO1073" t="str">
        <v>1405-5YY0009EN</v>
      </c>
      <c r="CP1073" t="str">
        <v>WHSU5613188</v>
      </c>
      <c r="CQ1073" s="23">
        <v>50</v>
      </c>
      <c r="CR1073" s="25">
        <f t="shared" si="41"/>
        <v>2.5351213462603064E-3</v>
      </c>
      <c r="CS1073" s="21">
        <f t="shared" si="42"/>
        <v>6.3378033656507657</v>
      </c>
    </row>
    <row r="1074" spans="2:97" x14ac:dyDescent="0.35">
      <c r="B1074" t="s">
        <v>299</v>
      </c>
      <c r="C1074" t="s">
        <v>3230</v>
      </c>
      <c r="D1074" t="s">
        <v>395</v>
      </c>
      <c r="E1074" t="s">
        <v>395</v>
      </c>
      <c r="F1074" t="s">
        <v>396</v>
      </c>
      <c r="G1074" t="s">
        <v>397</v>
      </c>
      <c r="H1074" t="s">
        <v>532</v>
      </c>
      <c r="I1074" t="s">
        <v>399</v>
      </c>
      <c r="J1074" t="s">
        <v>400</v>
      </c>
      <c r="K1074" t="s">
        <v>515</v>
      </c>
      <c r="L1074" t="s">
        <v>585</v>
      </c>
      <c r="M1074" t="s">
        <v>403</v>
      </c>
      <c r="N1074">
        <v>1</v>
      </c>
      <c r="O1074">
        <v>1</v>
      </c>
      <c r="P1074" t="s">
        <v>586</v>
      </c>
      <c r="Q1074" t="s">
        <v>587</v>
      </c>
      <c r="R1074" t="s">
        <v>588</v>
      </c>
      <c r="S1074" t="s">
        <v>589</v>
      </c>
      <c r="T1074" t="s">
        <v>408</v>
      </c>
      <c r="U1074">
        <v>50950081166</v>
      </c>
      <c r="W1074">
        <v>9450</v>
      </c>
      <c r="X1074" t="s">
        <v>409</v>
      </c>
      <c r="Y1074" t="s">
        <v>410</v>
      </c>
      <c r="Z1074" t="s">
        <v>410</v>
      </c>
      <c r="AA1074" t="s">
        <v>411</v>
      </c>
      <c r="AB1074" t="s">
        <v>554</v>
      </c>
      <c r="AC1074" t="s">
        <v>411</v>
      </c>
      <c r="AD1074">
        <v>46125</v>
      </c>
      <c r="AE1074">
        <v>46181</v>
      </c>
      <c r="AF1074">
        <v>46132</v>
      </c>
      <c r="AG1074" t="s">
        <v>590</v>
      </c>
      <c r="AH1074">
        <v>6198822</v>
      </c>
      <c r="AI1074">
        <v>46129</v>
      </c>
      <c r="AJ1074">
        <v>46130</v>
      </c>
      <c r="AK1074">
        <v>9450</v>
      </c>
      <c r="AL1074" t="s">
        <v>396</v>
      </c>
      <c r="AM1074" t="s">
        <v>3231</v>
      </c>
      <c r="AN1074">
        <v>46130</v>
      </c>
      <c r="AO1074">
        <v>46130.61037037037</v>
      </c>
      <c r="AP1074" t="s">
        <v>51</v>
      </c>
      <c r="AQ1074">
        <v>2.2499099999999999</v>
      </c>
      <c r="AR1074">
        <v>21261.66</v>
      </c>
      <c r="AS1074" t="s">
        <v>51</v>
      </c>
      <c r="AT1074">
        <v>21261.66</v>
      </c>
      <c r="AU1074" t="s">
        <v>415</v>
      </c>
      <c r="AV1074" t="s">
        <v>557</v>
      </c>
      <c r="AW1074" t="s">
        <v>3205</v>
      </c>
      <c r="AX1074">
        <v>46134</v>
      </c>
      <c r="AY1074">
        <v>46183</v>
      </c>
      <c r="AZ1074" t="s">
        <v>3221</v>
      </c>
      <c r="BA1074" t="s">
        <v>1274</v>
      </c>
      <c r="BB1074" t="s">
        <v>3222</v>
      </c>
      <c r="BC1074">
        <v>27</v>
      </c>
      <c r="BD1074" t="s">
        <v>521</v>
      </c>
      <c r="BE1074">
        <v>2.6560000000000001</v>
      </c>
      <c r="BF1074">
        <v>1.623</v>
      </c>
      <c r="BG1074" t="s">
        <v>522</v>
      </c>
      <c r="BH1074">
        <v>395</v>
      </c>
      <c r="BI1074">
        <v>295</v>
      </c>
      <c r="BJ1074">
        <v>190</v>
      </c>
      <c r="BK1074">
        <v>50</v>
      </c>
      <c r="BL1074" t="s">
        <v>521</v>
      </c>
      <c r="BM1074">
        <v>159.80000000000001</v>
      </c>
      <c r="BN1074">
        <v>81.150000000000006</v>
      </c>
      <c r="BO1074">
        <v>1118.5989500000001</v>
      </c>
      <c r="BP1074" t="s">
        <v>522</v>
      </c>
      <c r="BQ1074">
        <v>1200</v>
      </c>
      <c r="BR1074">
        <v>1000</v>
      </c>
      <c r="BS1074">
        <v>1110</v>
      </c>
      <c r="BT1074">
        <v>7</v>
      </c>
      <c r="BU1074">
        <v>0</v>
      </c>
      <c r="BV1074">
        <v>7</v>
      </c>
      <c r="BW1074">
        <v>350</v>
      </c>
      <c r="BX1074">
        <v>0</v>
      </c>
      <c r="BY1074">
        <v>350</v>
      </c>
      <c r="BZ1074">
        <v>9450</v>
      </c>
      <c r="CA1074">
        <v>0</v>
      </c>
      <c r="CB1074">
        <v>9450</v>
      </c>
      <c r="CC1074">
        <v>568.04894999999999</v>
      </c>
      <c r="CD1074" t="s">
        <v>592</v>
      </c>
      <c r="CE1074" t="s">
        <v>593</v>
      </c>
      <c r="CG1074" t="s">
        <v>421</v>
      </c>
      <c r="CN1074" t="str">
        <v>MCS</v>
      </c>
      <c r="CO1074" t="str">
        <v>0070-1100029</v>
      </c>
      <c r="CP1074" t="str">
        <v>WHSU5613188</v>
      </c>
      <c r="CQ1074" s="23">
        <v>3000</v>
      </c>
      <c r="CR1074" s="25">
        <f t="shared" si="41"/>
        <v>0.15210728077561839</v>
      </c>
      <c r="CS1074" s="21">
        <f t="shared" si="42"/>
        <v>380.26820193904598</v>
      </c>
    </row>
    <row r="1075" spans="2:97" x14ac:dyDescent="0.35">
      <c r="B1075" t="s">
        <v>299</v>
      </c>
      <c r="C1075" t="s">
        <v>3232</v>
      </c>
      <c r="D1075" t="s">
        <v>395</v>
      </c>
      <c r="E1075" t="s">
        <v>395</v>
      </c>
      <c r="F1075" t="s">
        <v>396</v>
      </c>
      <c r="G1075" t="s">
        <v>397</v>
      </c>
      <c r="H1075" t="s">
        <v>532</v>
      </c>
      <c r="I1075" t="s">
        <v>399</v>
      </c>
      <c r="J1075" t="s">
        <v>400</v>
      </c>
      <c r="K1075" t="s">
        <v>607</v>
      </c>
      <c r="L1075" t="s">
        <v>585</v>
      </c>
      <c r="M1075" t="s">
        <v>403</v>
      </c>
      <c r="N1075">
        <v>1</v>
      </c>
      <c r="O1075">
        <v>1</v>
      </c>
      <c r="P1075" t="s">
        <v>622</v>
      </c>
      <c r="Q1075" t="s">
        <v>424</v>
      </c>
      <c r="R1075" t="s">
        <v>623</v>
      </c>
      <c r="S1075" t="s">
        <v>624</v>
      </c>
      <c r="T1075" t="s">
        <v>408</v>
      </c>
      <c r="U1075">
        <v>50950081182</v>
      </c>
      <c r="W1075">
        <v>24000</v>
      </c>
      <c r="X1075" t="s">
        <v>409</v>
      </c>
      <c r="Y1075" t="s">
        <v>410</v>
      </c>
      <c r="Z1075" t="s">
        <v>410</v>
      </c>
      <c r="AA1075" t="s">
        <v>411</v>
      </c>
      <c r="AB1075" t="s">
        <v>554</v>
      </c>
      <c r="AC1075" t="s">
        <v>411</v>
      </c>
      <c r="AD1075">
        <v>46125</v>
      </c>
      <c r="AE1075">
        <v>46195</v>
      </c>
      <c r="AF1075">
        <v>46132</v>
      </c>
      <c r="AG1075" t="s">
        <v>590</v>
      </c>
      <c r="AH1075">
        <v>6198823</v>
      </c>
      <c r="AI1075">
        <v>46129</v>
      </c>
      <c r="AJ1075">
        <v>46130</v>
      </c>
      <c r="AK1075">
        <v>24000</v>
      </c>
      <c r="AL1075" t="s">
        <v>396</v>
      </c>
      <c r="AM1075" t="s">
        <v>3233</v>
      </c>
      <c r="AN1075">
        <v>46130</v>
      </c>
      <c r="AO1075">
        <v>46130.61037037037</v>
      </c>
      <c r="AP1075" t="s">
        <v>51</v>
      </c>
      <c r="AQ1075">
        <v>0.12195</v>
      </c>
      <c r="AR1075">
        <v>2926.8</v>
      </c>
      <c r="AS1075" t="s">
        <v>51</v>
      </c>
      <c r="AT1075">
        <v>2926.8</v>
      </c>
      <c r="AU1075" t="s">
        <v>415</v>
      </c>
      <c r="AV1075" t="s">
        <v>557</v>
      </c>
      <c r="AW1075" t="s">
        <v>3205</v>
      </c>
      <c r="AX1075">
        <v>46134</v>
      </c>
      <c r="AY1075">
        <v>46183</v>
      </c>
      <c r="AZ1075" t="s">
        <v>3221</v>
      </c>
      <c r="BA1075" t="s">
        <v>1274</v>
      </c>
      <c r="BB1075" t="s">
        <v>3222</v>
      </c>
      <c r="BC1075">
        <v>2400</v>
      </c>
      <c r="BD1075" t="s">
        <v>521</v>
      </c>
      <c r="BE1075">
        <v>8.7984000000000009</v>
      </c>
      <c r="BF1075">
        <v>7.4774000000000003</v>
      </c>
      <c r="BG1075" t="s">
        <v>522</v>
      </c>
      <c r="BH1075">
        <v>395</v>
      </c>
      <c r="BI1075">
        <v>295</v>
      </c>
      <c r="BJ1075">
        <v>210</v>
      </c>
      <c r="BK1075">
        <v>6</v>
      </c>
      <c r="BL1075" t="s">
        <v>521</v>
      </c>
      <c r="BM1075">
        <v>60.790399999999998</v>
      </c>
      <c r="BN1075">
        <v>44.864400000000003</v>
      </c>
      <c r="BO1075">
        <v>103.98439999999999</v>
      </c>
      <c r="BP1075" t="s">
        <v>522</v>
      </c>
      <c r="BQ1075">
        <v>800</v>
      </c>
      <c r="BR1075">
        <v>300</v>
      </c>
      <c r="BS1075">
        <v>790</v>
      </c>
      <c r="BT1075">
        <v>1</v>
      </c>
      <c r="BU1075">
        <v>1</v>
      </c>
      <c r="BV1075">
        <v>2</v>
      </c>
      <c r="BW1075">
        <v>10</v>
      </c>
      <c r="BX1075">
        <v>0</v>
      </c>
      <c r="BY1075">
        <v>10</v>
      </c>
      <c r="BZ1075">
        <v>14400</v>
      </c>
      <c r="CA1075">
        <v>9600</v>
      </c>
      <c r="CB1075">
        <v>24000</v>
      </c>
      <c r="CC1075">
        <v>74.7744</v>
      </c>
      <c r="CD1075" t="s">
        <v>626</v>
      </c>
      <c r="CE1075" t="s">
        <v>627</v>
      </c>
      <c r="CG1075" t="s">
        <v>421</v>
      </c>
      <c r="CN1075" t="str">
        <v>MCS</v>
      </c>
      <c r="CO1075" t="str">
        <v>0070-1100029</v>
      </c>
      <c r="CP1075" t="str">
        <v>WHSU5613188</v>
      </c>
      <c r="CQ1075" s="23">
        <v>3000</v>
      </c>
      <c r="CR1075" s="25">
        <f t="shared" si="41"/>
        <v>0.15210728077561839</v>
      </c>
      <c r="CS1075" s="21">
        <f t="shared" si="42"/>
        <v>380.26820193904598</v>
      </c>
    </row>
    <row r="1076" spans="2:97" x14ac:dyDescent="0.35">
      <c r="B1076" t="s">
        <v>298</v>
      </c>
      <c r="C1076" t="s">
        <v>3234</v>
      </c>
      <c r="D1076" t="s">
        <v>395</v>
      </c>
      <c r="E1076" t="s">
        <v>395</v>
      </c>
      <c r="F1076" t="s">
        <v>396</v>
      </c>
      <c r="G1076" t="s">
        <v>397</v>
      </c>
      <c r="H1076" t="s">
        <v>398</v>
      </c>
      <c r="I1076" t="s">
        <v>399</v>
      </c>
      <c r="J1076" t="s">
        <v>400</v>
      </c>
      <c r="K1076" t="s">
        <v>607</v>
      </c>
      <c r="L1076" t="s">
        <v>585</v>
      </c>
      <c r="M1076" t="s">
        <v>403</v>
      </c>
      <c r="N1076">
        <v>1</v>
      </c>
      <c r="O1076">
        <v>1</v>
      </c>
      <c r="P1076" t="s">
        <v>636</v>
      </c>
      <c r="Q1076" t="s">
        <v>637</v>
      </c>
      <c r="R1076" t="s">
        <v>638</v>
      </c>
      <c r="S1076" t="s">
        <v>639</v>
      </c>
      <c r="T1076" t="s">
        <v>408</v>
      </c>
      <c r="U1076">
        <v>50950081571</v>
      </c>
      <c r="W1076">
        <v>10032</v>
      </c>
      <c r="X1076" t="s">
        <v>409</v>
      </c>
      <c r="Y1076" t="s">
        <v>410</v>
      </c>
      <c r="Z1076" t="s">
        <v>410</v>
      </c>
      <c r="AA1076" t="s">
        <v>411</v>
      </c>
      <c r="AB1076" t="s">
        <v>554</v>
      </c>
      <c r="AC1076" t="s">
        <v>411</v>
      </c>
      <c r="AD1076">
        <v>46125</v>
      </c>
      <c r="AE1076">
        <v>46181</v>
      </c>
      <c r="AF1076">
        <v>46132</v>
      </c>
      <c r="AG1076" t="s">
        <v>590</v>
      </c>
      <c r="AH1076">
        <v>6198824</v>
      </c>
      <c r="AI1076">
        <v>46129</v>
      </c>
      <c r="AJ1076">
        <v>46130</v>
      </c>
      <c r="AK1076">
        <v>10032</v>
      </c>
      <c r="AL1076" t="s">
        <v>396</v>
      </c>
      <c r="AM1076" t="s">
        <v>3235</v>
      </c>
      <c r="AN1076">
        <v>46130</v>
      </c>
      <c r="AO1076">
        <v>46130.61037037037</v>
      </c>
      <c r="AP1076" t="s">
        <v>51</v>
      </c>
      <c r="AQ1076">
        <v>0.41324</v>
      </c>
      <c r="AR1076">
        <v>4145.6099999999997</v>
      </c>
      <c r="AS1076" t="s">
        <v>51</v>
      </c>
      <c r="AT1076">
        <v>4145.6099999999997</v>
      </c>
      <c r="AU1076" t="s">
        <v>415</v>
      </c>
      <c r="AV1076" t="s">
        <v>557</v>
      </c>
      <c r="AW1076" t="s">
        <v>3205</v>
      </c>
      <c r="AX1076">
        <v>46134</v>
      </c>
      <c r="AY1076">
        <v>46183</v>
      </c>
      <c r="AZ1076" t="s">
        <v>3221</v>
      </c>
      <c r="BA1076" t="s">
        <v>1274</v>
      </c>
      <c r="BB1076" t="s">
        <v>3222</v>
      </c>
      <c r="BC1076">
        <v>3344</v>
      </c>
      <c r="BD1076" t="s">
        <v>521</v>
      </c>
      <c r="BE1076">
        <v>236.03210000000001</v>
      </c>
      <c r="BF1076">
        <v>216.03210000000001</v>
      </c>
      <c r="BG1076" t="s">
        <v>522</v>
      </c>
      <c r="BH1076">
        <v>1050</v>
      </c>
      <c r="BI1076">
        <v>480</v>
      </c>
      <c r="BJ1076">
        <v>460</v>
      </c>
      <c r="BK1076">
        <v>1</v>
      </c>
      <c r="BL1076" t="s">
        <v>521</v>
      </c>
      <c r="BM1076">
        <v>236.03219999999999</v>
      </c>
      <c r="BN1076">
        <v>216.03210000000001</v>
      </c>
      <c r="BO1076">
        <v>708.09659280000005</v>
      </c>
      <c r="BP1076" t="s">
        <v>522</v>
      </c>
      <c r="BQ1076">
        <v>1050</v>
      </c>
      <c r="BR1076">
        <v>480</v>
      </c>
      <c r="BS1076">
        <v>480</v>
      </c>
      <c r="BT1076">
        <v>3</v>
      </c>
      <c r="BU1076">
        <v>0</v>
      </c>
      <c r="BV1076">
        <v>3</v>
      </c>
      <c r="BW1076">
        <v>3</v>
      </c>
      <c r="BX1076">
        <v>0</v>
      </c>
      <c r="BY1076">
        <v>3</v>
      </c>
      <c r="BZ1076">
        <v>10032</v>
      </c>
      <c r="CA1076">
        <v>0</v>
      </c>
      <c r="CB1076">
        <v>10032</v>
      </c>
      <c r="CC1076">
        <v>648.09629280000001</v>
      </c>
      <c r="CD1076" t="s">
        <v>641</v>
      </c>
      <c r="CE1076" t="s">
        <v>642</v>
      </c>
      <c r="CG1076" t="s">
        <v>421</v>
      </c>
      <c r="CN1076" t="str">
        <v>MCS</v>
      </c>
      <c r="CO1076" t="str">
        <v>0070-1100029</v>
      </c>
      <c r="CP1076" t="str">
        <v>WHSU5613188</v>
      </c>
      <c r="CQ1076" s="23">
        <v>6000</v>
      </c>
      <c r="CR1076" s="25">
        <f t="shared" si="41"/>
        <v>0.30421456155123677</v>
      </c>
      <c r="CS1076" s="21">
        <f t="shared" si="42"/>
        <v>760.53640387809196</v>
      </c>
    </row>
    <row r="1077" spans="2:97" x14ac:dyDescent="0.35">
      <c r="B1077" t="s">
        <v>297</v>
      </c>
      <c r="C1077" t="s">
        <v>2903</v>
      </c>
      <c r="D1077" t="s">
        <v>395</v>
      </c>
      <c r="E1077" t="s">
        <v>395</v>
      </c>
      <c r="F1077" t="s">
        <v>396</v>
      </c>
      <c r="G1077" t="s">
        <v>397</v>
      </c>
      <c r="H1077" t="s">
        <v>398</v>
      </c>
      <c r="I1077" t="s">
        <v>399</v>
      </c>
      <c r="J1077" t="s">
        <v>400</v>
      </c>
      <c r="K1077" t="s">
        <v>607</v>
      </c>
      <c r="L1077" t="s">
        <v>585</v>
      </c>
      <c r="M1077" t="s">
        <v>403</v>
      </c>
      <c r="N1077">
        <v>2</v>
      </c>
      <c r="O1077">
        <v>1</v>
      </c>
      <c r="P1077" t="s">
        <v>662</v>
      </c>
      <c r="Q1077" t="s">
        <v>424</v>
      </c>
      <c r="R1077" t="s">
        <v>663</v>
      </c>
      <c r="S1077" t="s">
        <v>664</v>
      </c>
      <c r="T1077" t="s">
        <v>408</v>
      </c>
      <c r="U1077">
        <v>50950081685</v>
      </c>
      <c r="W1077">
        <v>192000</v>
      </c>
      <c r="X1077" t="s">
        <v>409</v>
      </c>
      <c r="Y1077" t="s">
        <v>410</v>
      </c>
      <c r="Z1077" t="s">
        <v>410</v>
      </c>
      <c r="AA1077" t="s">
        <v>411</v>
      </c>
      <c r="AB1077" t="s">
        <v>554</v>
      </c>
      <c r="AC1077" t="s">
        <v>411</v>
      </c>
      <c r="AD1077">
        <v>46125</v>
      </c>
      <c r="AE1077">
        <v>46181</v>
      </c>
      <c r="AF1077">
        <v>46132</v>
      </c>
      <c r="AG1077" t="s">
        <v>590</v>
      </c>
      <c r="AH1077">
        <v>6198825</v>
      </c>
      <c r="AI1077">
        <v>46129</v>
      </c>
      <c r="AJ1077">
        <v>46130</v>
      </c>
      <c r="AK1077">
        <v>192000</v>
      </c>
      <c r="AL1077" t="s">
        <v>396</v>
      </c>
      <c r="AM1077" t="s">
        <v>3236</v>
      </c>
      <c r="AN1077">
        <v>46130</v>
      </c>
      <c r="AO1077">
        <v>46130.61037037037</v>
      </c>
      <c r="AP1077" t="s">
        <v>51</v>
      </c>
      <c r="AQ1077">
        <v>1.142E-2</v>
      </c>
      <c r="AR1077">
        <v>2192.64</v>
      </c>
      <c r="AS1077" t="s">
        <v>51</v>
      </c>
      <c r="AT1077">
        <v>2192.64</v>
      </c>
      <c r="AU1077" t="s">
        <v>415</v>
      </c>
      <c r="AV1077" t="s">
        <v>557</v>
      </c>
      <c r="AW1077" t="s">
        <v>3205</v>
      </c>
      <c r="AX1077">
        <v>46134</v>
      </c>
      <c r="AY1077">
        <v>46183</v>
      </c>
      <c r="AZ1077" t="s">
        <v>3221</v>
      </c>
      <c r="BA1077" t="s">
        <v>1274</v>
      </c>
      <c r="BB1077" t="s">
        <v>3222</v>
      </c>
      <c r="BC1077">
        <v>12000</v>
      </c>
      <c r="BD1077" t="s">
        <v>521</v>
      </c>
      <c r="BE1077">
        <v>10.8048</v>
      </c>
      <c r="BF1077">
        <v>10.4148</v>
      </c>
      <c r="BG1077" t="s">
        <v>522</v>
      </c>
      <c r="BH1077">
        <v>368</v>
      </c>
      <c r="BI1077">
        <v>257</v>
      </c>
      <c r="BJ1077">
        <v>136</v>
      </c>
      <c r="BK1077">
        <v>6</v>
      </c>
      <c r="BL1077" t="s">
        <v>521</v>
      </c>
      <c r="BM1077">
        <v>72.828800000000001</v>
      </c>
      <c r="BN1077">
        <v>62.488799999999998</v>
      </c>
      <c r="BO1077">
        <v>196.8768</v>
      </c>
      <c r="BP1077" t="s">
        <v>522</v>
      </c>
      <c r="BQ1077">
        <v>800</v>
      </c>
      <c r="BR1077">
        <v>300</v>
      </c>
      <c r="BS1077">
        <v>608</v>
      </c>
      <c r="BT1077">
        <v>2</v>
      </c>
      <c r="BU1077">
        <v>1</v>
      </c>
      <c r="BV1077">
        <v>3</v>
      </c>
      <c r="BW1077">
        <v>16</v>
      </c>
      <c r="BX1077">
        <v>0</v>
      </c>
      <c r="BY1077">
        <v>16</v>
      </c>
      <c r="BZ1077">
        <v>144000</v>
      </c>
      <c r="CA1077">
        <v>48000</v>
      </c>
      <c r="CB1077">
        <v>192000</v>
      </c>
      <c r="CC1077">
        <v>166.63679999999999</v>
      </c>
      <c r="CD1077" t="s">
        <v>523</v>
      </c>
      <c r="CE1077" t="s">
        <v>653</v>
      </c>
      <c r="CG1077" t="s">
        <v>421</v>
      </c>
      <c r="CN1077" t="str">
        <v>M45</v>
      </c>
      <c r="CO1077" t="str">
        <v>CPSP61C01032EN</v>
      </c>
      <c r="CP1077" t="str">
        <v>WHSU5613188</v>
      </c>
      <c r="CQ1077" s="23">
        <v>200</v>
      </c>
      <c r="CR1077" s="25">
        <f t="shared" si="41"/>
        <v>1.0140485385041226E-2</v>
      </c>
      <c r="CS1077" s="21">
        <f t="shared" si="42"/>
        <v>25.351213462603063</v>
      </c>
    </row>
    <row r="1078" spans="2:97" x14ac:dyDescent="0.35">
      <c r="B1078" t="s">
        <v>297</v>
      </c>
      <c r="C1078" t="s">
        <v>2645</v>
      </c>
      <c r="D1078" t="s">
        <v>395</v>
      </c>
      <c r="E1078" t="s">
        <v>395</v>
      </c>
      <c r="F1078" t="s">
        <v>396</v>
      </c>
      <c r="G1078" t="s">
        <v>397</v>
      </c>
      <c r="H1078" t="s">
        <v>398</v>
      </c>
      <c r="I1078" t="s">
        <v>399</v>
      </c>
      <c r="J1078" t="s">
        <v>400</v>
      </c>
      <c r="K1078" t="s">
        <v>595</v>
      </c>
      <c r="L1078" t="s">
        <v>585</v>
      </c>
      <c r="M1078" t="s">
        <v>403</v>
      </c>
      <c r="N1078">
        <v>2</v>
      </c>
      <c r="O1078">
        <v>1</v>
      </c>
      <c r="P1078" t="s">
        <v>667</v>
      </c>
      <c r="Q1078" t="s">
        <v>430</v>
      </c>
      <c r="R1078" t="s">
        <v>668</v>
      </c>
      <c r="S1078" t="s">
        <v>669</v>
      </c>
      <c r="T1078" t="s">
        <v>408</v>
      </c>
      <c r="U1078">
        <v>50950081687</v>
      </c>
      <c r="W1078">
        <v>180000</v>
      </c>
      <c r="X1078" t="s">
        <v>409</v>
      </c>
      <c r="Y1078" t="s">
        <v>410</v>
      </c>
      <c r="Z1078" t="s">
        <v>410</v>
      </c>
      <c r="AA1078" t="s">
        <v>411</v>
      </c>
      <c r="AB1078" t="s">
        <v>554</v>
      </c>
      <c r="AC1078" t="s">
        <v>411</v>
      </c>
      <c r="AD1078">
        <v>46125</v>
      </c>
      <c r="AE1078">
        <v>46181</v>
      </c>
      <c r="AF1078">
        <v>46132</v>
      </c>
      <c r="AG1078" t="s">
        <v>590</v>
      </c>
      <c r="AH1078">
        <v>6198826</v>
      </c>
      <c r="AI1078">
        <v>46129</v>
      </c>
      <c r="AJ1078">
        <v>46130</v>
      </c>
      <c r="AK1078">
        <v>180000</v>
      </c>
      <c r="AL1078" t="s">
        <v>396</v>
      </c>
      <c r="AM1078" t="s">
        <v>3237</v>
      </c>
      <c r="AN1078">
        <v>46130</v>
      </c>
      <c r="AO1078">
        <v>46130.61037037037</v>
      </c>
      <c r="AP1078" t="s">
        <v>51</v>
      </c>
      <c r="AQ1078">
        <v>2.317E-2</v>
      </c>
      <c r="AR1078">
        <v>4170.6000000000004</v>
      </c>
      <c r="AS1078" t="s">
        <v>51</v>
      </c>
      <c r="AT1078">
        <v>4170.6000000000004</v>
      </c>
      <c r="AU1078" t="s">
        <v>415</v>
      </c>
      <c r="AV1078" t="s">
        <v>557</v>
      </c>
      <c r="AW1078" t="s">
        <v>3205</v>
      </c>
      <c r="AX1078">
        <v>46134</v>
      </c>
      <c r="AY1078">
        <v>46183</v>
      </c>
      <c r="AZ1078" t="s">
        <v>3221</v>
      </c>
      <c r="BA1078" t="s">
        <v>1274</v>
      </c>
      <c r="BB1078" t="s">
        <v>3222</v>
      </c>
      <c r="BC1078">
        <v>6000</v>
      </c>
      <c r="BD1078" t="s">
        <v>521</v>
      </c>
      <c r="BE1078">
        <v>11.177</v>
      </c>
      <c r="BF1078">
        <v>10.71</v>
      </c>
      <c r="BG1078" t="s">
        <v>522</v>
      </c>
      <c r="BH1078">
        <v>300</v>
      </c>
      <c r="BI1078">
        <v>200</v>
      </c>
      <c r="BJ1078">
        <v>140</v>
      </c>
      <c r="BK1078">
        <v>16</v>
      </c>
      <c r="BL1078" t="s">
        <v>521</v>
      </c>
      <c r="BM1078">
        <v>186.83199999999999</v>
      </c>
      <c r="BN1078">
        <v>171.36</v>
      </c>
      <c r="BO1078">
        <v>351.31</v>
      </c>
      <c r="BP1078" t="s">
        <v>522</v>
      </c>
      <c r="BQ1078">
        <v>800</v>
      </c>
      <c r="BR1078">
        <v>300</v>
      </c>
      <c r="BS1078">
        <v>718</v>
      </c>
      <c r="BT1078">
        <v>1</v>
      </c>
      <c r="BU1078">
        <v>1</v>
      </c>
      <c r="BV1078">
        <v>2</v>
      </c>
      <c r="BW1078">
        <v>30</v>
      </c>
      <c r="BX1078">
        <v>0</v>
      </c>
      <c r="BY1078">
        <v>30</v>
      </c>
      <c r="BZ1078">
        <v>96000</v>
      </c>
      <c r="CA1078">
        <v>84000</v>
      </c>
      <c r="CB1078">
        <v>180000</v>
      </c>
      <c r="CC1078">
        <v>321.3</v>
      </c>
      <c r="CD1078" t="s">
        <v>671</v>
      </c>
      <c r="CE1078" t="s">
        <v>672</v>
      </c>
      <c r="CG1078" t="s">
        <v>421</v>
      </c>
      <c r="CN1078" t="str">
        <v>M45</v>
      </c>
      <c r="CO1078" t="str">
        <v>0060-G600574EN</v>
      </c>
      <c r="CP1078" t="str">
        <v>WHSU5613188</v>
      </c>
      <c r="CQ1078" s="23">
        <v>1770.279347814391</v>
      </c>
      <c r="CR1078" s="25">
        <f t="shared" si="41"/>
        <v>8.9757459269760725E-2</v>
      </c>
      <c r="CS1078" s="21">
        <f t="shared" si="42"/>
        <v>224.39364817440182</v>
      </c>
    </row>
    <row r="1079" spans="2:97" x14ac:dyDescent="0.35">
      <c r="B1079" t="s">
        <v>297</v>
      </c>
      <c r="C1079" t="s">
        <v>2906</v>
      </c>
      <c r="D1079" t="s">
        <v>395</v>
      </c>
      <c r="E1079" t="s">
        <v>395</v>
      </c>
      <c r="F1079" t="s">
        <v>396</v>
      </c>
      <c r="G1079" t="s">
        <v>397</v>
      </c>
      <c r="H1079" t="s">
        <v>398</v>
      </c>
      <c r="I1079" t="s">
        <v>399</v>
      </c>
      <c r="J1079" t="s">
        <v>400</v>
      </c>
      <c r="K1079" t="s">
        <v>515</v>
      </c>
      <c r="L1079" t="s">
        <v>585</v>
      </c>
      <c r="M1079" t="s">
        <v>403</v>
      </c>
      <c r="N1079">
        <v>3</v>
      </c>
      <c r="O1079">
        <v>1</v>
      </c>
      <c r="P1079" t="s">
        <v>655</v>
      </c>
      <c r="Q1079" t="s">
        <v>637</v>
      </c>
      <c r="R1079" t="s">
        <v>656</v>
      </c>
      <c r="S1079" t="s">
        <v>657</v>
      </c>
      <c r="T1079" t="s">
        <v>408</v>
      </c>
      <c r="U1079">
        <v>50950081700</v>
      </c>
      <c r="W1079">
        <v>160000</v>
      </c>
      <c r="X1079" t="s">
        <v>409</v>
      </c>
      <c r="Y1079" t="s">
        <v>410</v>
      </c>
      <c r="Z1079" t="s">
        <v>410</v>
      </c>
      <c r="AA1079" t="s">
        <v>411</v>
      </c>
      <c r="AB1079" t="s">
        <v>554</v>
      </c>
      <c r="AC1079" t="s">
        <v>411</v>
      </c>
      <c r="AD1079">
        <v>46125</v>
      </c>
      <c r="AE1079">
        <v>46181</v>
      </c>
      <c r="AF1079">
        <v>46132</v>
      </c>
      <c r="AG1079" t="s">
        <v>590</v>
      </c>
      <c r="AH1079">
        <v>6198827</v>
      </c>
      <c r="AI1079">
        <v>46129</v>
      </c>
      <c r="AJ1079">
        <v>46130</v>
      </c>
      <c r="AK1079">
        <v>160000</v>
      </c>
      <c r="AL1079" t="s">
        <v>396</v>
      </c>
      <c r="AM1079" t="s">
        <v>3238</v>
      </c>
      <c r="AN1079">
        <v>46130</v>
      </c>
      <c r="AO1079">
        <v>46130.61037037037</v>
      </c>
      <c r="AP1079" t="s">
        <v>51</v>
      </c>
      <c r="AQ1079">
        <v>2.9399999999999999E-3</v>
      </c>
      <c r="AR1079">
        <v>470.4</v>
      </c>
      <c r="AS1079" t="s">
        <v>51</v>
      </c>
      <c r="AT1079">
        <v>470.4</v>
      </c>
      <c r="AU1079" t="s">
        <v>415</v>
      </c>
      <c r="AV1079" t="s">
        <v>557</v>
      </c>
      <c r="AW1079" t="s">
        <v>3205</v>
      </c>
      <c r="AX1079">
        <v>46134</v>
      </c>
      <c r="AY1079">
        <v>46183</v>
      </c>
      <c r="AZ1079" t="s">
        <v>3221</v>
      </c>
      <c r="BA1079" t="s">
        <v>1274</v>
      </c>
      <c r="BB1079" t="s">
        <v>3222</v>
      </c>
      <c r="BC1079">
        <v>8000</v>
      </c>
      <c r="BD1079" t="s">
        <v>521</v>
      </c>
      <c r="BE1079">
        <v>5.8521999999999998</v>
      </c>
      <c r="BF1079">
        <v>5.1231999999999998</v>
      </c>
      <c r="BG1079" t="s">
        <v>522</v>
      </c>
      <c r="BH1079">
        <v>395</v>
      </c>
      <c r="BI1079">
        <v>295</v>
      </c>
      <c r="BJ1079">
        <v>120</v>
      </c>
      <c r="BK1079">
        <v>8</v>
      </c>
      <c r="BL1079" t="s">
        <v>521</v>
      </c>
      <c r="BM1079">
        <v>54.817599999999999</v>
      </c>
      <c r="BN1079">
        <v>40.985599999999998</v>
      </c>
      <c r="BO1079">
        <v>141.04400000000001</v>
      </c>
      <c r="BP1079" t="s">
        <v>522</v>
      </c>
      <c r="BQ1079">
        <v>800</v>
      </c>
      <c r="BR1079">
        <v>300</v>
      </c>
      <c r="BS1079">
        <v>698</v>
      </c>
      <c r="BT1079">
        <v>2</v>
      </c>
      <c r="BU1079">
        <v>1</v>
      </c>
      <c r="BV1079">
        <v>3</v>
      </c>
      <c r="BW1079">
        <v>20</v>
      </c>
      <c r="BX1079">
        <v>0</v>
      </c>
      <c r="BY1079">
        <v>20</v>
      </c>
      <c r="BZ1079">
        <v>128000</v>
      </c>
      <c r="CA1079">
        <v>32000</v>
      </c>
      <c r="CB1079">
        <v>160000</v>
      </c>
      <c r="CC1079">
        <v>102.464</v>
      </c>
      <c r="CD1079" t="s">
        <v>659</v>
      </c>
      <c r="CE1079" t="s">
        <v>660</v>
      </c>
      <c r="CG1079" t="s">
        <v>421</v>
      </c>
      <c r="CN1079" t="str">
        <v>M45</v>
      </c>
      <c r="CO1079" t="str">
        <v>0060-G680340EN</v>
      </c>
      <c r="CP1079" t="str">
        <v>WHSU5613188</v>
      </c>
      <c r="CQ1079" s="23">
        <v>1990.3205828430964</v>
      </c>
      <c r="CR1079" s="25">
        <f t="shared" si="41"/>
        <v>0.10091408390933576</v>
      </c>
      <c r="CS1079" s="21">
        <f t="shared" si="42"/>
        <v>252.2852097733394</v>
      </c>
    </row>
    <row r="1080" spans="2:97" x14ac:dyDescent="0.35">
      <c r="B1080" t="s">
        <v>297</v>
      </c>
      <c r="C1080" t="s">
        <v>2647</v>
      </c>
      <c r="D1080" t="s">
        <v>395</v>
      </c>
      <c r="E1080" t="s">
        <v>395</v>
      </c>
      <c r="F1080" t="s">
        <v>396</v>
      </c>
      <c r="G1080" t="s">
        <v>397</v>
      </c>
      <c r="H1080" t="s">
        <v>398</v>
      </c>
      <c r="I1080" t="s">
        <v>399</v>
      </c>
      <c r="J1080" t="s">
        <v>400</v>
      </c>
      <c r="K1080" t="s">
        <v>515</v>
      </c>
      <c r="L1080" t="s">
        <v>585</v>
      </c>
      <c r="M1080" t="s">
        <v>403</v>
      </c>
      <c r="N1080">
        <v>3</v>
      </c>
      <c r="O1080">
        <v>1</v>
      </c>
      <c r="P1080" t="s">
        <v>1284</v>
      </c>
      <c r="Q1080" t="s">
        <v>637</v>
      </c>
      <c r="R1080" t="s">
        <v>1285</v>
      </c>
      <c r="S1080" t="s">
        <v>1286</v>
      </c>
      <c r="T1080" t="s">
        <v>408</v>
      </c>
      <c r="U1080">
        <v>50950081701</v>
      </c>
      <c r="W1080">
        <v>320000</v>
      </c>
      <c r="X1080" t="s">
        <v>409</v>
      </c>
      <c r="Y1080" t="s">
        <v>410</v>
      </c>
      <c r="Z1080" t="s">
        <v>410</v>
      </c>
      <c r="AA1080" t="s">
        <v>411</v>
      </c>
      <c r="AB1080" t="s">
        <v>554</v>
      </c>
      <c r="AC1080" t="s">
        <v>411</v>
      </c>
      <c r="AD1080">
        <v>46125</v>
      </c>
      <c r="AE1080">
        <v>46181</v>
      </c>
      <c r="AF1080">
        <v>46132</v>
      </c>
      <c r="AG1080" t="s">
        <v>590</v>
      </c>
      <c r="AH1080">
        <v>6198828</v>
      </c>
      <c r="AI1080">
        <v>46129</v>
      </c>
      <c r="AJ1080">
        <v>46130</v>
      </c>
      <c r="AK1080">
        <v>320000</v>
      </c>
      <c r="AL1080" t="s">
        <v>396</v>
      </c>
      <c r="AM1080" t="s">
        <v>3239</v>
      </c>
      <c r="AN1080">
        <v>46130</v>
      </c>
      <c r="AO1080">
        <v>46130.61037037037</v>
      </c>
      <c r="AP1080" t="s">
        <v>51</v>
      </c>
      <c r="AQ1080">
        <v>4.0000000000000002E-4</v>
      </c>
      <c r="AR1080">
        <v>128</v>
      </c>
      <c r="AS1080" t="s">
        <v>51</v>
      </c>
      <c r="AT1080">
        <v>128</v>
      </c>
      <c r="AU1080" t="s">
        <v>415</v>
      </c>
      <c r="AV1080" t="s">
        <v>557</v>
      </c>
      <c r="AW1080" t="s">
        <v>3205</v>
      </c>
      <c r="AX1080">
        <v>46134</v>
      </c>
      <c r="AY1080">
        <v>46183</v>
      </c>
      <c r="AZ1080" t="s">
        <v>3221</v>
      </c>
      <c r="BA1080" t="s">
        <v>1274</v>
      </c>
      <c r="BB1080" t="s">
        <v>3222</v>
      </c>
      <c r="BC1080">
        <v>80000</v>
      </c>
      <c r="BD1080" t="s">
        <v>521</v>
      </c>
      <c r="BE1080">
        <v>1.2889999999999999</v>
      </c>
      <c r="BF1080">
        <v>0.56000000000000005</v>
      </c>
      <c r="BG1080" t="s">
        <v>522</v>
      </c>
      <c r="BH1080">
        <v>395</v>
      </c>
      <c r="BI1080">
        <v>295</v>
      </c>
      <c r="BJ1080">
        <v>120</v>
      </c>
      <c r="BK1080">
        <v>8</v>
      </c>
      <c r="BL1080" t="s">
        <v>521</v>
      </c>
      <c r="BM1080">
        <v>13.156000000000001</v>
      </c>
      <c r="BN1080">
        <v>2.2400000000000002</v>
      </c>
      <c r="BO1080">
        <v>13.156000000000001</v>
      </c>
      <c r="BP1080" t="s">
        <v>522</v>
      </c>
      <c r="BQ1080">
        <v>800</v>
      </c>
      <c r="BR1080">
        <v>300</v>
      </c>
      <c r="BS1080">
        <v>698</v>
      </c>
      <c r="BT1080">
        <v>0</v>
      </c>
      <c r="BU1080">
        <v>1</v>
      </c>
      <c r="BV1080">
        <v>1</v>
      </c>
      <c r="BW1080">
        <v>4</v>
      </c>
      <c r="BX1080">
        <v>0</v>
      </c>
      <c r="BY1080">
        <v>4</v>
      </c>
      <c r="BZ1080">
        <v>0</v>
      </c>
      <c r="CA1080">
        <v>320000</v>
      </c>
      <c r="CB1080">
        <v>320000</v>
      </c>
      <c r="CC1080">
        <v>2.2400000000000002</v>
      </c>
      <c r="CD1080" t="s">
        <v>659</v>
      </c>
      <c r="CE1080" t="s">
        <v>660</v>
      </c>
      <c r="CG1080" t="s">
        <v>421</v>
      </c>
      <c r="CN1080" t="str">
        <v>M45</v>
      </c>
      <c r="CO1080" t="str">
        <v>0060-G600320EN</v>
      </c>
      <c r="CP1080" t="str">
        <v>WHSU5613188</v>
      </c>
      <c r="CQ1080" s="23">
        <v>539.45960066905889</v>
      </c>
      <c r="CR1080" s="25">
        <f t="shared" si="41"/>
        <v>2.7351910982023837E-2</v>
      </c>
      <c r="CS1080" s="21">
        <f t="shared" si="42"/>
        <v>68.379777455059596</v>
      </c>
    </row>
    <row r="1081" spans="2:97" x14ac:dyDescent="0.35">
      <c r="B1081" t="s">
        <v>297</v>
      </c>
      <c r="C1081" t="s">
        <v>3240</v>
      </c>
      <c r="D1081" t="s">
        <v>395</v>
      </c>
      <c r="E1081" t="s">
        <v>395</v>
      </c>
      <c r="F1081" t="s">
        <v>396</v>
      </c>
      <c r="G1081" t="s">
        <v>397</v>
      </c>
      <c r="H1081" t="s">
        <v>398</v>
      </c>
      <c r="I1081" t="s">
        <v>399</v>
      </c>
      <c r="J1081" t="s">
        <v>400</v>
      </c>
      <c r="K1081" t="s">
        <v>515</v>
      </c>
      <c r="L1081" t="s">
        <v>585</v>
      </c>
      <c r="M1081" t="s">
        <v>403</v>
      </c>
      <c r="N1081">
        <v>1</v>
      </c>
      <c r="O1081">
        <v>1</v>
      </c>
      <c r="P1081" t="s">
        <v>1289</v>
      </c>
      <c r="Q1081" t="s">
        <v>430</v>
      </c>
      <c r="R1081" t="s">
        <v>1290</v>
      </c>
      <c r="S1081" t="s">
        <v>1291</v>
      </c>
      <c r="T1081" t="s">
        <v>408</v>
      </c>
      <c r="U1081">
        <v>50950081707</v>
      </c>
      <c r="W1081">
        <v>256000</v>
      </c>
      <c r="X1081" t="s">
        <v>409</v>
      </c>
      <c r="Y1081" t="s">
        <v>410</v>
      </c>
      <c r="Z1081" t="s">
        <v>410</v>
      </c>
      <c r="AA1081" t="s">
        <v>411</v>
      </c>
      <c r="AB1081" t="s">
        <v>554</v>
      </c>
      <c r="AC1081" t="s">
        <v>411</v>
      </c>
      <c r="AD1081">
        <v>46125</v>
      </c>
      <c r="AE1081">
        <v>46188</v>
      </c>
      <c r="AF1081">
        <v>46132</v>
      </c>
      <c r="AG1081" t="s">
        <v>590</v>
      </c>
      <c r="AH1081">
        <v>6198829</v>
      </c>
      <c r="AI1081">
        <v>46129</v>
      </c>
      <c r="AJ1081">
        <v>46130</v>
      </c>
      <c r="AK1081">
        <v>256000</v>
      </c>
      <c r="AL1081" t="s">
        <v>396</v>
      </c>
      <c r="AM1081" t="s">
        <v>3241</v>
      </c>
      <c r="AN1081">
        <v>46130</v>
      </c>
      <c r="AO1081">
        <v>46130.61037037037</v>
      </c>
      <c r="AP1081" t="s">
        <v>51</v>
      </c>
      <c r="AQ1081">
        <v>7.9000000000000001E-4</v>
      </c>
      <c r="AR1081">
        <v>202.24</v>
      </c>
      <c r="AS1081" t="s">
        <v>51</v>
      </c>
      <c r="AT1081">
        <v>202.24</v>
      </c>
      <c r="AU1081" t="s">
        <v>415</v>
      </c>
      <c r="AV1081" t="s">
        <v>557</v>
      </c>
      <c r="AW1081" t="s">
        <v>3205</v>
      </c>
      <c r="AX1081">
        <v>46134</v>
      </c>
      <c r="AY1081">
        <v>46183</v>
      </c>
      <c r="AZ1081" t="s">
        <v>3221</v>
      </c>
      <c r="BA1081" t="s">
        <v>1274</v>
      </c>
      <c r="BB1081" t="s">
        <v>3222</v>
      </c>
      <c r="BC1081">
        <v>64000</v>
      </c>
      <c r="BD1081" t="s">
        <v>521</v>
      </c>
      <c r="BE1081">
        <v>1.9450000000000001</v>
      </c>
      <c r="BF1081">
        <v>1.216</v>
      </c>
      <c r="BG1081" t="s">
        <v>522</v>
      </c>
      <c r="BH1081">
        <v>395</v>
      </c>
      <c r="BI1081">
        <v>295</v>
      </c>
      <c r="BJ1081">
        <v>120</v>
      </c>
      <c r="BK1081">
        <v>8</v>
      </c>
      <c r="BL1081" t="s">
        <v>521</v>
      </c>
      <c r="BM1081">
        <v>15.78</v>
      </c>
      <c r="BN1081">
        <v>4.8639999999999999</v>
      </c>
      <c r="BO1081">
        <v>15.78</v>
      </c>
      <c r="BP1081" t="s">
        <v>522</v>
      </c>
      <c r="BQ1081">
        <v>800</v>
      </c>
      <c r="BR1081">
        <v>300</v>
      </c>
      <c r="BS1081">
        <v>698</v>
      </c>
      <c r="BT1081">
        <v>0</v>
      </c>
      <c r="BU1081">
        <v>1</v>
      </c>
      <c r="BV1081">
        <v>1</v>
      </c>
      <c r="BW1081">
        <v>4</v>
      </c>
      <c r="BX1081">
        <v>0</v>
      </c>
      <c r="BY1081">
        <v>4</v>
      </c>
      <c r="BZ1081">
        <v>0</v>
      </c>
      <c r="CA1081">
        <v>256000</v>
      </c>
      <c r="CB1081">
        <v>256000</v>
      </c>
      <c r="CC1081">
        <v>4.8639999999999999</v>
      </c>
      <c r="CD1081" t="s">
        <v>659</v>
      </c>
      <c r="CE1081" t="s">
        <v>660</v>
      </c>
      <c r="CG1081" t="s">
        <v>421</v>
      </c>
      <c r="CN1081" t="str">
        <v>M46</v>
      </c>
      <c r="CO1081" t="str">
        <v>1123-1060052EN</v>
      </c>
      <c r="CP1081" t="str">
        <v>WHSU5613188</v>
      </c>
      <c r="CQ1081" s="23">
        <v>637.71168</v>
      </c>
      <c r="CR1081" s="25">
        <f t="shared" si="41"/>
        <v>3.233352985455043E-2</v>
      </c>
      <c r="CS1081" s="21">
        <f t="shared" si="42"/>
        <v>80.833824636376079</v>
      </c>
    </row>
    <row r="1082" spans="2:97" x14ac:dyDescent="0.35">
      <c r="B1082" t="s">
        <v>299</v>
      </c>
      <c r="C1082" t="s">
        <v>3242</v>
      </c>
      <c r="D1082" t="s">
        <v>395</v>
      </c>
      <c r="E1082" t="s">
        <v>395</v>
      </c>
      <c r="F1082" t="s">
        <v>396</v>
      </c>
      <c r="G1082" t="s">
        <v>397</v>
      </c>
      <c r="H1082" t="s">
        <v>532</v>
      </c>
      <c r="I1082" t="s">
        <v>399</v>
      </c>
      <c r="J1082" t="s">
        <v>400</v>
      </c>
      <c r="K1082" t="s">
        <v>595</v>
      </c>
      <c r="L1082" t="s">
        <v>585</v>
      </c>
      <c r="M1082" t="s">
        <v>403</v>
      </c>
      <c r="N1082">
        <v>1</v>
      </c>
      <c r="O1082">
        <v>1</v>
      </c>
      <c r="P1082" t="s">
        <v>596</v>
      </c>
      <c r="Q1082" t="s">
        <v>430</v>
      </c>
      <c r="R1082" t="s">
        <v>597</v>
      </c>
      <c r="S1082" t="s">
        <v>598</v>
      </c>
      <c r="T1082" t="s">
        <v>408</v>
      </c>
      <c r="U1082">
        <v>50950081899</v>
      </c>
      <c r="W1082">
        <v>23040</v>
      </c>
      <c r="X1082" t="s">
        <v>409</v>
      </c>
      <c r="Y1082" t="s">
        <v>410</v>
      </c>
      <c r="Z1082" t="s">
        <v>410</v>
      </c>
      <c r="AA1082" t="s">
        <v>411</v>
      </c>
      <c r="AB1082" t="s">
        <v>554</v>
      </c>
      <c r="AC1082" t="s">
        <v>411</v>
      </c>
      <c r="AD1082">
        <v>46125</v>
      </c>
      <c r="AE1082">
        <v>46181</v>
      </c>
      <c r="AF1082">
        <v>46132</v>
      </c>
      <c r="AG1082" t="s">
        <v>590</v>
      </c>
      <c r="AH1082">
        <v>6198830</v>
      </c>
      <c r="AI1082">
        <v>46129</v>
      </c>
      <c r="AJ1082">
        <v>46130</v>
      </c>
      <c r="AK1082">
        <v>23040</v>
      </c>
      <c r="AL1082" t="s">
        <v>396</v>
      </c>
      <c r="AM1082" t="s">
        <v>3243</v>
      </c>
      <c r="AN1082">
        <v>46130</v>
      </c>
      <c r="AO1082">
        <v>46130.61037037037</v>
      </c>
      <c r="AP1082" t="s">
        <v>51</v>
      </c>
      <c r="AQ1082">
        <v>8.0530000000000004E-2</v>
      </c>
      <c r="AR1082">
        <v>1855.41</v>
      </c>
      <c r="AS1082" t="s">
        <v>51</v>
      </c>
      <c r="AT1082">
        <v>1855.41</v>
      </c>
      <c r="AU1082" t="s">
        <v>415</v>
      </c>
      <c r="AV1082" t="s">
        <v>557</v>
      </c>
      <c r="AW1082" t="s">
        <v>3205</v>
      </c>
      <c r="AX1082">
        <v>46134</v>
      </c>
      <c r="AY1082">
        <v>46183</v>
      </c>
      <c r="AZ1082" t="s">
        <v>3221</v>
      </c>
      <c r="BA1082" t="s">
        <v>1274</v>
      </c>
      <c r="BB1082" t="s">
        <v>3222</v>
      </c>
      <c r="BC1082">
        <v>320</v>
      </c>
      <c r="BD1082" t="s">
        <v>521</v>
      </c>
      <c r="BE1082">
        <v>6.0304000000000002</v>
      </c>
      <c r="BF1082">
        <v>5.7304000000000004</v>
      </c>
      <c r="BG1082" t="s">
        <v>522</v>
      </c>
      <c r="BH1082">
        <v>295</v>
      </c>
      <c r="BI1082">
        <v>195</v>
      </c>
      <c r="BJ1082">
        <v>100</v>
      </c>
      <c r="BK1082">
        <v>64</v>
      </c>
      <c r="BL1082" t="s">
        <v>521</v>
      </c>
      <c r="BM1082">
        <v>415.94560000000001</v>
      </c>
      <c r="BN1082">
        <v>366.74560000000002</v>
      </c>
      <c r="BO1082">
        <v>494.18649599999998</v>
      </c>
      <c r="BP1082" t="s">
        <v>522</v>
      </c>
      <c r="BQ1082">
        <v>1200</v>
      </c>
      <c r="BR1082">
        <v>800</v>
      </c>
      <c r="BS1082">
        <v>573</v>
      </c>
      <c r="BT1082">
        <v>1</v>
      </c>
      <c r="BU1082">
        <v>1</v>
      </c>
      <c r="BV1082">
        <v>2</v>
      </c>
      <c r="BW1082">
        <v>72</v>
      </c>
      <c r="BX1082">
        <v>0</v>
      </c>
      <c r="BY1082">
        <v>72</v>
      </c>
      <c r="BZ1082">
        <v>20480</v>
      </c>
      <c r="CA1082">
        <v>2560</v>
      </c>
      <c r="CB1082">
        <v>23040</v>
      </c>
      <c r="CC1082">
        <v>412.58649600000001</v>
      </c>
      <c r="CD1082" t="s">
        <v>600</v>
      </c>
      <c r="CE1082" t="s">
        <v>601</v>
      </c>
      <c r="CG1082" t="s">
        <v>421</v>
      </c>
      <c r="CN1082" t="str">
        <v>M19</v>
      </c>
      <c r="CO1082" t="str">
        <v>1220-5YY0030EN</v>
      </c>
      <c r="CP1082" t="str">
        <v>WHSU5613188</v>
      </c>
      <c r="CQ1082" s="23">
        <v>639.19939999999997</v>
      </c>
      <c r="CR1082" s="25">
        <f t="shared" si="41"/>
        <v>3.2408960869135597E-2</v>
      </c>
      <c r="CS1082" s="21">
        <f t="shared" si="42"/>
        <v>81.022402172838994</v>
      </c>
    </row>
    <row r="1083" spans="2:97" x14ac:dyDescent="0.35">
      <c r="B1083" t="s">
        <v>299</v>
      </c>
      <c r="C1083" t="s">
        <v>3244</v>
      </c>
      <c r="D1083" t="s">
        <v>395</v>
      </c>
      <c r="E1083" t="s">
        <v>395</v>
      </c>
      <c r="F1083" t="s">
        <v>396</v>
      </c>
      <c r="G1083" t="s">
        <v>397</v>
      </c>
      <c r="H1083" t="s">
        <v>532</v>
      </c>
      <c r="I1083" t="s">
        <v>399</v>
      </c>
      <c r="J1083" t="s">
        <v>400</v>
      </c>
      <c r="K1083" t="s">
        <v>515</v>
      </c>
      <c r="L1083" t="s">
        <v>585</v>
      </c>
      <c r="M1083" t="s">
        <v>403</v>
      </c>
      <c r="N1083">
        <v>1</v>
      </c>
      <c r="O1083">
        <v>1</v>
      </c>
      <c r="P1083" t="s">
        <v>1304</v>
      </c>
      <c r="Q1083" t="s">
        <v>430</v>
      </c>
      <c r="R1083" t="s">
        <v>616</v>
      </c>
      <c r="S1083" t="s">
        <v>1305</v>
      </c>
      <c r="T1083" t="s">
        <v>408</v>
      </c>
      <c r="U1083">
        <v>50950081906</v>
      </c>
      <c r="W1083">
        <v>25200</v>
      </c>
      <c r="X1083" t="s">
        <v>409</v>
      </c>
      <c r="Y1083" t="s">
        <v>410</v>
      </c>
      <c r="Z1083" t="s">
        <v>410</v>
      </c>
      <c r="AA1083" t="s">
        <v>411</v>
      </c>
      <c r="AB1083" t="s">
        <v>554</v>
      </c>
      <c r="AC1083" t="s">
        <v>411</v>
      </c>
      <c r="AD1083">
        <v>46125</v>
      </c>
      <c r="AE1083">
        <v>46181</v>
      </c>
      <c r="AF1083">
        <v>46132</v>
      </c>
      <c r="AG1083" t="s">
        <v>590</v>
      </c>
      <c r="AH1083">
        <v>6198831</v>
      </c>
      <c r="AI1083">
        <v>46129</v>
      </c>
      <c r="AJ1083">
        <v>46130</v>
      </c>
      <c r="AK1083">
        <v>25200</v>
      </c>
      <c r="AL1083" t="s">
        <v>396</v>
      </c>
      <c r="AM1083" t="s">
        <v>3245</v>
      </c>
      <c r="AN1083">
        <v>46130</v>
      </c>
      <c r="AO1083">
        <v>46130.61037037037</v>
      </c>
      <c r="AP1083" t="s">
        <v>51</v>
      </c>
      <c r="AQ1083">
        <v>0.34231</v>
      </c>
      <c r="AR1083">
        <v>8626.2099999999991</v>
      </c>
      <c r="AS1083" t="s">
        <v>51</v>
      </c>
      <c r="AT1083">
        <v>8626.2099999999991</v>
      </c>
      <c r="AU1083" t="s">
        <v>415</v>
      </c>
      <c r="AV1083" t="s">
        <v>557</v>
      </c>
      <c r="AW1083" t="s">
        <v>3205</v>
      </c>
      <c r="AX1083">
        <v>46134</v>
      </c>
      <c r="AY1083">
        <v>46183</v>
      </c>
      <c r="AZ1083" t="s">
        <v>3221</v>
      </c>
      <c r="BA1083" t="s">
        <v>1274</v>
      </c>
      <c r="BB1083" t="s">
        <v>3222</v>
      </c>
      <c r="BC1083">
        <v>600</v>
      </c>
      <c r="BD1083" t="s">
        <v>521</v>
      </c>
      <c r="BE1083">
        <v>4.1517999999999997</v>
      </c>
      <c r="BF1083">
        <v>2.5518000000000001</v>
      </c>
      <c r="BG1083" t="s">
        <v>522</v>
      </c>
      <c r="BH1083">
        <v>395</v>
      </c>
      <c r="BI1083">
        <v>295</v>
      </c>
      <c r="BJ1083">
        <v>150</v>
      </c>
      <c r="BK1083">
        <v>48</v>
      </c>
      <c r="BL1083" t="s">
        <v>521</v>
      </c>
      <c r="BM1083">
        <v>198.37559999999999</v>
      </c>
      <c r="BN1083">
        <v>107.1756</v>
      </c>
      <c r="BO1083">
        <v>198.37559999999999</v>
      </c>
      <c r="BP1083" t="s">
        <v>522</v>
      </c>
      <c r="BQ1083">
        <v>1200</v>
      </c>
      <c r="BR1083">
        <v>800</v>
      </c>
      <c r="BS1083">
        <v>1060</v>
      </c>
      <c r="BT1083">
        <v>0</v>
      </c>
      <c r="BU1083">
        <v>1</v>
      </c>
      <c r="BV1083">
        <v>1</v>
      </c>
      <c r="BW1083">
        <v>42</v>
      </c>
      <c r="BX1083">
        <v>0</v>
      </c>
      <c r="BY1083">
        <v>42</v>
      </c>
      <c r="BZ1083">
        <v>0</v>
      </c>
      <c r="CA1083">
        <v>25200</v>
      </c>
      <c r="CB1083">
        <v>25200</v>
      </c>
      <c r="CC1083">
        <v>107.1756</v>
      </c>
      <c r="CD1083" t="s">
        <v>694</v>
      </c>
      <c r="CE1083" t="s">
        <v>695</v>
      </c>
      <c r="CG1083" t="s">
        <v>421</v>
      </c>
      <c r="CN1083" t="str">
        <v>M46</v>
      </c>
      <c r="CO1083" t="str">
        <v>1415-EQN0005EN</v>
      </c>
      <c r="CP1083" t="str">
        <v>WHSU5613188</v>
      </c>
      <c r="CQ1083" s="23">
        <v>219.40539999999999</v>
      </c>
      <c r="CR1083" s="25">
        <f t="shared" si="41"/>
        <v>1.112438626049562E-2</v>
      </c>
      <c r="CS1083" s="21">
        <f t="shared" si="42"/>
        <v>27.810965651239048</v>
      </c>
    </row>
    <row r="1084" spans="2:97" x14ac:dyDescent="0.35">
      <c r="B1084" t="s">
        <v>299</v>
      </c>
      <c r="C1084" t="s">
        <v>3246</v>
      </c>
      <c r="D1084" t="s">
        <v>395</v>
      </c>
      <c r="E1084" t="s">
        <v>395</v>
      </c>
      <c r="F1084" t="s">
        <v>396</v>
      </c>
      <c r="G1084" t="s">
        <v>397</v>
      </c>
      <c r="H1084" t="s">
        <v>532</v>
      </c>
      <c r="I1084" t="s">
        <v>399</v>
      </c>
      <c r="J1084" t="s">
        <v>400</v>
      </c>
      <c r="K1084" t="s">
        <v>515</v>
      </c>
      <c r="L1084" t="s">
        <v>585</v>
      </c>
      <c r="M1084" t="s">
        <v>403</v>
      </c>
      <c r="N1084">
        <v>1</v>
      </c>
      <c r="O1084">
        <v>1</v>
      </c>
      <c r="P1084" t="s">
        <v>1310</v>
      </c>
      <c r="Q1084" t="s">
        <v>430</v>
      </c>
      <c r="R1084" t="s">
        <v>616</v>
      </c>
      <c r="S1084" t="s">
        <v>1311</v>
      </c>
      <c r="T1084" t="s">
        <v>408</v>
      </c>
      <c r="U1084">
        <v>50950081920</v>
      </c>
      <c r="W1084">
        <v>19200</v>
      </c>
      <c r="X1084" t="s">
        <v>409</v>
      </c>
      <c r="Y1084" t="s">
        <v>410</v>
      </c>
      <c r="Z1084" t="s">
        <v>410</v>
      </c>
      <c r="AA1084" t="s">
        <v>411</v>
      </c>
      <c r="AB1084" t="s">
        <v>554</v>
      </c>
      <c r="AC1084" t="s">
        <v>411</v>
      </c>
      <c r="AD1084">
        <v>46125</v>
      </c>
      <c r="AE1084">
        <v>46181</v>
      </c>
      <c r="AF1084">
        <v>46132</v>
      </c>
      <c r="AG1084" t="s">
        <v>590</v>
      </c>
      <c r="AH1084">
        <v>6198832</v>
      </c>
      <c r="AI1084">
        <v>46129</v>
      </c>
      <c r="AJ1084">
        <v>46130</v>
      </c>
      <c r="AK1084">
        <v>19200</v>
      </c>
      <c r="AL1084" t="s">
        <v>396</v>
      </c>
      <c r="AM1084" t="s">
        <v>3247</v>
      </c>
      <c r="AN1084">
        <v>46130</v>
      </c>
      <c r="AO1084">
        <v>46130.61037037037</v>
      </c>
      <c r="AP1084" t="s">
        <v>51</v>
      </c>
      <c r="AQ1084">
        <v>0.24460000000000001</v>
      </c>
      <c r="AR1084">
        <v>4696.32</v>
      </c>
      <c r="AS1084" t="s">
        <v>51</v>
      </c>
      <c r="AT1084">
        <v>4696.32</v>
      </c>
      <c r="AU1084" t="s">
        <v>415</v>
      </c>
      <c r="AV1084" t="s">
        <v>557</v>
      </c>
      <c r="AW1084" t="s">
        <v>3205</v>
      </c>
      <c r="AX1084">
        <v>46134</v>
      </c>
      <c r="AY1084">
        <v>46183</v>
      </c>
      <c r="AZ1084" t="s">
        <v>3221</v>
      </c>
      <c r="BA1084" t="s">
        <v>1274</v>
      </c>
      <c r="BB1084" t="s">
        <v>3222</v>
      </c>
      <c r="BC1084">
        <v>800</v>
      </c>
      <c r="BD1084" t="s">
        <v>521</v>
      </c>
      <c r="BE1084">
        <v>4.5316000000000001</v>
      </c>
      <c r="BF1084">
        <v>2.8616000000000001</v>
      </c>
      <c r="BG1084" t="s">
        <v>522</v>
      </c>
      <c r="BH1084">
        <v>395</v>
      </c>
      <c r="BI1084">
        <v>295</v>
      </c>
      <c r="BJ1084">
        <v>150</v>
      </c>
      <c r="BK1084">
        <v>48</v>
      </c>
      <c r="BL1084" t="s">
        <v>521</v>
      </c>
      <c r="BM1084">
        <v>132.75839999999999</v>
      </c>
      <c r="BN1084">
        <v>68.678399999999996</v>
      </c>
      <c r="BO1084">
        <v>132.75839999999999</v>
      </c>
      <c r="BP1084" t="s">
        <v>522</v>
      </c>
      <c r="BQ1084">
        <v>1200</v>
      </c>
      <c r="BR1084">
        <v>800</v>
      </c>
      <c r="BS1084">
        <v>1060</v>
      </c>
      <c r="BT1084">
        <v>0</v>
      </c>
      <c r="BU1084">
        <v>1</v>
      </c>
      <c r="BV1084">
        <v>1</v>
      </c>
      <c r="BW1084">
        <v>24</v>
      </c>
      <c r="BX1084">
        <v>0</v>
      </c>
      <c r="BY1084">
        <v>24</v>
      </c>
      <c r="BZ1084">
        <v>0</v>
      </c>
      <c r="CA1084">
        <v>19200</v>
      </c>
      <c r="CB1084">
        <v>19200</v>
      </c>
      <c r="CC1084">
        <v>68.678399999999996</v>
      </c>
      <c r="CD1084" t="s">
        <v>694</v>
      </c>
      <c r="CE1084" t="s">
        <v>701</v>
      </c>
      <c r="CG1084" t="s">
        <v>421</v>
      </c>
      <c r="CN1084" t="str">
        <v>M19</v>
      </c>
      <c r="CO1084" t="str">
        <v>1101-5YY0313EN</v>
      </c>
      <c r="CP1084" t="str">
        <v>WHSU5613188</v>
      </c>
      <c r="CQ1084" s="23">
        <v>287.38816000000003</v>
      </c>
      <c r="CR1084" s="25">
        <f t="shared" si="41"/>
        <v>1.4571277181569448E-2</v>
      </c>
      <c r="CS1084" s="21">
        <f t="shared" si="42"/>
        <v>36.42819295392362</v>
      </c>
    </row>
    <row r="1085" spans="2:97" x14ac:dyDescent="0.35">
      <c r="B1085" t="s">
        <v>299</v>
      </c>
      <c r="C1085" t="s">
        <v>3248</v>
      </c>
      <c r="D1085" t="s">
        <v>395</v>
      </c>
      <c r="E1085" t="s">
        <v>395</v>
      </c>
      <c r="F1085" t="s">
        <v>396</v>
      </c>
      <c r="G1085" t="s">
        <v>397</v>
      </c>
      <c r="H1085" t="s">
        <v>532</v>
      </c>
      <c r="I1085" t="s">
        <v>399</v>
      </c>
      <c r="J1085" t="s">
        <v>400</v>
      </c>
      <c r="K1085" t="s">
        <v>515</v>
      </c>
      <c r="L1085" t="s">
        <v>585</v>
      </c>
      <c r="M1085" t="s">
        <v>403</v>
      </c>
      <c r="N1085">
        <v>1</v>
      </c>
      <c r="O1085">
        <v>1</v>
      </c>
      <c r="P1085" t="s">
        <v>1327</v>
      </c>
      <c r="Q1085" t="s">
        <v>430</v>
      </c>
      <c r="R1085" t="s">
        <v>616</v>
      </c>
      <c r="S1085" t="s">
        <v>1328</v>
      </c>
      <c r="T1085" t="s">
        <v>408</v>
      </c>
      <c r="U1085">
        <v>50950081922</v>
      </c>
      <c r="W1085">
        <v>25200</v>
      </c>
      <c r="X1085" t="s">
        <v>409</v>
      </c>
      <c r="Y1085" t="s">
        <v>410</v>
      </c>
      <c r="Z1085" t="s">
        <v>410</v>
      </c>
      <c r="AA1085" t="s">
        <v>411</v>
      </c>
      <c r="AB1085" t="s">
        <v>554</v>
      </c>
      <c r="AC1085" t="s">
        <v>411</v>
      </c>
      <c r="AD1085">
        <v>46125</v>
      </c>
      <c r="AE1085">
        <v>46181</v>
      </c>
      <c r="AF1085">
        <v>46132</v>
      </c>
      <c r="AG1085" t="s">
        <v>590</v>
      </c>
      <c r="AH1085">
        <v>6198833</v>
      </c>
      <c r="AI1085">
        <v>46129</v>
      </c>
      <c r="AJ1085">
        <v>46130</v>
      </c>
      <c r="AK1085">
        <v>25200</v>
      </c>
      <c r="AL1085" t="s">
        <v>396</v>
      </c>
      <c r="AM1085" t="s">
        <v>3249</v>
      </c>
      <c r="AN1085">
        <v>46130</v>
      </c>
      <c r="AO1085">
        <v>46130.61037037037</v>
      </c>
      <c r="AP1085" t="s">
        <v>51</v>
      </c>
      <c r="AQ1085">
        <v>0.35293999999999998</v>
      </c>
      <c r="AR1085">
        <v>8894.09</v>
      </c>
      <c r="AS1085" t="s">
        <v>51</v>
      </c>
      <c r="AT1085">
        <v>8894.09</v>
      </c>
      <c r="AU1085" t="s">
        <v>415</v>
      </c>
      <c r="AV1085" t="s">
        <v>557</v>
      </c>
      <c r="AW1085" t="s">
        <v>3205</v>
      </c>
      <c r="AX1085">
        <v>46134</v>
      </c>
      <c r="AY1085">
        <v>46183</v>
      </c>
      <c r="AZ1085" t="s">
        <v>3221</v>
      </c>
      <c r="BA1085" t="s">
        <v>1274</v>
      </c>
      <c r="BB1085" t="s">
        <v>3222</v>
      </c>
      <c r="BC1085">
        <v>600</v>
      </c>
      <c r="BD1085" t="s">
        <v>521</v>
      </c>
      <c r="BE1085">
        <v>4.3798000000000004</v>
      </c>
      <c r="BF1085">
        <v>2.7797999999999998</v>
      </c>
      <c r="BG1085" t="s">
        <v>522</v>
      </c>
      <c r="BH1085">
        <v>395</v>
      </c>
      <c r="BI1085">
        <v>295</v>
      </c>
      <c r="BJ1085">
        <v>150</v>
      </c>
      <c r="BK1085">
        <v>48</v>
      </c>
      <c r="BL1085" t="s">
        <v>521</v>
      </c>
      <c r="BM1085">
        <v>207.95160000000001</v>
      </c>
      <c r="BN1085">
        <v>116.7516</v>
      </c>
      <c r="BO1085">
        <v>207.95160000000001</v>
      </c>
      <c r="BP1085" t="s">
        <v>522</v>
      </c>
      <c r="BQ1085">
        <v>1200</v>
      </c>
      <c r="BR1085">
        <v>800</v>
      </c>
      <c r="BS1085">
        <v>1060</v>
      </c>
      <c r="BT1085">
        <v>0</v>
      </c>
      <c r="BU1085">
        <v>1</v>
      </c>
      <c r="BV1085">
        <v>1</v>
      </c>
      <c r="BW1085">
        <v>42</v>
      </c>
      <c r="BX1085">
        <v>0</v>
      </c>
      <c r="BY1085">
        <v>42</v>
      </c>
      <c r="BZ1085">
        <v>0</v>
      </c>
      <c r="CA1085">
        <v>25200</v>
      </c>
      <c r="CB1085">
        <v>25200</v>
      </c>
      <c r="CC1085">
        <v>116.7516</v>
      </c>
      <c r="CD1085" t="s">
        <v>694</v>
      </c>
      <c r="CE1085" t="s">
        <v>695</v>
      </c>
      <c r="CG1085" t="s">
        <v>421</v>
      </c>
      <c r="CN1085" t="str">
        <v>M19</v>
      </c>
      <c r="CO1085" t="str">
        <v>1252-5YY0073EN</v>
      </c>
      <c r="CP1085" t="str">
        <v>WHSU5613188</v>
      </c>
      <c r="CQ1085" s="23">
        <v>103.98439999999999</v>
      </c>
      <c r="CR1085" s="25">
        <f t="shared" si="41"/>
        <v>5.2722614423614039E-3</v>
      </c>
      <c r="CS1085" s="21">
        <f t="shared" si="42"/>
        <v>13.18065360590351</v>
      </c>
    </row>
    <row r="1086" spans="2:97" x14ac:dyDescent="0.35">
      <c r="B1086" t="s">
        <v>3497</v>
      </c>
      <c r="C1086" t="s">
        <v>3250</v>
      </c>
      <c r="D1086" t="s">
        <v>395</v>
      </c>
      <c r="E1086" t="s">
        <v>395</v>
      </c>
      <c r="F1086" t="s">
        <v>396</v>
      </c>
      <c r="G1086" t="s">
        <v>397</v>
      </c>
      <c r="H1086" t="s">
        <v>398</v>
      </c>
      <c r="I1086" t="s">
        <v>399</v>
      </c>
      <c r="J1086" t="s">
        <v>400</v>
      </c>
      <c r="K1086" t="s">
        <v>515</v>
      </c>
      <c r="L1086" t="s">
        <v>585</v>
      </c>
      <c r="M1086" t="s">
        <v>403</v>
      </c>
      <c r="N1086">
        <v>1</v>
      </c>
      <c r="O1086">
        <v>1</v>
      </c>
      <c r="P1086" t="s">
        <v>1849</v>
      </c>
      <c r="Q1086" t="s">
        <v>424</v>
      </c>
      <c r="R1086" t="s">
        <v>691</v>
      </c>
      <c r="S1086" t="s">
        <v>1850</v>
      </c>
      <c r="T1086" t="s">
        <v>408</v>
      </c>
      <c r="U1086">
        <v>50950081998</v>
      </c>
      <c r="W1086">
        <v>18000</v>
      </c>
      <c r="X1086" t="s">
        <v>409</v>
      </c>
      <c r="Y1086" t="s">
        <v>410</v>
      </c>
      <c r="Z1086" t="s">
        <v>410</v>
      </c>
      <c r="AA1086" t="s">
        <v>411</v>
      </c>
      <c r="AB1086" t="s">
        <v>554</v>
      </c>
      <c r="AC1086" t="s">
        <v>411</v>
      </c>
      <c r="AD1086">
        <v>46125</v>
      </c>
      <c r="AE1086">
        <v>46188</v>
      </c>
      <c r="AF1086">
        <v>46132</v>
      </c>
      <c r="AG1086" t="s">
        <v>590</v>
      </c>
      <c r="AH1086">
        <v>6198834</v>
      </c>
      <c r="AI1086">
        <v>46129</v>
      </c>
      <c r="AJ1086">
        <v>46130</v>
      </c>
      <c r="AK1086">
        <v>18000</v>
      </c>
      <c r="AL1086" t="s">
        <v>396</v>
      </c>
      <c r="AM1086" t="s">
        <v>3251</v>
      </c>
      <c r="AN1086">
        <v>46130</v>
      </c>
      <c r="AO1086">
        <v>46130.61037037037</v>
      </c>
      <c r="AP1086" t="s">
        <v>51</v>
      </c>
      <c r="AQ1086">
        <v>6.216E-2</v>
      </c>
      <c r="AR1086">
        <v>1118.8800000000001</v>
      </c>
      <c r="AS1086" t="s">
        <v>51</v>
      </c>
      <c r="AT1086">
        <v>1118.8800000000001</v>
      </c>
      <c r="AU1086" t="s">
        <v>415</v>
      </c>
      <c r="AV1086" t="s">
        <v>557</v>
      </c>
      <c r="AW1086" t="s">
        <v>3205</v>
      </c>
      <c r="AX1086">
        <v>46134</v>
      </c>
      <c r="AY1086">
        <v>46183</v>
      </c>
      <c r="AZ1086" t="s">
        <v>3221</v>
      </c>
      <c r="BA1086" t="s">
        <v>1274</v>
      </c>
      <c r="BB1086" t="s">
        <v>3222</v>
      </c>
      <c r="BC1086">
        <v>900</v>
      </c>
      <c r="BD1086" t="s">
        <v>521</v>
      </c>
      <c r="BE1086">
        <v>3.004</v>
      </c>
      <c r="BF1086">
        <v>1.4039999999999999</v>
      </c>
      <c r="BG1086" t="s">
        <v>522</v>
      </c>
      <c r="BH1086">
        <v>395</v>
      </c>
      <c r="BI1086">
        <v>295</v>
      </c>
      <c r="BJ1086">
        <v>150</v>
      </c>
      <c r="BK1086">
        <v>48</v>
      </c>
      <c r="BL1086" t="s">
        <v>521</v>
      </c>
      <c r="BM1086">
        <v>84.08</v>
      </c>
      <c r="BN1086">
        <v>28.08</v>
      </c>
      <c r="BO1086">
        <v>84.08</v>
      </c>
      <c r="BP1086" t="s">
        <v>522</v>
      </c>
      <c r="BQ1086">
        <v>1200</v>
      </c>
      <c r="BR1086">
        <v>800</v>
      </c>
      <c r="BS1086">
        <v>1060</v>
      </c>
      <c r="BT1086">
        <v>0</v>
      </c>
      <c r="BU1086">
        <v>1</v>
      </c>
      <c r="BV1086">
        <v>1</v>
      </c>
      <c r="BW1086">
        <v>20</v>
      </c>
      <c r="BX1086">
        <v>0</v>
      </c>
      <c r="BY1086">
        <v>20</v>
      </c>
      <c r="BZ1086">
        <v>0</v>
      </c>
      <c r="CA1086">
        <v>18000</v>
      </c>
      <c r="CB1086">
        <v>18000</v>
      </c>
      <c r="CC1086">
        <v>28.08</v>
      </c>
      <c r="CD1086" t="s">
        <v>694</v>
      </c>
      <c r="CE1086" t="s">
        <v>695</v>
      </c>
      <c r="CG1086" t="s">
        <v>421</v>
      </c>
      <c r="CN1086" t="str">
        <v>M19</v>
      </c>
      <c r="CO1086" t="str">
        <v>1101-5YY0361EN</v>
      </c>
      <c r="CP1086" t="str">
        <v>WHSU5613188</v>
      </c>
      <c r="CQ1086" s="23">
        <v>494.18649599999998</v>
      </c>
      <c r="CR1086" s="25">
        <f t="shared" si="41"/>
        <v>2.5056454700863668E-2</v>
      </c>
      <c r="CS1086" s="21">
        <f t="shared" si="42"/>
        <v>62.64113675215917</v>
      </c>
    </row>
    <row r="1087" spans="2:97" x14ac:dyDescent="0.35">
      <c r="B1087" t="s">
        <v>299</v>
      </c>
      <c r="C1087" t="s">
        <v>2919</v>
      </c>
      <c r="D1087" t="s">
        <v>395</v>
      </c>
      <c r="E1087" t="s">
        <v>395</v>
      </c>
      <c r="F1087" t="s">
        <v>396</v>
      </c>
      <c r="G1087" t="s">
        <v>397</v>
      </c>
      <c r="H1087" t="s">
        <v>532</v>
      </c>
      <c r="I1087" t="s">
        <v>399</v>
      </c>
      <c r="J1087" t="s">
        <v>400</v>
      </c>
      <c r="K1087" t="s">
        <v>607</v>
      </c>
      <c r="L1087" t="s">
        <v>585</v>
      </c>
      <c r="M1087" t="s">
        <v>403</v>
      </c>
      <c r="N1087">
        <v>1</v>
      </c>
      <c r="O1087">
        <v>2</v>
      </c>
      <c r="P1087" t="s">
        <v>608</v>
      </c>
      <c r="Q1087" t="s">
        <v>405</v>
      </c>
      <c r="R1087" t="s">
        <v>609</v>
      </c>
      <c r="S1087" t="s">
        <v>610</v>
      </c>
      <c r="T1087" t="s">
        <v>408</v>
      </c>
      <c r="U1087">
        <v>50950081960</v>
      </c>
      <c r="W1087">
        <v>17600</v>
      </c>
      <c r="X1087" t="s">
        <v>409</v>
      </c>
      <c r="Y1087" t="s">
        <v>410</v>
      </c>
      <c r="Z1087" t="s">
        <v>410</v>
      </c>
      <c r="AA1087" t="s">
        <v>411</v>
      </c>
      <c r="AB1087" t="s">
        <v>554</v>
      </c>
      <c r="AC1087" t="s">
        <v>411</v>
      </c>
      <c r="AD1087">
        <v>46125</v>
      </c>
      <c r="AE1087">
        <v>46181</v>
      </c>
      <c r="AF1087">
        <v>46132</v>
      </c>
      <c r="AG1087" t="s">
        <v>590</v>
      </c>
      <c r="AH1087">
        <v>6198835</v>
      </c>
      <c r="AI1087">
        <v>46129</v>
      </c>
      <c r="AJ1087">
        <v>46130</v>
      </c>
      <c r="AK1087">
        <v>17600</v>
      </c>
      <c r="AL1087" t="s">
        <v>396</v>
      </c>
      <c r="AM1087" t="s">
        <v>3252</v>
      </c>
      <c r="AN1087">
        <v>46130</v>
      </c>
      <c r="AO1087">
        <v>46130.61037037037</v>
      </c>
      <c r="AP1087" t="s">
        <v>51</v>
      </c>
      <c r="AQ1087">
        <v>0.12169000000000001</v>
      </c>
      <c r="AR1087">
        <v>2141.7399999999998</v>
      </c>
      <c r="AS1087" t="s">
        <v>51</v>
      </c>
      <c r="AT1087">
        <v>2141.7399999999998</v>
      </c>
      <c r="AU1087" t="s">
        <v>415</v>
      </c>
      <c r="AV1087" t="s">
        <v>557</v>
      </c>
      <c r="AW1087" t="s">
        <v>3205</v>
      </c>
      <c r="AX1087">
        <v>46134</v>
      </c>
      <c r="AY1087">
        <v>46183</v>
      </c>
      <c r="AZ1087" t="s">
        <v>3221</v>
      </c>
      <c r="BA1087" t="s">
        <v>1274</v>
      </c>
      <c r="BB1087" t="s">
        <v>3222</v>
      </c>
      <c r="BC1087">
        <v>880</v>
      </c>
      <c r="BD1087" t="s">
        <v>521</v>
      </c>
      <c r="BE1087">
        <v>13.593999999999999</v>
      </c>
      <c r="BF1087">
        <v>11.994</v>
      </c>
      <c r="BG1087" t="s">
        <v>522</v>
      </c>
      <c r="BH1087">
        <v>395</v>
      </c>
      <c r="BI1087">
        <v>295</v>
      </c>
      <c r="BJ1087">
        <v>230</v>
      </c>
      <c r="BK1087">
        <v>40</v>
      </c>
      <c r="BL1087" t="s">
        <v>521</v>
      </c>
      <c r="BM1087">
        <v>302.87920000000003</v>
      </c>
      <c r="BN1087">
        <v>239.8792</v>
      </c>
      <c r="BO1087">
        <v>302.87920000000003</v>
      </c>
      <c r="BP1087" t="s">
        <v>522</v>
      </c>
      <c r="BQ1087">
        <v>1200</v>
      </c>
      <c r="BR1087">
        <v>1000</v>
      </c>
      <c r="BS1087">
        <v>1075</v>
      </c>
      <c r="BT1087">
        <v>0</v>
      </c>
      <c r="BU1087">
        <v>1</v>
      </c>
      <c r="BV1087">
        <v>1</v>
      </c>
      <c r="BW1087">
        <v>20</v>
      </c>
      <c r="BX1087">
        <v>0</v>
      </c>
      <c r="BY1087">
        <v>20</v>
      </c>
      <c r="BZ1087">
        <v>0</v>
      </c>
      <c r="CA1087">
        <v>17600</v>
      </c>
      <c r="CB1087">
        <v>17600</v>
      </c>
      <c r="CC1087">
        <v>239.8792</v>
      </c>
      <c r="CD1087" t="s">
        <v>612</v>
      </c>
      <c r="CE1087" t="s">
        <v>613</v>
      </c>
      <c r="CG1087" t="s">
        <v>421</v>
      </c>
      <c r="CN1087" t="str">
        <v>MCS</v>
      </c>
      <c r="CO1087" t="str">
        <v>1209-5YY0495EN</v>
      </c>
      <c r="CP1087" t="str">
        <v>WHSU5613188</v>
      </c>
      <c r="CQ1087" s="23">
        <v>54.04</v>
      </c>
      <c r="CR1087" s="25">
        <f t="shared" si="41"/>
        <v>2.7399591510381392E-3</v>
      </c>
      <c r="CS1087" s="21">
        <f t="shared" si="42"/>
        <v>6.8498978775953479</v>
      </c>
    </row>
    <row r="1088" spans="2:97" x14ac:dyDescent="0.35">
      <c r="B1088" t="s">
        <v>3497</v>
      </c>
      <c r="C1088" t="s">
        <v>3253</v>
      </c>
      <c r="D1088" t="s">
        <v>395</v>
      </c>
      <c r="E1088" t="s">
        <v>395</v>
      </c>
      <c r="F1088" t="s">
        <v>396</v>
      </c>
      <c r="G1088" t="s">
        <v>397</v>
      </c>
      <c r="H1088" t="s">
        <v>398</v>
      </c>
      <c r="I1088" t="s">
        <v>399</v>
      </c>
      <c r="J1088" t="s">
        <v>400</v>
      </c>
      <c r="K1088" t="s">
        <v>515</v>
      </c>
      <c r="L1088" t="s">
        <v>585</v>
      </c>
      <c r="M1088" t="s">
        <v>403</v>
      </c>
      <c r="N1088">
        <v>1</v>
      </c>
      <c r="O1088">
        <v>1</v>
      </c>
      <c r="P1088" t="s">
        <v>1829</v>
      </c>
      <c r="Q1088" t="s">
        <v>424</v>
      </c>
      <c r="R1088" t="s">
        <v>691</v>
      </c>
      <c r="S1088" t="s">
        <v>1830</v>
      </c>
      <c r="T1088" t="s">
        <v>408</v>
      </c>
      <c r="U1088">
        <v>50950081962</v>
      </c>
      <c r="W1088">
        <v>17280</v>
      </c>
      <c r="X1088" t="s">
        <v>409</v>
      </c>
      <c r="Y1088" t="s">
        <v>410</v>
      </c>
      <c r="Z1088" t="s">
        <v>410</v>
      </c>
      <c r="AA1088" t="s">
        <v>411</v>
      </c>
      <c r="AB1088" t="s">
        <v>554</v>
      </c>
      <c r="AC1088" t="s">
        <v>411</v>
      </c>
      <c r="AD1088">
        <v>46125</v>
      </c>
      <c r="AE1088">
        <v>46195</v>
      </c>
      <c r="AF1088">
        <v>46132</v>
      </c>
      <c r="AG1088" t="s">
        <v>590</v>
      </c>
      <c r="AH1088">
        <v>6198836</v>
      </c>
      <c r="AI1088">
        <v>46129</v>
      </c>
      <c r="AJ1088">
        <v>46130</v>
      </c>
      <c r="AK1088">
        <v>17280</v>
      </c>
      <c r="AL1088" t="s">
        <v>396</v>
      </c>
      <c r="AM1088" t="s">
        <v>3254</v>
      </c>
      <c r="AN1088">
        <v>46130</v>
      </c>
      <c r="AO1088">
        <v>46130.61037037037</v>
      </c>
      <c r="AP1088" t="s">
        <v>51</v>
      </c>
      <c r="AQ1088">
        <v>6.719E-2</v>
      </c>
      <c r="AR1088">
        <v>1161.04</v>
      </c>
      <c r="AS1088" t="s">
        <v>51</v>
      </c>
      <c r="AT1088">
        <v>1161.04</v>
      </c>
      <c r="AU1088" t="s">
        <v>415</v>
      </c>
      <c r="AV1088" t="s">
        <v>557</v>
      </c>
      <c r="AW1088" t="s">
        <v>3205</v>
      </c>
      <c r="AX1088">
        <v>46134</v>
      </c>
      <c r="AY1088">
        <v>46183</v>
      </c>
      <c r="AZ1088" t="s">
        <v>3221</v>
      </c>
      <c r="BA1088" t="s">
        <v>1274</v>
      </c>
      <c r="BB1088" t="s">
        <v>3222</v>
      </c>
      <c r="BC1088">
        <v>1080</v>
      </c>
      <c r="BD1088" t="s">
        <v>521</v>
      </c>
      <c r="BE1088">
        <v>4.016</v>
      </c>
      <c r="BF1088">
        <v>2.4159999999999999</v>
      </c>
      <c r="BG1088" t="s">
        <v>522</v>
      </c>
      <c r="BH1088">
        <v>395</v>
      </c>
      <c r="BI1088">
        <v>295</v>
      </c>
      <c r="BJ1088">
        <v>150</v>
      </c>
      <c r="BK1088">
        <v>48</v>
      </c>
      <c r="BL1088" t="s">
        <v>521</v>
      </c>
      <c r="BM1088">
        <v>88.255359999999996</v>
      </c>
      <c r="BN1088">
        <v>38.655360000000002</v>
      </c>
      <c r="BO1088">
        <v>88.255359999999996</v>
      </c>
      <c r="BP1088" t="s">
        <v>522</v>
      </c>
      <c r="BQ1088">
        <v>1200</v>
      </c>
      <c r="BR1088">
        <v>800</v>
      </c>
      <c r="BS1088">
        <v>1060</v>
      </c>
      <c r="BT1088">
        <v>0</v>
      </c>
      <c r="BU1088">
        <v>1</v>
      </c>
      <c r="BV1088">
        <v>1</v>
      </c>
      <c r="BW1088">
        <v>16</v>
      </c>
      <c r="BX1088">
        <v>0</v>
      </c>
      <c r="BY1088">
        <v>16</v>
      </c>
      <c r="BZ1088">
        <v>0</v>
      </c>
      <c r="CA1088">
        <v>17280</v>
      </c>
      <c r="CB1088">
        <v>17280</v>
      </c>
      <c r="CC1088">
        <v>38.655360000000002</v>
      </c>
      <c r="CD1088" t="s">
        <v>694</v>
      </c>
      <c r="CE1088" t="s">
        <v>695</v>
      </c>
      <c r="CG1088" t="s">
        <v>421</v>
      </c>
      <c r="CN1088" t="str">
        <v>MCS</v>
      </c>
      <c r="CO1088" t="str">
        <v>1209-5YY0496EN</v>
      </c>
      <c r="CP1088" t="str">
        <v>WHSU5613188</v>
      </c>
      <c r="CQ1088" s="23">
        <v>54.463000000000001</v>
      </c>
      <c r="CR1088" s="25">
        <f t="shared" si="41"/>
        <v>2.7614062776275014E-3</v>
      </c>
      <c r="CS1088" s="21">
        <f t="shared" si="42"/>
        <v>6.9035156940687532</v>
      </c>
    </row>
    <row r="1089" spans="2:97" x14ac:dyDescent="0.35">
      <c r="B1089" t="s">
        <v>299</v>
      </c>
      <c r="C1089" t="s">
        <v>3255</v>
      </c>
      <c r="D1089" t="s">
        <v>395</v>
      </c>
      <c r="E1089" t="s">
        <v>395</v>
      </c>
      <c r="F1089" t="s">
        <v>396</v>
      </c>
      <c r="G1089" t="s">
        <v>397</v>
      </c>
      <c r="H1089" t="s">
        <v>532</v>
      </c>
      <c r="I1089" t="s">
        <v>399</v>
      </c>
      <c r="J1089" t="s">
        <v>400</v>
      </c>
      <c r="K1089" t="s">
        <v>515</v>
      </c>
      <c r="L1089" t="s">
        <v>585</v>
      </c>
      <c r="M1089" t="s">
        <v>403</v>
      </c>
      <c r="N1089">
        <v>1</v>
      </c>
      <c r="O1089">
        <v>1</v>
      </c>
      <c r="P1089" t="s">
        <v>719</v>
      </c>
      <c r="Q1089" t="s">
        <v>645</v>
      </c>
      <c r="R1089" t="s">
        <v>720</v>
      </c>
      <c r="S1089" t="s">
        <v>721</v>
      </c>
      <c r="T1089" t="s">
        <v>408</v>
      </c>
      <c r="U1089">
        <v>50950082088</v>
      </c>
      <c r="V1089">
        <v>8191162</v>
      </c>
      <c r="W1089">
        <v>12000</v>
      </c>
      <c r="X1089" t="s">
        <v>409</v>
      </c>
      <c r="Y1089" t="s">
        <v>410</v>
      </c>
      <c r="Z1089" t="s">
        <v>410</v>
      </c>
      <c r="AA1089" t="s">
        <v>411</v>
      </c>
      <c r="AB1089" t="s">
        <v>554</v>
      </c>
      <c r="AC1089" t="s">
        <v>411</v>
      </c>
      <c r="AD1089">
        <v>46125</v>
      </c>
      <c r="AE1089">
        <v>46195</v>
      </c>
      <c r="AF1089">
        <v>46132</v>
      </c>
      <c r="AG1089" t="s">
        <v>590</v>
      </c>
      <c r="AH1089">
        <v>6198837</v>
      </c>
      <c r="AI1089">
        <v>46129</v>
      </c>
      <c r="AJ1089">
        <v>46130</v>
      </c>
      <c r="AK1089">
        <v>12000</v>
      </c>
      <c r="AL1089" t="s">
        <v>396</v>
      </c>
      <c r="AM1089" t="s">
        <v>3256</v>
      </c>
      <c r="AN1089">
        <v>46130</v>
      </c>
      <c r="AO1089">
        <v>46130.61037037037</v>
      </c>
      <c r="AP1089" t="s">
        <v>51</v>
      </c>
      <c r="AQ1089">
        <v>1.8700000000000001E-2</v>
      </c>
      <c r="AR1089">
        <v>224.4</v>
      </c>
      <c r="AS1089" t="s">
        <v>51</v>
      </c>
      <c r="AT1089">
        <v>224.4</v>
      </c>
      <c r="AU1089" t="s">
        <v>415</v>
      </c>
      <c r="AV1089" t="s">
        <v>557</v>
      </c>
      <c r="AW1089" t="s">
        <v>3205</v>
      </c>
      <c r="AX1089">
        <v>46134</v>
      </c>
      <c r="AY1089">
        <v>46183</v>
      </c>
      <c r="AZ1089" t="s">
        <v>3221</v>
      </c>
      <c r="BA1089" t="s">
        <v>1274</v>
      </c>
      <c r="BB1089" t="s">
        <v>3222</v>
      </c>
      <c r="BC1089">
        <v>3000</v>
      </c>
      <c r="BD1089" t="s">
        <v>521</v>
      </c>
      <c r="BE1089">
        <v>7.9960000000000004</v>
      </c>
      <c r="BF1089">
        <v>7.11</v>
      </c>
      <c r="BG1089" t="s">
        <v>522</v>
      </c>
      <c r="BH1089">
        <v>395</v>
      </c>
      <c r="BI1089">
        <v>295</v>
      </c>
      <c r="BJ1089">
        <v>210</v>
      </c>
      <c r="BK1089">
        <v>32</v>
      </c>
      <c r="BL1089" t="s">
        <v>521</v>
      </c>
      <c r="BM1089">
        <v>56.984000000000002</v>
      </c>
      <c r="BN1089">
        <v>28.44</v>
      </c>
      <c r="BO1089">
        <v>56.984000000000002</v>
      </c>
      <c r="BP1089" t="s">
        <v>522</v>
      </c>
      <c r="BQ1089">
        <v>1200</v>
      </c>
      <c r="BR1089">
        <v>800</v>
      </c>
      <c r="BS1089">
        <v>1006</v>
      </c>
      <c r="BT1089">
        <v>0</v>
      </c>
      <c r="BU1089">
        <v>1</v>
      </c>
      <c r="BV1089">
        <v>1</v>
      </c>
      <c r="BW1089">
        <v>4</v>
      </c>
      <c r="BX1089">
        <v>0</v>
      </c>
      <c r="BY1089">
        <v>4</v>
      </c>
      <c r="BZ1089">
        <v>0</v>
      </c>
      <c r="CA1089">
        <v>12000</v>
      </c>
      <c r="CB1089">
        <v>12000</v>
      </c>
      <c r="CC1089">
        <v>28.44</v>
      </c>
      <c r="CD1089" t="s">
        <v>723</v>
      </c>
      <c r="CE1089" t="s">
        <v>724</v>
      </c>
      <c r="CG1089" t="s">
        <v>421</v>
      </c>
      <c r="CN1089" t="str">
        <v>MCS</v>
      </c>
      <c r="CO1089" t="str">
        <v>1209-5YY0465EN</v>
      </c>
      <c r="CP1089" t="str">
        <v>WHSU5613188</v>
      </c>
      <c r="CQ1089" s="23">
        <v>88.255359999999996</v>
      </c>
      <c r="CR1089" s="25">
        <f t="shared" si="41"/>
        <v>4.4747609411577597E-3</v>
      </c>
      <c r="CS1089" s="21">
        <f t="shared" si="42"/>
        <v>11.1869023528944</v>
      </c>
    </row>
    <row r="1090" spans="2:97" x14ac:dyDescent="0.35">
      <c r="B1090" t="s">
        <v>299</v>
      </c>
      <c r="C1090" t="s">
        <v>3257</v>
      </c>
      <c r="D1090" t="s">
        <v>395</v>
      </c>
      <c r="E1090" t="s">
        <v>395</v>
      </c>
      <c r="F1090" t="s">
        <v>396</v>
      </c>
      <c r="G1090" t="s">
        <v>397</v>
      </c>
      <c r="H1090" t="s">
        <v>532</v>
      </c>
      <c r="I1090" t="s">
        <v>399</v>
      </c>
      <c r="J1090" t="s">
        <v>400</v>
      </c>
      <c r="K1090" t="s">
        <v>629</v>
      </c>
      <c r="L1090" t="s">
        <v>585</v>
      </c>
      <c r="M1090" t="s">
        <v>403</v>
      </c>
      <c r="N1090">
        <v>1</v>
      </c>
      <c r="O1090">
        <v>1</v>
      </c>
      <c r="P1090" t="s">
        <v>683</v>
      </c>
      <c r="Q1090" t="s">
        <v>430</v>
      </c>
      <c r="R1090" t="s">
        <v>684</v>
      </c>
      <c r="S1090" t="s">
        <v>685</v>
      </c>
      <c r="T1090" t="s">
        <v>408</v>
      </c>
      <c r="U1090">
        <v>50950082137</v>
      </c>
      <c r="W1090">
        <v>19200</v>
      </c>
      <c r="X1090" t="s">
        <v>409</v>
      </c>
      <c r="Y1090" t="s">
        <v>410</v>
      </c>
      <c r="Z1090" t="s">
        <v>410</v>
      </c>
      <c r="AA1090" t="s">
        <v>411</v>
      </c>
      <c r="AB1090" t="s">
        <v>554</v>
      </c>
      <c r="AC1090" t="s">
        <v>411</v>
      </c>
      <c r="AD1090">
        <v>46125</v>
      </c>
      <c r="AE1090">
        <v>46181</v>
      </c>
      <c r="AF1090">
        <v>46132</v>
      </c>
      <c r="AG1090" t="s">
        <v>590</v>
      </c>
      <c r="AH1090">
        <v>6198838</v>
      </c>
      <c r="AI1090">
        <v>46129</v>
      </c>
      <c r="AJ1090">
        <v>46130</v>
      </c>
      <c r="AK1090">
        <v>19200</v>
      </c>
      <c r="AL1090" t="s">
        <v>396</v>
      </c>
      <c r="AM1090" t="s">
        <v>3258</v>
      </c>
      <c r="AN1090">
        <v>46130</v>
      </c>
      <c r="AO1090">
        <v>46130.61037037037</v>
      </c>
      <c r="AP1090" t="s">
        <v>51</v>
      </c>
      <c r="AQ1090">
        <v>0.19275999999999999</v>
      </c>
      <c r="AR1090">
        <v>3700.99</v>
      </c>
      <c r="AS1090" t="s">
        <v>51</v>
      </c>
      <c r="AT1090">
        <v>3700.99</v>
      </c>
      <c r="AU1090" t="s">
        <v>415</v>
      </c>
      <c r="AV1090" t="s">
        <v>557</v>
      </c>
      <c r="AW1090" t="s">
        <v>3205</v>
      </c>
      <c r="AX1090">
        <v>46134</v>
      </c>
      <c r="AY1090">
        <v>46183</v>
      </c>
      <c r="AZ1090" t="s">
        <v>3221</v>
      </c>
      <c r="BA1090" t="s">
        <v>1274</v>
      </c>
      <c r="BB1090" t="s">
        <v>3222</v>
      </c>
      <c r="BC1090">
        <v>1600</v>
      </c>
      <c r="BD1090" t="s">
        <v>521</v>
      </c>
      <c r="BE1090">
        <v>4.4706000000000001</v>
      </c>
      <c r="BF1090">
        <v>2.7936000000000001</v>
      </c>
      <c r="BG1090" t="s">
        <v>522</v>
      </c>
      <c r="BH1090">
        <v>360</v>
      </c>
      <c r="BI1090">
        <v>260</v>
      </c>
      <c r="BJ1090">
        <v>220</v>
      </c>
      <c r="BK1090">
        <v>12</v>
      </c>
      <c r="BL1090" t="s">
        <v>521</v>
      </c>
      <c r="BM1090">
        <v>66.947199999999995</v>
      </c>
      <c r="BN1090">
        <v>33.523200000000003</v>
      </c>
      <c r="BO1090">
        <v>66.947199999999995</v>
      </c>
      <c r="BP1090" t="s">
        <v>522</v>
      </c>
      <c r="BQ1090">
        <v>820</v>
      </c>
      <c r="BR1090">
        <v>545</v>
      </c>
      <c r="BS1090">
        <v>876</v>
      </c>
      <c r="BT1090">
        <v>1</v>
      </c>
      <c r="BU1090">
        <v>0</v>
      </c>
      <c r="BV1090">
        <v>1</v>
      </c>
      <c r="BW1090">
        <v>12</v>
      </c>
      <c r="BX1090">
        <v>0</v>
      </c>
      <c r="BY1090">
        <v>12</v>
      </c>
      <c r="BZ1090">
        <v>19200</v>
      </c>
      <c r="CA1090">
        <v>0</v>
      </c>
      <c r="CB1090">
        <v>19200</v>
      </c>
      <c r="CC1090">
        <v>33.523200000000003</v>
      </c>
      <c r="CD1090" t="s">
        <v>687</v>
      </c>
      <c r="CE1090" t="s">
        <v>688</v>
      </c>
      <c r="CG1090" t="s">
        <v>421</v>
      </c>
      <c r="CN1090" t="str">
        <v>M19</v>
      </c>
      <c r="CO1090" t="str">
        <v>1202-5YY0024-76EN</v>
      </c>
      <c r="CP1090" t="str">
        <v>WHSU5613188</v>
      </c>
      <c r="CQ1090" s="23">
        <v>116.29415</v>
      </c>
      <c r="CR1090" s="25">
        <f t="shared" si="41"/>
        <v>5.8963956422039606E-3</v>
      </c>
      <c r="CS1090" s="21">
        <f t="shared" si="42"/>
        <v>14.740989105509902</v>
      </c>
    </row>
    <row r="1091" spans="2:97" x14ac:dyDescent="0.35">
      <c r="B1091" t="s">
        <v>3497</v>
      </c>
      <c r="C1091" t="s">
        <v>3259</v>
      </c>
      <c r="D1091" t="s">
        <v>395</v>
      </c>
      <c r="E1091" t="s">
        <v>395</v>
      </c>
      <c r="F1091" t="s">
        <v>396</v>
      </c>
      <c r="G1091" t="s">
        <v>397</v>
      </c>
      <c r="H1091" t="s">
        <v>398</v>
      </c>
      <c r="I1091" t="s">
        <v>399</v>
      </c>
      <c r="J1091" t="s">
        <v>400</v>
      </c>
      <c r="K1091" t="s">
        <v>515</v>
      </c>
      <c r="L1091" t="s">
        <v>585</v>
      </c>
      <c r="M1091" t="s">
        <v>403</v>
      </c>
      <c r="N1091">
        <v>1</v>
      </c>
      <c r="O1091">
        <v>1</v>
      </c>
      <c r="P1091" t="s">
        <v>1321</v>
      </c>
      <c r="Q1091" t="s">
        <v>424</v>
      </c>
      <c r="R1091" t="s">
        <v>691</v>
      </c>
      <c r="S1091" t="s">
        <v>1322</v>
      </c>
      <c r="T1091" t="s">
        <v>408</v>
      </c>
      <c r="U1091">
        <v>50950082013</v>
      </c>
      <c r="W1091">
        <v>18000</v>
      </c>
      <c r="X1091" t="s">
        <v>409</v>
      </c>
      <c r="Y1091" t="s">
        <v>410</v>
      </c>
      <c r="Z1091" t="s">
        <v>410</v>
      </c>
      <c r="AA1091" t="s">
        <v>411</v>
      </c>
      <c r="AB1091" t="s">
        <v>554</v>
      </c>
      <c r="AC1091" t="s">
        <v>411</v>
      </c>
      <c r="AD1091">
        <v>46125</v>
      </c>
      <c r="AE1091">
        <v>46195</v>
      </c>
      <c r="AF1091">
        <v>46132</v>
      </c>
      <c r="AG1091" t="s">
        <v>590</v>
      </c>
      <c r="AH1091">
        <v>6198839</v>
      </c>
      <c r="AI1091">
        <v>46129</v>
      </c>
      <c r="AJ1091">
        <v>46130</v>
      </c>
      <c r="AK1091">
        <v>18000</v>
      </c>
      <c r="AL1091" t="s">
        <v>396</v>
      </c>
      <c r="AM1091" t="s">
        <v>3260</v>
      </c>
      <c r="AN1091">
        <v>46130</v>
      </c>
      <c r="AO1091">
        <v>46130.61037037037</v>
      </c>
      <c r="AP1091" t="s">
        <v>51</v>
      </c>
      <c r="AQ1091">
        <v>6.3979999999999995E-2</v>
      </c>
      <c r="AR1091">
        <v>1151.6400000000001</v>
      </c>
      <c r="AS1091" t="s">
        <v>51</v>
      </c>
      <c r="AT1091">
        <v>1151.6400000000001</v>
      </c>
      <c r="AU1091" t="s">
        <v>415</v>
      </c>
      <c r="AV1091" t="s">
        <v>557</v>
      </c>
      <c r="AW1091" t="s">
        <v>3205</v>
      </c>
      <c r="AX1091">
        <v>46134</v>
      </c>
      <c r="AY1091">
        <v>46183</v>
      </c>
      <c r="AZ1091" t="s">
        <v>3221</v>
      </c>
      <c r="BA1091" t="s">
        <v>1274</v>
      </c>
      <c r="BB1091" t="s">
        <v>3222</v>
      </c>
      <c r="BC1091">
        <v>900</v>
      </c>
      <c r="BD1091" t="s">
        <v>521</v>
      </c>
      <c r="BE1091">
        <v>3.0463</v>
      </c>
      <c r="BF1091">
        <v>1.4462999999999999</v>
      </c>
      <c r="BG1091" t="s">
        <v>522</v>
      </c>
      <c r="BH1091">
        <v>395</v>
      </c>
      <c r="BI1091">
        <v>295</v>
      </c>
      <c r="BJ1091">
        <v>150</v>
      </c>
      <c r="BK1091">
        <v>48</v>
      </c>
      <c r="BL1091" t="s">
        <v>521</v>
      </c>
      <c r="BM1091">
        <v>84.926000000000002</v>
      </c>
      <c r="BN1091">
        <v>28.925999999999998</v>
      </c>
      <c r="BO1091">
        <v>84.926000000000002</v>
      </c>
      <c r="BP1091" t="s">
        <v>522</v>
      </c>
      <c r="BQ1091">
        <v>1200</v>
      </c>
      <c r="BR1091">
        <v>800</v>
      </c>
      <c r="BS1091">
        <v>1060</v>
      </c>
      <c r="BT1091">
        <v>0</v>
      </c>
      <c r="BU1091">
        <v>1</v>
      </c>
      <c r="BV1091">
        <v>1</v>
      </c>
      <c r="BW1091">
        <v>20</v>
      </c>
      <c r="BX1091">
        <v>0</v>
      </c>
      <c r="BY1091">
        <v>20</v>
      </c>
      <c r="BZ1091">
        <v>0</v>
      </c>
      <c r="CA1091">
        <v>18000</v>
      </c>
      <c r="CB1091">
        <v>18000</v>
      </c>
      <c r="CC1091">
        <v>28.925999999999998</v>
      </c>
      <c r="CD1091" t="s">
        <v>694</v>
      </c>
      <c r="CE1091" t="s">
        <v>695</v>
      </c>
      <c r="CG1091" t="s">
        <v>421</v>
      </c>
      <c r="CN1091" t="str">
        <v>M19</v>
      </c>
      <c r="CO1091" t="str">
        <v>1326-5YY0082EN</v>
      </c>
      <c r="CP1091" t="str">
        <v>WHSU5613188</v>
      </c>
      <c r="CQ1091" s="23">
        <v>66.947199999999995</v>
      </c>
      <c r="CR1091" s="25">
        <f t="shared" si="41"/>
        <v>3.3943855158471595E-3</v>
      </c>
      <c r="CS1091" s="21">
        <f t="shared" si="42"/>
        <v>8.4859637896178981</v>
      </c>
    </row>
    <row r="1092" spans="2:97" x14ac:dyDescent="0.35">
      <c r="B1092" t="s">
        <v>3497</v>
      </c>
      <c r="C1092" t="s">
        <v>3261</v>
      </c>
      <c r="D1092" t="s">
        <v>395</v>
      </c>
      <c r="E1092" t="s">
        <v>395</v>
      </c>
      <c r="F1092" t="s">
        <v>396</v>
      </c>
      <c r="G1092" t="s">
        <v>397</v>
      </c>
      <c r="H1092" t="s">
        <v>398</v>
      </c>
      <c r="I1092" t="s">
        <v>399</v>
      </c>
      <c r="J1092" t="s">
        <v>400</v>
      </c>
      <c r="K1092" t="s">
        <v>515</v>
      </c>
      <c r="L1092" t="s">
        <v>585</v>
      </c>
      <c r="M1092" t="s">
        <v>403</v>
      </c>
      <c r="N1092">
        <v>1</v>
      </c>
      <c r="O1092">
        <v>1</v>
      </c>
      <c r="P1092" t="s">
        <v>2630</v>
      </c>
      <c r="Q1092" t="s">
        <v>424</v>
      </c>
      <c r="R1092" t="s">
        <v>691</v>
      </c>
      <c r="S1092" t="s">
        <v>2631</v>
      </c>
      <c r="T1092" t="s">
        <v>408</v>
      </c>
      <c r="U1092">
        <v>50950082024</v>
      </c>
      <c r="W1092">
        <v>25920</v>
      </c>
      <c r="X1092" t="s">
        <v>409</v>
      </c>
      <c r="Y1092" t="s">
        <v>410</v>
      </c>
      <c r="Z1092" t="s">
        <v>410</v>
      </c>
      <c r="AA1092" t="s">
        <v>411</v>
      </c>
      <c r="AB1092" t="s">
        <v>554</v>
      </c>
      <c r="AC1092" t="s">
        <v>411</v>
      </c>
      <c r="AD1092">
        <v>46125</v>
      </c>
      <c r="AE1092">
        <v>46181</v>
      </c>
      <c r="AF1092">
        <v>46132</v>
      </c>
      <c r="AG1092" t="s">
        <v>590</v>
      </c>
      <c r="AH1092">
        <v>6198840</v>
      </c>
      <c r="AI1092">
        <v>46129</v>
      </c>
      <c r="AJ1092">
        <v>46130</v>
      </c>
      <c r="AK1092">
        <v>25920</v>
      </c>
      <c r="AL1092" t="s">
        <v>396</v>
      </c>
      <c r="AM1092" t="s">
        <v>3262</v>
      </c>
      <c r="AN1092">
        <v>46130</v>
      </c>
      <c r="AO1092">
        <v>46130.61037037037</v>
      </c>
      <c r="AP1092" t="s">
        <v>51</v>
      </c>
      <c r="AQ1092">
        <v>6.7369999999999999E-2</v>
      </c>
      <c r="AR1092">
        <v>1746.23</v>
      </c>
      <c r="AS1092" t="s">
        <v>51</v>
      </c>
      <c r="AT1092">
        <v>1746.23</v>
      </c>
      <c r="AU1092" t="s">
        <v>415</v>
      </c>
      <c r="AV1092" t="s">
        <v>557</v>
      </c>
      <c r="AW1092" t="s">
        <v>3205</v>
      </c>
      <c r="AX1092">
        <v>46134</v>
      </c>
      <c r="AY1092">
        <v>46183</v>
      </c>
      <c r="AZ1092" t="s">
        <v>3221</v>
      </c>
      <c r="BA1092" t="s">
        <v>1274</v>
      </c>
      <c r="BB1092" t="s">
        <v>3222</v>
      </c>
      <c r="BC1092">
        <v>1080</v>
      </c>
      <c r="BD1092" t="s">
        <v>521</v>
      </c>
      <c r="BE1092">
        <v>4.0278</v>
      </c>
      <c r="BF1092">
        <v>2.4278</v>
      </c>
      <c r="BG1092" t="s">
        <v>522</v>
      </c>
      <c r="BH1092">
        <v>395</v>
      </c>
      <c r="BI1092">
        <v>295</v>
      </c>
      <c r="BJ1092">
        <v>150</v>
      </c>
      <c r="BK1092">
        <v>48</v>
      </c>
      <c r="BL1092" t="s">
        <v>521</v>
      </c>
      <c r="BM1092">
        <v>120.66816</v>
      </c>
      <c r="BN1092">
        <v>58.268160000000002</v>
      </c>
      <c r="BO1092">
        <v>120.66816</v>
      </c>
      <c r="BP1092" t="s">
        <v>522</v>
      </c>
      <c r="BQ1092">
        <v>1200</v>
      </c>
      <c r="BR1092">
        <v>800</v>
      </c>
      <c r="BS1092">
        <v>1060</v>
      </c>
      <c r="BT1092">
        <v>0</v>
      </c>
      <c r="BU1092">
        <v>1</v>
      </c>
      <c r="BV1092">
        <v>1</v>
      </c>
      <c r="BW1092">
        <v>24</v>
      </c>
      <c r="BX1092">
        <v>0</v>
      </c>
      <c r="BY1092">
        <v>24</v>
      </c>
      <c r="BZ1092">
        <v>0</v>
      </c>
      <c r="CA1092">
        <v>25920</v>
      </c>
      <c r="CB1092">
        <v>25920</v>
      </c>
      <c r="CC1092">
        <v>58.268160000000002</v>
      </c>
      <c r="CD1092" t="s">
        <v>694</v>
      </c>
      <c r="CE1092" t="s">
        <v>695</v>
      </c>
      <c r="CG1092" t="s">
        <v>421</v>
      </c>
      <c r="CN1092" t="str">
        <v>M46</v>
      </c>
      <c r="CO1092" t="str">
        <v>1313-1060051EN</v>
      </c>
      <c r="CP1092" t="str">
        <v>WHSU5613188</v>
      </c>
      <c r="CQ1092" s="23">
        <v>323.55</v>
      </c>
      <c r="CR1092" s="25">
        <f t="shared" si="41"/>
        <v>1.6404770231650444E-2</v>
      </c>
      <c r="CS1092" s="21">
        <f t="shared" si="42"/>
        <v>41.011925579126114</v>
      </c>
    </row>
    <row r="1093" spans="2:97" x14ac:dyDescent="0.35">
      <c r="B1093" t="s">
        <v>298</v>
      </c>
      <c r="C1093" t="s">
        <v>3263</v>
      </c>
      <c r="D1093" t="s">
        <v>395</v>
      </c>
      <c r="E1093" t="s">
        <v>395</v>
      </c>
      <c r="F1093" t="s">
        <v>396</v>
      </c>
      <c r="G1093" t="s">
        <v>397</v>
      </c>
      <c r="H1093" t="s">
        <v>398</v>
      </c>
      <c r="I1093" t="s">
        <v>399</v>
      </c>
      <c r="J1093" t="s">
        <v>400</v>
      </c>
      <c r="K1093" t="s">
        <v>595</v>
      </c>
      <c r="L1093" t="s">
        <v>585</v>
      </c>
      <c r="M1093" t="s">
        <v>403</v>
      </c>
      <c r="N1093">
        <v>1</v>
      </c>
      <c r="O1093">
        <v>1</v>
      </c>
      <c r="P1093" t="s">
        <v>726</v>
      </c>
      <c r="Q1093" t="s">
        <v>405</v>
      </c>
      <c r="R1093" t="s">
        <v>675</v>
      </c>
      <c r="S1093" t="s">
        <v>676</v>
      </c>
      <c r="T1093" t="s">
        <v>408</v>
      </c>
      <c r="U1093">
        <v>50950082308</v>
      </c>
      <c r="W1093">
        <v>16000</v>
      </c>
      <c r="X1093" t="s">
        <v>409</v>
      </c>
      <c r="Y1093" t="s">
        <v>410</v>
      </c>
      <c r="Z1093" t="s">
        <v>410</v>
      </c>
      <c r="AA1093" t="s">
        <v>411</v>
      </c>
      <c r="AB1093" t="s">
        <v>554</v>
      </c>
      <c r="AC1093" t="s">
        <v>411</v>
      </c>
      <c r="AD1093">
        <v>46125</v>
      </c>
      <c r="AE1093">
        <v>46181</v>
      </c>
      <c r="AF1093">
        <v>46132</v>
      </c>
      <c r="AG1093" t="s">
        <v>590</v>
      </c>
      <c r="AH1093">
        <v>6198841</v>
      </c>
      <c r="AI1093">
        <v>46129</v>
      </c>
      <c r="AJ1093">
        <v>46130</v>
      </c>
      <c r="AK1093">
        <v>16000</v>
      </c>
      <c r="AL1093" t="s">
        <v>396</v>
      </c>
      <c r="AM1093" t="s">
        <v>3264</v>
      </c>
      <c r="AN1093">
        <v>46130</v>
      </c>
      <c r="AO1093">
        <v>46130.61037037037</v>
      </c>
      <c r="AP1093" t="s">
        <v>51</v>
      </c>
      <c r="AQ1093">
        <v>0.12222</v>
      </c>
      <c r="AR1093">
        <v>1955.52</v>
      </c>
      <c r="AS1093" t="s">
        <v>51</v>
      </c>
      <c r="AT1093">
        <v>1955.52</v>
      </c>
      <c r="AU1093" t="s">
        <v>415</v>
      </c>
      <c r="AV1093" t="s">
        <v>557</v>
      </c>
      <c r="AW1093" t="s">
        <v>3205</v>
      </c>
      <c r="AX1093">
        <v>46134</v>
      </c>
      <c r="AY1093">
        <v>46183</v>
      </c>
      <c r="AZ1093" t="s">
        <v>3221</v>
      </c>
      <c r="BA1093" t="s">
        <v>1274</v>
      </c>
      <c r="BB1093" t="s">
        <v>3222</v>
      </c>
      <c r="BC1093">
        <v>2000</v>
      </c>
      <c r="BD1093" t="s">
        <v>521</v>
      </c>
      <c r="BE1093">
        <v>10.0184</v>
      </c>
      <c r="BF1093">
        <v>9.6904000000000003</v>
      </c>
      <c r="BG1093" t="s">
        <v>522</v>
      </c>
      <c r="BH1093">
        <v>296</v>
      </c>
      <c r="BI1093">
        <v>195</v>
      </c>
      <c r="BJ1093">
        <v>145</v>
      </c>
      <c r="BK1093">
        <v>12</v>
      </c>
      <c r="BL1093" t="s">
        <v>521</v>
      </c>
      <c r="BM1093">
        <v>88.147199999999998</v>
      </c>
      <c r="BN1093">
        <v>77.523200000000003</v>
      </c>
      <c r="BO1093">
        <v>88.147199999999998</v>
      </c>
      <c r="BP1093" t="s">
        <v>522</v>
      </c>
      <c r="BQ1093">
        <v>800</v>
      </c>
      <c r="BR1093">
        <v>300</v>
      </c>
      <c r="BS1093">
        <v>608</v>
      </c>
      <c r="BT1093">
        <v>0</v>
      </c>
      <c r="BU1093">
        <v>1</v>
      </c>
      <c r="BV1093">
        <v>1</v>
      </c>
      <c r="BW1093">
        <v>8</v>
      </c>
      <c r="BX1093">
        <v>0</v>
      </c>
      <c r="BY1093">
        <v>8</v>
      </c>
      <c r="BZ1093">
        <v>0</v>
      </c>
      <c r="CA1093">
        <v>16000</v>
      </c>
      <c r="CB1093">
        <v>16000</v>
      </c>
      <c r="CC1093">
        <v>77.523200000000003</v>
      </c>
      <c r="CD1093" t="s">
        <v>523</v>
      </c>
      <c r="CE1093" t="s">
        <v>728</v>
      </c>
      <c r="CG1093" t="s">
        <v>421</v>
      </c>
      <c r="CN1093" t="str">
        <v>M45</v>
      </c>
      <c r="CO1093" t="str">
        <v>1110-10C0058EN</v>
      </c>
      <c r="CP1093" t="str">
        <v>WHSU5613188</v>
      </c>
      <c r="CQ1093" s="23">
        <v>21.986000000000001</v>
      </c>
      <c r="CR1093" s="25">
        <f t="shared" si="41"/>
        <v>1.1147435583775819E-3</v>
      </c>
      <c r="CS1093" s="21">
        <f t="shared" si="42"/>
        <v>2.7868588959439546</v>
      </c>
    </row>
    <row r="1094" spans="2:97" x14ac:dyDescent="0.35">
      <c r="B1094" t="s">
        <v>298</v>
      </c>
      <c r="C1094" t="s">
        <v>3265</v>
      </c>
      <c r="D1094" t="s">
        <v>395</v>
      </c>
      <c r="E1094" t="s">
        <v>395</v>
      </c>
      <c r="F1094" t="s">
        <v>396</v>
      </c>
      <c r="G1094" t="s">
        <v>397</v>
      </c>
      <c r="H1094" t="s">
        <v>398</v>
      </c>
      <c r="I1094" t="s">
        <v>399</v>
      </c>
      <c r="J1094" t="s">
        <v>400</v>
      </c>
      <c r="K1094" t="s">
        <v>515</v>
      </c>
      <c r="L1094" t="s">
        <v>585</v>
      </c>
      <c r="M1094" t="s">
        <v>403</v>
      </c>
      <c r="N1094">
        <v>1</v>
      </c>
      <c r="O1094">
        <v>1</v>
      </c>
      <c r="P1094" t="s">
        <v>3266</v>
      </c>
      <c r="Q1094" t="s">
        <v>430</v>
      </c>
      <c r="R1094" t="s">
        <v>3267</v>
      </c>
      <c r="S1094" t="s">
        <v>3268</v>
      </c>
      <c r="T1094" t="s">
        <v>408</v>
      </c>
      <c r="U1094">
        <v>50950082310</v>
      </c>
      <c r="W1094">
        <v>16000</v>
      </c>
      <c r="X1094" t="s">
        <v>409</v>
      </c>
      <c r="Y1094" t="s">
        <v>410</v>
      </c>
      <c r="Z1094" t="s">
        <v>410</v>
      </c>
      <c r="AA1094" t="s">
        <v>411</v>
      </c>
      <c r="AB1094" t="s">
        <v>554</v>
      </c>
      <c r="AC1094" t="s">
        <v>411</v>
      </c>
      <c r="AD1094">
        <v>46125</v>
      </c>
      <c r="AE1094">
        <v>46181</v>
      </c>
      <c r="AF1094">
        <v>46132</v>
      </c>
      <c r="AG1094" t="s">
        <v>590</v>
      </c>
      <c r="AH1094">
        <v>6198842</v>
      </c>
      <c r="AI1094">
        <v>46129</v>
      </c>
      <c r="AJ1094">
        <v>46130</v>
      </c>
      <c r="AK1094">
        <v>16000</v>
      </c>
      <c r="AL1094" t="s">
        <v>396</v>
      </c>
      <c r="AM1094" t="s">
        <v>3269</v>
      </c>
      <c r="AN1094">
        <v>46130</v>
      </c>
      <c r="AO1094">
        <v>46130.61037037037</v>
      </c>
      <c r="AP1094" t="s">
        <v>51</v>
      </c>
      <c r="AQ1094">
        <v>3.79E-3</v>
      </c>
      <c r="AR1094">
        <v>60.64</v>
      </c>
      <c r="AS1094" t="s">
        <v>51</v>
      </c>
      <c r="AT1094">
        <v>60.64</v>
      </c>
      <c r="AU1094" t="s">
        <v>415</v>
      </c>
      <c r="AV1094" t="s">
        <v>557</v>
      </c>
      <c r="AW1094" t="s">
        <v>3205</v>
      </c>
      <c r="AX1094">
        <v>46134</v>
      </c>
      <c r="AY1094">
        <v>46183</v>
      </c>
      <c r="AZ1094" t="s">
        <v>3221</v>
      </c>
      <c r="BA1094" t="s">
        <v>1274</v>
      </c>
      <c r="BB1094" t="s">
        <v>3222</v>
      </c>
      <c r="BC1094">
        <v>16000</v>
      </c>
      <c r="BD1094" t="s">
        <v>521</v>
      </c>
      <c r="BE1094">
        <v>15.239000000000001</v>
      </c>
      <c r="BF1094">
        <v>14.56</v>
      </c>
      <c r="BG1094" t="s">
        <v>522</v>
      </c>
      <c r="BH1094">
        <v>395</v>
      </c>
      <c r="BI1094">
        <v>295</v>
      </c>
      <c r="BJ1094">
        <v>174</v>
      </c>
      <c r="BK1094">
        <v>6</v>
      </c>
      <c r="BL1094" t="s">
        <v>521</v>
      </c>
      <c r="BM1094">
        <v>23.239000000000001</v>
      </c>
      <c r="BN1094">
        <v>14.56</v>
      </c>
      <c r="BO1094">
        <v>23.239000000000001</v>
      </c>
      <c r="BP1094" t="s">
        <v>522</v>
      </c>
      <c r="BQ1094">
        <v>800</v>
      </c>
      <c r="BR1094">
        <v>300</v>
      </c>
      <c r="BS1094">
        <v>698</v>
      </c>
      <c r="BT1094">
        <v>0</v>
      </c>
      <c r="BU1094">
        <v>1</v>
      </c>
      <c r="BV1094">
        <v>1</v>
      </c>
      <c r="BW1094">
        <v>1</v>
      </c>
      <c r="BX1094">
        <v>0</v>
      </c>
      <c r="BY1094">
        <v>1</v>
      </c>
      <c r="BZ1094">
        <v>0</v>
      </c>
      <c r="CA1094">
        <v>16000</v>
      </c>
      <c r="CB1094">
        <v>16000</v>
      </c>
      <c r="CC1094">
        <v>14.56</v>
      </c>
      <c r="CD1094" t="s">
        <v>659</v>
      </c>
      <c r="CE1094" t="s">
        <v>1006</v>
      </c>
      <c r="CG1094" t="s">
        <v>421</v>
      </c>
      <c r="CN1094" t="str">
        <v>M46</v>
      </c>
      <c r="CO1094" t="str">
        <v>1101-EQN0001EN</v>
      </c>
      <c r="CP1094" t="str">
        <v>WHSU5613188</v>
      </c>
      <c r="CQ1094" s="23">
        <v>35.290999999999997</v>
      </c>
      <c r="CR1094" s="25">
        <f t="shared" ref="CR1094:CR1157" si="46">IFERROR(CQ1094/(SUMIFS(CQ:CQ,CP:CP,CP1094)),100%)</f>
        <v>1.7893393486174492E-3</v>
      </c>
      <c r="CS1094" s="21">
        <f t="shared" si="42"/>
        <v>4.4733483715436231</v>
      </c>
    </row>
    <row r="1095" spans="2:97" x14ac:dyDescent="0.35">
      <c r="B1095" t="s">
        <v>298</v>
      </c>
      <c r="C1095" t="s">
        <v>3270</v>
      </c>
      <c r="D1095" t="s">
        <v>395</v>
      </c>
      <c r="E1095" t="s">
        <v>395</v>
      </c>
      <c r="F1095" t="s">
        <v>396</v>
      </c>
      <c r="G1095" t="s">
        <v>397</v>
      </c>
      <c r="H1095" t="s">
        <v>398</v>
      </c>
      <c r="I1095" t="s">
        <v>399</v>
      </c>
      <c r="J1095" t="s">
        <v>400</v>
      </c>
      <c r="K1095" t="s">
        <v>845</v>
      </c>
      <c r="L1095" t="s">
        <v>585</v>
      </c>
      <c r="M1095" t="s">
        <v>403</v>
      </c>
      <c r="N1095">
        <v>1</v>
      </c>
      <c r="O1095">
        <v>1</v>
      </c>
      <c r="P1095" t="s">
        <v>2305</v>
      </c>
      <c r="Q1095" t="s">
        <v>424</v>
      </c>
      <c r="R1095" t="s">
        <v>2306</v>
      </c>
      <c r="S1095" t="s">
        <v>2307</v>
      </c>
      <c r="T1095" t="s">
        <v>408</v>
      </c>
      <c r="U1095">
        <v>50950082313</v>
      </c>
      <c r="W1095">
        <v>10000</v>
      </c>
      <c r="X1095" t="s">
        <v>409</v>
      </c>
      <c r="Y1095" t="s">
        <v>410</v>
      </c>
      <c r="Z1095" t="s">
        <v>410</v>
      </c>
      <c r="AA1095" t="s">
        <v>411</v>
      </c>
      <c r="AB1095" t="s">
        <v>554</v>
      </c>
      <c r="AC1095" t="s">
        <v>411</v>
      </c>
      <c r="AD1095">
        <v>46125</v>
      </c>
      <c r="AE1095">
        <v>46181</v>
      </c>
      <c r="AF1095">
        <v>46132</v>
      </c>
      <c r="AG1095" t="s">
        <v>590</v>
      </c>
      <c r="AH1095">
        <v>6198843</v>
      </c>
      <c r="AI1095">
        <v>46129</v>
      </c>
      <c r="AJ1095">
        <v>46130</v>
      </c>
      <c r="AK1095">
        <v>10000</v>
      </c>
      <c r="AL1095" t="s">
        <v>396</v>
      </c>
      <c r="AM1095" t="s">
        <v>3271</v>
      </c>
      <c r="AN1095">
        <v>46130</v>
      </c>
      <c r="AO1095">
        <v>46130.61037037037</v>
      </c>
      <c r="AP1095" t="s">
        <v>51</v>
      </c>
      <c r="AQ1095">
        <v>3.6569999999999998E-2</v>
      </c>
      <c r="AR1095">
        <v>365.7</v>
      </c>
      <c r="AS1095" t="s">
        <v>51</v>
      </c>
      <c r="AT1095">
        <v>365.7</v>
      </c>
      <c r="AU1095" t="s">
        <v>415</v>
      </c>
      <c r="AV1095" t="s">
        <v>557</v>
      </c>
      <c r="AW1095" t="s">
        <v>3205</v>
      </c>
      <c r="AX1095">
        <v>46134</v>
      </c>
      <c r="AY1095">
        <v>46183</v>
      </c>
      <c r="AZ1095" t="s">
        <v>3221</v>
      </c>
      <c r="BA1095" t="s">
        <v>1274</v>
      </c>
      <c r="BB1095" t="s">
        <v>3222</v>
      </c>
      <c r="BC1095">
        <v>400</v>
      </c>
      <c r="BD1095" t="s">
        <v>521</v>
      </c>
      <c r="BE1095">
        <v>11.862</v>
      </c>
      <c r="BF1095">
        <v>10.992000000000001</v>
      </c>
      <c r="BG1095" t="s">
        <v>522</v>
      </c>
      <c r="BH1095">
        <v>595</v>
      </c>
      <c r="BI1095">
        <v>395</v>
      </c>
      <c r="BJ1095">
        <v>190</v>
      </c>
      <c r="BK1095">
        <v>25</v>
      </c>
      <c r="BL1095" t="s">
        <v>521</v>
      </c>
      <c r="BM1095">
        <v>323.55</v>
      </c>
      <c r="BN1095">
        <v>274.8</v>
      </c>
      <c r="BO1095">
        <v>323.55</v>
      </c>
      <c r="BP1095" t="s">
        <v>522</v>
      </c>
      <c r="BQ1095">
        <v>1200</v>
      </c>
      <c r="BR1095">
        <v>1000</v>
      </c>
      <c r="BS1095">
        <v>1088</v>
      </c>
      <c r="BT1095">
        <v>1</v>
      </c>
      <c r="BU1095">
        <v>0</v>
      </c>
      <c r="BV1095">
        <v>1</v>
      </c>
      <c r="BW1095">
        <v>25</v>
      </c>
      <c r="BX1095">
        <v>0</v>
      </c>
      <c r="BY1095">
        <v>25</v>
      </c>
      <c r="BZ1095">
        <v>10000</v>
      </c>
      <c r="CA1095">
        <v>0</v>
      </c>
      <c r="CB1095">
        <v>10000</v>
      </c>
      <c r="CC1095">
        <v>274.8</v>
      </c>
      <c r="CD1095" t="s">
        <v>842</v>
      </c>
      <c r="CE1095" t="s">
        <v>898</v>
      </c>
      <c r="CG1095" t="s">
        <v>421</v>
      </c>
      <c r="CN1095" t="str">
        <v>M01</v>
      </c>
      <c r="CO1095" t="str">
        <v>1104-1030078EN</v>
      </c>
      <c r="CP1095" t="str">
        <v>WHSU5760194</v>
      </c>
      <c r="CQ1095" s="23">
        <v>20.159996717005907</v>
      </c>
      <c r="CR1095" s="25">
        <f t="shared" si="46"/>
        <v>1.2325032804297439E-3</v>
      </c>
      <c r="CS1095" s="21">
        <f t="shared" ref="CS1095:CS1158" si="47">CR1095*$CS$2</f>
        <v>3.0812582010743599</v>
      </c>
    </row>
    <row r="1096" spans="2:97" x14ac:dyDescent="0.35">
      <c r="B1096" s="34" t="s">
        <v>296</v>
      </c>
      <c r="C1096" t="s">
        <v>3272</v>
      </c>
      <c r="D1096" t="s">
        <v>395</v>
      </c>
      <c r="E1096" t="s">
        <v>395</v>
      </c>
      <c r="F1096" t="s">
        <v>396</v>
      </c>
      <c r="G1096" t="s">
        <v>397</v>
      </c>
      <c r="H1096" t="s">
        <v>398</v>
      </c>
      <c r="I1096" t="s">
        <v>399</v>
      </c>
      <c r="J1096" t="s">
        <v>400</v>
      </c>
      <c r="K1096" t="s">
        <v>595</v>
      </c>
      <c r="L1096" t="s">
        <v>585</v>
      </c>
      <c r="M1096" t="s">
        <v>403</v>
      </c>
      <c r="N1096">
        <v>1</v>
      </c>
      <c r="O1096">
        <v>1</v>
      </c>
      <c r="P1096" t="s">
        <v>3273</v>
      </c>
      <c r="Q1096" t="s">
        <v>424</v>
      </c>
      <c r="R1096" t="s">
        <v>675</v>
      </c>
      <c r="S1096" t="s">
        <v>676</v>
      </c>
      <c r="T1096" t="s">
        <v>408</v>
      </c>
      <c r="U1096">
        <v>50950082444</v>
      </c>
      <c r="W1096">
        <v>50000</v>
      </c>
      <c r="X1096" t="s">
        <v>409</v>
      </c>
      <c r="Y1096" t="s">
        <v>410</v>
      </c>
      <c r="Z1096" t="s">
        <v>410</v>
      </c>
      <c r="AA1096" t="s">
        <v>411</v>
      </c>
      <c r="AB1096" t="s">
        <v>554</v>
      </c>
      <c r="AC1096" t="s">
        <v>411</v>
      </c>
      <c r="AD1096">
        <v>46122</v>
      </c>
      <c r="AE1096">
        <v>46174</v>
      </c>
      <c r="AF1096">
        <v>46132</v>
      </c>
      <c r="AG1096" t="s">
        <v>590</v>
      </c>
      <c r="AH1096">
        <v>6198844</v>
      </c>
      <c r="AI1096">
        <v>46129</v>
      </c>
      <c r="AJ1096">
        <v>46130</v>
      </c>
      <c r="AK1096">
        <v>50000</v>
      </c>
      <c r="AL1096" t="s">
        <v>396</v>
      </c>
      <c r="AM1096" t="s">
        <v>3274</v>
      </c>
      <c r="AN1096">
        <v>46130</v>
      </c>
      <c r="AO1096">
        <v>46130.61037037037</v>
      </c>
      <c r="AP1096" t="s">
        <v>51</v>
      </c>
      <c r="AQ1096">
        <v>0.15032999999999999</v>
      </c>
      <c r="AR1096">
        <v>7516.5</v>
      </c>
      <c r="AS1096" t="s">
        <v>51</v>
      </c>
      <c r="AT1096">
        <v>7516.5</v>
      </c>
      <c r="AU1096" t="s">
        <v>415</v>
      </c>
      <c r="AV1096" t="s">
        <v>557</v>
      </c>
      <c r="AW1096" t="s">
        <v>3205</v>
      </c>
      <c r="AX1096">
        <v>46134</v>
      </c>
      <c r="AY1096">
        <v>46183</v>
      </c>
      <c r="AZ1096" t="s">
        <v>3221</v>
      </c>
      <c r="BA1096" t="s">
        <v>1274</v>
      </c>
      <c r="BB1096" t="s">
        <v>3222</v>
      </c>
      <c r="BC1096">
        <v>1000</v>
      </c>
      <c r="BD1096" t="s">
        <v>521</v>
      </c>
      <c r="BE1096">
        <v>15.5648</v>
      </c>
      <c r="BF1096">
        <v>15.097799999999999</v>
      </c>
      <c r="BG1096" t="s">
        <v>522</v>
      </c>
      <c r="BH1096">
        <v>300</v>
      </c>
      <c r="BI1096">
        <v>200</v>
      </c>
      <c r="BJ1096">
        <v>140</v>
      </c>
      <c r="BK1096">
        <v>16</v>
      </c>
      <c r="BL1096" t="s">
        <v>521</v>
      </c>
      <c r="BM1096">
        <v>257.03680000000003</v>
      </c>
      <c r="BN1096">
        <v>241.56479999999999</v>
      </c>
      <c r="BO1096">
        <v>810.24</v>
      </c>
      <c r="BP1096" t="s">
        <v>522</v>
      </c>
      <c r="BQ1096">
        <v>800</v>
      </c>
      <c r="BR1096">
        <v>300</v>
      </c>
      <c r="BS1096">
        <v>718</v>
      </c>
      <c r="BT1096">
        <v>3</v>
      </c>
      <c r="BU1096">
        <v>1</v>
      </c>
      <c r="BV1096">
        <v>4</v>
      </c>
      <c r="BW1096">
        <v>50</v>
      </c>
      <c r="BX1096">
        <v>0</v>
      </c>
      <c r="BY1096">
        <v>50</v>
      </c>
      <c r="BZ1096">
        <v>48000</v>
      </c>
      <c r="CA1096">
        <v>2000</v>
      </c>
      <c r="CB1096">
        <v>50000</v>
      </c>
      <c r="CC1096">
        <v>754.89</v>
      </c>
      <c r="CD1096" t="s">
        <v>671</v>
      </c>
      <c r="CE1096" t="s">
        <v>678</v>
      </c>
      <c r="CG1096" t="s">
        <v>421</v>
      </c>
      <c r="CN1096" t="str">
        <v>M01</v>
      </c>
      <c r="CO1096" t="str">
        <v>1318-1030030EN</v>
      </c>
      <c r="CP1096" t="str">
        <v>WHSU5760194</v>
      </c>
      <c r="CQ1096" s="23">
        <v>20</v>
      </c>
      <c r="CR1096" s="25">
        <f t="shared" si="46"/>
        <v>1.2227217074793166E-3</v>
      </c>
      <c r="CS1096" s="21">
        <f t="shared" si="47"/>
        <v>3.0568042686982917</v>
      </c>
    </row>
    <row r="1097" spans="2:97" x14ac:dyDescent="0.35">
      <c r="B1097" t="s">
        <v>298</v>
      </c>
      <c r="C1097" t="s">
        <v>3275</v>
      </c>
      <c r="D1097" t="s">
        <v>395</v>
      </c>
      <c r="E1097" t="s">
        <v>395</v>
      </c>
      <c r="F1097" t="s">
        <v>396</v>
      </c>
      <c r="G1097" t="s">
        <v>397</v>
      </c>
      <c r="H1097" t="s">
        <v>398</v>
      </c>
      <c r="I1097" t="s">
        <v>399</v>
      </c>
      <c r="J1097" t="s">
        <v>400</v>
      </c>
      <c r="K1097" t="s">
        <v>515</v>
      </c>
      <c r="L1097" t="s">
        <v>585</v>
      </c>
      <c r="M1097" t="s">
        <v>403</v>
      </c>
      <c r="N1097">
        <v>1</v>
      </c>
      <c r="O1097">
        <v>1</v>
      </c>
      <c r="P1097" t="s">
        <v>1343</v>
      </c>
      <c r="Q1097" t="s">
        <v>405</v>
      </c>
      <c r="R1097" t="s">
        <v>1344</v>
      </c>
      <c r="S1097" t="s">
        <v>1265</v>
      </c>
      <c r="T1097" t="s">
        <v>408</v>
      </c>
      <c r="U1097">
        <v>50950082461</v>
      </c>
      <c r="W1097">
        <v>10000</v>
      </c>
      <c r="X1097" t="s">
        <v>409</v>
      </c>
      <c r="Y1097" t="s">
        <v>410</v>
      </c>
      <c r="Z1097" t="s">
        <v>410</v>
      </c>
      <c r="AA1097" t="s">
        <v>411</v>
      </c>
      <c r="AB1097" t="s">
        <v>554</v>
      </c>
      <c r="AC1097" t="s">
        <v>411</v>
      </c>
      <c r="AD1097">
        <v>46125</v>
      </c>
      <c r="AE1097">
        <v>46181</v>
      </c>
      <c r="AF1097">
        <v>46132</v>
      </c>
      <c r="AG1097" t="s">
        <v>590</v>
      </c>
      <c r="AH1097">
        <v>6198845</v>
      </c>
      <c r="AI1097">
        <v>46129</v>
      </c>
      <c r="AJ1097">
        <v>46130</v>
      </c>
      <c r="AK1097">
        <v>10000</v>
      </c>
      <c r="AL1097" t="s">
        <v>396</v>
      </c>
      <c r="AM1097" t="s">
        <v>3276</v>
      </c>
      <c r="AN1097">
        <v>46130</v>
      </c>
      <c r="AO1097">
        <v>46130.61037037037</v>
      </c>
      <c r="AP1097" t="s">
        <v>51</v>
      </c>
      <c r="AQ1097">
        <v>1.09E-3</v>
      </c>
      <c r="AR1097">
        <v>10.9</v>
      </c>
      <c r="AS1097" t="s">
        <v>51</v>
      </c>
      <c r="AT1097">
        <v>10.9</v>
      </c>
      <c r="AU1097" t="s">
        <v>415</v>
      </c>
      <c r="AV1097" t="s">
        <v>557</v>
      </c>
      <c r="AW1097" t="s">
        <v>3205</v>
      </c>
      <c r="AX1097">
        <v>46134</v>
      </c>
      <c r="AY1097">
        <v>46183</v>
      </c>
      <c r="AZ1097" t="s">
        <v>3221</v>
      </c>
      <c r="BA1097" t="s">
        <v>1274</v>
      </c>
      <c r="BB1097" t="s">
        <v>3222</v>
      </c>
      <c r="BC1097">
        <v>80000</v>
      </c>
      <c r="BD1097" t="s">
        <v>521</v>
      </c>
      <c r="BE1097">
        <v>1.85</v>
      </c>
      <c r="BF1097">
        <v>1.1499999999999999</v>
      </c>
      <c r="BG1097" t="s">
        <v>522</v>
      </c>
      <c r="BH1097">
        <v>398</v>
      </c>
      <c r="BI1097">
        <v>375</v>
      </c>
      <c r="BJ1097">
        <v>234</v>
      </c>
      <c r="BK1097">
        <v>8</v>
      </c>
      <c r="BL1097" t="s">
        <v>521</v>
      </c>
      <c r="BM1097">
        <v>9.85</v>
      </c>
      <c r="BN1097">
        <v>1.1499999999999999</v>
      </c>
      <c r="BO1097">
        <v>9.85</v>
      </c>
      <c r="BP1097" t="s">
        <v>522</v>
      </c>
      <c r="BQ1097">
        <v>800</v>
      </c>
      <c r="BR1097">
        <v>300</v>
      </c>
      <c r="BS1097">
        <v>625</v>
      </c>
      <c r="BT1097">
        <v>0</v>
      </c>
      <c r="BU1097">
        <v>1</v>
      </c>
      <c r="BV1097">
        <v>1</v>
      </c>
      <c r="BW1097">
        <v>0</v>
      </c>
      <c r="BX1097">
        <v>1</v>
      </c>
      <c r="BY1097">
        <v>1</v>
      </c>
      <c r="BZ1097">
        <v>0</v>
      </c>
      <c r="CA1097">
        <v>10000</v>
      </c>
      <c r="CB1097">
        <v>10000</v>
      </c>
      <c r="CC1097">
        <v>1.1499999999999999</v>
      </c>
      <c r="CD1097" t="s">
        <v>1346</v>
      </c>
      <c r="CE1097" t="s">
        <v>1347</v>
      </c>
      <c r="CG1097" t="s">
        <v>421</v>
      </c>
      <c r="CN1097" t="str">
        <v>M01</v>
      </c>
      <c r="CO1097" t="str">
        <v>1318-1030054EN</v>
      </c>
      <c r="CP1097" t="str">
        <v>WHSU5760194</v>
      </c>
      <c r="CQ1097" s="23">
        <v>10</v>
      </c>
      <c r="CR1097" s="25">
        <f t="shared" si="46"/>
        <v>6.1136085373965832E-4</v>
      </c>
      <c r="CS1097" s="21">
        <f t="shared" si="47"/>
        <v>1.5284021343491458</v>
      </c>
    </row>
    <row r="1098" spans="2:97" x14ac:dyDescent="0.35">
      <c r="B1098" s="34" t="s">
        <v>297</v>
      </c>
      <c r="C1098" t="s">
        <v>3277</v>
      </c>
      <c r="D1098" t="s">
        <v>395</v>
      </c>
      <c r="E1098" t="s">
        <v>395</v>
      </c>
      <c r="F1098" t="s">
        <v>396</v>
      </c>
      <c r="G1098" t="s">
        <v>397</v>
      </c>
      <c r="H1098" t="s">
        <v>398</v>
      </c>
      <c r="I1098" t="s">
        <v>399</v>
      </c>
      <c r="J1098" t="s">
        <v>400</v>
      </c>
      <c r="K1098" t="s">
        <v>595</v>
      </c>
      <c r="L1098" t="s">
        <v>585</v>
      </c>
      <c r="M1098" t="s">
        <v>403</v>
      </c>
      <c r="N1098">
        <v>1</v>
      </c>
      <c r="O1098">
        <v>1</v>
      </c>
      <c r="P1098" t="s">
        <v>3278</v>
      </c>
      <c r="Q1098" t="s">
        <v>424</v>
      </c>
      <c r="R1098" t="s">
        <v>675</v>
      </c>
      <c r="S1098" t="s">
        <v>676</v>
      </c>
      <c r="T1098" t="s">
        <v>408</v>
      </c>
      <c r="U1098">
        <v>50950082470</v>
      </c>
      <c r="W1098">
        <v>5000</v>
      </c>
      <c r="X1098" t="s">
        <v>409</v>
      </c>
      <c r="Y1098" t="s">
        <v>410</v>
      </c>
      <c r="Z1098" t="s">
        <v>410</v>
      </c>
      <c r="AA1098" t="s">
        <v>411</v>
      </c>
      <c r="AB1098" t="s">
        <v>554</v>
      </c>
      <c r="AC1098" t="s">
        <v>411</v>
      </c>
      <c r="AD1098">
        <v>46127</v>
      </c>
      <c r="AE1098">
        <v>46202</v>
      </c>
      <c r="AF1098">
        <v>46132</v>
      </c>
      <c r="AG1098" t="s">
        <v>590</v>
      </c>
      <c r="AH1098">
        <v>6198846</v>
      </c>
      <c r="AI1098">
        <v>46129</v>
      </c>
      <c r="AJ1098">
        <v>46130</v>
      </c>
      <c r="AK1098">
        <v>5000</v>
      </c>
      <c r="AL1098" t="s">
        <v>396</v>
      </c>
      <c r="AM1098" t="s">
        <v>3279</v>
      </c>
      <c r="AN1098">
        <v>46130</v>
      </c>
      <c r="AO1098">
        <v>46130.61037037037</v>
      </c>
      <c r="AP1098" t="s">
        <v>51</v>
      </c>
      <c r="AQ1098">
        <v>7.1940000000000004E-2</v>
      </c>
      <c r="AR1098">
        <v>359.7</v>
      </c>
      <c r="AS1098" t="s">
        <v>51</v>
      </c>
      <c r="AT1098">
        <v>359.7</v>
      </c>
      <c r="AU1098" t="s">
        <v>415</v>
      </c>
      <c r="AV1098" t="s">
        <v>557</v>
      </c>
      <c r="AW1098" t="s">
        <v>3205</v>
      </c>
      <c r="AX1098">
        <v>46134</v>
      </c>
      <c r="AY1098">
        <v>46183</v>
      </c>
      <c r="AZ1098" t="s">
        <v>3221</v>
      </c>
      <c r="BA1098" t="s">
        <v>1274</v>
      </c>
      <c r="BB1098" t="s">
        <v>3222</v>
      </c>
      <c r="BC1098">
        <v>1000</v>
      </c>
      <c r="BD1098" t="s">
        <v>521</v>
      </c>
      <c r="BE1098">
        <v>10.233000000000001</v>
      </c>
      <c r="BF1098">
        <v>9.766</v>
      </c>
      <c r="BG1098" t="s">
        <v>522</v>
      </c>
      <c r="BH1098">
        <v>300</v>
      </c>
      <c r="BI1098">
        <v>200</v>
      </c>
      <c r="BJ1098">
        <v>140</v>
      </c>
      <c r="BK1098">
        <v>16</v>
      </c>
      <c r="BL1098" t="s">
        <v>521</v>
      </c>
      <c r="BM1098">
        <v>59.164999999999999</v>
      </c>
      <c r="BN1098">
        <v>48.83</v>
      </c>
      <c r="BO1098">
        <v>59.164999999999999</v>
      </c>
      <c r="BP1098" t="s">
        <v>522</v>
      </c>
      <c r="BQ1098">
        <v>800</v>
      </c>
      <c r="BR1098">
        <v>300</v>
      </c>
      <c r="BS1098">
        <v>718</v>
      </c>
      <c r="BT1098">
        <v>0</v>
      </c>
      <c r="BU1098">
        <v>1</v>
      </c>
      <c r="BV1098">
        <v>1</v>
      </c>
      <c r="BW1098">
        <v>5</v>
      </c>
      <c r="BX1098">
        <v>0</v>
      </c>
      <c r="BY1098">
        <v>5</v>
      </c>
      <c r="BZ1098">
        <v>0</v>
      </c>
      <c r="CA1098">
        <v>5000</v>
      </c>
      <c r="CB1098">
        <v>5000</v>
      </c>
      <c r="CC1098">
        <v>48.83</v>
      </c>
      <c r="CD1098" t="s">
        <v>671</v>
      </c>
      <c r="CE1098" t="s">
        <v>678</v>
      </c>
      <c r="CG1098" t="s">
        <v>421</v>
      </c>
      <c r="CN1098" t="str">
        <v>M01</v>
      </c>
      <c r="CO1098" t="str">
        <v>1307-1030122EN</v>
      </c>
      <c r="CP1098" t="str">
        <v>WHSU5760194</v>
      </c>
      <c r="CQ1098" s="23">
        <v>1500</v>
      </c>
      <c r="CR1098" s="25">
        <f t="shared" si="46"/>
        <v>9.1704128060948742E-2</v>
      </c>
      <c r="CS1098" s="21">
        <f t="shared" si="47"/>
        <v>229.26032015237186</v>
      </c>
    </row>
    <row r="1099" spans="2:97" x14ac:dyDescent="0.35">
      <c r="B1099" t="s">
        <v>295</v>
      </c>
      <c r="C1099" t="s">
        <v>3280</v>
      </c>
      <c r="D1099" t="s">
        <v>395</v>
      </c>
      <c r="E1099" t="s">
        <v>395</v>
      </c>
      <c r="F1099" t="s">
        <v>396</v>
      </c>
      <c r="G1099" t="s">
        <v>397</v>
      </c>
      <c r="H1099" t="s">
        <v>398</v>
      </c>
      <c r="I1099" t="s">
        <v>399</v>
      </c>
      <c r="J1099" t="s">
        <v>400</v>
      </c>
      <c r="K1099" t="s">
        <v>595</v>
      </c>
      <c r="L1099" t="s">
        <v>585</v>
      </c>
      <c r="M1099" t="s">
        <v>403</v>
      </c>
      <c r="N1099">
        <v>1</v>
      </c>
      <c r="O1099">
        <v>1</v>
      </c>
      <c r="P1099" t="s">
        <v>742</v>
      </c>
      <c r="Q1099" t="s">
        <v>405</v>
      </c>
      <c r="R1099" t="s">
        <v>743</v>
      </c>
      <c r="S1099" t="s">
        <v>676</v>
      </c>
      <c r="T1099" t="s">
        <v>408</v>
      </c>
      <c r="U1099">
        <v>50950082589</v>
      </c>
      <c r="W1099">
        <v>30000</v>
      </c>
      <c r="X1099" t="s">
        <v>409</v>
      </c>
      <c r="Y1099" t="s">
        <v>410</v>
      </c>
      <c r="Z1099" t="s">
        <v>410</v>
      </c>
      <c r="AA1099" t="s">
        <v>411</v>
      </c>
      <c r="AB1099" t="s">
        <v>554</v>
      </c>
      <c r="AC1099" t="s">
        <v>411</v>
      </c>
      <c r="AD1099">
        <v>46125</v>
      </c>
      <c r="AE1099">
        <v>46181</v>
      </c>
      <c r="AF1099">
        <v>46132</v>
      </c>
      <c r="AG1099" t="s">
        <v>590</v>
      </c>
      <c r="AH1099">
        <v>6198847</v>
      </c>
      <c r="AI1099">
        <v>46129</v>
      </c>
      <c r="AJ1099">
        <v>46130</v>
      </c>
      <c r="AK1099">
        <v>30000</v>
      </c>
      <c r="AL1099" t="s">
        <v>396</v>
      </c>
      <c r="AM1099" t="s">
        <v>3281</v>
      </c>
      <c r="AN1099">
        <v>46130</v>
      </c>
      <c r="AO1099">
        <v>46130.61037037037</v>
      </c>
      <c r="AP1099" t="s">
        <v>51</v>
      </c>
      <c r="AQ1099">
        <v>4.2659999999999997E-2</v>
      </c>
      <c r="AR1099">
        <v>1279.8</v>
      </c>
      <c r="AS1099" t="s">
        <v>51</v>
      </c>
      <c r="AT1099">
        <v>1279.8</v>
      </c>
      <c r="AU1099" t="s">
        <v>415</v>
      </c>
      <c r="AV1099" t="s">
        <v>557</v>
      </c>
      <c r="AW1099" t="s">
        <v>3205</v>
      </c>
      <c r="AX1099">
        <v>46134</v>
      </c>
      <c r="AY1099">
        <v>46183</v>
      </c>
      <c r="AZ1099" t="s">
        <v>3221</v>
      </c>
      <c r="BA1099" t="s">
        <v>1274</v>
      </c>
      <c r="BB1099" t="s">
        <v>3222</v>
      </c>
      <c r="BC1099">
        <v>1000</v>
      </c>
      <c r="BD1099" t="s">
        <v>521</v>
      </c>
      <c r="BE1099">
        <v>7.8540000000000001</v>
      </c>
      <c r="BF1099">
        <v>7.5259999999999998</v>
      </c>
      <c r="BG1099" t="s">
        <v>522</v>
      </c>
      <c r="BH1099">
        <v>296</v>
      </c>
      <c r="BI1099">
        <v>195</v>
      </c>
      <c r="BJ1099">
        <v>145</v>
      </c>
      <c r="BK1099">
        <v>12</v>
      </c>
      <c r="BL1099" t="s">
        <v>521</v>
      </c>
      <c r="BM1099">
        <v>102.248</v>
      </c>
      <c r="BN1099">
        <v>90.311999999999998</v>
      </c>
      <c r="BO1099">
        <v>259.62</v>
      </c>
      <c r="BP1099" t="s">
        <v>522</v>
      </c>
      <c r="BQ1099">
        <v>800</v>
      </c>
      <c r="BR1099">
        <v>300</v>
      </c>
      <c r="BS1099">
        <v>608</v>
      </c>
      <c r="BT1099">
        <v>2</v>
      </c>
      <c r="BU1099">
        <v>1</v>
      </c>
      <c r="BV1099">
        <v>3</v>
      </c>
      <c r="BW1099">
        <v>30</v>
      </c>
      <c r="BX1099">
        <v>0</v>
      </c>
      <c r="BY1099">
        <v>30</v>
      </c>
      <c r="BZ1099">
        <v>24000</v>
      </c>
      <c r="CA1099">
        <v>6000</v>
      </c>
      <c r="CB1099">
        <v>30000</v>
      </c>
      <c r="CC1099">
        <v>225.78</v>
      </c>
      <c r="CD1099" t="s">
        <v>523</v>
      </c>
      <c r="CE1099" t="s">
        <v>728</v>
      </c>
      <c r="CG1099" t="s">
        <v>421</v>
      </c>
      <c r="CN1099" t="str">
        <v>M01</v>
      </c>
      <c r="CO1099" t="str">
        <v>1205-1010104EN</v>
      </c>
      <c r="CP1099" t="str">
        <v>WHSU5760194</v>
      </c>
      <c r="CQ1099" s="23">
        <v>0.1</v>
      </c>
      <c r="CR1099" s="25">
        <f t="shared" si="46"/>
        <v>6.1136085373965827E-6</v>
      </c>
      <c r="CS1099" s="21">
        <f t="shared" si="47"/>
        <v>1.5284021343491458E-2</v>
      </c>
    </row>
    <row r="1100" spans="2:97" x14ac:dyDescent="0.35">
      <c r="B1100" t="s">
        <v>295</v>
      </c>
      <c r="C1100" t="s">
        <v>3282</v>
      </c>
      <c r="D1100" t="s">
        <v>395</v>
      </c>
      <c r="E1100" t="s">
        <v>395</v>
      </c>
      <c r="F1100" t="s">
        <v>396</v>
      </c>
      <c r="G1100" t="s">
        <v>397</v>
      </c>
      <c r="H1100" t="s">
        <v>398</v>
      </c>
      <c r="I1100" t="s">
        <v>399</v>
      </c>
      <c r="J1100" t="s">
        <v>400</v>
      </c>
      <c r="K1100" t="s">
        <v>515</v>
      </c>
      <c r="L1100" t="s">
        <v>585</v>
      </c>
      <c r="M1100" t="s">
        <v>403</v>
      </c>
      <c r="N1100">
        <v>1</v>
      </c>
      <c r="O1100">
        <v>1</v>
      </c>
      <c r="P1100" t="s">
        <v>1338</v>
      </c>
      <c r="Q1100" t="s">
        <v>424</v>
      </c>
      <c r="R1100" t="s">
        <v>1339</v>
      </c>
      <c r="S1100" t="s">
        <v>1340</v>
      </c>
      <c r="T1100" t="s">
        <v>408</v>
      </c>
      <c r="U1100">
        <v>50950082590</v>
      </c>
      <c r="W1100">
        <v>40000</v>
      </c>
      <c r="X1100" t="s">
        <v>409</v>
      </c>
      <c r="Y1100" t="s">
        <v>410</v>
      </c>
      <c r="Z1100" t="s">
        <v>410</v>
      </c>
      <c r="AA1100" t="s">
        <v>411</v>
      </c>
      <c r="AB1100" t="s">
        <v>554</v>
      </c>
      <c r="AC1100" t="s">
        <v>411</v>
      </c>
      <c r="AD1100">
        <v>46125</v>
      </c>
      <c r="AE1100">
        <v>46181</v>
      </c>
      <c r="AF1100">
        <v>46132</v>
      </c>
      <c r="AG1100" t="s">
        <v>590</v>
      </c>
      <c r="AH1100">
        <v>6198848</v>
      </c>
      <c r="AI1100">
        <v>46129</v>
      </c>
      <c r="AJ1100">
        <v>46130</v>
      </c>
      <c r="AK1100">
        <v>40000</v>
      </c>
      <c r="AL1100" t="s">
        <v>396</v>
      </c>
      <c r="AM1100" t="s">
        <v>3283</v>
      </c>
      <c r="AN1100">
        <v>46130</v>
      </c>
      <c r="AO1100">
        <v>46130.61037037037</v>
      </c>
      <c r="AP1100" t="s">
        <v>51</v>
      </c>
      <c r="AQ1100">
        <v>2.2799999999999999E-3</v>
      </c>
      <c r="AR1100">
        <v>91.2</v>
      </c>
      <c r="AS1100" t="s">
        <v>51</v>
      </c>
      <c r="AT1100">
        <v>91.2</v>
      </c>
      <c r="AU1100" t="s">
        <v>415</v>
      </c>
      <c r="AV1100" t="s">
        <v>557</v>
      </c>
      <c r="AW1100" t="s">
        <v>3205</v>
      </c>
      <c r="AX1100">
        <v>46134</v>
      </c>
      <c r="AY1100">
        <v>46183</v>
      </c>
      <c r="AZ1100" t="s">
        <v>3221</v>
      </c>
      <c r="BA1100" t="s">
        <v>1274</v>
      </c>
      <c r="BB1100" t="s">
        <v>3222</v>
      </c>
      <c r="BC1100">
        <v>20000</v>
      </c>
      <c r="BD1100" t="s">
        <v>521</v>
      </c>
      <c r="BE1100">
        <v>2.15985</v>
      </c>
      <c r="BF1100">
        <v>1.226</v>
      </c>
      <c r="BG1100" t="s">
        <v>522</v>
      </c>
      <c r="BH1100">
        <v>398</v>
      </c>
      <c r="BI1100">
        <v>298</v>
      </c>
      <c r="BJ1100">
        <v>155</v>
      </c>
      <c r="BK1100">
        <v>6</v>
      </c>
      <c r="BL1100" t="s">
        <v>521</v>
      </c>
      <c r="BM1100">
        <v>12.319699999999999</v>
      </c>
      <c r="BN1100">
        <v>2.452</v>
      </c>
      <c r="BO1100">
        <v>12.319699999999999</v>
      </c>
      <c r="BP1100" t="s">
        <v>522</v>
      </c>
      <c r="BQ1100">
        <v>800</v>
      </c>
      <c r="BR1100">
        <v>300</v>
      </c>
      <c r="BS1100">
        <v>608</v>
      </c>
      <c r="BT1100">
        <v>0</v>
      </c>
      <c r="BU1100">
        <v>1</v>
      </c>
      <c r="BV1100">
        <v>1</v>
      </c>
      <c r="BW1100">
        <v>2</v>
      </c>
      <c r="BX1100">
        <v>0</v>
      </c>
      <c r="BY1100">
        <v>2</v>
      </c>
      <c r="BZ1100">
        <v>0</v>
      </c>
      <c r="CA1100">
        <v>40000</v>
      </c>
      <c r="CB1100">
        <v>40000</v>
      </c>
      <c r="CC1100">
        <v>2.452</v>
      </c>
      <c r="CD1100" t="s">
        <v>523</v>
      </c>
      <c r="CE1100" t="s">
        <v>1056</v>
      </c>
      <c r="CG1100" t="s">
        <v>421</v>
      </c>
      <c r="CN1100" t="str">
        <v>M01</v>
      </c>
      <c r="CO1100" t="str">
        <v>1205-1010103EN</v>
      </c>
      <c r="CP1100" t="str">
        <v>WHSU5760194</v>
      </c>
      <c r="CQ1100" s="23">
        <v>0.1</v>
      </c>
      <c r="CR1100" s="25">
        <f t="shared" si="46"/>
        <v>6.1136085373965827E-6</v>
      </c>
      <c r="CS1100" s="21">
        <f t="shared" si="47"/>
        <v>1.5284021343491458E-2</v>
      </c>
    </row>
    <row r="1101" spans="2:97" x14ac:dyDescent="0.35">
      <c r="B1101" t="s">
        <v>295</v>
      </c>
      <c r="C1101" t="s">
        <v>3284</v>
      </c>
      <c r="D1101" t="s">
        <v>395</v>
      </c>
      <c r="E1101" t="s">
        <v>395</v>
      </c>
      <c r="F1101" t="s">
        <v>396</v>
      </c>
      <c r="G1101" t="s">
        <v>397</v>
      </c>
      <c r="H1101" t="s">
        <v>398</v>
      </c>
      <c r="I1101" t="s">
        <v>399</v>
      </c>
      <c r="J1101" t="s">
        <v>400</v>
      </c>
      <c r="K1101" t="s">
        <v>515</v>
      </c>
      <c r="L1101" t="s">
        <v>585</v>
      </c>
      <c r="M1101" t="s">
        <v>403</v>
      </c>
      <c r="N1101">
        <v>1</v>
      </c>
      <c r="O1101">
        <v>1</v>
      </c>
      <c r="P1101" t="s">
        <v>1354</v>
      </c>
      <c r="Q1101" t="s">
        <v>430</v>
      </c>
      <c r="R1101" t="s">
        <v>1355</v>
      </c>
      <c r="S1101" t="s">
        <v>1265</v>
      </c>
      <c r="T1101" t="s">
        <v>408</v>
      </c>
      <c r="U1101">
        <v>50950082602</v>
      </c>
      <c r="W1101">
        <v>50000</v>
      </c>
      <c r="X1101" t="s">
        <v>409</v>
      </c>
      <c r="Y1101" t="s">
        <v>410</v>
      </c>
      <c r="Z1101" t="s">
        <v>410</v>
      </c>
      <c r="AA1101" t="s">
        <v>411</v>
      </c>
      <c r="AB1101" t="s">
        <v>554</v>
      </c>
      <c r="AC1101" t="s">
        <v>411</v>
      </c>
      <c r="AD1101">
        <v>46125</v>
      </c>
      <c r="AE1101">
        <v>46181</v>
      </c>
      <c r="AF1101">
        <v>46132</v>
      </c>
      <c r="AG1101" t="s">
        <v>590</v>
      </c>
      <c r="AH1101">
        <v>6198849</v>
      </c>
      <c r="AI1101">
        <v>46129</v>
      </c>
      <c r="AJ1101">
        <v>46130</v>
      </c>
      <c r="AK1101">
        <v>50000</v>
      </c>
      <c r="AL1101" t="s">
        <v>396</v>
      </c>
      <c r="AM1101" t="s">
        <v>3285</v>
      </c>
      <c r="AN1101">
        <v>46130</v>
      </c>
      <c r="AO1101">
        <v>46130.61037037037</v>
      </c>
      <c r="AP1101" t="s">
        <v>51</v>
      </c>
      <c r="AQ1101">
        <v>9.6600000000000002E-3</v>
      </c>
      <c r="AR1101">
        <v>483</v>
      </c>
      <c r="AS1101" t="s">
        <v>51</v>
      </c>
      <c r="AT1101">
        <v>483</v>
      </c>
      <c r="AU1101" t="s">
        <v>415</v>
      </c>
      <c r="AV1101" t="s">
        <v>557</v>
      </c>
      <c r="AW1101" t="s">
        <v>3205</v>
      </c>
      <c r="AX1101">
        <v>46134</v>
      </c>
      <c r="AY1101">
        <v>46183</v>
      </c>
      <c r="AZ1101" t="s">
        <v>3221</v>
      </c>
      <c r="BA1101" t="s">
        <v>1274</v>
      </c>
      <c r="BB1101" t="s">
        <v>3222</v>
      </c>
      <c r="BC1101">
        <v>20000</v>
      </c>
      <c r="BD1101" t="s">
        <v>521</v>
      </c>
      <c r="BE1101">
        <v>2.6890000000000001</v>
      </c>
      <c r="BF1101">
        <v>1.96</v>
      </c>
      <c r="BG1101" t="s">
        <v>522</v>
      </c>
      <c r="BH1101">
        <v>395</v>
      </c>
      <c r="BI1101">
        <v>295</v>
      </c>
      <c r="BJ1101">
        <v>120</v>
      </c>
      <c r="BK1101">
        <v>6</v>
      </c>
      <c r="BL1101" t="s">
        <v>521</v>
      </c>
      <c r="BM1101">
        <v>15.087</v>
      </c>
      <c r="BN1101">
        <v>4.9000000000000004</v>
      </c>
      <c r="BO1101">
        <v>15.087</v>
      </c>
      <c r="BP1101" t="s">
        <v>522</v>
      </c>
      <c r="BQ1101">
        <v>800</v>
      </c>
      <c r="BR1101">
        <v>300</v>
      </c>
      <c r="BS1101">
        <v>518</v>
      </c>
      <c r="BT1101">
        <v>0</v>
      </c>
      <c r="BU1101">
        <v>1</v>
      </c>
      <c r="BV1101">
        <v>1</v>
      </c>
      <c r="BW1101">
        <v>2</v>
      </c>
      <c r="BX1101">
        <v>1</v>
      </c>
      <c r="BY1101">
        <v>3</v>
      </c>
      <c r="BZ1101">
        <v>0</v>
      </c>
      <c r="CA1101">
        <v>50000</v>
      </c>
      <c r="CB1101">
        <v>50000</v>
      </c>
      <c r="CC1101">
        <v>4.9000000000000004</v>
      </c>
      <c r="CD1101" t="s">
        <v>1357</v>
      </c>
      <c r="CE1101" t="s">
        <v>1358</v>
      </c>
      <c r="CG1101" t="s">
        <v>421</v>
      </c>
      <c r="CN1101" t="str">
        <v>M01</v>
      </c>
      <c r="CO1101" t="str">
        <v>1474-1030007EN</v>
      </c>
      <c r="CP1101" t="str">
        <v>WHSU5760194</v>
      </c>
      <c r="CQ1101" s="23">
        <v>10</v>
      </c>
      <c r="CR1101" s="25">
        <f t="shared" si="46"/>
        <v>6.1136085373965832E-4</v>
      </c>
      <c r="CS1101" s="21">
        <f t="shared" si="47"/>
        <v>1.5284021343491458</v>
      </c>
    </row>
    <row r="1102" spans="2:97" x14ac:dyDescent="0.35">
      <c r="B1102" s="34" t="s">
        <v>296</v>
      </c>
      <c r="C1102" t="s">
        <v>3286</v>
      </c>
      <c r="D1102" t="s">
        <v>395</v>
      </c>
      <c r="E1102" t="s">
        <v>395</v>
      </c>
      <c r="F1102" t="s">
        <v>396</v>
      </c>
      <c r="G1102" t="s">
        <v>397</v>
      </c>
      <c r="H1102" t="s">
        <v>398</v>
      </c>
      <c r="I1102" t="s">
        <v>399</v>
      </c>
      <c r="J1102" t="s">
        <v>400</v>
      </c>
      <c r="K1102" t="s">
        <v>629</v>
      </c>
      <c r="L1102" t="s">
        <v>585</v>
      </c>
      <c r="M1102" t="s">
        <v>403</v>
      </c>
      <c r="N1102">
        <v>1</v>
      </c>
      <c r="O1102">
        <v>1</v>
      </c>
      <c r="P1102" t="s">
        <v>3287</v>
      </c>
      <c r="Q1102" t="s">
        <v>405</v>
      </c>
      <c r="R1102" t="s">
        <v>3288</v>
      </c>
      <c r="S1102" t="s">
        <v>2281</v>
      </c>
      <c r="T1102" t="s">
        <v>408</v>
      </c>
      <c r="U1102">
        <v>50950082827</v>
      </c>
      <c r="W1102">
        <v>5000</v>
      </c>
      <c r="X1102" t="s">
        <v>409</v>
      </c>
      <c r="Y1102" t="s">
        <v>410</v>
      </c>
      <c r="Z1102" t="s">
        <v>410</v>
      </c>
      <c r="AA1102" t="s">
        <v>411</v>
      </c>
      <c r="AB1102" t="s">
        <v>554</v>
      </c>
      <c r="AC1102" t="s">
        <v>411</v>
      </c>
      <c r="AD1102">
        <v>46126</v>
      </c>
      <c r="AE1102">
        <v>46202</v>
      </c>
      <c r="AF1102">
        <v>46132</v>
      </c>
      <c r="AG1102" t="s">
        <v>590</v>
      </c>
      <c r="AH1102">
        <v>6198850</v>
      </c>
      <c r="AI1102">
        <v>46129</v>
      </c>
      <c r="AJ1102">
        <v>46130</v>
      </c>
      <c r="AK1102">
        <v>5000</v>
      </c>
      <c r="AL1102" t="s">
        <v>396</v>
      </c>
      <c r="AM1102" t="s">
        <v>3289</v>
      </c>
      <c r="AN1102">
        <v>46130</v>
      </c>
      <c r="AO1102">
        <v>46130.61037037037</v>
      </c>
      <c r="AP1102" t="s">
        <v>51</v>
      </c>
      <c r="AQ1102">
        <v>4.6530000000000002E-2</v>
      </c>
      <c r="AR1102">
        <v>232.65</v>
      </c>
      <c r="AS1102" t="s">
        <v>51</v>
      </c>
      <c r="AT1102">
        <v>232.65</v>
      </c>
      <c r="AU1102" t="s">
        <v>415</v>
      </c>
      <c r="AV1102" t="s">
        <v>557</v>
      </c>
      <c r="AW1102" t="s">
        <v>3205</v>
      </c>
      <c r="AX1102">
        <v>46134</v>
      </c>
      <c r="AY1102">
        <v>46183</v>
      </c>
      <c r="AZ1102" t="s">
        <v>3221</v>
      </c>
      <c r="BA1102" t="s">
        <v>1274</v>
      </c>
      <c r="BB1102" t="s">
        <v>3222</v>
      </c>
      <c r="BC1102">
        <v>6000</v>
      </c>
      <c r="BD1102" t="s">
        <v>521</v>
      </c>
      <c r="BE1102">
        <v>8.4265000000000008</v>
      </c>
      <c r="BF1102">
        <v>8.0365000000000002</v>
      </c>
      <c r="BG1102" t="s">
        <v>522</v>
      </c>
      <c r="BH1102">
        <v>368</v>
      </c>
      <c r="BI1102">
        <v>257</v>
      </c>
      <c r="BJ1102">
        <v>136</v>
      </c>
      <c r="BK1102">
        <v>6</v>
      </c>
      <c r="BL1102" t="s">
        <v>521</v>
      </c>
      <c r="BM1102">
        <v>16.426500000000001</v>
      </c>
      <c r="BN1102">
        <v>8.0365000000000002</v>
      </c>
      <c r="BO1102">
        <v>16.426500000000001</v>
      </c>
      <c r="BP1102" t="s">
        <v>522</v>
      </c>
      <c r="BQ1102">
        <v>800</v>
      </c>
      <c r="BR1102">
        <v>300</v>
      </c>
      <c r="BS1102">
        <v>608</v>
      </c>
      <c r="BT1102">
        <v>0</v>
      </c>
      <c r="BU1102">
        <v>1</v>
      </c>
      <c r="BV1102">
        <v>1</v>
      </c>
      <c r="BW1102">
        <v>0</v>
      </c>
      <c r="BX1102">
        <v>1</v>
      </c>
      <c r="BY1102">
        <v>1</v>
      </c>
      <c r="BZ1102">
        <v>0</v>
      </c>
      <c r="CA1102">
        <v>5000</v>
      </c>
      <c r="CB1102">
        <v>5000</v>
      </c>
      <c r="CC1102">
        <v>8.0365000000000002</v>
      </c>
      <c r="CD1102" t="s">
        <v>523</v>
      </c>
      <c r="CE1102" t="s">
        <v>653</v>
      </c>
      <c r="CG1102" t="s">
        <v>421</v>
      </c>
      <c r="CN1102" t="str">
        <v>M01</v>
      </c>
      <c r="CO1102" t="str">
        <v>1318-1030018EN</v>
      </c>
      <c r="CP1102" t="str">
        <v>WHSU5760194</v>
      </c>
      <c r="CQ1102" s="23">
        <v>10</v>
      </c>
      <c r="CR1102" s="25">
        <f t="shared" si="46"/>
        <v>6.1136085373965832E-4</v>
      </c>
      <c r="CS1102" s="21">
        <f t="shared" si="47"/>
        <v>1.5284021343491458</v>
      </c>
    </row>
    <row r="1103" spans="2:97" x14ac:dyDescent="0.35">
      <c r="B1103" t="s">
        <v>295</v>
      </c>
      <c r="C1103" t="s">
        <v>3290</v>
      </c>
      <c r="D1103" t="s">
        <v>395</v>
      </c>
      <c r="E1103" t="s">
        <v>395</v>
      </c>
      <c r="F1103" t="s">
        <v>396</v>
      </c>
      <c r="G1103" t="s">
        <v>397</v>
      </c>
      <c r="H1103" t="s">
        <v>398</v>
      </c>
      <c r="I1103" t="s">
        <v>399</v>
      </c>
      <c r="J1103" t="s">
        <v>400</v>
      </c>
      <c r="K1103" t="s">
        <v>629</v>
      </c>
      <c r="L1103" t="s">
        <v>746</v>
      </c>
      <c r="M1103" t="s">
        <v>403</v>
      </c>
      <c r="N1103">
        <v>1</v>
      </c>
      <c r="O1103">
        <v>1</v>
      </c>
      <c r="P1103" t="s">
        <v>2864</v>
      </c>
      <c r="Q1103" t="s">
        <v>637</v>
      </c>
      <c r="R1103" t="s">
        <v>2865</v>
      </c>
      <c r="S1103" t="s">
        <v>2866</v>
      </c>
      <c r="T1103" t="s">
        <v>408</v>
      </c>
      <c r="U1103">
        <v>50950082778</v>
      </c>
      <c r="W1103">
        <v>4800</v>
      </c>
      <c r="X1103" t="s">
        <v>448</v>
      </c>
      <c r="Y1103" t="s">
        <v>410</v>
      </c>
      <c r="Z1103" t="s">
        <v>410</v>
      </c>
      <c r="AA1103" t="s">
        <v>411</v>
      </c>
      <c r="AB1103" t="s">
        <v>412</v>
      </c>
      <c r="AC1103" t="s">
        <v>411</v>
      </c>
      <c r="AD1103">
        <v>46122</v>
      </c>
      <c r="AE1103">
        <v>46125</v>
      </c>
      <c r="AF1103">
        <v>46130</v>
      </c>
      <c r="AG1103" t="s">
        <v>590</v>
      </c>
      <c r="AH1103">
        <v>6199094</v>
      </c>
      <c r="AI1103">
        <v>46129</v>
      </c>
      <c r="AJ1103">
        <v>46130</v>
      </c>
      <c r="AK1103">
        <v>4800</v>
      </c>
      <c r="AL1103" t="s">
        <v>396</v>
      </c>
      <c r="AM1103" t="s">
        <v>3291</v>
      </c>
      <c r="AN1103">
        <v>46130</v>
      </c>
      <c r="AO1103">
        <v>46130.371712962966</v>
      </c>
      <c r="AP1103" t="s">
        <v>51</v>
      </c>
      <c r="AQ1103">
        <v>0.60612999999999995</v>
      </c>
      <c r="AR1103">
        <v>2909.44</v>
      </c>
      <c r="AS1103" t="s">
        <v>51</v>
      </c>
      <c r="AT1103">
        <v>2909.44</v>
      </c>
      <c r="AU1103" t="s">
        <v>450</v>
      </c>
      <c r="AV1103" t="s">
        <v>1597</v>
      </c>
      <c r="AW1103" t="s">
        <v>1598</v>
      </c>
      <c r="AX1103">
        <v>46133</v>
      </c>
      <c r="AY1103">
        <v>46135</v>
      </c>
      <c r="BA1103" t="s">
        <v>448</v>
      </c>
      <c r="BB1103" t="s">
        <v>3292</v>
      </c>
      <c r="BC1103">
        <v>75</v>
      </c>
      <c r="BD1103" t="s">
        <v>521</v>
      </c>
      <c r="BE1103">
        <v>4.7782999999999998</v>
      </c>
      <c r="BF1103">
        <v>2.6082999999999998</v>
      </c>
      <c r="BG1103" t="s">
        <v>522</v>
      </c>
      <c r="BH1103">
        <v>570</v>
      </c>
      <c r="BI1103">
        <v>395</v>
      </c>
      <c r="BJ1103">
        <v>220</v>
      </c>
      <c r="BK1103">
        <v>16</v>
      </c>
      <c r="BL1103" t="s">
        <v>521</v>
      </c>
      <c r="BM1103">
        <v>99.752799999999993</v>
      </c>
      <c r="BN1103">
        <v>41.732799999999997</v>
      </c>
      <c r="BO1103">
        <v>399.00959999999998</v>
      </c>
      <c r="BP1103" t="s">
        <v>522</v>
      </c>
      <c r="BQ1103">
        <v>1140</v>
      </c>
      <c r="BR1103">
        <v>800</v>
      </c>
      <c r="BS1103">
        <v>1040</v>
      </c>
      <c r="BT1103">
        <v>4</v>
      </c>
      <c r="BU1103">
        <v>0</v>
      </c>
      <c r="BV1103">
        <v>4</v>
      </c>
      <c r="BW1103">
        <v>64</v>
      </c>
      <c r="BX1103">
        <v>0</v>
      </c>
      <c r="BY1103">
        <v>64</v>
      </c>
      <c r="BZ1103">
        <v>4800</v>
      </c>
      <c r="CA1103">
        <v>0</v>
      </c>
      <c r="CB1103">
        <v>4800</v>
      </c>
      <c r="CC1103">
        <v>166.92959999999999</v>
      </c>
      <c r="CD1103" t="s">
        <v>2869</v>
      </c>
      <c r="CE1103" t="s">
        <v>2870</v>
      </c>
      <c r="CG1103" t="s">
        <v>421</v>
      </c>
      <c r="CN1103" t="str">
        <v>M19</v>
      </c>
      <c r="CO1103" t="str">
        <v>1403-5YY0136EN</v>
      </c>
      <c r="CP1103" t="str">
        <v>WHSU5760194</v>
      </c>
      <c r="CQ1103" s="23">
        <v>20</v>
      </c>
      <c r="CR1103" s="25">
        <f t="shared" si="46"/>
        <v>1.2227217074793166E-3</v>
      </c>
      <c r="CS1103" s="21">
        <f t="shared" si="47"/>
        <v>3.0568042686982917</v>
      </c>
    </row>
    <row r="1104" spans="2:97" x14ac:dyDescent="0.35">
      <c r="B1104" t="s">
        <v>297</v>
      </c>
      <c r="C1104" t="s">
        <v>3293</v>
      </c>
      <c r="D1104" t="s">
        <v>549</v>
      </c>
      <c r="E1104" t="s">
        <v>395</v>
      </c>
      <c r="F1104" t="s">
        <v>396</v>
      </c>
      <c r="G1104" t="s">
        <v>397</v>
      </c>
      <c r="H1104" t="s">
        <v>398</v>
      </c>
      <c r="I1104" t="s">
        <v>399</v>
      </c>
      <c r="J1104" t="s">
        <v>749</v>
      </c>
      <c r="K1104" t="s">
        <v>1081</v>
      </c>
      <c r="L1104" t="s">
        <v>766</v>
      </c>
      <c r="M1104" t="s">
        <v>403</v>
      </c>
      <c r="N1104">
        <v>1</v>
      </c>
      <c r="O1104">
        <v>1</v>
      </c>
      <c r="P1104" t="s">
        <v>1463</v>
      </c>
      <c r="Q1104" t="s">
        <v>424</v>
      </c>
      <c r="R1104" t="s">
        <v>1083</v>
      </c>
      <c r="S1104" t="s">
        <v>1464</v>
      </c>
      <c r="T1104" t="s">
        <v>408</v>
      </c>
      <c r="U1104">
        <v>50950081505</v>
      </c>
      <c r="W1104">
        <v>5200</v>
      </c>
      <c r="X1104" t="s">
        <v>409</v>
      </c>
      <c r="Y1104" t="s">
        <v>410</v>
      </c>
      <c r="Z1104" t="s">
        <v>410</v>
      </c>
      <c r="AA1104" t="s">
        <v>411</v>
      </c>
      <c r="AB1104" t="s">
        <v>769</v>
      </c>
      <c r="AC1104" t="s">
        <v>411</v>
      </c>
      <c r="AD1104">
        <v>46123</v>
      </c>
      <c r="AE1104">
        <v>46181</v>
      </c>
      <c r="AF1104">
        <v>46130</v>
      </c>
      <c r="AG1104" t="s">
        <v>770</v>
      </c>
      <c r="AH1104">
        <v>6187216</v>
      </c>
      <c r="AI1104">
        <v>46123</v>
      </c>
      <c r="AJ1104">
        <v>46125</v>
      </c>
      <c r="AK1104">
        <v>5200</v>
      </c>
      <c r="AL1104" t="s">
        <v>396</v>
      </c>
      <c r="AM1104" t="s">
        <v>3294</v>
      </c>
      <c r="AN1104">
        <v>46125</v>
      </c>
      <c r="AO1104">
        <v>46125.37122685185</v>
      </c>
      <c r="AP1104" t="s">
        <v>51</v>
      </c>
      <c r="AQ1104">
        <v>1.1025199999999999</v>
      </c>
      <c r="AR1104">
        <v>5733.1</v>
      </c>
      <c r="AS1104" t="s">
        <v>51</v>
      </c>
      <c r="AT1104">
        <v>5733.1</v>
      </c>
      <c r="AU1104" t="s">
        <v>415</v>
      </c>
      <c r="AV1104" t="s">
        <v>416</v>
      </c>
      <c r="AW1104" t="s">
        <v>3295</v>
      </c>
      <c r="AX1104">
        <v>46131</v>
      </c>
      <c r="AY1104">
        <v>46180</v>
      </c>
      <c r="AZ1104" t="s">
        <v>3296</v>
      </c>
      <c r="BA1104" t="s">
        <v>560</v>
      </c>
      <c r="BB1104" t="s">
        <v>3297</v>
      </c>
      <c r="BC1104">
        <v>130</v>
      </c>
      <c r="BD1104" t="s">
        <v>521</v>
      </c>
      <c r="BE1104">
        <v>12.355</v>
      </c>
      <c r="BF1104">
        <v>10.92</v>
      </c>
      <c r="BG1104" t="s">
        <v>522</v>
      </c>
      <c r="BH1104">
        <v>395</v>
      </c>
      <c r="BI1104">
        <v>295</v>
      </c>
      <c r="BJ1104">
        <v>180</v>
      </c>
      <c r="BK1104">
        <v>40</v>
      </c>
      <c r="BL1104" t="s">
        <v>521</v>
      </c>
      <c r="BM1104">
        <v>518.20000000000005</v>
      </c>
      <c r="BN1104">
        <v>436.8</v>
      </c>
      <c r="BO1104">
        <v>518.20000000000005</v>
      </c>
      <c r="BP1104" t="s">
        <v>522</v>
      </c>
      <c r="BQ1104">
        <v>1200</v>
      </c>
      <c r="BR1104">
        <v>800</v>
      </c>
      <c r="BS1104">
        <v>1060</v>
      </c>
      <c r="BT1104">
        <v>1</v>
      </c>
      <c r="BU1104">
        <v>0</v>
      </c>
      <c r="BV1104">
        <v>1</v>
      </c>
      <c r="BW1104">
        <v>40</v>
      </c>
      <c r="BX1104">
        <v>0</v>
      </c>
      <c r="BY1104">
        <v>40</v>
      </c>
      <c r="BZ1104">
        <v>5200</v>
      </c>
      <c r="CA1104">
        <v>0</v>
      </c>
      <c r="CB1104">
        <v>5200</v>
      </c>
      <c r="CC1104">
        <v>436.8</v>
      </c>
      <c r="CD1104" t="s">
        <v>694</v>
      </c>
      <c r="CE1104" t="s">
        <v>1088</v>
      </c>
      <c r="CG1104" t="s">
        <v>421</v>
      </c>
      <c r="CN1104" t="str">
        <v>M23</v>
      </c>
      <c r="CO1104" t="str">
        <v>1109-1060020EN</v>
      </c>
      <c r="CP1104" t="str">
        <v>WHSU5760194</v>
      </c>
      <c r="CQ1104" s="23">
        <v>0.1</v>
      </c>
      <c r="CR1104" s="25">
        <f t="shared" si="46"/>
        <v>6.1136085373965827E-6</v>
      </c>
      <c r="CS1104" s="21">
        <f t="shared" si="47"/>
        <v>1.5284021343491458E-2</v>
      </c>
    </row>
    <row r="1105" spans="2:97" x14ac:dyDescent="0.35">
      <c r="B1105" t="s">
        <v>297</v>
      </c>
      <c r="C1105" t="s">
        <v>3085</v>
      </c>
      <c r="D1105" t="s">
        <v>549</v>
      </c>
      <c r="E1105" t="s">
        <v>395</v>
      </c>
      <c r="F1105" t="s">
        <v>396</v>
      </c>
      <c r="G1105" t="s">
        <v>397</v>
      </c>
      <c r="H1105" t="s">
        <v>398</v>
      </c>
      <c r="I1105" t="s">
        <v>399</v>
      </c>
      <c r="J1105" t="s">
        <v>749</v>
      </c>
      <c r="K1105" t="s">
        <v>1081</v>
      </c>
      <c r="L1105" t="s">
        <v>766</v>
      </c>
      <c r="M1105" t="s">
        <v>403</v>
      </c>
      <c r="N1105">
        <v>2</v>
      </c>
      <c r="O1105">
        <v>1</v>
      </c>
      <c r="P1105" t="s">
        <v>1469</v>
      </c>
      <c r="Q1105" t="s">
        <v>424</v>
      </c>
      <c r="R1105" t="s">
        <v>1083</v>
      </c>
      <c r="S1105" t="s">
        <v>1470</v>
      </c>
      <c r="T1105" t="s">
        <v>408</v>
      </c>
      <c r="U1105">
        <v>50950081509</v>
      </c>
      <c r="W1105">
        <v>5200</v>
      </c>
      <c r="X1105" t="s">
        <v>409</v>
      </c>
      <c r="Y1105" t="s">
        <v>410</v>
      </c>
      <c r="Z1105" t="s">
        <v>410</v>
      </c>
      <c r="AA1105" t="s">
        <v>411</v>
      </c>
      <c r="AB1105" t="s">
        <v>769</v>
      </c>
      <c r="AC1105" t="s">
        <v>411</v>
      </c>
      <c r="AD1105">
        <v>46123</v>
      </c>
      <c r="AE1105">
        <v>46181</v>
      </c>
      <c r="AF1105">
        <v>46130</v>
      </c>
      <c r="AG1105" t="s">
        <v>770</v>
      </c>
      <c r="AH1105">
        <v>6187217</v>
      </c>
      <c r="AI1105">
        <v>46123</v>
      </c>
      <c r="AJ1105">
        <v>46125</v>
      </c>
      <c r="AK1105">
        <v>5200</v>
      </c>
      <c r="AL1105" t="s">
        <v>396</v>
      </c>
      <c r="AM1105" t="s">
        <v>3298</v>
      </c>
      <c r="AN1105">
        <v>46125</v>
      </c>
      <c r="AO1105">
        <v>46125.37122685185</v>
      </c>
      <c r="AP1105" t="s">
        <v>51</v>
      </c>
      <c r="AQ1105">
        <v>1.10246</v>
      </c>
      <c r="AR1105">
        <v>5732.79</v>
      </c>
      <c r="AS1105" t="s">
        <v>51</v>
      </c>
      <c r="AT1105">
        <v>5732.79</v>
      </c>
      <c r="AU1105" t="s">
        <v>415</v>
      </c>
      <c r="AV1105" t="s">
        <v>416</v>
      </c>
      <c r="AW1105" t="s">
        <v>3295</v>
      </c>
      <c r="AX1105">
        <v>46131</v>
      </c>
      <c r="AY1105">
        <v>46180</v>
      </c>
      <c r="AZ1105" t="s">
        <v>3296</v>
      </c>
      <c r="BA1105" t="s">
        <v>560</v>
      </c>
      <c r="BB1105" t="s">
        <v>3297</v>
      </c>
      <c r="BC1105">
        <v>130</v>
      </c>
      <c r="BD1105" t="s">
        <v>521</v>
      </c>
      <c r="BE1105">
        <v>12.355</v>
      </c>
      <c r="BF1105">
        <v>10.92</v>
      </c>
      <c r="BG1105" t="s">
        <v>522</v>
      </c>
      <c r="BH1105">
        <v>395</v>
      </c>
      <c r="BI1105">
        <v>295</v>
      </c>
      <c r="BJ1105">
        <v>180</v>
      </c>
      <c r="BK1105">
        <v>40</v>
      </c>
      <c r="BL1105" t="s">
        <v>521</v>
      </c>
      <c r="BM1105">
        <v>518.20000000000005</v>
      </c>
      <c r="BN1105">
        <v>436.8</v>
      </c>
      <c r="BO1105">
        <v>518.20000000000005</v>
      </c>
      <c r="BP1105" t="s">
        <v>522</v>
      </c>
      <c r="BQ1105">
        <v>1200</v>
      </c>
      <c r="BR1105">
        <v>800</v>
      </c>
      <c r="BS1105">
        <v>1060</v>
      </c>
      <c r="BT1105">
        <v>1</v>
      </c>
      <c r="BU1105">
        <v>0</v>
      </c>
      <c r="BV1105">
        <v>1</v>
      </c>
      <c r="BW1105">
        <v>40</v>
      </c>
      <c r="BX1105">
        <v>0</v>
      </c>
      <c r="BY1105">
        <v>40</v>
      </c>
      <c r="BZ1105">
        <v>5200</v>
      </c>
      <c r="CA1105">
        <v>0</v>
      </c>
      <c r="CB1105">
        <v>5200</v>
      </c>
      <c r="CC1105">
        <v>436.8</v>
      </c>
      <c r="CD1105" t="s">
        <v>694</v>
      </c>
      <c r="CE1105" t="s">
        <v>1088</v>
      </c>
      <c r="CG1105" t="s">
        <v>421</v>
      </c>
      <c r="CN1105" t="str">
        <v>MCS</v>
      </c>
      <c r="CO1105" t="str">
        <v>0070-1100029</v>
      </c>
      <c r="CP1105" t="str">
        <v>WHSU5760194</v>
      </c>
      <c r="CQ1105" s="23">
        <v>1500</v>
      </c>
      <c r="CR1105" s="25">
        <f t="shared" si="46"/>
        <v>9.1704128060948742E-2</v>
      </c>
      <c r="CS1105" s="21">
        <f t="shared" si="47"/>
        <v>229.26032015237186</v>
      </c>
    </row>
    <row r="1106" spans="2:97" x14ac:dyDescent="0.35">
      <c r="B1106" t="s">
        <v>299</v>
      </c>
      <c r="C1106" t="s">
        <v>3299</v>
      </c>
      <c r="D1106" t="s">
        <v>395</v>
      </c>
      <c r="E1106" t="s">
        <v>395</v>
      </c>
      <c r="F1106" t="s">
        <v>396</v>
      </c>
      <c r="G1106" t="s">
        <v>397</v>
      </c>
      <c r="H1106" t="s">
        <v>398</v>
      </c>
      <c r="I1106" t="s">
        <v>399</v>
      </c>
      <c r="J1106" t="s">
        <v>749</v>
      </c>
      <c r="K1106" t="s">
        <v>777</v>
      </c>
      <c r="L1106" t="s">
        <v>778</v>
      </c>
      <c r="M1106" t="s">
        <v>403</v>
      </c>
      <c r="N1106">
        <v>1</v>
      </c>
      <c r="O1106">
        <v>1</v>
      </c>
      <c r="P1106" t="s">
        <v>1490</v>
      </c>
      <c r="Q1106" t="s">
        <v>637</v>
      </c>
      <c r="R1106" t="s">
        <v>536</v>
      </c>
      <c r="S1106" t="s">
        <v>1491</v>
      </c>
      <c r="T1106" t="s">
        <v>408</v>
      </c>
      <c r="U1106">
        <v>50950076749</v>
      </c>
      <c r="W1106">
        <v>3024</v>
      </c>
      <c r="X1106" t="s">
        <v>409</v>
      </c>
      <c r="Y1106" t="s">
        <v>410</v>
      </c>
      <c r="Z1106" t="s">
        <v>410</v>
      </c>
      <c r="AA1106" t="s">
        <v>411</v>
      </c>
      <c r="AB1106" t="s">
        <v>769</v>
      </c>
      <c r="AC1106" t="s">
        <v>411</v>
      </c>
      <c r="AD1106">
        <v>46125</v>
      </c>
      <c r="AE1106">
        <v>46125</v>
      </c>
      <c r="AF1106">
        <v>46130</v>
      </c>
      <c r="AG1106" t="s">
        <v>781</v>
      </c>
      <c r="AH1106">
        <v>6187218</v>
      </c>
      <c r="AI1106">
        <v>46123</v>
      </c>
      <c r="AJ1106">
        <v>46125</v>
      </c>
      <c r="AK1106">
        <v>3024</v>
      </c>
      <c r="AL1106" t="s">
        <v>396</v>
      </c>
      <c r="AM1106" t="s">
        <v>3300</v>
      </c>
      <c r="AN1106">
        <v>46125</v>
      </c>
      <c r="AO1106">
        <v>46125.37122685185</v>
      </c>
      <c r="AP1106" t="s">
        <v>51</v>
      </c>
      <c r="AQ1106">
        <v>3.69373</v>
      </c>
      <c r="AR1106">
        <v>11169.84</v>
      </c>
      <c r="AS1106" t="s">
        <v>51</v>
      </c>
      <c r="AT1106">
        <v>11169.84</v>
      </c>
      <c r="AU1106" t="s">
        <v>415</v>
      </c>
      <c r="AV1106" t="s">
        <v>416</v>
      </c>
      <c r="AW1106" t="s">
        <v>3295</v>
      </c>
      <c r="AX1106">
        <v>46131</v>
      </c>
      <c r="AY1106">
        <v>46180</v>
      </c>
      <c r="AZ1106" t="s">
        <v>3296</v>
      </c>
      <c r="BA1106" t="s">
        <v>560</v>
      </c>
      <c r="BB1106" t="s">
        <v>3297</v>
      </c>
      <c r="BC1106">
        <v>28</v>
      </c>
      <c r="BD1106" t="s">
        <v>521</v>
      </c>
      <c r="BE1106">
        <v>6.0069999999999997</v>
      </c>
      <c r="BF1106">
        <v>4.1440000000000001</v>
      </c>
      <c r="BG1106" t="s">
        <v>522</v>
      </c>
      <c r="BH1106">
        <v>795</v>
      </c>
      <c r="BI1106">
        <v>395</v>
      </c>
      <c r="BJ1106">
        <v>145</v>
      </c>
      <c r="BK1106">
        <v>18</v>
      </c>
      <c r="BL1106" t="s">
        <v>521</v>
      </c>
      <c r="BM1106">
        <v>133.126</v>
      </c>
      <c r="BN1106">
        <v>74.591999999999999</v>
      </c>
      <c r="BO1106">
        <v>798.75599999999997</v>
      </c>
      <c r="BP1106" t="s">
        <v>522</v>
      </c>
      <c r="BQ1106">
        <v>1200</v>
      </c>
      <c r="BR1106">
        <v>800</v>
      </c>
      <c r="BS1106">
        <v>1030</v>
      </c>
      <c r="BT1106">
        <v>6</v>
      </c>
      <c r="BU1106">
        <v>0</v>
      </c>
      <c r="BV1106">
        <v>6</v>
      </c>
      <c r="BW1106">
        <v>108</v>
      </c>
      <c r="BX1106">
        <v>0</v>
      </c>
      <c r="BY1106">
        <v>108</v>
      </c>
      <c r="BZ1106">
        <v>3024</v>
      </c>
      <c r="CA1106">
        <v>0</v>
      </c>
      <c r="CB1106">
        <v>3024</v>
      </c>
      <c r="CC1106">
        <v>447.55200000000002</v>
      </c>
      <c r="CD1106" t="s">
        <v>783</v>
      </c>
      <c r="CE1106" t="s">
        <v>784</v>
      </c>
      <c r="CG1106" t="s">
        <v>421</v>
      </c>
      <c r="CN1106" t="str">
        <v>MCS</v>
      </c>
      <c r="CO1106" t="str">
        <v>0070-5050006</v>
      </c>
      <c r="CP1106" t="str">
        <v>WHSU5760194</v>
      </c>
      <c r="CQ1106" s="23">
        <v>1500</v>
      </c>
      <c r="CR1106" s="25">
        <f t="shared" si="46"/>
        <v>9.1704128060948742E-2</v>
      </c>
      <c r="CS1106" s="21">
        <f t="shared" si="47"/>
        <v>229.26032015237186</v>
      </c>
    </row>
    <row r="1107" spans="2:97" x14ac:dyDescent="0.35">
      <c r="B1107" t="s">
        <v>299</v>
      </c>
      <c r="C1107" t="s">
        <v>3301</v>
      </c>
      <c r="D1107" t="s">
        <v>395</v>
      </c>
      <c r="E1107" t="s">
        <v>395</v>
      </c>
      <c r="F1107" t="s">
        <v>396</v>
      </c>
      <c r="G1107" t="s">
        <v>397</v>
      </c>
      <c r="H1107" t="s">
        <v>398</v>
      </c>
      <c r="I1107" t="s">
        <v>399</v>
      </c>
      <c r="J1107" t="s">
        <v>749</v>
      </c>
      <c r="K1107" t="s">
        <v>777</v>
      </c>
      <c r="L1107" t="s">
        <v>778</v>
      </c>
      <c r="M1107" t="s">
        <v>403</v>
      </c>
      <c r="N1107">
        <v>1</v>
      </c>
      <c r="O1107">
        <v>1</v>
      </c>
      <c r="P1107" t="s">
        <v>3302</v>
      </c>
      <c r="Q1107" t="s">
        <v>405</v>
      </c>
      <c r="R1107" t="s">
        <v>536</v>
      </c>
      <c r="S1107" t="s">
        <v>3303</v>
      </c>
      <c r="T1107" t="s">
        <v>408</v>
      </c>
      <c r="U1107">
        <v>50950079560</v>
      </c>
      <c r="W1107">
        <v>2016</v>
      </c>
      <c r="X1107" t="s">
        <v>409</v>
      </c>
      <c r="Y1107" t="s">
        <v>410</v>
      </c>
      <c r="Z1107" t="s">
        <v>410</v>
      </c>
      <c r="AA1107" t="s">
        <v>411</v>
      </c>
      <c r="AB1107" t="s">
        <v>769</v>
      </c>
      <c r="AC1107" t="s">
        <v>411</v>
      </c>
      <c r="AD1107">
        <v>46123</v>
      </c>
      <c r="AE1107">
        <v>46181</v>
      </c>
      <c r="AF1107">
        <v>46130</v>
      </c>
      <c r="AG1107" t="s">
        <v>781</v>
      </c>
      <c r="AH1107">
        <v>6187219</v>
      </c>
      <c r="AI1107">
        <v>46123</v>
      </c>
      <c r="AJ1107">
        <v>46125</v>
      </c>
      <c r="AK1107">
        <v>2016</v>
      </c>
      <c r="AL1107" t="s">
        <v>396</v>
      </c>
      <c r="AM1107" t="s">
        <v>3304</v>
      </c>
      <c r="AN1107">
        <v>46125</v>
      </c>
      <c r="AO1107">
        <v>46125.37122685185</v>
      </c>
      <c r="AP1107" t="s">
        <v>51</v>
      </c>
      <c r="AQ1107">
        <v>4.2808700000000002</v>
      </c>
      <c r="AR1107">
        <v>8630.24</v>
      </c>
      <c r="AS1107" t="s">
        <v>51</v>
      </c>
      <c r="AT1107">
        <v>8630.24</v>
      </c>
      <c r="AU1107" t="s">
        <v>415</v>
      </c>
      <c r="AV1107" t="s">
        <v>416</v>
      </c>
      <c r="AW1107" t="s">
        <v>3295</v>
      </c>
      <c r="AX1107">
        <v>46131</v>
      </c>
      <c r="AY1107">
        <v>46180</v>
      </c>
      <c r="AZ1107" t="s">
        <v>3296</v>
      </c>
      <c r="BA1107" t="s">
        <v>560</v>
      </c>
      <c r="BB1107" t="s">
        <v>3297</v>
      </c>
      <c r="BC1107">
        <v>28</v>
      </c>
      <c r="BD1107" t="s">
        <v>521</v>
      </c>
      <c r="BE1107">
        <v>5.9509999999999996</v>
      </c>
      <c r="BF1107">
        <v>4.0880000000000001</v>
      </c>
      <c r="BG1107" t="s">
        <v>522</v>
      </c>
      <c r="BH1107">
        <v>795</v>
      </c>
      <c r="BI1107">
        <v>395</v>
      </c>
      <c r="BJ1107">
        <v>145</v>
      </c>
      <c r="BK1107">
        <v>18</v>
      </c>
      <c r="BL1107" t="s">
        <v>521</v>
      </c>
      <c r="BM1107">
        <v>132.11799999999999</v>
      </c>
      <c r="BN1107">
        <v>73.584000000000003</v>
      </c>
      <c r="BO1107">
        <v>528.47199999999998</v>
      </c>
      <c r="BP1107" t="s">
        <v>522</v>
      </c>
      <c r="BQ1107">
        <v>1200</v>
      </c>
      <c r="BR1107">
        <v>800</v>
      </c>
      <c r="BS1107">
        <v>1030</v>
      </c>
      <c r="BT1107">
        <v>4</v>
      </c>
      <c r="BU1107">
        <v>0</v>
      </c>
      <c r="BV1107">
        <v>4</v>
      </c>
      <c r="BW1107">
        <v>72</v>
      </c>
      <c r="BX1107">
        <v>0</v>
      </c>
      <c r="BY1107">
        <v>72</v>
      </c>
      <c r="BZ1107">
        <v>2016</v>
      </c>
      <c r="CA1107">
        <v>0</v>
      </c>
      <c r="CB1107">
        <v>2016</v>
      </c>
      <c r="CC1107">
        <v>294.33600000000001</v>
      </c>
      <c r="CD1107" t="s">
        <v>783</v>
      </c>
      <c r="CE1107" t="s">
        <v>784</v>
      </c>
      <c r="CG1107" t="s">
        <v>421</v>
      </c>
      <c r="CN1107" t="str">
        <v>MCS</v>
      </c>
      <c r="CO1107" t="str">
        <v>0070-1100029</v>
      </c>
      <c r="CP1107" t="str">
        <v>WHSU5760194</v>
      </c>
      <c r="CQ1107" s="23">
        <v>1500</v>
      </c>
      <c r="CR1107" s="25">
        <f t="shared" si="46"/>
        <v>9.1704128060948742E-2</v>
      </c>
      <c r="CS1107" s="21">
        <f t="shared" si="47"/>
        <v>229.26032015237186</v>
      </c>
    </row>
    <row r="1108" spans="2:97" x14ac:dyDescent="0.35">
      <c r="B1108" t="s">
        <v>296</v>
      </c>
      <c r="C1108" t="s">
        <v>2967</v>
      </c>
      <c r="D1108" t="s">
        <v>395</v>
      </c>
      <c r="E1108" t="s">
        <v>395</v>
      </c>
      <c r="F1108" t="s">
        <v>396</v>
      </c>
      <c r="G1108" t="s">
        <v>397</v>
      </c>
      <c r="H1108" t="s">
        <v>398</v>
      </c>
      <c r="I1108" t="s">
        <v>399</v>
      </c>
      <c r="J1108" t="s">
        <v>749</v>
      </c>
      <c r="K1108" t="s">
        <v>629</v>
      </c>
      <c r="L1108" t="s">
        <v>787</v>
      </c>
      <c r="M1108" t="s">
        <v>403</v>
      </c>
      <c r="N1108">
        <v>1</v>
      </c>
      <c r="O1108">
        <v>2</v>
      </c>
      <c r="P1108" t="s">
        <v>875</v>
      </c>
      <c r="Q1108" t="s">
        <v>430</v>
      </c>
      <c r="R1108" t="s">
        <v>876</v>
      </c>
      <c r="S1108" t="s">
        <v>877</v>
      </c>
      <c r="T1108" t="s">
        <v>408</v>
      </c>
      <c r="U1108">
        <v>50950078859</v>
      </c>
      <c r="W1108">
        <v>25600</v>
      </c>
      <c r="X1108" t="s">
        <v>409</v>
      </c>
      <c r="Y1108" t="s">
        <v>410</v>
      </c>
      <c r="Z1108" t="s">
        <v>410</v>
      </c>
      <c r="AA1108" t="s">
        <v>411</v>
      </c>
      <c r="AB1108" t="s">
        <v>769</v>
      </c>
      <c r="AC1108" t="s">
        <v>411</v>
      </c>
      <c r="AD1108">
        <v>46125</v>
      </c>
      <c r="AE1108">
        <v>46160</v>
      </c>
      <c r="AF1108">
        <v>46130</v>
      </c>
      <c r="AG1108" t="s">
        <v>754</v>
      </c>
      <c r="AH1108">
        <v>6187221</v>
      </c>
      <c r="AI1108">
        <v>46123</v>
      </c>
      <c r="AJ1108">
        <v>46125</v>
      </c>
      <c r="AK1108">
        <v>25600</v>
      </c>
      <c r="AL1108" t="s">
        <v>396</v>
      </c>
      <c r="AM1108" t="s">
        <v>3305</v>
      </c>
      <c r="AN1108">
        <v>46125</v>
      </c>
      <c r="AO1108">
        <v>46125.37122685185</v>
      </c>
      <c r="AP1108" t="s">
        <v>51</v>
      </c>
      <c r="AQ1108">
        <v>0.12105</v>
      </c>
      <c r="AR1108">
        <v>3098.88</v>
      </c>
      <c r="AS1108" t="s">
        <v>51</v>
      </c>
      <c r="AT1108">
        <v>3098.88</v>
      </c>
      <c r="AU1108" t="s">
        <v>415</v>
      </c>
      <c r="AV1108" t="s">
        <v>416</v>
      </c>
      <c r="AW1108" t="s">
        <v>3295</v>
      </c>
      <c r="AX1108">
        <v>46131</v>
      </c>
      <c r="AY1108">
        <v>46180</v>
      </c>
      <c r="AZ1108" t="s">
        <v>3296</v>
      </c>
      <c r="BA1108" t="s">
        <v>560</v>
      </c>
      <c r="BB1108" t="s">
        <v>3297</v>
      </c>
      <c r="BC1108">
        <v>160</v>
      </c>
      <c r="BD1108" t="s">
        <v>521</v>
      </c>
      <c r="BE1108">
        <v>6.3452000000000002</v>
      </c>
      <c r="BF1108">
        <v>4.7952000000000004</v>
      </c>
      <c r="BG1108" t="s">
        <v>522</v>
      </c>
      <c r="BH1108">
        <v>595</v>
      </c>
      <c r="BI1108">
        <v>495</v>
      </c>
      <c r="BJ1108">
        <v>190</v>
      </c>
      <c r="BK1108">
        <v>20</v>
      </c>
      <c r="BL1108" t="s">
        <v>521</v>
      </c>
      <c r="BM1108">
        <v>153.904</v>
      </c>
      <c r="BN1108">
        <v>95.903999999999996</v>
      </c>
      <c r="BO1108">
        <v>1231.232</v>
      </c>
      <c r="BP1108" t="s">
        <v>522</v>
      </c>
      <c r="BQ1108">
        <v>1200</v>
      </c>
      <c r="BR1108">
        <v>1000</v>
      </c>
      <c r="BS1108">
        <v>1110</v>
      </c>
      <c r="BT1108">
        <v>8</v>
      </c>
      <c r="BU1108">
        <v>0</v>
      </c>
      <c r="BV1108">
        <v>8</v>
      </c>
      <c r="BW1108">
        <v>160</v>
      </c>
      <c r="BX1108">
        <v>0</v>
      </c>
      <c r="BY1108">
        <v>160</v>
      </c>
      <c r="BZ1108">
        <v>25600</v>
      </c>
      <c r="CA1108">
        <v>0</v>
      </c>
      <c r="CB1108">
        <v>25600</v>
      </c>
      <c r="CC1108">
        <v>767.23199999999997</v>
      </c>
      <c r="CD1108" t="s">
        <v>592</v>
      </c>
      <c r="CE1108" t="s">
        <v>879</v>
      </c>
      <c r="CG1108" t="s">
        <v>421</v>
      </c>
      <c r="CN1108" t="str">
        <v>M45</v>
      </c>
      <c r="CO1108" t="str">
        <v>1318-11A0060EN</v>
      </c>
      <c r="CP1108" t="str">
        <v>WHSU5760194</v>
      </c>
      <c r="CQ1108" s="23">
        <v>50</v>
      </c>
      <c r="CR1108" s="25">
        <f t="shared" si="46"/>
        <v>3.0568042686982913E-3</v>
      </c>
      <c r="CS1108" s="21">
        <f t="shared" si="47"/>
        <v>7.6420106717457283</v>
      </c>
    </row>
    <row r="1109" spans="2:97" x14ac:dyDescent="0.35">
      <c r="B1109" t="s">
        <v>296</v>
      </c>
      <c r="C1109" t="s">
        <v>3306</v>
      </c>
      <c r="D1109" t="s">
        <v>395</v>
      </c>
      <c r="E1109" t="s">
        <v>395</v>
      </c>
      <c r="F1109" t="s">
        <v>396</v>
      </c>
      <c r="G1109" t="s">
        <v>397</v>
      </c>
      <c r="H1109" t="s">
        <v>398</v>
      </c>
      <c r="I1109" t="s">
        <v>399</v>
      </c>
      <c r="J1109" t="s">
        <v>749</v>
      </c>
      <c r="K1109" t="s">
        <v>629</v>
      </c>
      <c r="L1109" t="s">
        <v>787</v>
      </c>
      <c r="M1109" t="s">
        <v>403</v>
      </c>
      <c r="N1109">
        <v>1</v>
      </c>
      <c r="O1109">
        <v>1</v>
      </c>
      <c r="P1109" t="s">
        <v>881</v>
      </c>
      <c r="Q1109" t="s">
        <v>645</v>
      </c>
      <c r="R1109" t="s">
        <v>882</v>
      </c>
      <c r="S1109" t="s">
        <v>883</v>
      </c>
      <c r="T1109" t="s">
        <v>408</v>
      </c>
      <c r="U1109">
        <v>50950079723</v>
      </c>
      <c r="W1109">
        <v>13200</v>
      </c>
      <c r="X1109" t="s">
        <v>409</v>
      </c>
      <c r="Y1109" t="s">
        <v>410</v>
      </c>
      <c r="Z1109" t="s">
        <v>410</v>
      </c>
      <c r="AA1109" t="s">
        <v>411</v>
      </c>
      <c r="AB1109" t="s">
        <v>769</v>
      </c>
      <c r="AC1109" t="s">
        <v>411</v>
      </c>
      <c r="AD1109">
        <v>46118</v>
      </c>
      <c r="AE1109">
        <v>46209</v>
      </c>
      <c r="AF1109">
        <v>46130</v>
      </c>
      <c r="AG1109" t="s">
        <v>754</v>
      </c>
      <c r="AH1109">
        <v>6187222</v>
      </c>
      <c r="AI1109">
        <v>46123</v>
      </c>
      <c r="AJ1109">
        <v>46125</v>
      </c>
      <c r="AK1109">
        <v>13200</v>
      </c>
      <c r="AL1109" t="s">
        <v>396</v>
      </c>
      <c r="AM1109" t="s">
        <v>3307</v>
      </c>
      <c r="AN1109">
        <v>46125</v>
      </c>
      <c r="AO1109">
        <v>46125.37122685185</v>
      </c>
      <c r="AP1109" t="s">
        <v>51</v>
      </c>
      <c r="AQ1109">
        <v>0.20003000000000001</v>
      </c>
      <c r="AR1109">
        <v>2640.4</v>
      </c>
      <c r="AS1109" t="s">
        <v>51</v>
      </c>
      <c r="AT1109">
        <v>2640.4</v>
      </c>
      <c r="AU1109" t="s">
        <v>415</v>
      </c>
      <c r="AV1109" t="s">
        <v>416</v>
      </c>
      <c r="AW1109" t="s">
        <v>3295</v>
      </c>
      <c r="AX1109">
        <v>46131</v>
      </c>
      <c r="AY1109">
        <v>46180</v>
      </c>
      <c r="AZ1109" t="s">
        <v>3296</v>
      </c>
      <c r="BA1109" t="s">
        <v>560</v>
      </c>
      <c r="BB1109" t="s">
        <v>3297</v>
      </c>
      <c r="BC1109">
        <v>264</v>
      </c>
      <c r="BD1109" t="s">
        <v>521</v>
      </c>
      <c r="BE1109">
        <v>5.2203999999999997</v>
      </c>
      <c r="BF1109">
        <v>3.8304</v>
      </c>
      <c r="BG1109" t="s">
        <v>522</v>
      </c>
      <c r="BH1109">
        <v>595</v>
      </c>
      <c r="BI1109">
        <v>395</v>
      </c>
      <c r="BJ1109">
        <v>175</v>
      </c>
      <c r="BK1109">
        <v>25</v>
      </c>
      <c r="BL1109" t="s">
        <v>521</v>
      </c>
      <c r="BM1109">
        <v>157.51</v>
      </c>
      <c r="BN1109">
        <v>95.76</v>
      </c>
      <c r="BO1109">
        <v>315.0188</v>
      </c>
      <c r="BP1109" t="s">
        <v>522</v>
      </c>
      <c r="BQ1109">
        <v>1200</v>
      </c>
      <c r="BR1109">
        <v>1000</v>
      </c>
      <c r="BS1109">
        <v>1035</v>
      </c>
      <c r="BT1109">
        <v>2</v>
      </c>
      <c r="BU1109">
        <v>0</v>
      </c>
      <c r="BV1109">
        <v>2</v>
      </c>
      <c r="BW1109">
        <v>50</v>
      </c>
      <c r="BX1109">
        <v>0</v>
      </c>
      <c r="BY1109">
        <v>50</v>
      </c>
      <c r="BZ1109">
        <v>13200</v>
      </c>
      <c r="CA1109">
        <v>0</v>
      </c>
      <c r="CB1109">
        <v>13200</v>
      </c>
      <c r="CC1109">
        <v>191.5188</v>
      </c>
      <c r="CD1109" t="s">
        <v>885</v>
      </c>
      <c r="CE1109" t="s">
        <v>886</v>
      </c>
      <c r="CG1109" t="s">
        <v>421</v>
      </c>
      <c r="CN1109" t="str">
        <v>M45</v>
      </c>
      <c r="CO1109" t="str">
        <v>1446-12B0001EN</v>
      </c>
      <c r="CP1109" t="str">
        <v>WHSU5760194</v>
      </c>
      <c r="CQ1109" s="23">
        <v>50</v>
      </c>
      <c r="CR1109" s="25">
        <f t="shared" si="46"/>
        <v>3.0568042686982913E-3</v>
      </c>
      <c r="CS1109" s="21">
        <f t="shared" si="47"/>
        <v>7.6420106717457283</v>
      </c>
    </row>
    <row r="1110" spans="2:97" x14ac:dyDescent="0.35">
      <c r="B1110" t="s">
        <v>299</v>
      </c>
      <c r="C1110" t="s">
        <v>3308</v>
      </c>
      <c r="D1110" t="s">
        <v>965</v>
      </c>
      <c r="E1110" t="s">
        <v>395</v>
      </c>
      <c r="F1110" t="s">
        <v>396</v>
      </c>
      <c r="G1110" t="s">
        <v>397</v>
      </c>
      <c r="H1110" t="s">
        <v>398</v>
      </c>
      <c r="I1110" t="s">
        <v>399</v>
      </c>
      <c r="J1110" t="s">
        <v>749</v>
      </c>
      <c r="K1110" t="s">
        <v>809</v>
      </c>
      <c r="L1110" t="s">
        <v>787</v>
      </c>
      <c r="M1110" t="s">
        <v>403</v>
      </c>
      <c r="N1110">
        <v>1</v>
      </c>
      <c r="O1110">
        <v>1</v>
      </c>
      <c r="P1110" t="s">
        <v>810</v>
      </c>
      <c r="Q1110" t="s">
        <v>405</v>
      </c>
      <c r="R1110" t="s">
        <v>811</v>
      </c>
      <c r="S1110" t="s">
        <v>812</v>
      </c>
      <c r="T1110" t="s">
        <v>408</v>
      </c>
      <c r="U1110">
        <v>50950080295</v>
      </c>
      <c r="W1110">
        <v>960</v>
      </c>
      <c r="X1110" t="s">
        <v>409</v>
      </c>
      <c r="Y1110" t="s">
        <v>410</v>
      </c>
      <c r="Z1110" t="s">
        <v>410</v>
      </c>
      <c r="AA1110" t="s">
        <v>411</v>
      </c>
      <c r="AB1110" t="s">
        <v>769</v>
      </c>
      <c r="AC1110" t="s">
        <v>411</v>
      </c>
      <c r="AD1110">
        <v>46123</v>
      </c>
      <c r="AE1110">
        <v>46132</v>
      </c>
      <c r="AF1110">
        <v>46130</v>
      </c>
      <c r="AG1110" t="s">
        <v>754</v>
      </c>
      <c r="AH1110">
        <v>6187223</v>
      </c>
      <c r="AI1110">
        <v>46123</v>
      </c>
      <c r="AJ1110">
        <v>46125</v>
      </c>
      <c r="AK1110">
        <v>960</v>
      </c>
      <c r="AL1110" t="s">
        <v>396</v>
      </c>
      <c r="AM1110" t="s">
        <v>3309</v>
      </c>
      <c r="AN1110">
        <v>46125</v>
      </c>
      <c r="AO1110">
        <v>46125.37122685185</v>
      </c>
      <c r="AP1110" t="s">
        <v>51</v>
      </c>
      <c r="AQ1110">
        <v>2.0436299999999998</v>
      </c>
      <c r="AR1110">
        <v>1961.88</v>
      </c>
      <c r="AS1110" t="s">
        <v>51</v>
      </c>
      <c r="AT1110">
        <v>1961.88</v>
      </c>
      <c r="AU1110" t="s">
        <v>415</v>
      </c>
      <c r="AV1110" t="s">
        <v>416</v>
      </c>
      <c r="AW1110" t="s">
        <v>3295</v>
      </c>
      <c r="AX1110">
        <v>46131</v>
      </c>
      <c r="AY1110">
        <v>46180</v>
      </c>
      <c r="AZ1110" t="s">
        <v>3296</v>
      </c>
      <c r="BA1110" t="s">
        <v>560</v>
      </c>
      <c r="BB1110" t="s">
        <v>3297</v>
      </c>
      <c r="BC1110">
        <v>16</v>
      </c>
      <c r="BD1110" t="s">
        <v>521</v>
      </c>
      <c r="BE1110">
        <v>4.9545000000000003</v>
      </c>
      <c r="BF1110">
        <v>3.7555000000000001</v>
      </c>
      <c r="BG1110" t="s">
        <v>522</v>
      </c>
      <c r="BH1110">
        <v>495</v>
      </c>
      <c r="BI1110">
        <v>395</v>
      </c>
      <c r="BJ1110">
        <v>190</v>
      </c>
      <c r="BK1110">
        <v>30</v>
      </c>
      <c r="BL1110" t="s">
        <v>521</v>
      </c>
      <c r="BM1110">
        <v>175.63499999999999</v>
      </c>
      <c r="BN1110">
        <v>112.66500000000001</v>
      </c>
      <c r="BO1110">
        <v>351.27120000000002</v>
      </c>
      <c r="BP1110" t="s">
        <v>522</v>
      </c>
      <c r="BQ1110">
        <v>1200</v>
      </c>
      <c r="BR1110">
        <v>1000</v>
      </c>
      <c r="BS1110">
        <v>1120</v>
      </c>
      <c r="BT1110">
        <v>2</v>
      </c>
      <c r="BU1110">
        <v>0</v>
      </c>
      <c r="BV1110">
        <v>2</v>
      </c>
      <c r="BW1110">
        <v>60</v>
      </c>
      <c r="BX1110">
        <v>0</v>
      </c>
      <c r="BY1110">
        <v>60</v>
      </c>
      <c r="BZ1110">
        <v>960</v>
      </c>
      <c r="CA1110">
        <v>0</v>
      </c>
      <c r="CB1110">
        <v>960</v>
      </c>
      <c r="CC1110">
        <v>225.3312</v>
      </c>
      <c r="CD1110" t="s">
        <v>806</v>
      </c>
      <c r="CE1110" t="s">
        <v>816</v>
      </c>
      <c r="CG1110" t="s">
        <v>421</v>
      </c>
      <c r="CN1110" t="str">
        <v>M45</v>
      </c>
      <c r="CO1110" t="str">
        <v>0060-G680340EN</v>
      </c>
      <c r="CP1110" t="str">
        <v>WHSU5760194</v>
      </c>
      <c r="CQ1110" s="23">
        <v>1986.0400383348669</v>
      </c>
      <c r="CR1110" s="25">
        <f t="shared" si="46"/>
        <v>0.12141871333975479</v>
      </c>
      <c r="CS1110" s="21">
        <f t="shared" si="47"/>
        <v>303.546783349387</v>
      </c>
    </row>
    <row r="1111" spans="2:97" x14ac:dyDescent="0.35">
      <c r="B1111" t="s">
        <v>296</v>
      </c>
      <c r="C1111" t="s">
        <v>3310</v>
      </c>
      <c r="D1111" t="s">
        <v>395</v>
      </c>
      <c r="E1111" t="s">
        <v>395</v>
      </c>
      <c r="F1111" t="s">
        <v>396</v>
      </c>
      <c r="G1111" t="s">
        <v>397</v>
      </c>
      <c r="H1111" t="s">
        <v>398</v>
      </c>
      <c r="I1111" t="s">
        <v>399</v>
      </c>
      <c r="J1111" t="s">
        <v>749</v>
      </c>
      <c r="K1111" t="s">
        <v>1142</v>
      </c>
      <c r="L1111" t="s">
        <v>787</v>
      </c>
      <c r="M1111" t="s">
        <v>403</v>
      </c>
      <c r="N1111">
        <v>1</v>
      </c>
      <c r="O1111">
        <v>1</v>
      </c>
      <c r="P1111" t="s">
        <v>1158</v>
      </c>
      <c r="Q1111" t="s">
        <v>405</v>
      </c>
      <c r="R1111" t="s">
        <v>1159</v>
      </c>
      <c r="S1111" t="s">
        <v>1160</v>
      </c>
      <c r="T1111" t="s">
        <v>408</v>
      </c>
      <c r="U1111">
        <v>50950081833</v>
      </c>
      <c r="W1111">
        <v>60480</v>
      </c>
      <c r="X1111" t="s">
        <v>409</v>
      </c>
      <c r="Y1111" t="s">
        <v>410</v>
      </c>
      <c r="Z1111" t="s">
        <v>410</v>
      </c>
      <c r="AA1111" t="s">
        <v>411</v>
      </c>
      <c r="AB1111" t="s">
        <v>769</v>
      </c>
      <c r="AC1111" t="s">
        <v>411</v>
      </c>
      <c r="AD1111">
        <v>46123</v>
      </c>
      <c r="AE1111">
        <v>46181</v>
      </c>
      <c r="AF1111">
        <v>46130</v>
      </c>
      <c r="AG1111" t="s">
        <v>754</v>
      </c>
      <c r="AH1111">
        <v>6187224</v>
      </c>
      <c r="AI1111">
        <v>46123</v>
      </c>
      <c r="AJ1111">
        <v>46125</v>
      </c>
      <c r="AK1111">
        <v>60480</v>
      </c>
      <c r="AL1111" t="s">
        <v>396</v>
      </c>
      <c r="AM1111" t="s">
        <v>3311</v>
      </c>
      <c r="AN1111">
        <v>46125</v>
      </c>
      <c r="AO1111">
        <v>46125.37122685185</v>
      </c>
      <c r="AP1111" t="s">
        <v>51</v>
      </c>
      <c r="AQ1111">
        <v>7.2429999999999994E-2</v>
      </c>
      <c r="AR1111">
        <v>4380.5600000000004</v>
      </c>
      <c r="AS1111" t="s">
        <v>51</v>
      </c>
      <c r="AT1111">
        <v>4380.5600000000004</v>
      </c>
      <c r="AU1111" t="s">
        <v>415</v>
      </c>
      <c r="AV1111" t="s">
        <v>416</v>
      </c>
      <c r="AW1111" t="s">
        <v>3295</v>
      </c>
      <c r="AX1111">
        <v>46131</v>
      </c>
      <c r="AY1111">
        <v>46180</v>
      </c>
      <c r="AZ1111" t="s">
        <v>3296</v>
      </c>
      <c r="BA1111" t="s">
        <v>560</v>
      </c>
      <c r="BB1111" t="s">
        <v>3297</v>
      </c>
      <c r="BC1111">
        <v>15120</v>
      </c>
      <c r="BD1111" t="s">
        <v>521</v>
      </c>
      <c r="BE1111">
        <v>659.16880000000003</v>
      </c>
      <c r="BF1111">
        <v>638.66880000000003</v>
      </c>
      <c r="BG1111" t="s">
        <v>522</v>
      </c>
      <c r="BH1111">
        <v>1050</v>
      </c>
      <c r="BI1111">
        <v>480</v>
      </c>
      <c r="BJ1111">
        <v>460</v>
      </c>
      <c r="BK1111">
        <v>1</v>
      </c>
      <c r="BL1111" t="s">
        <v>521</v>
      </c>
      <c r="BM1111">
        <v>659.16890000000001</v>
      </c>
      <c r="BN1111">
        <v>638.66880000000003</v>
      </c>
      <c r="BO1111">
        <v>2636.6756</v>
      </c>
      <c r="BP1111" t="s">
        <v>522</v>
      </c>
      <c r="BQ1111">
        <v>1050</v>
      </c>
      <c r="BR1111">
        <v>480</v>
      </c>
      <c r="BS1111">
        <v>480</v>
      </c>
      <c r="BT1111">
        <v>4</v>
      </c>
      <c r="BU1111">
        <v>0</v>
      </c>
      <c r="BV1111">
        <v>4</v>
      </c>
      <c r="BW1111">
        <v>4</v>
      </c>
      <c r="BX1111">
        <v>0</v>
      </c>
      <c r="BY1111">
        <v>4</v>
      </c>
      <c r="BZ1111">
        <v>60480</v>
      </c>
      <c r="CA1111">
        <v>0</v>
      </c>
      <c r="CB1111">
        <v>60480</v>
      </c>
      <c r="CC1111">
        <v>2554.6752000000001</v>
      </c>
      <c r="CD1111" t="s">
        <v>641</v>
      </c>
      <c r="CE1111" t="s">
        <v>1147</v>
      </c>
      <c r="CG1111" t="s">
        <v>421</v>
      </c>
      <c r="CN1111" t="str">
        <v>M45</v>
      </c>
      <c r="CO1111" t="str">
        <v>0062-G070080EN</v>
      </c>
      <c r="CP1111" t="str">
        <v>WHSU5760194</v>
      </c>
      <c r="CQ1111" s="23">
        <v>20.000035384284033</v>
      </c>
      <c r="CR1111" s="25">
        <f t="shared" si="46"/>
        <v>1.2227238707359261E-3</v>
      </c>
      <c r="CS1111" s="21">
        <f t="shared" si="47"/>
        <v>3.0568096768398152</v>
      </c>
    </row>
    <row r="1112" spans="2:97" x14ac:dyDescent="0.35">
      <c r="B1112" t="s">
        <v>296</v>
      </c>
      <c r="C1112" t="s">
        <v>3312</v>
      </c>
      <c r="D1112" t="s">
        <v>395</v>
      </c>
      <c r="E1112" t="s">
        <v>395</v>
      </c>
      <c r="F1112" t="s">
        <v>396</v>
      </c>
      <c r="G1112" t="s">
        <v>397</v>
      </c>
      <c r="H1112" t="s">
        <v>398</v>
      </c>
      <c r="I1112" t="s">
        <v>399</v>
      </c>
      <c r="J1112" t="s">
        <v>749</v>
      </c>
      <c r="K1112" t="s">
        <v>629</v>
      </c>
      <c r="L1112" t="s">
        <v>787</v>
      </c>
      <c r="M1112" t="s">
        <v>403</v>
      </c>
      <c r="N1112">
        <v>1</v>
      </c>
      <c r="O1112">
        <v>1</v>
      </c>
      <c r="P1112" t="s">
        <v>1451</v>
      </c>
      <c r="Q1112" t="s">
        <v>637</v>
      </c>
      <c r="R1112" t="s">
        <v>1452</v>
      </c>
      <c r="S1112" t="s">
        <v>1453</v>
      </c>
      <c r="T1112" t="s">
        <v>408</v>
      </c>
      <c r="U1112">
        <v>50950081851</v>
      </c>
      <c r="W1112">
        <v>43200</v>
      </c>
      <c r="X1112" t="s">
        <v>409</v>
      </c>
      <c r="Y1112" t="s">
        <v>410</v>
      </c>
      <c r="Z1112" t="s">
        <v>410</v>
      </c>
      <c r="AA1112" t="s">
        <v>411</v>
      </c>
      <c r="AB1112" t="s">
        <v>769</v>
      </c>
      <c r="AC1112" t="s">
        <v>411</v>
      </c>
      <c r="AD1112">
        <v>46130</v>
      </c>
      <c r="AE1112">
        <v>46188</v>
      </c>
      <c r="AF1112">
        <v>46130</v>
      </c>
      <c r="AG1112" t="s">
        <v>754</v>
      </c>
      <c r="AH1112">
        <v>6187225</v>
      </c>
      <c r="AI1112">
        <v>46123</v>
      </c>
      <c r="AJ1112">
        <v>46125</v>
      </c>
      <c r="AK1112">
        <v>43200</v>
      </c>
      <c r="AL1112" t="s">
        <v>396</v>
      </c>
      <c r="AM1112" t="s">
        <v>3313</v>
      </c>
      <c r="AN1112">
        <v>46125</v>
      </c>
      <c r="AO1112">
        <v>46125.37122685185</v>
      </c>
      <c r="AP1112" t="s">
        <v>51</v>
      </c>
      <c r="AQ1112">
        <v>0.17809</v>
      </c>
      <c r="AR1112">
        <v>7693.56</v>
      </c>
      <c r="AS1112" t="s">
        <v>51</v>
      </c>
      <c r="AT1112">
        <v>7693.56</v>
      </c>
      <c r="AU1112" t="s">
        <v>415</v>
      </c>
      <c r="AV1112" t="s">
        <v>416</v>
      </c>
      <c r="AW1112" t="s">
        <v>3295</v>
      </c>
      <c r="AX1112">
        <v>46131</v>
      </c>
      <c r="AY1112">
        <v>46180</v>
      </c>
      <c r="AZ1112" t="s">
        <v>3296</v>
      </c>
      <c r="BA1112" t="s">
        <v>560</v>
      </c>
      <c r="BB1112" t="s">
        <v>3297</v>
      </c>
      <c r="BC1112">
        <v>200</v>
      </c>
      <c r="BD1112" t="s">
        <v>521</v>
      </c>
      <c r="BE1112">
        <v>9.9641999999999999</v>
      </c>
      <c r="BF1112">
        <v>8.4342000000000006</v>
      </c>
      <c r="BG1112" t="s">
        <v>522</v>
      </c>
      <c r="BH1112">
        <v>595</v>
      </c>
      <c r="BI1112">
        <v>495</v>
      </c>
      <c r="BJ1112">
        <v>310</v>
      </c>
      <c r="BK1112">
        <v>12</v>
      </c>
      <c r="BL1112" t="s">
        <v>521</v>
      </c>
      <c r="BM1112">
        <v>146.57040000000001</v>
      </c>
      <c r="BN1112">
        <v>101.21040000000001</v>
      </c>
      <c r="BO1112">
        <v>2638.2671999999998</v>
      </c>
      <c r="BP1112" t="s">
        <v>522</v>
      </c>
      <c r="BQ1112">
        <v>1200</v>
      </c>
      <c r="BR1112">
        <v>1000</v>
      </c>
      <c r="BS1112">
        <v>1088</v>
      </c>
      <c r="BT1112">
        <v>18</v>
      </c>
      <c r="BU1112">
        <v>0</v>
      </c>
      <c r="BV1112">
        <v>18</v>
      </c>
      <c r="BW1112">
        <v>216</v>
      </c>
      <c r="BX1112">
        <v>0</v>
      </c>
      <c r="BY1112">
        <v>216</v>
      </c>
      <c r="BZ1112">
        <v>43200</v>
      </c>
      <c r="CA1112">
        <v>0</v>
      </c>
      <c r="CB1112">
        <v>43200</v>
      </c>
      <c r="CC1112">
        <v>1821.7872</v>
      </c>
      <c r="CD1112" t="s">
        <v>842</v>
      </c>
      <c r="CE1112" t="s">
        <v>843</v>
      </c>
      <c r="CG1112" t="s">
        <v>421</v>
      </c>
      <c r="CN1112" t="str">
        <v>M45</v>
      </c>
      <c r="CO1112" t="str">
        <v>1205-12B0006EN</v>
      </c>
      <c r="CP1112" t="str">
        <v>WHSU5760194</v>
      </c>
      <c r="CQ1112" s="23">
        <v>0.1</v>
      </c>
      <c r="CR1112" s="25">
        <f t="shared" si="46"/>
        <v>6.1136085373965827E-6</v>
      </c>
      <c r="CS1112" s="21">
        <f t="shared" si="47"/>
        <v>1.5284021343491458E-2</v>
      </c>
    </row>
    <row r="1113" spans="2:97" x14ac:dyDescent="0.35">
      <c r="B1113" t="s">
        <v>296</v>
      </c>
      <c r="C1113" t="s">
        <v>3079</v>
      </c>
      <c r="D1113" t="s">
        <v>395</v>
      </c>
      <c r="E1113" t="s">
        <v>395</v>
      </c>
      <c r="F1113" t="s">
        <v>396</v>
      </c>
      <c r="G1113" t="s">
        <v>397</v>
      </c>
      <c r="H1113" t="s">
        <v>398</v>
      </c>
      <c r="I1113" t="s">
        <v>399</v>
      </c>
      <c r="J1113" t="s">
        <v>749</v>
      </c>
      <c r="K1113" t="s">
        <v>1142</v>
      </c>
      <c r="L1113" t="s">
        <v>787</v>
      </c>
      <c r="M1113" t="s">
        <v>403</v>
      </c>
      <c r="N1113">
        <v>1</v>
      </c>
      <c r="O1113">
        <v>2</v>
      </c>
      <c r="P1113" t="s">
        <v>3080</v>
      </c>
      <c r="Q1113" t="s">
        <v>430</v>
      </c>
      <c r="R1113" t="s">
        <v>1654</v>
      </c>
      <c r="S1113" t="s">
        <v>3081</v>
      </c>
      <c r="T1113" t="s">
        <v>408</v>
      </c>
      <c r="U1113">
        <v>50950082718</v>
      </c>
      <c r="W1113">
        <v>24000</v>
      </c>
      <c r="X1113" t="s">
        <v>409</v>
      </c>
      <c r="Y1113" t="s">
        <v>410</v>
      </c>
      <c r="Z1113" t="s">
        <v>410</v>
      </c>
      <c r="AA1113" t="s">
        <v>411</v>
      </c>
      <c r="AB1113" t="s">
        <v>769</v>
      </c>
      <c r="AC1113" t="s">
        <v>411</v>
      </c>
      <c r="AD1113">
        <v>46130</v>
      </c>
      <c r="AE1113">
        <v>46209</v>
      </c>
      <c r="AF1113">
        <v>46130</v>
      </c>
      <c r="AG1113" t="s">
        <v>754</v>
      </c>
      <c r="AH1113">
        <v>6187226</v>
      </c>
      <c r="AI1113">
        <v>46123</v>
      </c>
      <c r="AJ1113">
        <v>46125</v>
      </c>
      <c r="AK1113">
        <v>24000</v>
      </c>
      <c r="AL1113" t="s">
        <v>396</v>
      </c>
      <c r="AM1113" t="s">
        <v>3314</v>
      </c>
      <c r="AN1113">
        <v>46125</v>
      </c>
      <c r="AO1113">
        <v>46125.37122685185</v>
      </c>
      <c r="AP1113" t="s">
        <v>51</v>
      </c>
      <c r="AQ1113">
        <v>6.055E-2</v>
      </c>
      <c r="AR1113">
        <v>1453.2</v>
      </c>
      <c r="AS1113" t="s">
        <v>51</v>
      </c>
      <c r="AT1113">
        <v>1453.2</v>
      </c>
      <c r="AU1113" t="s">
        <v>415</v>
      </c>
      <c r="AV1113" t="s">
        <v>416</v>
      </c>
      <c r="AW1113" t="s">
        <v>3295</v>
      </c>
      <c r="AX1113">
        <v>46131</v>
      </c>
      <c r="AY1113">
        <v>46180</v>
      </c>
      <c r="AZ1113" t="s">
        <v>3296</v>
      </c>
      <c r="BA1113" t="s">
        <v>560</v>
      </c>
      <c r="BB1113" t="s">
        <v>3297</v>
      </c>
      <c r="BC1113">
        <v>8000</v>
      </c>
      <c r="BD1113" t="s">
        <v>521</v>
      </c>
      <c r="BE1113">
        <v>596.17999999999995</v>
      </c>
      <c r="BF1113">
        <v>575.67999999999995</v>
      </c>
      <c r="BG1113" t="s">
        <v>522</v>
      </c>
      <c r="BH1113">
        <v>1050</v>
      </c>
      <c r="BI1113">
        <v>480</v>
      </c>
      <c r="BJ1113">
        <v>460</v>
      </c>
      <c r="BK1113">
        <v>1</v>
      </c>
      <c r="BL1113" t="s">
        <v>521</v>
      </c>
      <c r="BM1113">
        <v>596.18010000000004</v>
      </c>
      <c r="BN1113">
        <v>575.67999999999995</v>
      </c>
      <c r="BO1113">
        <v>1788.5402999999999</v>
      </c>
      <c r="BP1113" t="s">
        <v>522</v>
      </c>
      <c r="BQ1113">
        <v>1050</v>
      </c>
      <c r="BR1113">
        <v>480</v>
      </c>
      <c r="BS1113">
        <v>480</v>
      </c>
      <c r="BT1113">
        <v>3</v>
      </c>
      <c r="BU1113">
        <v>0</v>
      </c>
      <c r="BV1113">
        <v>3</v>
      </c>
      <c r="BW1113">
        <v>3</v>
      </c>
      <c r="BX1113">
        <v>0</v>
      </c>
      <c r="BY1113">
        <v>3</v>
      </c>
      <c r="BZ1113">
        <v>24000</v>
      </c>
      <c r="CA1113">
        <v>0</v>
      </c>
      <c r="CB1113">
        <v>24000</v>
      </c>
      <c r="CC1113">
        <v>1727.04</v>
      </c>
      <c r="CD1113" t="s">
        <v>641</v>
      </c>
      <c r="CE1113" t="s">
        <v>1147</v>
      </c>
      <c r="CG1113" t="s">
        <v>421</v>
      </c>
      <c r="CN1113" t="str">
        <v>M45</v>
      </c>
      <c r="CO1113" t="str">
        <v>0060-G600574EN</v>
      </c>
      <c r="CP1113" t="str">
        <v>WHSU5760194</v>
      </c>
      <c r="CQ1113" s="23">
        <v>3652.3301017137778</v>
      </c>
      <c r="CR1113" s="25">
        <f t="shared" si="46"/>
        <v>0.22328916491227882</v>
      </c>
      <c r="CS1113" s="21">
        <f t="shared" si="47"/>
        <v>558.22291228069707</v>
      </c>
    </row>
    <row r="1114" spans="2:97" x14ac:dyDescent="0.35">
      <c r="B1114" t="s">
        <v>296</v>
      </c>
      <c r="C1114" t="s">
        <v>3079</v>
      </c>
      <c r="D1114" t="s">
        <v>395</v>
      </c>
      <c r="E1114" t="s">
        <v>395</v>
      </c>
      <c r="F1114" t="s">
        <v>396</v>
      </c>
      <c r="G1114" t="s">
        <v>397</v>
      </c>
      <c r="H1114" t="s">
        <v>398</v>
      </c>
      <c r="I1114" t="s">
        <v>399</v>
      </c>
      <c r="J1114" t="s">
        <v>749</v>
      </c>
      <c r="K1114" t="s">
        <v>1142</v>
      </c>
      <c r="L1114" t="s">
        <v>787</v>
      </c>
      <c r="M1114" t="s">
        <v>403</v>
      </c>
      <c r="N1114">
        <v>1</v>
      </c>
      <c r="O1114">
        <v>4</v>
      </c>
      <c r="P1114" t="s">
        <v>3080</v>
      </c>
      <c r="Q1114" t="s">
        <v>430</v>
      </c>
      <c r="R1114" t="s">
        <v>1654</v>
      </c>
      <c r="S1114" t="s">
        <v>3081</v>
      </c>
      <c r="T1114" t="s">
        <v>408</v>
      </c>
      <c r="U1114">
        <v>50950082718</v>
      </c>
      <c r="W1114">
        <v>8000</v>
      </c>
      <c r="X1114" t="s">
        <v>409</v>
      </c>
      <c r="Y1114" t="s">
        <v>410</v>
      </c>
      <c r="Z1114" t="s">
        <v>410</v>
      </c>
      <c r="AA1114" t="s">
        <v>411</v>
      </c>
      <c r="AB1114" t="s">
        <v>769</v>
      </c>
      <c r="AC1114" t="s">
        <v>411</v>
      </c>
      <c r="AD1114">
        <v>46123</v>
      </c>
      <c r="AE1114">
        <v>46209</v>
      </c>
      <c r="AF1114">
        <v>46130</v>
      </c>
      <c r="AG1114" t="s">
        <v>754</v>
      </c>
      <c r="AH1114">
        <v>6187226</v>
      </c>
      <c r="AI1114">
        <v>46123</v>
      </c>
      <c r="AJ1114">
        <v>46125</v>
      </c>
      <c r="AK1114">
        <v>8000</v>
      </c>
      <c r="AL1114" t="s">
        <v>396</v>
      </c>
      <c r="AM1114" t="s">
        <v>3314</v>
      </c>
      <c r="AN1114">
        <v>46125</v>
      </c>
      <c r="AO1114">
        <v>46125.37122685185</v>
      </c>
      <c r="AP1114" t="s">
        <v>51</v>
      </c>
      <c r="AQ1114">
        <v>6.055E-2</v>
      </c>
      <c r="AR1114">
        <v>484.4</v>
      </c>
      <c r="AS1114" t="s">
        <v>51</v>
      </c>
      <c r="AT1114">
        <v>484.4</v>
      </c>
      <c r="AU1114" t="s">
        <v>415</v>
      </c>
      <c r="AV1114" t="s">
        <v>416</v>
      </c>
      <c r="AW1114" t="s">
        <v>3295</v>
      </c>
      <c r="AX1114">
        <v>46131</v>
      </c>
      <c r="AY1114">
        <v>46180</v>
      </c>
      <c r="AZ1114" t="s">
        <v>3296</v>
      </c>
      <c r="BA1114" t="s">
        <v>560</v>
      </c>
      <c r="BB1114" t="s">
        <v>3297</v>
      </c>
      <c r="BC1114">
        <v>8000</v>
      </c>
      <c r="BD1114" t="s">
        <v>521</v>
      </c>
      <c r="BE1114">
        <v>596.17999999999995</v>
      </c>
      <c r="BF1114">
        <v>575.67999999999995</v>
      </c>
      <c r="BG1114" t="s">
        <v>522</v>
      </c>
      <c r="BH1114">
        <v>1050</v>
      </c>
      <c r="BI1114">
        <v>480</v>
      </c>
      <c r="BJ1114">
        <v>460</v>
      </c>
      <c r="BK1114">
        <v>1</v>
      </c>
      <c r="BL1114" t="s">
        <v>521</v>
      </c>
      <c r="BM1114">
        <v>596.18010000000004</v>
      </c>
      <c r="BN1114">
        <v>575.67999999999995</v>
      </c>
      <c r="BO1114">
        <v>596.18010000000004</v>
      </c>
      <c r="BP1114" t="s">
        <v>522</v>
      </c>
      <c r="BQ1114">
        <v>1050</v>
      </c>
      <c r="BR1114">
        <v>480</v>
      </c>
      <c r="BS1114">
        <v>480</v>
      </c>
      <c r="BT1114">
        <v>1</v>
      </c>
      <c r="BU1114">
        <v>0</v>
      </c>
      <c r="BV1114">
        <v>1</v>
      </c>
      <c r="BW1114">
        <v>1</v>
      </c>
      <c r="BX1114">
        <v>0</v>
      </c>
      <c r="BY1114">
        <v>1</v>
      </c>
      <c r="BZ1114">
        <v>8000</v>
      </c>
      <c r="CA1114">
        <v>0</v>
      </c>
      <c r="CB1114">
        <v>8000</v>
      </c>
      <c r="CC1114">
        <v>575.67999999999995</v>
      </c>
      <c r="CD1114" t="s">
        <v>641</v>
      </c>
      <c r="CE1114" t="s">
        <v>1147</v>
      </c>
      <c r="CG1114" t="s">
        <v>421</v>
      </c>
      <c r="CN1114" t="str">
        <v>M01</v>
      </c>
      <c r="CO1114" t="str">
        <v>1307-1030122EN</v>
      </c>
      <c r="CP1114" t="str">
        <v>WHSU5760194</v>
      </c>
      <c r="CQ1114" s="23">
        <v>4000</v>
      </c>
      <c r="CR1114" s="25">
        <f t="shared" si="46"/>
        <v>0.24454434149586329</v>
      </c>
      <c r="CS1114" s="21">
        <f t="shared" si="47"/>
        <v>611.36085373965818</v>
      </c>
    </row>
    <row r="1115" spans="2:97" x14ac:dyDescent="0.35">
      <c r="B1115" t="s">
        <v>295</v>
      </c>
      <c r="C1115" t="s">
        <v>3315</v>
      </c>
      <c r="D1115" t="s">
        <v>575</v>
      </c>
      <c r="E1115" t="s">
        <v>395</v>
      </c>
      <c r="F1115" t="s">
        <v>396</v>
      </c>
      <c r="G1115" t="s">
        <v>397</v>
      </c>
      <c r="H1115" t="s">
        <v>398</v>
      </c>
      <c r="I1115" t="s">
        <v>399</v>
      </c>
      <c r="J1115" t="s">
        <v>749</v>
      </c>
      <c r="K1115" t="s">
        <v>566</v>
      </c>
      <c r="L1115" t="s">
        <v>2978</v>
      </c>
      <c r="M1115" t="s">
        <v>403</v>
      </c>
      <c r="N1115">
        <v>1</v>
      </c>
      <c r="O1115">
        <v>1</v>
      </c>
      <c r="P1115" t="s">
        <v>2979</v>
      </c>
      <c r="Q1115" t="s">
        <v>637</v>
      </c>
      <c r="R1115" t="s">
        <v>552</v>
      </c>
      <c r="S1115" t="s">
        <v>569</v>
      </c>
      <c r="T1115" t="s">
        <v>408</v>
      </c>
      <c r="U1115">
        <v>50950082659</v>
      </c>
      <c r="W1115">
        <v>28000</v>
      </c>
      <c r="X1115" t="s">
        <v>409</v>
      </c>
      <c r="Y1115" t="s">
        <v>410</v>
      </c>
      <c r="Z1115" t="s">
        <v>410</v>
      </c>
      <c r="AA1115" t="s">
        <v>411</v>
      </c>
      <c r="AB1115" t="s">
        <v>769</v>
      </c>
      <c r="AC1115" t="s">
        <v>411</v>
      </c>
      <c r="AD1115">
        <v>46122</v>
      </c>
      <c r="AE1115">
        <v>46181</v>
      </c>
      <c r="AF1115">
        <v>46130</v>
      </c>
      <c r="AG1115" t="s">
        <v>2980</v>
      </c>
      <c r="AH1115">
        <v>6187220</v>
      </c>
      <c r="AI1115">
        <v>46123</v>
      </c>
      <c r="AJ1115">
        <v>46125</v>
      </c>
      <c r="AK1115">
        <v>28000</v>
      </c>
      <c r="AL1115" t="s">
        <v>396</v>
      </c>
      <c r="AM1115" t="s">
        <v>3316</v>
      </c>
      <c r="AN1115">
        <v>46125</v>
      </c>
      <c r="AO1115">
        <v>46125.37122685185</v>
      </c>
      <c r="AP1115" t="s">
        <v>51</v>
      </c>
      <c r="AQ1115">
        <v>0.51249</v>
      </c>
      <c r="AR1115">
        <v>14349.72</v>
      </c>
      <c r="AS1115" t="s">
        <v>51</v>
      </c>
      <c r="AT1115">
        <v>14349.72</v>
      </c>
      <c r="AU1115" t="s">
        <v>415</v>
      </c>
      <c r="AV1115" t="s">
        <v>416</v>
      </c>
      <c r="AW1115" t="s">
        <v>3295</v>
      </c>
      <c r="AX1115">
        <v>46131</v>
      </c>
      <c r="AY1115">
        <v>46180</v>
      </c>
      <c r="AZ1115" t="s">
        <v>3296</v>
      </c>
      <c r="BA1115" t="s">
        <v>560</v>
      </c>
      <c r="BB1115" t="s">
        <v>3297</v>
      </c>
      <c r="BC1115">
        <v>1350</v>
      </c>
      <c r="BD1115" t="s">
        <v>521</v>
      </c>
      <c r="BE1115">
        <v>27.267299999999999</v>
      </c>
      <c r="BF1115">
        <v>17.597300000000001</v>
      </c>
      <c r="BG1115" t="s">
        <v>522</v>
      </c>
      <c r="BH1115">
        <v>760</v>
      </c>
      <c r="BI1115">
        <v>320</v>
      </c>
      <c r="BJ1115">
        <v>190</v>
      </c>
      <c r="BK1115">
        <v>15</v>
      </c>
      <c r="BL1115" t="s">
        <v>521</v>
      </c>
      <c r="BM1115">
        <v>429.0095</v>
      </c>
      <c r="BN1115">
        <v>263.95949999999999</v>
      </c>
      <c r="BO1115">
        <v>608.04999999999995</v>
      </c>
      <c r="BP1115" t="s">
        <v>522</v>
      </c>
      <c r="BQ1115">
        <v>1070</v>
      </c>
      <c r="BR1115">
        <v>750</v>
      </c>
      <c r="BS1115">
        <v>1100</v>
      </c>
      <c r="BT1115">
        <v>1</v>
      </c>
      <c r="BU1115">
        <v>1</v>
      </c>
      <c r="BV1115">
        <v>2</v>
      </c>
      <c r="BW1115">
        <v>20</v>
      </c>
      <c r="BX1115">
        <v>1</v>
      </c>
      <c r="BY1115">
        <v>21</v>
      </c>
      <c r="BZ1115">
        <v>20250</v>
      </c>
      <c r="CA1115">
        <v>7750</v>
      </c>
      <c r="CB1115">
        <v>28000</v>
      </c>
      <c r="CC1115">
        <v>364.98</v>
      </c>
      <c r="CD1115" t="s">
        <v>2983</v>
      </c>
      <c r="CE1115" t="s">
        <v>2984</v>
      </c>
      <c r="CG1115" t="s">
        <v>421</v>
      </c>
      <c r="CN1115" t="str">
        <v>M45</v>
      </c>
      <c r="CO1115" t="str">
        <v>1202-12B0005EN</v>
      </c>
      <c r="CP1115" t="str">
        <v>WHSU5760194</v>
      </c>
      <c r="CQ1115" s="23">
        <v>154.9872</v>
      </c>
      <c r="CR1115" s="25">
        <f t="shared" si="46"/>
        <v>9.4753106910719156E-3</v>
      </c>
      <c r="CS1115" s="21">
        <f t="shared" si="47"/>
        <v>23.688276727679789</v>
      </c>
    </row>
    <row r="1116" spans="2:97" x14ac:dyDescent="0.35">
      <c r="B1116" t="s">
        <v>297</v>
      </c>
      <c r="C1116" t="s">
        <v>3317</v>
      </c>
      <c r="D1116" t="s">
        <v>549</v>
      </c>
      <c r="E1116" t="s">
        <v>395</v>
      </c>
      <c r="F1116" t="s">
        <v>396</v>
      </c>
      <c r="G1116" t="s">
        <v>397</v>
      </c>
      <c r="H1116" t="s">
        <v>398</v>
      </c>
      <c r="I1116" t="s">
        <v>399</v>
      </c>
      <c r="J1116" t="s">
        <v>749</v>
      </c>
      <c r="K1116" t="s">
        <v>1081</v>
      </c>
      <c r="L1116" t="s">
        <v>766</v>
      </c>
      <c r="M1116" t="s">
        <v>403</v>
      </c>
      <c r="N1116">
        <v>1</v>
      </c>
      <c r="O1116">
        <v>1</v>
      </c>
      <c r="P1116" t="s">
        <v>1082</v>
      </c>
      <c r="Q1116" t="s">
        <v>424</v>
      </c>
      <c r="R1116" t="s">
        <v>1083</v>
      </c>
      <c r="S1116" t="s">
        <v>1084</v>
      </c>
      <c r="T1116" t="s">
        <v>408</v>
      </c>
      <c r="U1116">
        <v>50950081508</v>
      </c>
      <c r="W1116">
        <v>20800</v>
      </c>
      <c r="X1116" t="s">
        <v>409</v>
      </c>
      <c r="Y1116" t="s">
        <v>410</v>
      </c>
      <c r="Z1116" t="s">
        <v>410</v>
      </c>
      <c r="AA1116" t="s">
        <v>411</v>
      </c>
      <c r="AB1116" t="s">
        <v>769</v>
      </c>
      <c r="AC1116" t="s">
        <v>411</v>
      </c>
      <c r="AD1116">
        <v>46123</v>
      </c>
      <c r="AE1116">
        <v>46181</v>
      </c>
      <c r="AF1116">
        <v>46130</v>
      </c>
      <c r="AG1116" t="s">
        <v>770</v>
      </c>
      <c r="AH1116">
        <v>6189948</v>
      </c>
      <c r="AI1116">
        <v>46125</v>
      </c>
      <c r="AJ1116">
        <v>46126</v>
      </c>
      <c r="AK1116">
        <v>20800</v>
      </c>
      <c r="AL1116" t="s">
        <v>396</v>
      </c>
      <c r="AM1116" t="s">
        <v>3318</v>
      </c>
      <c r="AN1116">
        <v>46126</v>
      </c>
      <c r="AO1116">
        <v>46126.390162037038</v>
      </c>
      <c r="AP1116" t="s">
        <v>51</v>
      </c>
      <c r="AQ1116">
        <v>0.79244999999999999</v>
      </c>
      <c r="AR1116">
        <v>16482.96</v>
      </c>
      <c r="AS1116" t="s">
        <v>51</v>
      </c>
      <c r="AT1116">
        <v>16482.96</v>
      </c>
      <c r="AU1116" t="s">
        <v>415</v>
      </c>
      <c r="AV1116" t="s">
        <v>416</v>
      </c>
      <c r="AW1116" t="s">
        <v>3295</v>
      </c>
      <c r="AX1116">
        <v>46131</v>
      </c>
      <c r="AY1116">
        <v>46180</v>
      </c>
      <c r="AZ1116" t="s">
        <v>3319</v>
      </c>
      <c r="BA1116" t="s">
        <v>560</v>
      </c>
      <c r="BB1116" t="s">
        <v>3320</v>
      </c>
      <c r="BC1116">
        <v>130</v>
      </c>
      <c r="BD1116" t="s">
        <v>521</v>
      </c>
      <c r="BE1116">
        <v>12.42</v>
      </c>
      <c r="BF1116">
        <v>10.984999999999999</v>
      </c>
      <c r="BG1116" t="s">
        <v>522</v>
      </c>
      <c r="BH1116">
        <v>395</v>
      </c>
      <c r="BI1116">
        <v>295</v>
      </c>
      <c r="BJ1116">
        <v>180</v>
      </c>
      <c r="BK1116">
        <v>40</v>
      </c>
      <c r="BL1116" t="s">
        <v>521</v>
      </c>
      <c r="BM1116">
        <v>520.79999999999995</v>
      </c>
      <c r="BN1116">
        <v>439.4</v>
      </c>
      <c r="BO1116">
        <v>2083.1999999999998</v>
      </c>
      <c r="BP1116" t="s">
        <v>522</v>
      </c>
      <c r="BQ1116">
        <v>1200</v>
      </c>
      <c r="BR1116">
        <v>800</v>
      </c>
      <c r="BS1116">
        <v>1060</v>
      </c>
      <c r="BT1116">
        <v>4</v>
      </c>
      <c r="BU1116">
        <v>0</v>
      </c>
      <c r="BV1116">
        <v>4</v>
      </c>
      <c r="BW1116">
        <v>160</v>
      </c>
      <c r="BX1116">
        <v>0</v>
      </c>
      <c r="BY1116">
        <v>160</v>
      </c>
      <c r="BZ1116">
        <v>20800</v>
      </c>
      <c r="CA1116">
        <v>0</v>
      </c>
      <c r="CB1116">
        <v>20800</v>
      </c>
      <c r="CC1116">
        <v>1757.6</v>
      </c>
      <c r="CD1116" t="s">
        <v>694</v>
      </c>
      <c r="CE1116" t="s">
        <v>1088</v>
      </c>
      <c r="CG1116" t="s">
        <v>421</v>
      </c>
      <c r="CN1116" t="str">
        <v>M45</v>
      </c>
      <c r="CO1116" t="str">
        <v>1438-12B0006EN</v>
      </c>
      <c r="CP1116" t="str">
        <v>WHSU5760194</v>
      </c>
      <c r="CQ1116" s="23">
        <v>50</v>
      </c>
      <c r="CR1116" s="25">
        <f t="shared" si="46"/>
        <v>3.0568042686982913E-3</v>
      </c>
      <c r="CS1116" s="21">
        <f t="shared" si="47"/>
        <v>7.6420106717457283</v>
      </c>
    </row>
    <row r="1117" spans="2:97" x14ac:dyDescent="0.35">
      <c r="B1117" t="s">
        <v>295</v>
      </c>
      <c r="C1117" t="s">
        <v>868</v>
      </c>
      <c r="D1117" t="s">
        <v>395</v>
      </c>
      <c r="E1117" t="s">
        <v>395</v>
      </c>
      <c r="F1117" t="s">
        <v>396</v>
      </c>
      <c r="G1117" t="s">
        <v>397</v>
      </c>
      <c r="H1117" t="s">
        <v>398</v>
      </c>
      <c r="I1117" t="s">
        <v>399</v>
      </c>
      <c r="J1117" t="s">
        <v>749</v>
      </c>
      <c r="K1117" t="s">
        <v>629</v>
      </c>
      <c r="L1117" t="s">
        <v>787</v>
      </c>
      <c r="M1117" t="s">
        <v>403</v>
      </c>
      <c r="N1117">
        <v>1</v>
      </c>
      <c r="O1117">
        <v>7</v>
      </c>
      <c r="P1117" t="s">
        <v>869</v>
      </c>
      <c r="Q1117" t="s">
        <v>637</v>
      </c>
      <c r="R1117" t="s">
        <v>870</v>
      </c>
      <c r="S1117" t="s">
        <v>871</v>
      </c>
      <c r="T1117" t="s">
        <v>408</v>
      </c>
      <c r="U1117">
        <v>50950076250</v>
      </c>
      <c r="W1117">
        <v>3600</v>
      </c>
      <c r="X1117" t="s">
        <v>409</v>
      </c>
      <c r="Y1117" t="s">
        <v>410</v>
      </c>
      <c r="Z1117" t="s">
        <v>410</v>
      </c>
      <c r="AA1117" t="s">
        <v>411</v>
      </c>
      <c r="AB1117" t="s">
        <v>769</v>
      </c>
      <c r="AC1117" t="s">
        <v>411</v>
      </c>
      <c r="AD1117">
        <v>46125</v>
      </c>
      <c r="AE1117">
        <v>46118</v>
      </c>
      <c r="AF1117">
        <v>46130</v>
      </c>
      <c r="AG1117" t="s">
        <v>754</v>
      </c>
      <c r="AH1117">
        <v>6189949</v>
      </c>
      <c r="AI1117">
        <v>46125</v>
      </c>
      <c r="AJ1117">
        <v>46126</v>
      </c>
      <c r="AK1117">
        <v>3600</v>
      </c>
      <c r="AL1117" t="s">
        <v>396</v>
      </c>
      <c r="AM1117" t="s">
        <v>3321</v>
      </c>
      <c r="AN1117">
        <v>46126</v>
      </c>
      <c r="AO1117">
        <v>46126.390162037038</v>
      </c>
      <c r="AP1117" t="s">
        <v>51</v>
      </c>
      <c r="AQ1117">
        <v>1.09693</v>
      </c>
      <c r="AR1117">
        <v>3948.96</v>
      </c>
      <c r="AS1117" t="s">
        <v>51</v>
      </c>
      <c r="AT1117">
        <v>3948.96</v>
      </c>
      <c r="AU1117" t="s">
        <v>415</v>
      </c>
      <c r="AV1117" t="s">
        <v>416</v>
      </c>
      <c r="AW1117" t="s">
        <v>3295</v>
      </c>
      <c r="AX1117">
        <v>46131</v>
      </c>
      <c r="AY1117">
        <v>46180</v>
      </c>
      <c r="AZ1117" t="s">
        <v>3319</v>
      </c>
      <c r="BA1117" t="s">
        <v>560</v>
      </c>
      <c r="BB1117" t="s">
        <v>3320</v>
      </c>
      <c r="BC1117">
        <v>40</v>
      </c>
      <c r="BD1117" t="s">
        <v>521</v>
      </c>
      <c r="BE1117">
        <v>4.4851000000000001</v>
      </c>
      <c r="BF1117">
        <v>3.3351000000000002</v>
      </c>
      <c r="BG1117" t="s">
        <v>522</v>
      </c>
      <c r="BH1117">
        <v>495</v>
      </c>
      <c r="BI1117">
        <v>395</v>
      </c>
      <c r="BJ1117">
        <v>1800</v>
      </c>
      <c r="BK1117">
        <v>30</v>
      </c>
      <c r="BL1117" t="s">
        <v>521</v>
      </c>
      <c r="BM1117">
        <v>161.553</v>
      </c>
      <c r="BN1117">
        <v>100.053</v>
      </c>
      <c r="BO1117">
        <v>484.66079999999999</v>
      </c>
      <c r="BP1117" t="s">
        <v>522</v>
      </c>
      <c r="BQ1117">
        <v>1200</v>
      </c>
      <c r="BR1117">
        <v>1000</v>
      </c>
      <c r="BS1117">
        <v>1058</v>
      </c>
      <c r="BT1117">
        <v>3</v>
      </c>
      <c r="BU1117">
        <v>0</v>
      </c>
      <c r="BV1117">
        <v>3</v>
      </c>
      <c r="BW1117">
        <v>90</v>
      </c>
      <c r="BX1117">
        <v>0</v>
      </c>
      <c r="BY1117">
        <v>90</v>
      </c>
      <c r="BZ1117">
        <v>3600</v>
      </c>
      <c r="CA1117">
        <v>0</v>
      </c>
      <c r="CB1117">
        <v>3600</v>
      </c>
      <c r="CC1117">
        <v>300.16079999999999</v>
      </c>
      <c r="CD1117" t="s">
        <v>799</v>
      </c>
      <c r="CE1117" t="s">
        <v>873</v>
      </c>
      <c r="CG1117" t="s">
        <v>421</v>
      </c>
      <c r="CN1117" t="str">
        <v>M45</v>
      </c>
      <c r="CO1117" t="str">
        <v>1110-V0C0021EN</v>
      </c>
      <c r="CP1117" t="str">
        <v>WHSU5760194</v>
      </c>
      <c r="CQ1117" s="23">
        <v>0.1</v>
      </c>
      <c r="CR1117" s="25">
        <f t="shared" si="46"/>
        <v>6.1136085373965827E-6</v>
      </c>
      <c r="CS1117" s="21">
        <f t="shared" si="47"/>
        <v>1.5284021343491458E-2</v>
      </c>
    </row>
    <row r="1118" spans="2:97" x14ac:dyDescent="0.35">
      <c r="B1118" t="s">
        <v>296</v>
      </c>
      <c r="C1118" t="s">
        <v>2967</v>
      </c>
      <c r="D1118" t="s">
        <v>395</v>
      </c>
      <c r="E1118" t="s">
        <v>395</v>
      </c>
      <c r="F1118" t="s">
        <v>396</v>
      </c>
      <c r="G1118" t="s">
        <v>397</v>
      </c>
      <c r="H1118" t="s">
        <v>398</v>
      </c>
      <c r="I1118" t="s">
        <v>399</v>
      </c>
      <c r="J1118" t="s">
        <v>749</v>
      </c>
      <c r="K1118" t="s">
        <v>629</v>
      </c>
      <c r="L1118" t="s">
        <v>787</v>
      </c>
      <c r="M1118" t="s">
        <v>403</v>
      </c>
      <c r="N1118">
        <v>1</v>
      </c>
      <c r="O1118">
        <v>3</v>
      </c>
      <c r="P1118" t="s">
        <v>875</v>
      </c>
      <c r="Q1118" t="s">
        <v>430</v>
      </c>
      <c r="R1118" t="s">
        <v>876</v>
      </c>
      <c r="S1118" t="s">
        <v>877</v>
      </c>
      <c r="T1118" t="s">
        <v>408</v>
      </c>
      <c r="U1118">
        <v>50950078859</v>
      </c>
      <c r="W1118">
        <v>19200</v>
      </c>
      <c r="X1118" t="s">
        <v>409</v>
      </c>
      <c r="Y1118" t="s">
        <v>410</v>
      </c>
      <c r="Z1118" t="s">
        <v>410</v>
      </c>
      <c r="AA1118" t="s">
        <v>411</v>
      </c>
      <c r="AB1118" t="s">
        <v>769</v>
      </c>
      <c r="AC1118" t="s">
        <v>411</v>
      </c>
      <c r="AD1118">
        <v>46125</v>
      </c>
      <c r="AE1118">
        <v>46160</v>
      </c>
      <c r="AF1118">
        <v>46130</v>
      </c>
      <c r="AG1118" t="s">
        <v>754</v>
      </c>
      <c r="AH1118">
        <v>6189950</v>
      </c>
      <c r="AI1118">
        <v>46125</v>
      </c>
      <c r="AJ1118">
        <v>46126</v>
      </c>
      <c r="AK1118">
        <v>19200</v>
      </c>
      <c r="AL1118" t="s">
        <v>396</v>
      </c>
      <c r="AM1118" t="s">
        <v>3322</v>
      </c>
      <c r="AN1118">
        <v>46126</v>
      </c>
      <c r="AO1118">
        <v>46126.390162037038</v>
      </c>
      <c r="AP1118" t="s">
        <v>51</v>
      </c>
      <c r="AQ1118">
        <v>0.12105</v>
      </c>
      <c r="AR1118">
        <v>2324.16</v>
      </c>
      <c r="AS1118" t="s">
        <v>51</v>
      </c>
      <c r="AT1118">
        <v>2324.16</v>
      </c>
      <c r="AU1118" t="s">
        <v>415</v>
      </c>
      <c r="AV1118" t="s">
        <v>416</v>
      </c>
      <c r="AW1118" t="s">
        <v>3295</v>
      </c>
      <c r="AX1118">
        <v>46131</v>
      </c>
      <c r="AY1118">
        <v>46180</v>
      </c>
      <c r="AZ1118" t="s">
        <v>3319</v>
      </c>
      <c r="BA1118" t="s">
        <v>560</v>
      </c>
      <c r="BB1118" t="s">
        <v>3320</v>
      </c>
      <c r="BC1118">
        <v>160</v>
      </c>
      <c r="BD1118" t="s">
        <v>521</v>
      </c>
      <c r="BE1118">
        <v>6.3452000000000002</v>
      </c>
      <c r="BF1118">
        <v>4.7952000000000004</v>
      </c>
      <c r="BG1118" t="s">
        <v>522</v>
      </c>
      <c r="BH1118">
        <v>595</v>
      </c>
      <c r="BI1118">
        <v>495</v>
      </c>
      <c r="BJ1118">
        <v>190</v>
      </c>
      <c r="BK1118">
        <v>20</v>
      </c>
      <c r="BL1118" t="s">
        <v>521</v>
      </c>
      <c r="BM1118">
        <v>153.904</v>
      </c>
      <c r="BN1118">
        <v>95.903999999999996</v>
      </c>
      <c r="BO1118">
        <v>923.42399999999998</v>
      </c>
      <c r="BP1118" t="s">
        <v>522</v>
      </c>
      <c r="BQ1118">
        <v>1200</v>
      </c>
      <c r="BR1118">
        <v>1000</v>
      </c>
      <c r="BS1118">
        <v>1110</v>
      </c>
      <c r="BT1118">
        <v>6</v>
      </c>
      <c r="BU1118">
        <v>0</v>
      </c>
      <c r="BV1118">
        <v>6</v>
      </c>
      <c r="BW1118">
        <v>120</v>
      </c>
      <c r="BX1118">
        <v>0</v>
      </c>
      <c r="BY1118">
        <v>120</v>
      </c>
      <c r="BZ1118">
        <v>19200</v>
      </c>
      <c r="CA1118">
        <v>0</v>
      </c>
      <c r="CB1118">
        <v>19200</v>
      </c>
      <c r="CC1118">
        <v>575.42399999999998</v>
      </c>
      <c r="CD1118" t="s">
        <v>592</v>
      </c>
      <c r="CE1118" t="s">
        <v>879</v>
      </c>
      <c r="CG1118" t="s">
        <v>421</v>
      </c>
      <c r="CN1118" t="str">
        <v>M23</v>
      </c>
      <c r="CO1118" t="str">
        <v>1293-1060012EN</v>
      </c>
      <c r="CP1118" t="str">
        <v>WHSU5760194</v>
      </c>
      <c r="CQ1118" s="23">
        <v>302.93439999999998</v>
      </c>
      <c r="CR1118" s="25">
        <f t="shared" si="46"/>
        <v>1.8520223341111114E-2</v>
      </c>
      <c r="CS1118" s="21">
        <f t="shared" si="47"/>
        <v>46.300558352777784</v>
      </c>
    </row>
    <row r="1119" spans="2:97" x14ac:dyDescent="0.35">
      <c r="B1119" t="s">
        <v>296</v>
      </c>
      <c r="C1119" t="s">
        <v>3306</v>
      </c>
      <c r="D1119" t="s">
        <v>395</v>
      </c>
      <c r="E1119" t="s">
        <v>395</v>
      </c>
      <c r="F1119" t="s">
        <v>396</v>
      </c>
      <c r="G1119" t="s">
        <v>397</v>
      </c>
      <c r="H1119" t="s">
        <v>398</v>
      </c>
      <c r="I1119" t="s">
        <v>399</v>
      </c>
      <c r="J1119" t="s">
        <v>749</v>
      </c>
      <c r="K1119" t="s">
        <v>629</v>
      </c>
      <c r="L1119" t="s">
        <v>787</v>
      </c>
      <c r="M1119" t="s">
        <v>403</v>
      </c>
      <c r="N1119">
        <v>1</v>
      </c>
      <c r="O1119">
        <v>2</v>
      </c>
      <c r="P1119" t="s">
        <v>881</v>
      </c>
      <c r="Q1119" t="s">
        <v>645</v>
      </c>
      <c r="R1119" t="s">
        <v>882</v>
      </c>
      <c r="S1119" t="s">
        <v>883</v>
      </c>
      <c r="T1119" t="s">
        <v>408</v>
      </c>
      <c r="U1119">
        <v>50950079723</v>
      </c>
      <c r="W1119">
        <v>39600</v>
      </c>
      <c r="X1119" t="s">
        <v>409</v>
      </c>
      <c r="Y1119" t="s">
        <v>410</v>
      </c>
      <c r="Z1119" t="s">
        <v>410</v>
      </c>
      <c r="AA1119" t="s">
        <v>411</v>
      </c>
      <c r="AB1119" t="s">
        <v>769</v>
      </c>
      <c r="AC1119" t="s">
        <v>411</v>
      </c>
      <c r="AD1119">
        <v>46118</v>
      </c>
      <c r="AE1119">
        <v>46209</v>
      </c>
      <c r="AF1119">
        <v>46130</v>
      </c>
      <c r="AG1119" t="s">
        <v>754</v>
      </c>
      <c r="AH1119">
        <v>6189951</v>
      </c>
      <c r="AI1119">
        <v>46125</v>
      </c>
      <c r="AJ1119">
        <v>46126</v>
      </c>
      <c r="AK1119">
        <v>39600</v>
      </c>
      <c r="AL1119" t="s">
        <v>396</v>
      </c>
      <c r="AM1119" t="s">
        <v>3323</v>
      </c>
      <c r="AN1119">
        <v>46126</v>
      </c>
      <c r="AO1119">
        <v>46126.390162037038</v>
      </c>
      <c r="AP1119" t="s">
        <v>51</v>
      </c>
      <c r="AQ1119">
        <v>0.20003000000000001</v>
      </c>
      <c r="AR1119">
        <v>7921.2</v>
      </c>
      <c r="AS1119" t="s">
        <v>51</v>
      </c>
      <c r="AT1119">
        <v>7921.2</v>
      </c>
      <c r="AU1119" t="s">
        <v>415</v>
      </c>
      <c r="AV1119" t="s">
        <v>416</v>
      </c>
      <c r="AW1119" t="s">
        <v>3295</v>
      </c>
      <c r="AX1119">
        <v>46131</v>
      </c>
      <c r="AY1119">
        <v>46180</v>
      </c>
      <c r="AZ1119" t="s">
        <v>3319</v>
      </c>
      <c r="BA1119" t="s">
        <v>560</v>
      </c>
      <c r="BB1119" t="s">
        <v>3320</v>
      </c>
      <c r="BC1119">
        <v>264</v>
      </c>
      <c r="BD1119" t="s">
        <v>521</v>
      </c>
      <c r="BE1119">
        <v>5.2203999999999997</v>
      </c>
      <c r="BF1119">
        <v>3.8304</v>
      </c>
      <c r="BG1119" t="s">
        <v>522</v>
      </c>
      <c r="BH1119">
        <v>595</v>
      </c>
      <c r="BI1119">
        <v>395</v>
      </c>
      <c r="BJ1119">
        <v>175</v>
      </c>
      <c r="BK1119">
        <v>25</v>
      </c>
      <c r="BL1119" t="s">
        <v>521</v>
      </c>
      <c r="BM1119">
        <v>157.51</v>
      </c>
      <c r="BN1119">
        <v>95.76</v>
      </c>
      <c r="BO1119">
        <v>945.05640000000005</v>
      </c>
      <c r="BP1119" t="s">
        <v>522</v>
      </c>
      <c r="BQ1119">
        <v>1200</v>
      </c>
      <c r="BR1119">
        <v>1000</v>
      </c>
      <c r="BS1119">
        <v>1035</v>
      </c>
      <c r="BT1119">
        <v>6</v>
      </c>
      <c r="BU1119">
        <v>0</v>
      </c>
      <c r="BV1119">
        <v>6</v>
      </c>
      <c r="BW1119">
        <v>150</v>
      </c>
      <c r="BX1119">
        <v>0</v>
      </c>
      <c r="BY1119">
        <v>150</v>
      </c>
      <c r="BZ1119">
        <v>39600</v>
      </c>
      <c r="CA1119">
        <v>0</v>
      </c>
      <c r="CB1119">
        <v>39600</v>
      </c>
      <c r="CC1119">
        <v>574.55640000000005</v>
      </c>
      <c r="CD1119" t="s">
        <v>885</v>
      </c>
      <c r="CE1119" t="s">
        <v>886</v>
      </c>
      <c r="CG1119" t="s">
        <v>421</v>
      </c>
      <c r="CN1119" t="str">
        <v>M01</v>
      </c>
      <c r="CO1119" t="str">
        <v>1104-1030078EN</v>
      </c>
      <c r="CP1119" t="str">
        <v>WHSU6740607</v>
      </c>
      <c r="CQ1119" s="23">
        <v>20.159996717005907</v>
      </c>
      <c r="CR1119" s="25">
        <f t="shared" si="46"/>
        <v>1.1808471683624291E-3</v>
      </c>
      <c r="CS1119" s="21">
        <f t="shared" si="47"/>
        <v>2.9521179209060726</v>
      </c>
    </row>
    <row r="1120" spans="2:97" x14ac:dyDescent="0.35">
      <c r="B1120" t="s">
        <v>299</v>
      </c>
      <c r="C1120" t="s">
        <v>3308</v>
      </c>
      <c r="D1120" t="s">
        <v>965</v>
      </c>
      <c r="E1120" t="s">
        <v>395</v>
      </c>
      <c r="F1120" t="s">
        <v>396</v>
      </c>
      <c r="G1120" t="s">
        <v>397</v>
      </c>
      <c r="H1120" t="s">
        <v>398</v>
      </c>
      <c r="I1120" t="s">
        <v>399</v>
      </c>
      <c r="J1120" t="s">
        <v>749</v>
      </c>
      <c r="K1120" t="s">
        <v>809</v>
      </c>
      <c r="L1120" t="s">
        <v>787</v>
      </c>
      <c r="M1120" t="s">
        <v>403</v>
      </c>
      <c r="N1120">
        <v>1</v>
      </c>
      <c r="O1120">
        <v>2</v>
      </c>
      <c r="P1120" t="s">
        <v>810</v>
      </c>
      <c r="Q1120" t="s">
        <v>405</v>
      </c>
      <c r="R1120" t="s">
        <v>811</v>
      </c>
      <c r="S1120" t="s">
        <v>812</v>
      </c>
      <c r="T1120" t="s">
        <v>408</v>
      </c>
      <c r="U1120">
        <v>50950080295</v>
      </c>
      <c r="W1120">
        <v>4320</v>
      </c>
      <c r="X1120" t="s">
        <v>409</v>
      </c>
      <c r="Y1120" t="s">
        <v>410</v>
      </c>
      <c r="Z1120" t="s">
        <v>410</v>
      </c>
      <c r="AA1120" t="s">
        <v>411</v>
      </c>
      <c r="AB1120" t="s">
        <v>769</v>
      </c>
      <c r="AC1120" t="s">
        <v>411</v>
      </c>
      <c r="AD1120">
        <v>46123</v>
      </c>
      <c r="AE1120">
        <v>46132</v>
      </c>
      <c r="AF1120">
        <v>46130</v>
      </c>
      <c r="AG1120" t="s">
        <v>754</v>
      </c>
      <c r="AH1120">
        <v>6189952</v>
      </c>
      <c r="AI1120">
        <v>46125</v>
      </c>
      <c r="AJ1120">
        <v>46126</v>
      </c>
      <c r="AK1120">
        <v>4320</v>
      </c>
      <c r="AL1120" t="s">
        <v>396</v>
      </c>
      <c r="AM1120" t="s">
        <v>3324</v>
      </c>
      <c r="AN1120">
        <v>46126</v>
      </c>
      <c r="AO1120">
        <v>46126.390162037038</v>
      </c>
      <c r="AP1120" t="s">
        <v>51</v>
      </c>
      <c r="AQ1120">
        <v>2.0436299999999998</v>
      </c>
      <c r="AR1120">
        <v>8828.4599999999991</v>
      </c>
      <c r="AS1120" t="s">
        <v>51</v>
      </c>
      <c r="AT1120">
        <v>8828.4599999999991</v>
      </c>
      <c r="AU1120" t="s">
        <v>415</v>
      </c>
      <c r="AV1120" t="s">
        <v>416</v>
      </c>
      <c r="AW1120" t="s">
        <v>3295</v>
      </c>
      <c r="AX1120">
        <v>46131</v>
      </c>
      <c r="AY1120">
        <v>46180</v>
      </c>
      <c r="AZ1120" t="s">
        <v>3319</v>
      </c>
      <c r="BA1120" t="s">
        <v>560</v>
      </c>
      <c r="BB1120" t="s">
        <v>3320</v>
      </c>
      <c r="BC1120">
        <v>16</v>
      </c>
      <c r="BD1120" t="s">
        <v>521</v>
      </c>
      <c r="BE1120">
        <v>4.9545000000000003</v>
      </c>
      <c r="BF1120">
        <v>3.7555000000000001</v>
      </c>
      <c r="BG1120" t="s">
        <v>522</v>
      </c>
      <c r="BH1120">
        <v>495</v>
      </c>
      <c r="BI1120">
        <v>395</v>
      </c>
      <c r="BJ1120">
        <v>190</v>
      </c>
      <c r="BK1120">
        <v>30</v>
      </c>
      <c r="BL1120" t="s">
        <v>521</v>
      </c>
      <c r="BM1120">
        <v>175.63499999999999</v>
      </c>
      <c r="BN1120">
        <v>112.66500000000001</v>
      </c>
      <c r="BO1120">
        <v>1580.7203999999999</v>
      </c>
      <c r="BP1120" t="s">
        <v>522</v>
      </c>
      <c r="BQ1120">
        <v>1200</v>
      </c>
      <c r="BR1120">
        <v>1000</v>
      </c>
      <c r="BS1120">
        <v>1120</v>
      </c>
      <c r="BT1120">
        <v>9</v>
      </c>
      <c r="BU1120">
        <v>0</v>
      </c>
      <c r="BV1120">
        <v>9</v>
      </c>
      <c r="BW1120">
        <v>270</v>
      </c>
      <c r="BX1120">
        <v>0</v>
      </c>
      <c r="BY1120">
        <v>270</v>
      </c>
      <c r="BZ1120">
        <v>4320</v>
      </c>
      <c r="CA1120">
        <v>0</v>
      </c>
      <c r="CB1120">
        <v>4320</v>
      </c>
      <c r="CC1120">
        <v>1013.9904</v>
      </c>
      <c r="CD1120" t="s">
        <v>806</v>
      </c>
      <c r="CE1120" t="s">
        <v>816</v>
      </c>
      <c r="CG1120" t="s">
        <v>421</v>
      </c>
      <c r="CN1120" t="str">
        <v>M01</v>
      </c>
      <c r="CO1120" t="str">
        <v>1318-1030018EN</v>
      </c>
      <c r="CP1120" t="str">
        <v>WHSU6740607</v>
      </c>
      <c r="CQ1120" s="23">
        <v>10</v>
      </c>
      <c r="CR1120" s="25">
        <f t="shared" si="46"/>
        <v>5.857377781050574E-4</v>
      </c>
      <c r="CS1120" s="21">
        <f t="shared" si="47"/>
        <v>1.4643444452626435</v>
      </c>
    </row>
    <row r="1121" spans="2:97" x14ac:dyDescent="0.35">
      <c r="B1121" t="s">
        <v>299</v>
      </c>
      <c r="C1121" t="s">
        <v>2774</v>
      </c>
      <c r="D1121" t="s">
        <v>395</v>
      </c>
      <c r="E1121" t="s">
        <v>395</v>
      </c>
      <c r="F1121" t="s">
        <v>396</v>
      </c>
      <c r="G1121" t="s">
        <v>397</v>
      </c>
      <c r="H1121" t="s">
        <v>398</v>
      </c>
      <c r="I1121" t="s">
        <v>399</v>
      </c>
      <c r="J1121" t="s">
        <v>749</v>
      </c>
      <c r="K1121" t="s">
        <v>809</v>
      </c>
      <c r="L1121" t="s">
        <v>787</v>
      </c>
      <c r="M1121" t="s">
        <v>403</v>
      </c>
      <c r="N1121">
        <v>1</v>
      </c>
      <c r="O1121">
        <v>2</v>
      </c>
      <c r="P1121" t="s">
        <v>1138</v>
      </c>
      <c r="Q1121" t="s">
        <v>943</v>
      </c>
      <c r="R1121" t="s">
        <v>811</v>
      </c>
      <c r="S1121" t="s">
        <v>1139</v>
      </c>
      <c r="T1121" t="s">
        <v>408</v>
      </c>
      <c r="U1121">
        <v>50950081212</v>
      </c>
      <c r="W1121">
        <v>480</v>
      </c>
      <c r="X1121" t="s">
        <v>409</v>
      </c>
      <c r="Y1121" t="s">
        <v>410</v>
      </c>
      <c r="Z1121" t="s">
        <v>410</v>
      </c>
      <c r="AA1121" t="s">
        <v>411</v>
      </c>
      <c r="AB1121" t="s">
        <v>769</v>
      </c>
      <c r="AC1121" t="s">
        <v>411</v>
      </c>
      <c r="AD1121">
        <v>46125</v>
      </c>
      <c r="AE1121">
        <v>46174</v>
      </c>
      <c r="AF1121">
        <v>46130</v>
      </c>
      <c r="AG1121" t="s">
        <v>754</v>
      </c>
      <c r="AH1121">
        <v>6189953</v>
      </c>
      <c r="AI1121">
        <v>46125</v>
      </c>
      <c r="AJ1121">
        <v>46126</v>
      </c>
      <c r="AK1121">
        <v>480</v>
      </c>
      <c r="AL1121" t="s">
        <v>396</v>
      </c>
      <c r="AM1121" t="s">
        <v>3325</v>
      </c>
      <c r="AN1121">
        <v>46126</v>
      </c>
      <c r="AO1121">
        <v>46126.390162037038</v>
      </c>
      <c r="AP1121" t="s">
        <v>51</v>
      </c>
      <c r="AQ1121">
        <v>1.5686</v>
      </c>
      <c r="AR1121">
        <v>752.93</v>
      </c>
      <c r="AS1121" t="s">
        <v>51</v>
      </c>
      <c r="AT1121">
        <v>752.93</v>
      </c>
      <c r="AU1121" t="s">
        <v>415</v>
      </c>
      <c r="AV1121" t="s">
        <v>416</v>
      </c>
      <c r="AW1121" t="s">
        <v>3295</v>
      </c>
      <c r="AX1121">
        <v>46131</v>
      </c>
      <c r="AY1121">
        <v>46180</v>
      </c>
      <c r="AZ1121" t="s">
        <v>3319</v>
      </c>
      <c r="BA1121" t="s">
        <v>560</v>
      </c>
      <c r="BB1121" t="s">
        <v>3320</v>
      </c>
      <c r="BC1121">
        <v>16</v>
      </c>
      <c r="BD1121" t="s">
        <v>521</v>
      </c>
      <c r="BE1121">
        <v>4.0369000000000002</v>
      </c>
      <c r="BF1121">
        <v>2.8378999999999999</v>
      </c>
      <c r="BG1121" t="s">
        <v>522</v>
      </c>
      <c r="BH1121">
        <v>495</v>
      </c>
      <c r="BI1121">
        <v>395</v>
      </c>
      <c r="BJ1121">
        <v>190</v>
      </c>
      <c r="BK1121">
        <v>30</v>
      </c>
      <c r="BL1121" t="s">
        <v>521</v>
      </c>
      <c r="BM1121">
        <v>148.10568000000001</v>
      </c>
      <c r="BN1121">
        <v>85.135679999999994</v>
      </c>
      <c r="BO1121">
        <v>148.10568000000001</v>
      </c>
      <c r="BP1121" t="s">
        <v>522</v>
      </c>
      <c r="BQ1121">
        <v>1200</v>
      </c>
      <c r="BR1121">
        <v>1000</v>
      </c>
      <c r="BS1121">
        <v>1120</v>
      </c>
      <c r="BT1121">
        <v>1</v>
      </c>
      <c r="BU1121">
        <v>0</v>
      </c>
      <c r="BV1121">
        <v>1</v>
      </c>
      <c r="BW1121">
        <v>30</v>
      </c>
      <c r="BX1121">
        <v>0</v>
      </c>
      <c r="BY1121">
        <v>30</v>
      </c>
      <c r="BZ1121">
        <v>480</v>
      </c>
      <c r="CA1121">
        <v>0</v>
      </c>
      <c r="CB1121">
        <v>480</v>
      </c>
      <c r="CC1121">
        <v>85.135679999999994</v>
      </c>
      <c r="CD1121" t="s">
        <v>806</v>
      </c>
      <c r="CE1121" t="s">
        <v>816</v>
      </c>
      <c r="CG1121" t="s">
        <v>421</v>
      </c>
      <c r="CN1121" t="str">
        <v>M01</v>
      </c>
      <c r="CO1121" t="str">
        <v>1307-1030122EN</v>
      </c>
      <c r="CP1121" t="str">
        <v>WHSU6740607</v>
      </c>
      <c r="CQ1121" s="23">
        <v>4000</v>
      </c>
      <c r="CR1121" s="25">
        <f t="shared" si="46"/>
        <v>0.23429511124202296</v>
      </c>
      <c r="CS1121" s="21">
        <f t="shared" si="47"/>
        <v>585.73777810505737</v>
      </c>
    </row>
    <row r="1122" spans="2:97" x14ac:dyDescent="0.35">
      <c r="B1122" t="s">
        <v>299</v>
      </c>
      <c r="C1122" t="s">
        <v>3098</v>
      </c>
      <c r="D1122" t="s">
        <v>395</v>
      </c>
      <c r="E1122" t="s">
        <v>823</v>
      </c>
      <c r="F1122" t="s">
        <v>396</v>
      </c>
      <c r="G1122" t="s">
        <v>397</v>
      </c>
      <c r="H1122" t="s">
        <v>398</v>
      </c>
      <c r="I1122" t="s">
        <v>399</v>
      </c>
      <c r="J1122" t="s">
        <v>749</v>
      </c>
      <c r="K1122" t="s">
        <v>809</v>
      </c>
      <c r="L1122" t="s">
        <v>787</v>
      </c>
      <c r="M1122" t="s">
        <v>403</v>
      </c>
      <c r="N1122">
        <v>1</v>
      </c>
      <c r="O1122">
        <v>2</v>
      </c>
      <c r="P1122" t="s">
        <v>824</v>
      </c>
      <c r="Q1122" t="s">
        <v>424</v>
      </c>
      <c r="R1122" t="s">
        <v>811</v>
      </c>
      <c r="S1122" t="s">
        <v>825</v>
      </c>
      <c r="T1122" t="s">
        <v>408</v>
      </c>
      <c r="U1122">
        <v>50950081222</v>
      </c>
      <c r="W1122">
        <v>7200</v>
      </c>
      <c r="X1122" t="s">
        <v>409</v>
      </c>
      <c r="Y1122" t="s">
        <v>410</v>
      </c>
      <c r="Z1122" t="s">
        <v>410</v>
      </c>
      <c r="AA1122" t="s">
        <v>411</v>
      </c>
      <c r="AB1122" t="s">
        <v>769</v>
      </c>
      <c r="AC1122" t="s">
        <v>411</v>
      </c>
      <c r="AD1122">
        <v>46109</v>
      </c>
      <c r="AE1122">
        <v>46167</v>
      </c>
      <c r="AF1122">
        <v>46130</v>
      </c>
      <c r="AG1122" t="s">
        <v>754</v>
      </c>
      <c r="AH1122">
        <v>6189954</v>
      </c>
      <c r="AI1122">
        <v>46125</v>
      </c>
      <c r="AJ1122">
        <v>46126</v>
      </c>
      <c r="AK1122">
        <v>7200</v>
      </c>
      <c r="AL1122" t="s">
        <v>396</v>
      </c>
      <c r="AM1122" t="s">
        <v>3326</v>
      </c>
      <c r="AN1122">
        <v>46126</v>
      </c>
      <c r="AO1122">
        <v>46126.390162037038</v>
      </c>
      <c r="AP1122" t="s">
        <v>51</v>
      </c>
      <c r="AQ1122">
        <v>1.3411999999999999</v>
      </c>
      <c r="AR1122">
        <v>9656.65</v>
      </c>
      <c r="AS1122" t="s">
        <v>51</v>
      </c>
      <c r="AT1122">
        <v>9656.65</v>
      </c>
      <c r="AU1122" t="s">
        <v>415</v>
      </c>
      <c r="AV1122" t="s">
        <v>416</v>
      </c>
      <c r="AW1122" t="s">
        <v>3295</v>
      </c>
      <c r="AX1122">
        <v>46131</v>
      </c>
      <c r="AY1122">
        <v>46180</v>
      </c>
      <c r="AZ1122" t="s">
        <v>3319</v>
      </c>
      <c r="BA1122" t="s">
        <v>560</v>
      </c>
      <c r="BB1122" t="s">
        <v>3320</v>
      </c>
      <c r="BC1122">
        <v>48</v>
      </c>
      <c r="BD1122" t="s">
        <v>521</v>
      </c>
      <c r="BE1122">
        <v>8.2250999999999994</v>
      </c>
      <c r="BF1122">
        <v>6.7651000000000003</v>
      </c>
      <c r="BG1122" t="s">
        <v>522</v>
      </c>
      <c r="BH1122">
        <v>495</v>
      </c>
      <c r="BI1122">
        <v>395</v>
      </c>
      <c r="BJ1122">
        <v>190</v>
      </c>
      <c r="BK1122">
        <v>30</v>
      </c>
      <c r="BL1122" t="s">
        <v>521</v>
      </c>
      <c r="BM1122">
        <v>273.75299999999999</v>
      </c>
      <c r="BN1122">
        <v>202.953</v>
      </c>
      <c r="BO1122">
        <v>1368.768</v>
      </c>
      <c r="BP1122" t="s">
        <v>522</v>
      </c>
      <c r="BQ1122">
        <v>1200</v>
      </c>
      <c r="BR1122">
        <v>1000</v>
      </c>
      <c r="BS1122">
        <v>1120</v>
      </c>
      <c r="BT1122">
        <v>5</v>
      </c>
      <c r="BU1122">
        <v>0</v>
      </c>
      <c r="BV1122">
        <v>5</v>
      </c>
      <c r="BW1122">
        <v>150</v>
      </c>
      <c r="BX1122">
        <v>0</v>
      </c>
      <c r="BY1122">
        <v>150</v>
      </c>
      <c r="BZ1122">
        <v>7200</v>
      </c>
      <c r="CA1122">
        <v>0</v>
      </c>
      <c r="CB1122">
        <v>7200</v>
      </c>
      <c r="CC1122">
        <v>1014.768</v>
      </c>
      <c r="CD1122" t="s">
        <v>806</v>
      </c>
      <c r="CE1122" t="s">
        <v>821</v>
      </c>
      <c r="CG1122" t="s">
        <v>421</v>
      </c>
      <c r="CN1122" t="str">
        <v>M01</v>
      </c>
      <c r="CO1122" t="str">
        <v>1318-1030030EN</v>
      </c>
      <c r="CP1122" t="str">
        <v>WHSU6740607</v>
      </c>
      <c r="CQ1122" s="23">
        <v>20</v>
      </c>
      <c r="CR1122" s="25">
        <f t="shared" si="46"/>
        <v>1.1714755562101148E-3</v>
      </c>
      <c r="CS1122" s="21">
        <f t="shared" si="47"/>
        <v>2.928688890525287</v>
      </c>
    </row>
    <row r="1123" spans="2:97" x14ac:dyDescent="0.35">
      <c r="B1123" t="s">
        <v>296</v>
      </c>
      <c r="C1123" t="s">
        <v>1962</v>
      </c>
      <c r="D1123" t="s">
        <v>395</v>
      </c>
      <c r="E1123" t="s">
        <v>395</v>
      </c>
      <c r="F1123" t="s">
        <v>396</v>
      </c>
      <c r="G1123" t="s">
        <v>397</v>
      </c>
      <c r="H1123" t="s">
        <v>398</v>
      </c>
      <c r="I1123" t="s">
        <v>399</v>
      </c>
      <c r="J1123" t="s">
        <v>749</v>
      </c>
      <c r="K1123" t="s">
        <v>1142</v>
      </c>
      <c r="L1123" t="s">
        <v>787</v>
      </c>
      <c r="M1123" t="s">
        <v>403</v>
      </c>
      <c r="N1123">
        <v>1</v>
      </c>
      <c r="O1123">
        <v>3</v>
      </c>
      <c r="P1123" t="s">
        <v>1963</v>
      </c>
      <c r="Q1123" t="s">
        <v>424</v>
      </c>
      <c r="R1123" t="s">
        <v>1164</v>
      </c>
      <c r="S1123" t="s">
        <v>1165</v>
      </c>
      <c r="T1123" t="s">
        <v>408</v>
      </c>
      <c r="U1123">
        <v>50950081519</v>
      </c>
      <c r="W1123">
        <v>9000</v>
      </c>
      <c r="X1123" t="s">
        <v>409</v>
      </c>
      <c r="Y1123" t="s">
        <v>410</v>
      </c>
      <c r="Z1123" t="s">
        <v>410</v>
      </c>
      <c r="AA1123" t="s">
        <v>411</v>
      </c>
      <c r="AB1123" t="s">
        <v>769</v>
      </c>
      <c r="AC1123" t="s">
        <v>411</v>
      </c>
      <c r="AD1123">
        <v>46125</v>
      </c>
      <c r="AE1123">
        <v>46160</v>
      </c>
      <c r="AF1123">
        <v>46130</v>
      </c>
      <c r="AG1123" t="s">
        <v>754</v>
      </c>
      <c r="AH1123">
        <v>6189955</v>
      </c>
      <c r="AI1123">
        <v>46125</v>
      </c>
      <c r="AJ1123">
        <v>46126</v>
      </c>
      <c r="AK1123">
        <v>9000</v>
      </c>
      <c r="AL1123" t="s">
        <v>396</v>
      </c>
      <c r="AM1123" t="s">
        <v>3327</v>
      </c>
      <c r="AN1123">
        <v>46126</v>
      </c>
      <c r="AO1123">
        <v>46126.390162037038</v>
      </c>
      <c r="AP1123" t="s">
        <v>51</v>
      </c>
      <c r="AQ1123">
        <v>0.27694000000000002</v>
      </c>
      <c r="AR1123">
        <v>2492.46</v>
      </c>
      <c r="AS1123" t="s">
        <v>51</v>
      </c>
      <c r="AT1123">
        <v>2492.46</v>
      </c>
      <c r="AU1123" t="s">
        <v>415</v>
      </c>
      <c r="AV1123" t="s">
        <v>416</v>
      </c>
      <c r="AW1123" t="s">
        <v>3295</v>
      </c>
      <c r="AX1123">
        <v>46131</v>
      </c>
      <c r="AY1123">
        <v>46180</v>
      </c>
      <c r="AZ1123" t="s">
        <v>3319</v>
      </c>
      <c r="BA1123" t="s">
        <v>560</v>
      </c>
      <c r="BB1123" t="s">
        <v>3320</v>
      </c>
      <c r="BC1123">
        <v>3000</v>
      </c>
      <c r="BD1123" t="s">
        <v>521</v>
      </c>
      <c r="BE1123">
        <v>394.3</v>
      </c>
      <c r="BF1123">
        <v>373.8</v>
      </c>
      <c r="BG1123" t="s">
        <v>522</v>
      </c>
      <c r="BH1123">
        <v>1050</v>
      </c>
      <c r="BI1123">
        <v>480</v>
      </c>
      <c r="BJ1123">
        <v>460</v>
      </c>
      <c r="BK1123">
        <v>1</v>
      </c>
      <c r="BL1123" t="s">
        <v>521</v>
      </c>
      <c r="BM1123">
        <v>394.30009999999999</v>
      </c>
      <c r="BN1123">
        <v>373.8</v>
      </c>
      <c r="BO1123">
        <v>1182.9003</v>
      </c>
      <c r="BP1123" t="s">
        <v>522</v>
      </c>
      <c r="BQ1123">
        <v>1050</v>
      </c>
      <c r="BR1123">
        <v>480</v>
      </c>
      <c r="BS1123">
        <v>480</v>
      </c>
      <c r="BT1123">
        <v>3</v>
      </c>
      <c r="BU1123">
        <v>0</v>
      </c>
      <c r="BV1123">
        <v>3</v>
      </c>
      <c r="BW1123">
        <v>3</v>
      </c>
      <c r="BX1123">
        <v>0</v>
      </c>
      <c r="BY1123">
        <v>3</v>
      </c>
      <c r="BZ1123">
        <v>9000</v>
      </c>
      <c r="CA1123">
        <v>0</v>
      </c>
      <c r="CB1123">
        <v>9000</v>
      </c>
      <c r="CC1123">
        <v>1121.4000000000001</v>
      </c>
      <c r="CD1123" t="s">
        <v>641</v>
      </c>
      <c r="CE1123" t="s">
        <v>1147</v>
      </c>
      <c r="CG1123" t="s">
        <v>421</v>
      </c>
      <c r="CN1123" t="str">
        <v>M01</v>
      </c>
      <c r="CO1123" t="str">
        <v>1318-1030079EN</v>
      </c>
      <c r="CP1123" t="str">
        <v>WHSU6740607</v>
      </c>
      <c r="CQ1123" s="23">
        <v>10</v>
      </c>
      <c r="CR1123" s="25">
        <f t="shared" si="46"/>
        <v>5.857377781050574E-4</v>
      </c>
      <c r="CS1123" s="21">
        <f t="shared" si="47"/>
        <v>1.4643444452626435</v>
      </c>
    </row>
    <row r="1124" spans="2:97" x14ac:dyDescent="0.35">
      <c r="B1124" t="s">
        <v>296</v>
      </c>
      <c r="C1124" t="s">
        <v>1568</v>
      </c>
      <c r="D1124" t="s">
        <v>395</v>
      </c>
      <c r="E1124" t="s">
        <v>395</v>
      </c>
      <c r="F1124" t="s">
        <v>396</v>
      </c>
      <c r="G1124" t="s">
        <v>397</v>
      </c>
      <c r="H1124" t="s">
        <v>398</v>
      </c>
      <c r="I1124" t="s">
        <v>399</v>
      </c>
      <c r="J1124" t="s">
        <v>749</v>
      </c>
      <c r="K1124" t="s">
        <v>1142</v>
      </c>
      <c r="L1124" t="s">
        <v>787</v>
      </c>
      <c r="M1124" t="s">
        <v>403</v>
      </c>
      <c r="N1124">
        <v>5</v>
      </c>
      <c r="O1124">
        <v>2</v>
      </c>
      <c r="P1124" t="s">
        <v>1143</v>
      </c>
      <c r="Q1124" t="s">
        <v>424</v>
      </c>
      <c r="R1124" t="s">
        <v>1144</v>
      </c>
      <c r="S1124" t="s">
        <v>1145</v>
      </c>
      <c r="T1124" t="s">
        <v>408</v>
      </c>
      <c r="U1124">
        <v>50950081520</v>
      </c>
      <c r="W1124">
        <v>18000</v>
      </c>
      <c r="X1124" t="s">
        <v>409</v>
      </c>
      <c r="Y1124" t="s">
        <v>410</v>
      </c>
      <c r="Z1124" t="s">
        <v>410</v>
      </c>
      <c r="AA1124" t="s">
        <v>411</v>
      </c>
      <c r="AB1124" t="s">
        <v>769</v>
      </c>
      <c r="AC1124" t="s">
        <v>411</v>
      </c>
      <c r="AD1124">
        <v>46125</v>
      </c>
      <c r="AE1124">
        <v>46167</v>
      </c>
      <c r="AF1124">
        <v>46130</v>
      </c>
      <c r="AG1124" t="s">
        <v>754</v>
      </c>
      <c r="AH1124">
        <v>6189956</v>
      </c>
      <c r="AI1124">
        <v>46125</v>
      </c>
      <c r="AJ1124">
        <v>46126</v>
      </c>
      <c r="AK1124">
        <v>18000</v>
      </c>
      <c r="AL1124" t="s">
        <v>396</v>
      </c>
      <c r="AM1124" t="s">
        <v>3328</v>
      </c>
      <c r="AN1124">
        <v>46126</v>
      </c>
      <c r="AO1124">
        <v>46126.390162037038</v>
      </c>
      <c r="AP1124" t="s">
        <v>51</v>
      </c>
      <c r="AQ1124">
        <v>0.16195999999999999</v>
      </c>
      <c r="AR1124">
        <v>2915.28</v>
      </c>
      <c r="AS1124" t="s">
        <v>51</v>
      </c>
      <c r="AT1124">
        <v>2915.28</v>
      </c>
      <c r="AU1124" t="s">
        <v>415</v>
      </c>
      <c r="AV1124" t="s">
        <v>416</v>
      </c>
      <c r="AW1124" t="s">
        <v>3295</v>
      </c>
      <c r="AX1124">
        <v>46131</v>
      </c>
      <c r="AY1124">
        <v>46180</v>
      </c>
      <c r="AZ1124" t="s">
        <v>3319</v>
      </c>
      <c r="BA1124" t="s">
        <v>560</v>
      </c>
      <c r="BB1124" t="s">
        <v>3320</v>
      </c>
      <c r="BC1124">
        <v>9000</v>
      </c>
      <c r="BD1124" t="s">
        <v>521</v>
      </c>
      <c r="BE1124">
        <v>382.048</v>
      </c>
      <c r="BF1124">
        <v>361.548</v>
      </c>
      <c r="BG1124" t="s">
        <v>522</v>
      </c>
      <c r="BH1124">
        <v>1050</v>
      </c>
      <c r="BI1124">
        <v>480</v>
      </c>
      <c r="BJ1124">
        <v>460</v>
      </c>
      <c r="BK1124">
        <v>1</v>
      </c>
      <c r="BL1124" t="s">
        <v>521</v>
      </c>
      <c r="BM1124">
        <v>382.04809999999998</v>
      </c>
      <c r="BN1124">
        <v>361.548</v>
      </c>
      <c r="BO1124">
        <v>764.09619999999995</v>
      </c>
      <c r="BP1124" t="s">
        <v>522</v>
      </c>
      <c r="BQ1124">
        <v>1050</v>
      </c>
      <c r="BR1124">
        <v>480</v>
      </c>
      <c r="BS1124">
        <v>480</v>
      </c>
      <c r="BT1124">
        <v>2</v>
      </c>
      <c r="BU1124">
        <v>0</v>
      </c>
      <c r="BV1124">
        <v>2</v>
      </c>
      <c r="BW1124">
        <v>2</v>
      </c>
      <c r="BX1124">
        <v>0</v>
      </c>
      <c r="BY1124">
        <v>2</v>
      </c>
      <c r="BZ1124">
        <v>18000</v>
      </c>
      <c r="CA1124">
        <v>0</v>
      </c>
      <c r="CB1124">
        <v>18000</v>
      </c>
      <c r="CC1124">
        <v>723.096</v>
      </c>
      <c r="CD1124" t="s">
        <v>641</v>
      </c>
      <c r="CE1124" t="s">
        <v>1147</v>
      </c>
      <c r="CG1124" t="s">
        <v>421</v>
      </c>
      <c r="CN1124" t="str">
        <v>M01</v>
      </c>
      <c r="CO1124" t="str">
        <v>1318-1030054EN</v>
      </c>
      <c r="CP1124" t="str">
        <v>WHSU6740607</v>
      </c>
      <c r="CQ1124" s="23">
        <v>10</v>
      </c>
      <c r="CR1124" s="25">
        <f t="shared" si="46"/>
        <v>5.857377781050574E-4</v>
      </c>
      <c r="CS1124" s="21">
        <f t="shared" si="47"/>
        <v>1.4643444452626435</v>
      </c>
    </row>
    <row r="1125" spans="2:97" x14ac:dyDescent="0.35">
      <c r="B1125" t="s">
        <v>296</v>
      </c>
      <c r="C1125" t="s">
        <v>3329</v>
      </c>
      <c r="D1125" t="s">
        <v>395</v>
      </c>
      <c r="E1125" t="s">
        <v>395</v>
      </c>
      <c r="F1125" t="s">
        <v>396</v>
      </c>
      <c r="G1125" t="s">
        <v>397</v>
      </c>
      <c r="H1125" t="s">
        <v>398</v>
      </c>
      <c r="I1125" t="s">
        <v>399</v>
      </c>
      <c r="J1125" t="s">
        <v>749</v>
      </c>
      <c r="K1125" t="s">
        <v>1142</v>
      </c>
      <c r="L1125" t="s">
        <v>787</v>
      </c>
      <c r="M1125" t="s">
        <v>403</v>
      </c>
      <c r="N1125">
        <v>1</v>
      </c>
      <c r="O1125">
        <v>1</v>
      </c>
      <c r="P1125" t="s">
        <v>1143</v>
      </c>
      <c r="Q1125" t="s">
        <v>424</v>
      </c>
      <c r="R1125" t="s">
        <v>1144</v>
      </c>
      <c r="S1125" t="s">
        <v>1145</v>
      </c>
      <c r="T1125" t="s">
        <v>408</v>
      </c>
      <c r="U1125">
        <v>50950081768</v>
      </c>
      <c r="W1125">
        <v>9000</v>
      </c>
      <c r="X1125" t="s">
        <v>409</v>
      </c>
      <c r="Y1125" t="s">
        <v>410</v>
      </c>
      <c r="Z1125" t="s">
        <v>410</v>
      </c>
      <c r="AA1125" t="s">
        <v>411</v>
      </c>
      <c r="AB1125" t="s">
        <v>769</v>
      </c>
      <c r="AC1125" t="s">
        <v>411</v>
      </c>
      <c r="AD1125">
        <v>46132</v>
      </c>
      <c r="AE1125">
        <v>46188</v>
      </c>
      <c r="AF1125">
        <v>46130</v>
      </c>
      <c r="AG1125" t="s">
        <v>754</v>
      </c>
      <c r="AH1125">
        <v>6189957</v>
      </c>
      <c r="AI1125">
        <v>46125</v>
      </c>
      <c r="AJ1125">
        <v>46126</v>
      </c>
      <c r="AK1125">
        <v>9000</v>
      </c>
      <c r="AL1125" t="s">
        <v>396</v>
      </c>
      <c r="AM1125" t="s">
        <v>3330</v>
      </c>
      <c r="AN1125">
        <v>46126</v>
      </c>
      <c r="AO1125">
        <v>46126.390162037038</v>
      </c>
      <c r="AP1125" t="s">
        <v>51</v>
      </c>
      <c r="AQ1125">
        <v>0.16195999999999999</v>
      </c>
      <c r="AR1125">
        <v>1457.64</v>
      </c>
      <c r="AS1125" t="s">
        <v>51</v>
      </c>
      <c r="AT1125">
        <v>1457.64</v>
      </c>
      <c r="AU1125" t="s">
        <v>415</v>
      </c>
      <c r="AV1125" t="s">
        <v>416</v>
      </c>
      <c r="AW1125" t="s">
        <v>3295</v>
      </c>
      <c r="AX1125">
        <v>46131</v>
      </c>
      <c r="AY1125">
        <v>46180</v>
      </c>
      <c r="AZ1125" t="s">
        <v>3319</v>
      </c>
      <c r="BA1125" t="s">
        <v>560</v>
      </c>
      <c r="BB1125" t="s">
        <v>3320</v>
      </c>
      <c r="BC1125">
        <v>9000</v>
      </c>
      <c r="BD1125" t="s">
        <v>521</v>
      </c>
      <c r="BE1125">
        <v>382.048</v>
      </c>
      <c r="BF1125">
        <v>361.548</v>
      </c>
      <c r="BG1125" t="s">
        <v>522</v>
      </c>
      <c r="BH1125">
        <v>1050</v>
      </c>
      <c r="BI1125">
        <v>480</v>
      </c>
      <c r="BJ1125">
        <v>460</v>
      </c>
      <c r="BK1125">
        <v>1</v>
      </c>
      <c r="BL1125" t="s">
        <v>521</v>
      </c>
      <c r="BM1125">
        <v>382.04809999999998</v>
      </c>
      <c r="BN1125">
        <v>361.548</v>
      </c>
      <c r="BO1125">
        <v>382.04809999999998</v>
      </c>
      <c r="BP1125" t="s">
        <v>522</v>
      </c>
      <c r="BQ1125">
        <v>1050</v>
      </c>
      <c r="BR1125">
        <v>480</v>
      </c>
      <c r="BS1125">
        <v>480</v>
      </c>
      <c r="BT1125">
        <v>1</v>
      </c>
      <c r="BU1125">
        <v>0</v>
      </c>
      <c r="BV1125">
        <v>1</v>
      </c>
      <c r="BW1125">
        <v>1</v>
      </c>
      <c r="BX1125">
        <v>0</v>
      </c>
      <c r="BY1125">
        <v>1</v>
      </c>
      <c r="BZ1125">
        <v>9000</v>
      </c>
      <c r="CA1125">
        <v>0</v>
      </c>
      <c r="CB1125">
        <v>9000</v>
      </c>
      <c r="CC1125">
        <v>361.548</v>
      </c>
      <c r="CD1125" t="s">
        <v>641</v>
      </c>
      <c r="CE1125" t="s">
        <v>1147</v>
      </c>
      <c r="CG1125" t="s">
        <v>421</v>
      </c>
      <c r="CN1125" t="str">
        <v>M01</v>
      </c>
      <c r="CO1125" t="str">
        <v>1474-1030007EN</v>
      </c>
      <c r="CP1125" t="str">
        <v>WHSU6740607</v>
      </c>
      <c r="CQ1125" s="23">
        <v>10</v>
      </c>
      <c r="CR1125" s="25">
        <f t="shared" si="46"/>
        <v>5.857377781050574E-4</v>
      </c>
      <c r="CS1125" s="21">
        <f t="shared" si="47"/>
        <v>1.4643444452626435</v>
      </c>
    </row>
    <row r="1126" spans="2:97" x14ac:dyDescent="0.35">
      <c r="B1126" t="s">
        <v>296</v>
      </c>
      <c r="C1126" t="s">
        <v>3331</v>
      </c>
      <c r="D1126" t="s">
        <v>395</v>
      </c>
      <c r="E1126" t="s">
        <v>395</v>
      </c>
      <c r="F1126" t="s">
        <v>396</v>
      </c>
      <c r="G1126" t="s">
        <v>397</v>
      </c>
      <c r="H1126" t="s">
        <v>398</v>
      </c>
      <c r="I1126" t="s">
        <v>399</v>
      </c>
      <c r="J1126" t="s">
        <v>749</v>
      </c>
      <c r="K1126" t="s">
        <v>1142</v>
      </c>
      <c r="L1126" t="s">
        <v>787</v>
      </c>
      <c r="M1126" t="s">
        <v>403</v>
      </c>
      <c r="N1126">
        <v>1</v>
      </c>
      <c r="O1126">
        <v>1</v>
      </c>
      <c r="P1126" t="s">
        <v>1412</v>
      </c>
      <c r="Q1126" t="s">
        <v>587</v>
      </c>
      <c r="R1126" t="s">
        <v>1164</v>
      </c>
      <c r="S1126" t="s">
        <v>1165</v>
      </c>
      <c r="T1126" t="s">
        <v>408</v>
      </c>
      <c r="U1126">
        <v>50950081881</v>
      </c>
      <c r="W1126">
        <v>7264</v>
      </c>
      <c r="X1126" t="s">
        <v>409</v>
      </c>
      <c r="Y1126" t="s">
        <v>410</v>
      </c>
      <c r="Z1126" t="s">
        <v>410</v>
      </c>
      <c r="AA1126" t="s">
        <v>411</v>
      </c>
      <c r="AB1126" t="s">
        <v>769</v>
      </c>
      <c r="AC1126" t="s">
        <v>411</v>
      </c>
      <c r="AD1126">
        <v>46130</v>
      </c>
      <c r="AE1126">
        <v>46195</v>
      </c>
      <c r="AF1126">
        <v>46130</v>
      </c>
      <c r="AG1126" t="s">
        <v>754</v>
      </c>
      <c r="AH1126">
        <v>6189958</v>
      </c>
      <c r="AI1126">
        <v>46125</v>
      </c>
      <c r="AJ1126">
        <v>46126</v>
      </c>
      <c r="AK1126">
        <v>7264</v>
      </c>
      <c r="AL1126" t="s">
        <v>396</v>
      </c>
      <c r="AM1126" t="s">
        <v>3332</v>
      </c>
      <c r="AN1126">
        <v>46126</v>
      </c>
      <c r="AO1126">
        <v>46126.390162037038</v>
      </c>
      <c r="AP1126" t="s">
        <v>51</v>
      </c>
      <c r="AQ1126">
        <v>0.22423000000000001</v>
      </c>
      <c r="AR1126">
        <v>1628.8</v>
      </c>
      <c r="AS1126" t="s">
        <v>51</v>
      </c>
      <c r="AT1126">
        <v>1628.8</v>
      </c>
      <c r="AU1126" t="s">
        <v>415</v>
      </c>
      <c r="AV1126" t="s">
        <v>416</v>
      </c>
      <c r="AW1126" t="s">
        <v>3295</v>
      </c>
      <c r="AX1126">
        <v>46131</v>
      </c>
      <c r="AY1126">
        <v>46180</v>
      </c>
      <c r="AZ1126" t="s">
        <v>3319</v>
      </c>
      <c r="BA1126" t="s">
        <v>560</v>
      </c>
      <c r="BB1126" t="s">
        <v>3320</v>
      </c>
      <c r="BC1126">
        <v>3632</v>
      </c>
      <c r="BD1126" t="s">
        <v>521</v>
      </c>
      <c r="BE1126">
        <v>638.37580000000003</v>
      </c>
      <c r="BF1126">
        <v>617.87580000000003</v>
      </c>
      <c r="BG1126" t="s">
        <v>522</v>
      </c>
      <c r="BH1126">
        <v>1050</v>
      </c>
      <c r="BI1126">
        <v>480</v>
      </c>
      <c r="BJ1126">
        <v>460</v>
      </c>
      <c r="BK1126">
        <v>1</v>
      </c>
      <c r="BL1126" t="s">
        <v>521</v>
      </c>
      <c r="BM1126">
        <v>638.3759</v>
      </c>
      <c r="BN1126">
        <v>617.87580000000003</v>
      </c>
      <c r="BO1126">
        <v>1276.75188</v>
      </c>
      <c r="BP1126" t="s">
        <v>522</v>
      </c>
      <c r="BQ1126">
        <v>1050</v>
      </c>
      <c r="BR1126">
        <v>480</v>
      </c>
      <c r="BS1126">
        <v>480</v>
      </c>
      <c r="BT1126">
        <v>2</v>
      </c>
      <c r="BU1126">
        <v>0</v>
      </c>
      <c r="BV1126">
        <v>2</v>
      </c>
      <c r="BW1126">
        <v>2</v>
      </c>
      <c r="BX1126">
        <v>0</v>
      </c>
      <c r="BY1126">
        <v>2</v>
      </c>
      <c r="BZ1126">
        <v>7264</v>
      </c>
      <c r="CA1126">
        <v>0</v>
      </c>
      <c r="CB1126">
        <v>7264</v>
      </c>
      <c r="CC1126">
        <v>1235.7516800000001</v>
      </c>
      <c r="CD1126" t="s">
        <v>641</v>
      </c>
      <c r="CE1126" t="s">
        <v>1147</v>
      </c>
      <c r="CG1126" t="s">
        <v>421</v>
      </c>
      <c r="CN1126" t="str">
        <v>M01</v>
      </c>
      <c r="CO1126" t="str">
        <v>1318-3030003EN</v>
      </c>
      <c r="CP1126" t="str">
        <v>WHSU6740607</v>
      </c>
      <c r="CQ1126" s="23">
        <v>20</v>
      </c>
      <c r="CR1126" s="25">
        <f t="shared" si="46"/>
        <v>1.1714755562101148E-3</v>
      </c>
      <c r="CS1126" s="21">
        <f t="shared" si="47"/>
        <v>2.928688890525287</v>
      </c>
    </row>
    <row r="1127" spans="2:97" x14ac:dyDescent="0.35">
      <c r="B1127" t="s">
        <v>296</v>
      </c>
      <c r="C1127" t="s">
        <v>3333</v>
      </c>
      <c r="D1127" t="s">
        <v>395</v>
      </c>
      <c r="E1127" t="s">
        <v>395</v>
      </c>
      <c r="F1127" t="s">
        <v>396</v>
      </c>
      <c r="G1127" t="s">
        <v>397</v>
      </c>
      <c r="H1127" t="s">
        <v>398</v>
      </c>
      <c r="I1127" t="s">
        <v>399</v>
      </c>
      <c r="J1127" t="s">
        <v>749</v>
      </c>
      <c r="K1127" t="s">
        <v>1142</v>
      </c>
      <c r="L1127" t="s">
        <v>787</v>
      </c>
      <c r="M1127" t="s">
        <v>403</v>
      </c>
      <c r="N1127">
        <v>1</v>
      </c>
      <c r="O1127">
        <v>1</v>
      </c>
      <c r="P1127" t="s">
        <v>1406</v>
      </c>
      <c r="Q1127" t="s">
        <v>587</v>
      </c>
      <c r="R1127" t="s">
        <v>1164</v>
      </c>
      <c r="S1127" t="s">
        <v>1165</v>
      </c>
      <c r="T1127" t="s">
        <v>408</v>
      </c>
      <c r="U1127">
        <v>50950081834</v>
      </c>
      <c r="W1127">
        <v>7264</v>
      </c>
      <c r="X1127" t="s">
        <v>409</v>
      </c>
      <c r="Y1127" t="s">
        <v>410</v>
      </c>
      <c r="Z1127" t="s">
        <v>410</v>
      </c>
      <c r="AA1127" t="s">
        <v>411</v>
      </c>
      <c r="AB1127" t="s">
        <v>769</v>
      </c>
      <c r="AC1127" t="s">
        <v>411</v>
      </c>
      <c r="AD1127">
        <v>46130</v>
      </c>
      <c r="AE1127">
        <v>46195</v>
      </c>
      <c r="AF1127">
        <v>46130</v>
      </c>
      <c r="AG1127" t="s">
        <v>754</v>
      </c>
      <c r="AH1127">
        <v>6189959</v>
      </c>
      <c r="AI1127">
        <v>46125</v>
      </c>
      <c r="AJ1127">
        <v>46126</v>
      </c>
      <c r="AK1127">
        <v>7264</v>
      </c>
      <c r="AL1127" t="s">
        <v>396</v>
      </c>
      <c r="AM1127" t="s">
        <v>3334</v>
      </c>
      <c r="AN1127">
        <v>46126</v>
      </c>
      <c r="AO1127">
        <v>46126.390162037038</v>
      </c>
      <c r="AP1127" t="s">
        <v>51</v>
      </c>
      <c r="AQ1127">
        <v>0.22667000000000001</v>
      </c>
      <c r="AR1127">
        <v>1646.54</v>
      </c>
      <c r="AS1127" t="s">
        <v>51</v>
      </c>
      <c r="AT1127">
        <v>1646.54</v>
      </c>
      <c r="AU1127" t="s">
        <v>415</v>
      </c>
      <c r="AV1127" t="s">
        <v>416</v>
      </c>
      <c r="AW1127" t="s">
        <v>3295</v>
      </c>
      <c r="AX1127">
        <v>46131</v>
      </c>
      <c r="AY1127">
        <v>46180</v>
      </c>
      <c r="AZ1127" t="s">
        <v>3319</v>
      </c>
      <c r="BA1127" t="s">
        <v>560</v>
      </c>
      <c r="BB1127" t="s">
        <v>3320</v>
      </c>
      <c r="BC1127">
        <v>3632</v>
      </c>
      <c r="BD1127" t="s">
        <v>521</v>
      </c>
      <c r="BE1127">
        <v>646.221</v>
      </c>
      <c r="BF1127">
        <v>625.721</v>
      </c>
      <c r="BG1127" t="s">
        <v>522</v>
      </c>
      <c r="BH1127">
        <v>1050</v>
      </c>
      <c r="BI1127">
        <v>480</v>
      </c>
      <c r="BJ1127">
        <v>460</v>
      </c>
      <c r="BK1127">
        <v>1</v>
      </c>
      <c r="BL1127" t="s">
        <v>521</v>
      </c>
      <c r="BM1127">
        <v>646.22109999999998</v>
      </c>
      <c r="BN1127">
        <v>625.721</v>
      </c>
      <c r="BO1127">
        <v>1292.4421199999999</v>
      </c>
      <c r="BP1127" t="s">
        <v>522</v>
      </c>
      <c r="BQ1127">
        <v>1050</v>
      </c>
      <c r="BR1127">
        <v>480</v>
      </c>
      <c r="BS1127">
        <v>480</v>
      </c>
      <c r="BT1127">
        <v>2</v>
      </c>
      <c r="BU1127">
        <v>0</v>
      </c>
      <c r="BV1127">
        <v>2</v>
      </c>
      <c r="BW1127">
        <v>2</v>
      </c>
      <c r="BX1127">
        <v>0</v>
      </c>
      <c r="BY1127">
        <v>2</v>
      </c>
      <c r="BZ1127">
        <v>7264</v>
      </c>
      <c r="CA1127">
        <v>0</v>
      </c>
      <c r="CB1127">
        <v>7264</v>
      </c>
      <c r="CC1127">
        <v>1251.44192</v>
      </c>
      <c r="CD1127" t="s">
        <v>641</v>
      </c>
      <c r="CE1127" t="s">
        <v>1147</v>
      </c>
      <c r="CG1127" t="s">
        <v>421</v>
      </c>
      <c r="CN1127" t="str">
        <v>M01</v>
      </c>
      <c r="CO1127" t="str">
        <v>1318-1030079EN</v>
      </c>
      <c r="CP1127" t="str">
        <v>WHSU6740607</v>
      </c>
      <c r="CQ1127" s="23">
        <v>10</v>
      </c>
      <c r="CR1127" s="25">
        <f t="shared" si="46"/>
        <v>5.857377781050574E-4</v>
      </c>
      <c r="CS1127" s="21">
        <f t="shared" si="47"/>
        <v>1.4643444452626435</v>
      </c>
    </row>
    <row r="1128" spans="2:97" x14ac:dyDescent="0.35">
      <c r="B1128" t="s">
        <v>296</v>
      </c>
      <c r="C1128" t="s">
        <v>3335</v>
      </c>
      <c r="D1128" t="s">
        <v>395</v>
      </c>
      <c r="E1128" t="s">
        <v>395</v>
      </c>
      <c r="F1128" t="s">
        <v>396</v>
      </c>
      <c r="G1128" t="s">
        <v>397</v>
      </c>
      <c r="H1128" t="s">
        <v>398</v>
      </c>
      <c r="I1128" t="s">
        <v>399</v>
      </c>
      <c r="J1128" t="s">
        <v>749</v>
      </c>
      <c r="K1128" t="s">
        <v>1142</v>
      </c>
      <c r="L1128" t="s">
        <v>787</v>
      </c>
      <c r="M1128" t="s">
        <v>403</v>
      </c>
      <c r="N1128">
        <v>1</v>
      </c>
      <c r="O1128">
        <v>1</v>
      </c>
      <c r="P1128" t="s">
        <v>1460</v>
      </c>
      <c r="Q1128" t="s">
        <v>645</v>
      </c>
      <c r="R1128" t="s">
        <v>1159</v>
      </c>
      <c r="S1128" t="s">
        <v>1160</v>
      </c>
      <c r="T1128" t="s">
        <v>408</v>
      </c>
      <c r="U1128">
        <v>50950081835</v>
      </c>
      <c r="W1128">
        <v>7264</v>
      </c>
      <c r="X1128" t="s">
        <v>409</v>
      </c>
      <c r="Y1128" t="s">
        <v>410</v>
      </c>
      <c r="Z1128" t="s">
        <v>410</v>
      </c>
      <c r="AA1128" t="s">
        <v>411</v>
      </c>
      <c r="AB1128" t="s">
        <v>769</v>
      </c>
      <c r="AC1128" t="s">
        <v>411</v>
      </c>
      <c r="AD1128">
        <v>46130</v>
      </c>
      <c r="AE1128">
        <v>46195</v>
      </c>
      <c r="AF1128">
        <v>46130</v>
      </c>
      <c r="AG1128" t="s">
        <v>754</v>
      </c>
      <c r="AH1128">
        <v>6189960</v>
      </c>
      <c r="AI1128">
        <v>46125</v>
      </c>
      <c r="AJ1128">
        <v>46126</v>
      </c>
      <c r="AK1128">
        <v>7264</v>
      </c>
      <c r="AL1128" t="s">
        <v>396</v>
      </c>
      <c r="AM1128" t="s">
        <v>3336</v>
      </c>
      <c r="AN1128">
        <v>46126</v>
      </c>
      <c r="AO1128">
        <v>46126.390162037038</v>
      </c>
      <c r="AP1128" t="s">
        <v>51</v>
      </c>
      <c r="AQ1128">
        <v>0.11756999999999999</v>
      </c>
      <c r="AR1128">
        <v>854.03</v>
      </c>
      <c r="AS1128" t="s">
        <v>51</v>
      </c>
      <c r="AT1128">
        <v>854.03</v>
      </c>
      <c r="AU1128" t="s">
        <v>415</v>
      </c>
      <c r="AV1128" t="s">
        <v>416</v>
      </c>
      <c r="AW1128" t="s">
        <v>3295</v>
      </c>
      <c r="AX1128">
        <v>46131</v>
      </c>
      <c r="AY1128">
        <v>46180</v>
      </c>
      <c r="AZ1128" t="s">
        <v>3319</v>
      </c>
      <c r="BA1128" t="s">
        <v>560</v>
      </c>
      <c r="BB1128" t="s">
        <v>3320</v>
      </c>
      <c r="BC1128">
        <v>7264</v>
      </c>
      <c r="BD1128" t="s">
        <v>521</v>
      </c>
      <c r="BE1128">
        <v>607.93970000000002</v>
      </c>
      <c r="BF1128">
        <v>587.43970000000002</v>
      </c>
      <c r="BG1128" t="s">
        <v>522</v>
      </c>
      <c r="BH1128">
        <v>1050</v>
      </c>
      <c r="BI1128">
        <v>480</v>
      </c>
      <c r="BJ1128">
        <v>460</v>
      </c>
      <c r="BK1128">
        <v>1</v>
      </c>
      <c r="BL1128" t="s">
        <v>521</v>
      </c>
      <c r="BM1128">
        <v>607.93978000000004</v>
      </c>
      <c r="BN1128">
        <v>587.43967999999995</v>
      </c>
      <c r="BO1128">
        <v>607.93978000000004</v>
      </c>
      <c r="BP1128" t="s">
        <v>522</v>
      </c>
      <c r="BQ1128">
        <v>1050</v>
      </c>
      <c r="BR1128">
        <v>480</v>
      </c>
      <c r="BS1128">
        <v>480</v>
      </c>
      <c r="BT1128">
        <v>1</v>
      </c>
      <c r="BU1128">
        <v>0</v>
      </c>
      <c r="BV1128">
        <v>1</v>
      </c>
      <c r="BW1128">
        <v>1</v>
      </c>
      <c r="BX1128">
        <v>0</v>
      </c>
      <c r="BY1128">
        <v>1</v>
      </c>
      <c r="BZ1128">
        <v>7264</v>
      </c>
      <c r="CA1128">
        <v>0</v>
      </c>
      <c r="CB1128">
        <v>7264</v>
      </c>
      <c r="CC1128">
        <v>587.43967999999995</v>
      </c>
      <c r="CD1128" t="s">
        <v>641</v>
      </c>
      <c r="CE1128" t="s">
        <v>1147</v>
      </c>
      <c r="CG1128" t="s">
        <v>421</v>
      </c>
      <c r="CN1128" t="str">
        <v>M19</v>
      </c>
      <c r="CO1128" t="str">
        <v>1616-5YY3186-MTEN</v>
      </c>
      <c r="CP1128" t="str">
        <v>WHSU6740607</v>
      </c>
      <c r="CQ1128" s="23">
        <v>50</v>
      </c>
      <c r="CR1128" s="25">
        <f t="shared" si="46"/>
        <v>2.9286888905252868E-3</v>
      </c>
      <c r="CS1128" s="21">
        <f t="shared" si="47"/>
        <v>7.3217222263132173</v>
      </c>
    </row>
    <row r="1129" spans="2:97" x14ac:dyDescent="0.35">
      <c r="B1129" t="s">
        <v>296</v>
      </c>
      <c r="C1129" t="s">
        <v>3104</v>
      </c>
      <c r="D1129" t="s">
        <v>395</v>
      </c>
      <c r="E1129" t="s">
        <v>395</v>
      </c>
      <c r="F1129" t="s">
        <v>396</v>
      </c>
      <c r="G1129" t="s">
        <v>397</v>
      </c>
      <c r="H1129" t="s">
        <v>398</v>
      </c>
      <c r="I1129" t="s">
        <v>399</v>
      </c>
      <c r="J1129" t="s">
        <v>749</v>
      </c>
      <c r="K1129" t="s">
        <v>1142</v>
      </c>
      <c r="L1129" t="s">
        <v>787</v>
      </c>
      <c r="M1129" t="s">
        <v>403</v>
      </c>
      <c r="N1129">
        <v>1</v>
      </c>
      <c r="O1129">
        <v>2</v>
      </c>
      <c r="P1129" t="s">
        <v>1168</v>
      </c>
      <c r="Q1129" t="s">
        <v>430</v>
      </c>
      <c r="R1129" t="s">
        <v>1164</v>
      </c>
      <c r="S1129" t="s">
        <v>1165</v>
      </c>
      <c r="T1129" t="s">
        <v>408</v>
      </c>
      <c r="U1129">
        <v>50950081846</v>
      </c>
      <c r="W1129">
        <v>7560</v>
      </c>
      <c r="X1129" t="s">
        <v>409</v>
      </c>
      <c r="Y1129" t="s">
        <v>410</v>
      </c>
      <c r="Z1129" t="s">
        <v>410</v>
      </c>
      <c r="AA1129" t="s">
        <v>411</v>
      </c>
      <c r="AB1129" t="s">
        <v>769</v>
      </c>
      <c r="AC1129" t="s">
        <v>411</v>
      </c>
      <c r="AD1129">
        <v>46123</v>
      </c>
      <c r="AE1129">
        <v>46181</v>
      </c>
      <c r="AF1129">
        <v>46130</v>
      </c>
      <c r="AG1129" t="s">
        <v>754</v>
      </c>
      <c r="AH1129">
        <v>6189961</v>
      </c>
      <c r="AI1129">
        <v>46125</v>
      </c>
      <c r="AJ1129">
        <v>46126</v>
      </c>
      <c r="AK1129">
        <v>7560</v>
      </c>
      <c r="AL1129" t="s">
        <v>396</v>
      </c>
      <c r="AM1129" t="s">
        <v>3337</v>
      </c>
      <c r="AN1129">
        <v>46126</v>
      </c>
      <c r="AO1129">
        <v>46126.390162037038</v>
      </c>
      <c r="AP1129" t="s">
        <v>51</v>
      </c>
      <c r="AQ1129">
        <v>0.11794</v>
      </c>
      <c r="AR1129">
        <v>891.63</v>
      </c>
      <c r="AS1129" t="s">
        <v>51</v>
      </c>
      <c r="AT1129">
        <v>891.63</v>
      </c>
      <c r="AU1129" t="s">
        <v>415</v>
      </c>
      <c r="AV1129" t="s">
        <v>416</v>
      </c>
      <c r="AW1129" t="s">
        <v>3295</v>
      </c>
      <c r="AX1129">
        <v>46131</v>
      </c>
      <c r="AY1129">
        <v>46180</v>
      </c>
      <c r="AZ1129" t="s">
        <v>3319</v>
      </c>
      <c r="BA1129" t="s">
        <v>560</v>
      </c>
      <c r="BB1129" t="s">
        <v>3320</v>
      </c>
      <c r="BC1129">
        <v>7560</v>
      </c>
      <c r="BD1129" t="s">
        <v>521</v>
      </c>
      <c r="BE1129">
        <v>638.45439999999996</v>
      </c>
      <c r="BF1129">
        <v>617.95439999999996</v>
      </c>
      <c r="BG1129" t="s">
        <v>522</v>
      </c>
      <c r="BH1129">
        <v>1050</v>
      </c>
      <c r="BI1129">
        <v>480</v>
      </c>
      <c r="BJ1129">
        <v>460</v>
      </c>
      <c r="BK1129">
        <v>1</v>
      </c>
      <c r="BL1129" t="s">
        <v>521</v>
      </c>
      <c r="BM1129">
        <v>638.45450000000005</v>
      </c>
      <c r="BN1129">
        <v>617.95439999999996</v>
      </c>
      <c r="BO1129">
        <v>638.45450000000005</v>
      </c>
      <c r="BP1129" t="s">
        <v>522</v>
      </c>
      <c r="BQ1129">
        <v>1050</v>
      </c>
      <c r="BR1129">
        <v>480</v>
      </c>
      <c r="BS1129">
        <v>480</v>
      </c>
      <c r="BT1129">
        <v>1</v>
      </c>
      <c r="BU1129">
        <v>0</v>
      </c>
      <c r="BV1129">
        <v>1</v>
      </c>
      <c r="BW1129">
        <v>1</v>
      </c>
      <c r="BX1129">
        <v>0</v>
      </c>
      <c r="BY1129">
        <v>1</v>
      </c>
      <c r="BZ1129">
        <v>7560</v>
      </c>
      <c r="CA1129">
        <v>0</v>
      </c>
      <c r="CB1129">
        <v>7560</v>
      </c>
      <c r="CC1129">
        <v>617.95439999999996</v>
      </c>
      <c r="CD1129" t="s">
        <v>641</v>
      </c>
      <c r="CE1129" t="s">
        <v>1147</v>
      </c>
      <c r="CG1129" t="s">
        <v>421</v>
      </c>
      <c r="CN1129" t="str">
        <v>M19</v>
      </c>
      <c r="CO1129" t="str">
        <v>1616-5YY3184-MTEN</v>
      </c>
      <c r="CP1129" t="str">
        <v>WHSU6740607</v>
      </c>
      <c r="CQ1129" s="23">
        <v>50</v>
      </c>
      <c r="CR1129" s="25">
        <f t="shared" si="46"/>
        <v>2.9286888905252868E-3</v>
      </c>
      <c r="CS1129" s="21">
        <f t="shared" si="47"/>
        <v>7.3217222263132173</v>
      </c>
    </row>
    <row r="1130" spans="2:97" x14ac:dyDescent="0.35">
      <c r="B1130" t="s">
        <v>299</v>
      </c>
      <c r="C1130" t="s">
        <v>3338</v>
      </c>
      <c r="D1130" t="s">
        <v>965</v>
      </c>
      <c r="E1130" t="s">
        <v>395</v>
      </c>
      <c r="F1130" t="s">
        <v>396</v>
      </c>
      <c r="G1130" t="s">
        <v>397</v>
      </c>
      <c r="H1130" t="s">
        <v>398</v>
      </c>
      <c r="I1130" t="s">
        <v>399</v>
      </c>
      <c r="J1130" t="s">
        <v>749</v>
      </c>
      <c r="K1130" t="s">
        <v>809</v>
      </c>
      <c r="L1130" t="s">
        <v>787</v>
      </c>
      <c r="M1130" t="s">
        <v>403</v>
      </c>
      <c r="N1130">
        <v>1</v>
      </c>
      <c r="O1130">
        <v>1</v>
      </c>
      <c r="P1130" t="s">
        <v>828</v>
      </c>
      <c r="Q1130" t="s">
        <v>587</v>
      </c>
      <c r="R1130" t="s">
        <v>811</v>
      </c>
      <c r="S1130" t="s">
        <v>829</v>
      </c>
      <c r="T1130" t="s">
        <v>408</v>
      </c>
      <c r="U1130">
        <v>50950082101</v>
      </c>
      <c r="W1130">
        <v>2880</v>
      </c>
      <c r="X1130" t="s">
        <v>409</v>
      </c>
      <c r="Y1130" t="s">
        <v>410</v>
      </c>
      <c r="Z1130" t="s">
        <v>410</v>
      </c>
      <c r="AA1130" t="s">
        <v>411</v>
      </c>
      <c r="AB1130" t="s">
        <v>769</v>
      </c>
      <c r="AC1130" t="s">
        <v>411</v>
      </c>
      <c r="AD1130">
        <v>46123</v>
      </c>
      <c r="AE1130">
        <v>46181</v>
      </c>
      <c r="AF1130">
        <v>46130</v>
      </c>
      <c r="AG1130" t="s">
        <v>754</v>
      </c>
      <c r="AH1130">
        <v>6189962</v>
      </c>
      <c r="AI1130">
        <v>46125</v>
      </c>
      <c r="AJ1130">
        <v>46126</v>
      </c>
      <c r="AK1130">
        <v>2880</v>
      </c>
      <c r="AL1130" t="s">
        <v>396</v>
      </c>
      <c r="AM1130" t="s">
        <v>3339</v>
      </c>
      <c r="AN1130">
        <v>46126</v>
      </c>
      <c r="AO1130">
        <v>46126.390162037038</v>
      </c>
      <c r="AP1130" t="s">
        <v>51</v>
      </c>
      <c r="AQ1130">
        <v>1.98325</v>
      </c>
      <c r="AR1130">
        <v>5711.76</v>
      </c>
      <c r="AS1130" t="s">
        <v>51</v>
      </c>
      <c r="AT1130">
        <v>5711.76</v>
      </c>
      <c r="AU1130" t="s">
        <v>415</v>
      </c>
      <c r="AV1130" t="s">
        <v>416</v>
      </c>
      <c r="AW1130" t="s">
        <v>3295</v>
      </c>
      <c r="AX1130">
        <v>46131</v>
      </c>
      <c r="AY1130">
        <v>46180</v>
      </c>
      <c r="AZ1130" t="s">
        <v>3319</v>
      </c>
      <c r="BA1130" t="s">
        <v>560</v>
      </c>
      <c r="BB1130" t="s">
        <v>3320</v>
      </c>
      <c r="BC1130">
        <v>16</v>
      </c>
      <c r="BD1130" t="s">
        <v>521</v>
      </c>
      <c r="BE1130">
        <v>4.9409000000000001</v>
      </c>
      <c r="BF1130">
        <v>3.7418999999999998</v>
      </c>
      <c r="BG1130" t="s">
        <v>522</v>
      </c>
      <c r="BH1130">
        <v>495</v>
      </c>
      <c r="BI1130">
        <v>395</v>
      </c>
      <c r="BJ1130">
        <v>190</v>
      </c>
      <c r="BK1130">
        <v>30</v>
      </c>
      <c r="BL1130" t="s">
        <v>521</v>
      </c>
      <c r="BM1130">
        <v>175.227</v>
      </c>
      <c r="BN1130">
        <v>112.25700000000001</v>
      </c>
      <c r="BO1130">
        <v>1051.3656000000001</v>
      </c>
      <c r="BP1130" t="s">
        <v>522</v>
      </c>
      <c r="BQ1130">
        <v>1200</v>
      </c>
      <c r="BR1130">
        <v>1000</v>
      </c>
      <c r="BS1130">
        <v>1120</v>
      </c>
      <c r="BT1130">
        <v>6</v>
      </c>
      <c r="BU1130">
        <v>0</v>
      </c>
      <c r="BV1130">
        <v>6</v>
      </c>
      <c r="BW1130">
        <v>180</v>
      </c>
      <c r="BX1130">
        <v>0</v>
      </c>
      <c r="BY1130">
        <v>180</v>
      </c>
      <c r="BZ1130">
        <v>2880</v>
      </c>
      <c r="CA1130">
        <v>0</v>
      </c>
      <c r="CB1130">
        <v>2880</v>
      </c>
      <c r="CC1130">
        <v>673.54560000000004</v>
      </c>
      <c r="CD1130" t="s">
        <v>806</v>
      </c>
      <c r="CE1130" t="s">
        <v>816</v>
      </c>
      <c r="CG1130" t="s">
        <v>421</v>
      </c>
      <c r="CN1130" t="str">
        <v>M19</v>
      </c>
      <c r="CO1130" t="str">
        <v>1403-5YY0136EN</v>
      </c>
      <c r="CP1130" t="str">
        <v>WHSU6740607</v>
      </c>
      <c r="CQ1130" s="23">
        <v>20</v>
      </c>
      <c r="CR1130" s="25">
        <f t="shared" si="46"/>
        <v>1.1714755562101148E-3</v>
      </c>
      <c r="CS1130" s="21">
        <f t="shared" si="47"/>
        <v>2.928688890525287</v>
      </c>
    </row>
    <row r="1131" spans="2:97" x14ac:dyDescent="0.35">
      <c r="B1131" t="s">
        <v>299</v>
      </c>
      <c r="C1131" t="s">
        <v>3340</v>
      </c>
      <c r="D1131" t="s">
        <v>395</v>
      </c>
      <c r="E1131" t="s">
        <v>395</v>
      </c>
      <c r="F1131" t="s">
        <v>396</v>
      </c>
      <c r="G1131" t="s">
        <v>397</v>
      </c>
      <c r="H1131" t="s">
        <v>398</v>
      </c>
      <c r="I1131" t="s">
        <v>399</v>
      </c>
      <c r="J1131" t="s">
        <v>749</v>
      </c>
      <c r="K1131" t="s">
        <v>2155</v>
      </c>
      <c r="L1131" t="s">
        <v>787</v>
      </c>
      <c r="M1131" t="s">
        <v>403</v>
      </c>
      <c r="N1131">
        <v>1</v>
      </c>
      <c r="O1131">
        <v>1</v>
      </c>
      <c r="P1131" t="s">
        <v>2156</v>
      </c>
      <c r="Q1131" t="s">
        <v>430</v>
      </c>
      <c r="R1131" t="s">
        <v>2157</v>
      </c>
      <c r="S1131" t="s">
        <v>2158</v>
      </c>
      <c r="T1131" t="s">
        <v>408</v>
      </c>
      <c r="U1131">
        <v>50950081956</v>
      </c>
      <c r="W1131">
        <v>11520</v>
      </c>
      <c r="X1131" t="s">
        <v>409</v>
      </c>
      <c r="Y1131" t="s">
        <v>410</v>
      </c>
      <c r="Z1131" t="s">
        <v>410</v>
      </c>
      <c r="AA1131" t="s">
        <v>411</v>
      </c>
      <c r="AB1131" t="s">
        <v>769</v>
      </c>
      <c r="AC1131" t="s">
        <v>411</v>
      </c>
      <c r="AD1131">
        <v>46125</v>
      </c>
      <c r="AE1131">
        <v>46195</v>
      </c>
      <c r="AF1131">
        <v>46130</v>
      </c>
      <c r="AG1131" t="s">
        <v>754</v>
      </c>
      <c r="AH1131">
        <v>6189963</v>
      </c>
      <c r="AI1131">
        <v>46125</v>
      </c>
      <c r="AJ1131">
        <v>46126</v>
      </c>
      <c r="AK1131">
        <v>11520</v>
      </c>
      <c r="AL1131" t="s">
        <v>396</v>
      </c>
      <c r="AM1131" t="s">
        <v>3341</v>
      </c>
      <c r="AN1131">
        <v>46126</v>
      </c>
      <c r="AO1131">
        <v>46126.390162037038</v>
      </c>
      <c r="AP1131" t="s">
        <v>51</v>
      </c>
      <c r="AQ1131">
        <v>0.59287000000000001</v>
      </c>
      <c r="AR1131">
        <v>6829.86</v>
      </c>
      <c r="AS1131" t="s">
        <v>51</v>
      </c>
      <c r="AT1131">
        <v>6829.86</v>
      </c>
      <c r="AU1131" t="s">
        <v>415</v>
      </c>
      <c r="AV1131" t="s">
        <v>416</v>
      </c>
      <c r="AW1131" t="s">
        <v>3295</v>
      </c>
      <c r="AX1131">
        <v>46131</v>
      </c>
      <c r="AY1131">
        <v>46180</v>
      </c>
      <c r="AZ1131" t="s">
        <v>3319</v>
      </c>
      <c r="BA1131" t="s">
        <v>560</v>
      </c>
      <c r="BB1131" t="s">
        <v>3320</v>
      </c>
      <c r="BC1131">
        <v>192</v>
      </c>
      <c r="BD1131" t="s">
        <v>521</v>
      </c>
      <c r="BE1131">
        <v>8.4347999999999992</v>
      </c>
      <c r="BF1131">
        <v>7.3228</v>
      </c>
      <c r="BG1131" t="s">
        <v>522</v>
      </c>
      <c r="BH1131">
        <v>395</v>
      </c>
      <c r="BI1131">
        <v>295</v>
      </c>
      <c r="BJ1131">
        <v>140</v>
      </c>
      <c r="BK1131">
        <v>60</v>
      </c>
      <c r="BL1131" t="s">
        <v>521</v>
      </c>
      <c r="BM1131">
        <v>533.08704</v>
      </c>
      <c r="BN1131">
        <v>439.36703999999997</v>
      </c>
      <c r="BO1131">
        <v>533.08704</v>
      </c>
      <c r="BP1131" t="s">
        <v>522</v>
      </c>
      <c r="BQ1131">
        <v>1200</v>
      </c>
      <c r="BR1131">
        <v>1000</v>
      </c>
      <c r="BS1131">
        <v>1000</v>
      </c>
      <c r="BT1131">
        <v>1</v>
      </c>
      <c r="BU1131">
        <v>0</v>
      </c>
      <c r="BV1131">
        <v>1</v>
      </c>
      <c r="BW1131">
        <v>60</v>
      </c>
      <c r="BX1131">
        <v>0</v>
      </c>
      <c r="BY1131">
        <v>60</v>
      </c>
      <c r="BZ1131">
        <v>11520</v>
      </c>
      <c r="CA1131">
        <v>0</v>
      </c>
      <c r="CB1131">
        <v>11520</v>
      </c>
      <c r="CC1131">
        <v>439.36703999999997</v>
      </c>
      <c r="CD1131" t="s">
        <v>2160</v>
      </c>
      <c r="CE1131" t="s">
        <v>2161</v>
      </c>
      <c r="CG1131" t="s">
        <v>421</v>
      </c>
      <c r="CN1131" t="str">
        <v>M19</v>
      </c>
      <c r="CO1131" t="str">
        <v>1318-5YY0073EN</v>
      </c>
      <c r="CP1131" t="str">
        <v>WHSU6740607</v>
      </c>
      <c r="CQ1131" s="23">
        <v>50</v>
      </c>
      <c r="CR1131" s="25">
        <f t="shared" si="46"/>
        <v>2.9286888905252868E-3</v>
      </c>
      <c r="CS1131" s="21">
        <f t="shared" si="47"/>
        <v>7.3217222263132173</v>
      </c>
    </row>
    <row r="1132" spans="2:97" x14ac:dyDescent="0.35">
      <c r="B1132" s="34" t="s">
        <v>298</v>
      </c>
      <c r="C1132" t="s">
        <v>3342</v>
      </c>
      <c r="D1132" t="s">
        <v>395</v>
      </c>
      <c r="E1132" t="s">
        <v>395</v>
      </c>
      <c r="F1132" t="s">
        <v>396</v>
      </c>
      <c r="G1132" t="s">
        <v>397</v>
      </c>
      <c r="H1132" t="s">
        <v>398</v>
      </c>
      <c r="I1132" t="s">
        <v>399</v>
      </c>
      <c r="J1132" t="s">
        <v>749</v>
      </c>
      <c r="K1132" t="s">
        <v>629</v>
      </c>
      <c r="L1132" t="s">
        <v>750</v>
      </c>
      <c r="M1132" t="s">
        <v>751</v>
      </c>
      <c r="N1132">
        <v>1</v>
      </c>
      <c r="O1132">
        <v>1</v>
      </c>
      <c r="P1132" t="s">
        <v>3343</v>
      </c>
      <c r="Q1132" t="s">
        <v>645</v>
      </c>
      <c r="R1132" t="s">
        <v>3344</v>
      </c>
      <c r="S1132" t="s">
        <v>3345</v>
      </c>
      <c r="T1132" t="s">
        <v>408</v>
      </c>
      <c r="U1132">
        <v>50950082669</v>
      </c>
      <c r="W1132">
        <v>6000</v>
      </c>
      <c r="X1132" t="s">
        <v>448</v>
      </c>
      <c r="Y1132" t="s">
        <v>410</v>
      </c>
      <c r="Z1132" t="s">
        <v>410</v>
      </c>
      <c r="AA1132" t="s">
        <v>411</v>
      </c>
      <c r="AC1132" t="s">
        <v>411</v>
      </c>
      <c r="AD1132">
        <v>46125</v>
      </c>
      <c r="AE1132">
        <v>46111</v>
      </c>
      <c r="AF1132">
        <v>46132</v>
      </c>
      <c r="AG1132" t="s">
        <v>754</v>
      </c>
      <c r="AH1132">
        <v>6189890</v>
      </c>
      <c r="AI1132">
        <v>46125</v>
      </c>
      <c r="AJ1132">
        <v>46126</v>
      </c>
      <c r="AK1132">
        <v>6000</v>
      </c>
      <c r="AL1132" t="s">
        <v>396</v>
      </c>
      <c r="AM1132" t="s">
        <v>3346</v>
      </c>
      <c r="AN1132">
        <v>46126</v>
      </c>
      <c r="AO1132">
        <v>46126.623113425929</v>
      </c>
      <c r="AP1132" t="s">
        <v>51</v>
      </c>
      <c r="AQ1132">
        <v>3.0700000000000002E-2</v>
      </c>
      <c r="AR1132">
        <v>184.2</v>
      </c>
      <c r="AS1132" t="s">
        <v>51</v>
      </c>
      <c r="AT1132">
        <v>184.2</v>
      </c>
      <c r="AU1132" t="s">
        <v>450</v>
      </c>
      <c r="AV1132" t="s">
        <v>1597</v>
      </c>
      <c r="AX1132">
        <v>46132</v>
      </c>
      <c r="AY1132">
        <v>46139</v>
      </c>
      <c r="BA1132" t="s">
        <v>448</v>
      </c>
      <c r="BB1132" t="s">
        <v>3347</v>
      </c>
      <c r="BC1132">
        <v>8000</v>
      </c>
      <c r="BD1132" t="s">
        <v>521</v>
      </c>
      <c r="BE1132">
        <v>6.992</v>
      </c>
      <c r="BF1132">
        <v>6.1920000000000002</v>
      </c>
      <c r="BG1132" t="s">
        <v>522</v>
      </c>
      <c r="BH1132">
        <v>395</v>
      </c>
      <c r="BI1132">
        <v>295</v>
      </c>
      <c r="BJ1132">
        <v>210</v>
      </c>
      <c r="BK1132">
        <v>6</v>
      </c>
      <c r="BL1132" t="s">
        <v>521</v>
      </c>
      <c r="BM1132">
        <v>14.992000000000001</v>
      </c>
      <c r="BN1132">
        <v>6.1920000000000002</v>
      </c>
      <c r="BO1132">
        <v>14.992000000000001</v>
      </c>
      <c r="BP1132" t="s">
        <v>522</v>
      </c>
      <c r="BQ1132">
        <v>800</v>
      </c>
      <c r="BR1132">
        <v>300</v>
      </c>
      <c r="BS1132">
        <v>790</v>
      </c>
      <c r="BT1132">
        <v>0</v>
      </c>
      <c r="BU1132">
        <v>1</v>
      </c>
      <c r="BV1132">
        <v>1</v>
      </c>
      <c r="BW1132">
        <v>0</v>
      </c>
      <c r="BX1132">
        <v>1</v>
      </c>
      <c r="BY1132">
        <v>1</v>
      </c>
      <c r="BZ1132">
        <v>0</v>
      </c>
      <c r="CA1132">
        <v>6000</v>
      </c>
      <c r="CB1132">
        <v>6000</v>
      </c>
      <c r="CC1132">
        <v>6.1920000000000002</v>
      </c>
      <c r="CD1132" t="s">
        <v>626</v>
      </c>
      <c r="CE1132" t="s">
        <v>760</v>
      </c>
      <c r="CG1132" t="s">
        <v>421</v>
      </c>
      <c r="CN1132" t="str">
        <v>M19</v>
      </c>
      <c r="CO1132" t="str">
        <v>1267-5YY0040EN</v>
      </c>
      <c r="CP1132" t="str">
        <v>WHSU6740607</v>
      </c>
      <c r="CQ1132" s="23">
        <v>10</v>
      </c>
      <c r="CR1132" s="25">
        <f t="shared" si="46"/>
        <v>5.857377781050574E-4</v>
      </c>
      <c r="CS1132" s="21">
        <f t="shared" si="47"/>
        <v>1.4643444452626435</v>
      </c>
    </row>
    <row r="1133" spans="2:97" x14ac:dyDescent="0.35">
      <c r="B1133" s="34" t="s">
        <v>298</v>
      </c>
      <c r="C1133" t="s">
        <v>3348</v>
      </c>
      <c r="D1133" t="s">
        <v>395</v>
      </c>
      <c r="E1133" t="s">
        <v>395</v>
      </c>
      <c r="F1133" t="s">
        <v>396</v>
      </c>
      <c r="G1133" t="s">
        <v>397</v>
      </c>
      <c r="H1133" t="s">
        <v>398</v>
      </c>
      <c r="I1133" t="s">
        <v>399</v>
      </c>
      <c r="J1133" t="s">
        <v>749</v>
      </c>
      <c r="K1133" t="s">
        <v>629</v>
      </c>
      <c r="L1133" t="s">
        <v>750</v>
      </c>
      <c r="M1133" t="s">
        <v>751</v>
      </c>
      <c r="N1133">
        <v>1</v>
      </c>
      <c r="O1133">
        <v>1</v>
      </c>
      <c r="P1133" t="s">
        <v>3349</v>
      </c>
      <c r="Q1133" t="s">
        <v>405</v>
      </c>
      <c r="R1133" t="s">
        <v>3350</v>
      </c>
      <c r="S1133" t="s">
        <v>3351</v>
      </c>
      <c r="T1133" t="s">
        <v>408</v>
      </c>
      <c r="U1133">
        <v>50950082670</v>
      </c>
      <c r="W1133">
        <v>30000</v>
      </c>
      <c r="X1133" t="s">
        <v>448</v>
      </c>
      <c r="Y1133" t="s">
        <v>410</v>
      </c>
      <c r="Z1133" t="s">
        <v>410</v>
      </c>
      <c r="AA1133" t="s">
        <v>411</v>
      </c>
      <c r="AC1133" t="s">
        <v>411</v>
      </c>
      <c r="AD1133">
        <v>46125</v>
      </c>
      <c r="AE1133">
        <v>46111</v>
      </c>
      <c r="AF1133">
        <v>46132</v>
      </c>
      <c r="AG1133" t="s">
        <v>754</v>
      </c>
      <c r="AH1133">
        <v>6191370</v>
      </c>
      <c r="AI1133">
        <v>46126</v>
      </c>
      <c r="AJ1133">
        <v>46126</v>
      </c>
      <c r="AK1133">
        <v>30000</v>
      </c>
      <c r="AL1133" t="s">
        <v>396</v>
      </c>
      <c r="AM1133" t="s">
        <v>3352</v>
      </c>
      <c r="AN1133">
        <v>46126</v>
      </c>
      <c r="AO1133">
        <v>46126.623113425929</v>
      </c>
      <c r="AP1133" t="s">
        <v>51</v>
      </c>
      <c r="AQ1133">
        <v>4.6530000000000002E-2</v>
      </c>
      <c r="AR1133">
        <v>1395.9</v>
      </c>
      <c r="AS1133" t="s">
        <v>51</v>
      </c>
      <c r="AT1133">
        <v>1395.9</v>
      </c>
      <c r="AU1133" t="s">
        <v>450</v>
      </c>
      <c r="AV1133" t="s">
        <v>1597</v>
      </c>
      <c r="AX1133">
        <v>46132</v>
      </c>
      <c r="AY1133">
        <v>46139</v>
      </c>
      <c r="BA1133" t="s">
        <v>448</v>
      </c>
      <c r="BB1133" t="s">
        <v>3347</v>
      </c>
      <c r="BC1133">
        <v>2400</v>
      </c>
      <c r="BD1133" t="s">
        <v>521</v>
      </c>
      <c r="BE1133">
        <v>3.4424000000000001</v>
      </c>
      <c r="BF1133">
        <v>2.6423999999999999</v>
      </c>
      <c r="BG1133" t="s">
        <v>522</v>
      </c>
      <c r="BH1133">
        <v>395</v>
      </c>
      <c r="BI1133">
        <v>295</v>
      </c>
      <c r="BJ1133">
        <v>210</v>
      </c>
      <c r="BK1133">
        <v>6</v>
      </c>
      <c r="BL1133" t="s">
        <v>521</v>
      </c>
      <c r="BM1133">
        <v>28.654399999999999</v>
      </c>
      <c r="BN1133">
        <v>15.8544</v>
      </c>
      <c r="BO1133">
        <v>67.430000000000007</v>
      </c>
      <c r="BP1133" t="s">
        <v>522</v>
      </c>
      <c r="BQ1133">
        <v>800</v>
      </c>
      <c r="BR1133">
        <v>300</v>
      </c>
      <c r="BS1133">
        <v>790</v>
      </c>
      <c r="BT1133">
        <v>2</v>
      </c>
      <c r="BU1133">
        <v>1</v>
      </c>
      <c r="BV1133">
        <v>3</v>
      </c>
      <c r="BW1133">
        <v>12</v>
      </c>
      <c r="BX1133">
        <v>1</v>
      </c>
      <c r="BY1133">
        <v>13</v>
      </c>
      <c r="BZ1133">
        <v>28800</v>
      </c>
      <c r="CA1133">
        <v>1200</v>
      </c>
      <c r="CB1133">
        <v>30000</v>
      </c>
      <c r="CC1133">
        <v>33.03</v>
      </c>
      <c r="CD1133" t="s">
        <v>626</v>
      </c>
      <c r="CE1133" t="s">
        <v>760</v>
      </c>
      <c r="CG1133" t="s">
        <v>421</v>
      </c>
      <c r="CN1133" t="str">
        <v>M19</v>
      </c>
      <c r="CO1133" t="str">
        <v>1254-5YY0002EN</v>
      </c>
      <c r="CP1133" t="str">
        <v>WHSU6740607</v>
      </c>
      <c r="CQ1133" s="23">
        <v>1</v>
      </c>
      <c r="CR1133" s="25">
        <f t="shared" si="46"/>
        <v>5.8573777810505738E-5</v>
      </c>
      <c r="CS1133" s="21">
        <f t="shared" si="47"/>
        <v>0.14643444452626433</v>
      </c>
    </row>
    <row r="1134" spans="2:97" x14ac:dyDescent="0.35">
      <c r="B1134" s="34" t="s">
        <v>298</v>
      </c>
      <c r="C1134" t="s">
        <v>3353</v>
      </c>
      <c r="D1134" t="s">
        <v>395</v>
      </c>
      <c r="E1134" t="s">
        <v>395</v>
      </c>
      <c r="F1134" t="s">
        <v>396</v>
      </c>
      <c r="G1134" t="s">
        <v>397</v>
      </c>
      <c r="H1134" t="s">
        <v>398</v>
      </c>
      <c r="I1134" t="s">
        <v>399</v>
      </c>
      <c r="J1134" t="s">
        <v>749</v>
      </c>
      <c r="K1134" t="s">
        <v>629</v>
      </c>
      <c r="L1134" t="s">
        <v>750</v>
      </c>
      <c r="M1134" t="s">
        <v>751</v>
      </c>
      <c r="N1134">
        <v>1</v>
      </c>
      <c r="O1134">
        <v>1</v>
      </c>
      <c r="P1134" t="s">
        <v>3354</v>
      </c>
      <c r="Q1134" t="s">
        <v>430</v>
      </c>
      <c r="R1134" t="s">
        <v>753</v>
      </c>
      <c r="S1134" t="s">
        <v>426</v>
      </c>
      <c r="T1134" t="s">
        <v>408</v>
      </c>
      <c r="U1134">
        <v>50950082671</v>
      </c>
      <c r="W1134">
        <v>6000</v>
      </c>
      <c r="X1134" t="s">
        <v>448</v>
      </c>
      <c r="Y1134" t="s">
        <v>410</v>
      </c>
      <c r="Z1134" t="s">
        <v>410</v>
      </c>
      <c r="AA1134" t="s">
        <v>411</v>
      </c>
      <c r="AC1134" t="s">
        <v>411</v>
      </c>
      <c r="AD1134">
        <v>46125</v>
      </c>
      <c r="AE1134">
        <v>46111</v>
      </c>
      <c r="AF1134">
        <v>46132</v>
      </c>
      <c r="AG1134" t="s">
        <v>754</v>
      </c>
      <c r="AH1134">
        <v>6189892</v>
      </c>
      <c r="AI1134">
        <v>46125</v>
      </c>
      <c r="AJ1134">
        <v>46126</v>
      </c>
      <c r="AK1134">
        <v>6000</v>
      </c>
      <c r="AL1134" t="s">
        <v>396</v>
      </c>
      <c r="AM1134" t="s">
        <v>3355</v>
      </c>
      <c r="AN1134">
        <v>46126</v>
      </c>
      <c r="AO1134">
        <v>46126.623113425929</v>
      </c>
      <c r="AP1134" t="s">
        <v>51</v>
      </c>
      <c r="AQ1134">
        <v>4.2299999999999997E-2</v>
      </c>
      <c r="AR1134">
        <v>253.8</v>
      </c>
      <c r="AS1134" t="s">
        <v>51</v>
      </c>
      <c r="AT1134">
        <v>253.8</v>
      </c>
      <c r="AU1134" t="s">
        <v>450</v>
      </c>
      <c r="AV1134" t="s">
        <v>1597</v>
      </c>
      <c r="AX1134">
        <v>46132</v>
      </c>
      <c r="AY1134">
        <v>46139</v>
      </c>
      <c r="BA1134" t="s">
        <v>448</v>
      </c>
      <c r="BB1134" t="s">
        <v>3347</v>
      </c>
      <c r="BC1134">
        <v>6000</v>
      </c>
      <c r="BD1134" t="s">
        <v>521</v>
      </c>
      <c r="BE1134">
        <v>4.0039999999999996</v>
      </c>
      <c r="BF1134">
        <v>3.2040000000000002</v>
      </c>
      <c r="BG1134" t="s">
        <v>522</v>
      </c>
      <c r="BH1134">
        <v>395</v>
      </c>
      <c r="BI1134">
        <v>295</v>
      </c>
      <c r="BJ1134">
        <v>210</v>
      </c>
      <c r="BK1134">
        <v>6</v>
      </c>
      <c r="BL1134" t="s">
        <v>521</v>
      </c>
      <c r="BM1134">
        <v>12.004</v>
      </c>
      <c r="BN1134">
        <v>3.2040000000000002</v>
      </c>
      <c r="BO1134">
        <v>12.004</v>
      </c>
      <c r="BP1134" t="s">
        <v>522</v>
      </c>
      <c r="BQ1134">
        <v>800</v>
      </c>
      <c r="BR1134">
        <v>300</v>
      </c>
      <c r="BS1134">
        <v>790</v>
      </c>
      <c r="BT1134">
        <v>0</v>
      </c>
      <c r="BU1134">
        <v>1</v>
      </c>
      <c r="BV1134">
        <v>1</v>
      </c>
      <c r="BW1134">
        <v>1</v>
      </c>
      <c r="BX1134">
        <v>0</v>
      </c>
      <c r="BY1134">
        <v>1</v>
      </c>
      <c r="BZ1134">
        <v>0</v>
      </c>
      <c r="CA1134">
        <v>6000</v>
      </c>
      <c r="CB1134">
        <v>6000</v>
      </c>
      <c r="CC1134">
        <v>3.2040000000000002</v>
      </c>
      <c r="CD1134" t="s">
        <v>626</v>
      </c>
      <c r="CE1134" t="s">
        <v>760</v>
      </c>
      <c r="CG1134" t="s">
        <v>421</v>
      </c>
      <c r="CN1134" t="str">
        <v>M19</v>
      </c>
      <c r="CO1134" t="str">
        <v>1267-5YY0040EN</v>
      </c>
      <c r="CP1134" t="str">
        <v>WHSU6740607</v>
      </c>
      <c r="CQ1134" s="23">
        <v>10</v>
      </c>
      <c r="CR1134" s="25">
        <f t="shared" si="46"/>
        <v>5.857377781050574E-4</v>
      </c>
      <c r="CS1134" s="21">
        <f t="shared" si="47"/>
        <v>1.4643444452626435</v>
      </c>
    </row>
    <row r="1135" spans="2:97" x14ac:dyDescent="0.35">
      <c r="B1135" s="34" t="s">
        <v>298</v>
      </c>
      <c r="C1135" t="s">
        <v>3356</v>
      </c>
      <c r="D1135" t="s">
        <v>395</v>
      </c>
      <c r="E1135" t="s">
        <v>395</v>
      </c>
      <c r="F1135" t="s">
        <v>396</v>
      </c>
      <c r="G1135" t="s">
        <v>397</v>
      </c>
      <c r="H1135" t="s">
        <v>398</v>
      </c>
      <c r="I1135" t="s">
        <v>399</v>
      </c>
      <c r="J1135" t="s">
        <v>749</v>
      </c>
      <c r="K1135" t="s">
        <v>629</v>
      </c>
      <c r="L1135" t="s">
        <v>750</v>
      </c>
      <c r="M1135" t="s">
        <v>751</v>
      </c>
      <c r="N1135">
        <v>1</v>
      </c>
      <c r="O1135">
        <v>1</v>
      </c>
      <c r="P1135" t="s">
        <v>3357</v>
      </c>
      <c r="Q1135" t="s">
        <v>430</v>
      </c>
      <c r="R1135" t="s">
        <v>753</v>
      </c>
      <c r="S1135" t="s">
        <v>426</v>
      </c>
      <c r="T1135" t="s">
        <v>408</v>
      </c>
      <c r="U1135">
        <v>50950082672</v>
      </c>
      <c r="W1135">
        <v>6000</v>
      </c>
      <c r="X1135" t="s">
        <v>448</v>
      </c>
      <c r="Y1135" t="s">
        <v>410</v>
      </c>
      <c r="Z1135" t="s">
        <v>410</v>
      </c>
      <c r="AA1135" t="s">
        <v>411</v>
      </c>
      <c r="AC1135" t="s">
        <v>411</v>
      </c>
      <c r="AD1135">
        <v>46125</v>
      </c>
      <c r="AE1135">
        <v>46111</v>
      </c>
      <c r="AF1135">
        <v>46132</v>
      </c>
      <c r="AG1135" t="s">
        <v>754</v>
      </c>
      <c r="AH1135">
        <v>6189893</v>
      </c>
      <c r="AI1135">
        <v>46125</v>
      </c>
      <c r="AJ1135">
        <v>46126</v>
      </c>
      <c r="AK1135">
        <v>6000</v>
      </c>
      <c r="AL1135" t="s">
        <v>396</v>
      </c>
      <c r="AM1135" t="s">
        <v>3358</v>
      </c>
      <c r="AN1135">
        <v>46126</v>
      </c>
      <c r="AO1135">
        <v>46126.623113425929</v>
      </c>
      <c r="AP1135" t="s">
        <v>51</v>
      </c>
      <c r="AQ1135">
        <v>3.6269999999999997E-2</v>
      </c>
      <c r="AR1135">
        <v>217.62</v>
      </c>
      <c r="AS1135" t="s">
        <v>51</v>
      </c>
      <c r="AT1135">
        <v>217.62</v>
      </c>
      <c r="AU1135" t="s">
        <v>450</v>
      </c>
      <c r="AV1135" t="s">
        <v>1597</v>
      </c>
      <c r="AX1135">
        <v>46132</v>
      </c>
      <c r="AY1135">
        <v>46139</v>
      </c>
      <c r="BA1135" t="s">
        <v>448</v>
      </c>
      <c r="BB1135" t="s">
        <v>3347</v>
      </c>
      <c r="BC1135">
        <v>16000</v>
      </c>
      <c r="BD1135" t="s">
        <v>521</v>
      </c>
      <c r="BE1135">
        <v>2.21</v>
      </c>
      <c r="BF1135">
        <v>1.41</v>
      </c>
      <c r="BG1135" t="s">
        <v>522</v>
      </c>
      <c r="BH1135">
        <v>395</v>
      </c>
      <c r="BI1135">
        <v>295</v>
      </c>
      <c r="BJ1135">
        <v>210</v>
      </c>
      <c r="BK1135">
        <v>6</v>
      </c>
      <c r="BL1135" t="s">
        <v>521</v>
      </c>
      <c r="BM1135">
        <v>10.210000000000001</v>
      </c>
      <c r="BN1135">
        <v>1.41</v>
      </c>
      <c r="BO1135">
        <v>10.210000000000001</v>
      </c>
      <c r="BP1135" t="s">
        <v>522</v>
      </c>
      <c r="BQ1135">
        <v>800</v>
      </c>
      <c r="BR1135">
        <v>300</v>
      </c>
      <c r="BS1135">
        <v>790</v>
      </c>
      <c r="BT1135">
        <v>0</v>
      </c>
      <c r="BU1135">
        <v>1</v>
      </c>
      <c r="BV1135">
        <v>1</v>
      </c>
      <c r="BW1135">
        <v>0</v>
      </c>
      <c r="BX1135">
        <v>1</v>
      </c>
      <c r="BY1135">
        <v>1</v>
      </c>
      <c r="BZ1135">
        <v>0</v>
      </c>
      <c r="CA1135">
        <v>6000</v>
      </c>
      <c r="CB1135">
        <v>6000</v>
      </c>
      <c r="CC1135">
        <v>1.41</v>
      </c>
      <c r="CD1135" t="s">
        <v>626</v>
      </c>
      <c r="CE1135" t="s">
        <v>760</v>
      </c>
      <c r="CG1135" t="s">
        <v>421</v>
      </c>
      <c r="CN1135" t="str">
        <v>M19</v>
      </c>
      <c r="CO1135" t="str">
        <v>1318-5YY0073EN</v>
      </c>
      <c r="CP1135" t="str">
        <v>WHSU6740607</v>
      </c>
      <c r="CQ1135" s="23">
        <v>50</v>
      </c>
      <c r="CR1135" s="25">
        <f t="shared" si="46"/>
        <v>2.9286888905252868E-3</v>
      </c>
      <c r="CS1135" s="21">
        <f t="shared" si="47"/>
        <v>7.3217222263132173</v>
      </c>
    </row>
    <row r="1136" spans="2:97" x14ac:dyDescent="0.35">
      <c r="B1136" t="s">
        <v>297</v>
      </c>
      <c r="C1136" t="s">
        <v>2381</v>
      </c>
      <c r="D1136" t="s">
        <v>549</v>
      </c>
      <c r="E1136" t="s">
        <v>395</v>
      </c>
      <c r="F1136" t="s">
        <v>396</v>
      </c>
      <c r="G1136" t="s">
        <v>397</v>
      </c>
      <c r="H1136" t="s">
        <v>398</v>
      </c>
      <c r="I1136" t="s">
        <v>399</v>
      </c>
      <c r="J1136" t="s">
        <v>749</v>
      </c>
      <c r="K1136" t="s">
        <v>401</v>
      </c>
      <c r="L1136" t="s">
        <v>766</v>
      </c>
      <c r="M1136" t="s">
        <v>403</v>
      </c>
      <c r="N1136">
        <v>1</v>
      </c>
      <c r="O1136">
        <v>2</v>
      </c>
      <c r="P1136" t="s">
        <v>767</v>
      </c>
      <c r="Q1136" t="s">
        <v>424</v>
      </c>
      <c r="R1136" t="s">
        <v>552</v>
      </c>
      <c r="S1136" t="s">
        <v>768</v>
      </c>
      <c r="T1136" t="s">
        <v>408</v>
      </c>
      <c r="U1136">
        <v>50950081498</v>
      </c>
      <c r="W1136">
        <v>23040</v>
      </c>
      <c r="X1136" t="s">
        <v>409</v>
      </c>
      <c r="Y1136" t="s">
        <v>410</v>
      </c>
      <c r="Z1136" t="s">
        <v>410</v>
      </c>
      <c r="AA1136" t="s">
        <v>411</v>
      </c>
      <c r="AB1136" t="s">
        <v>769</v>
      </c>
      <c r="AC1136" t="s">
        <v>411</v>
      </c>
      <c r="AD1136">
        <v>46116</v>
      </c>
      <c r="AE1136">
        <v>46174</v>
      </c>
      <c r="AF1136">
        <v>46130</v>
      </c>
      <c r="AG1136" t="s">
        <v>770</v>
      </c>
      <c r="AH1136">
        <v>6191889</v>
      </c>
      <c r="AI1136">
        <v>46126</v>
      </c>
      <c r="AJ1136">
        <v>46127</v>
      </c>
      <c r="AK1136">
        <v>23040</v>
      </c>
      <c r="AL1136" t="s">
        <v>396</v>
      </c>
      <c r="AM1136" t="s">
        <v>3359</v>
      </c>
      <c r="AN1136">
        <v>46127</v>
      </c>
      <c r="AO1136">
        <v>46127.389062499999</v>
      </c>
      <c r="AP1136" t="s">
        <v>51</v>
      </c>
      <c r="AQ1136">
        <v>0.20744000000000001</v>
      </c>
      <c r="AR1136">
        <v>4779.42</v>
      </c>
      <c r="AS1136" t="s">
        <v>51</v>
      </c>
      <c r="AT1136">
        <v>4779.42</v>
      </c>
      <c r="AU1136" t="s">
        <v>415</v>
      </c>
      <c r="AV1136" t="s">
        <v>416</v>
      </c>
      <c r="AW1136" t="s">
        <v>3295</v>
      </c>
      <c r="AX1136">
        <v>46131</v>
      </c>
      <c r="AY1136">
        <v>46180</v>
      </c>
      <c r="AZ1136" t="s">
        <v>3360</v>
      </c>
      <c r="BA1136" t="s">
        <v>560</v>
      </c>
      <c r="BB1136" t="s">
        <v>3361</v>
      </c>
      <c r="BC1136">
        <v>240</v>
      </c>
      <c r="BD1136" t="s">
        <v>521</v>
      </c>
      <c r="BE1136">
        <v>2.5634000000000001</v>
      </c>
      <c r="BF1136">
        <v>1.2864</v>
      </c>
      <c r="BG1136" t="s">
        <v>522</v>
      </c>
      <c r="BH1136">
        <v>340</v>
      </c>
      <c r="BI1136">
        <v>250</v>
      </c>
      <c r="BJ1136">
        <v>230</v>
      </c>
      <c r="BK1136">
        <v>48</v>
      </c>
      <c r="BL1136" t="s">
        <v>521</v>
      </c>
      <c r="BM1136">
        <v>144.04320000000001</v>
      </c>
      <c r="BN1136">
        <v>61.747199999999999</v>
      </c>
      <c r="BO1136">
        <v>288.08640000000003</v>
      </c>
      <c r="BP1136" t="s">
        <v>522</v>
      </c>
      <c r="BQ1136">
        <v>1066</v>
      </c>
      <c r="BR1136">
        <v>1066</v>
      </c>
      <c r="BS1136">
        <v>1080</v>
      </c>
      <c r="BT1136">
        <v>2</v>
      </c>
      <c r="BU1136">
        <v>0</v>
      </c>
      <c r="BV1136">
        <v>2</v>
      </c>
      <c r="BW1136">
        <v>96</v>
      </c>
      <c r="BX1136">
        <v>0</v>
      </c>
      <c r="BY1136">
        <v>96</v>
      </c>
      <c r="BZ1136">
        <v>23040</v>
      </c>
      <c r="CA1136">
        <v>0</v>
      </c>
      <c r="CB1136">
        <v>23040</v>
      </c>
      <c r="CC1136">
        <v>123.4944</v>
      </c>
      <c r="CD1136" t="s">
        <v>562</v>
      </c>
      <c r="CE1136" t="s">
        <v>563</v>
      </c>
      <c r="CG1136" t="s">
        <v>421</v>
      </c>
      <c r="CN1136" t="str">
        <v>M19</v>
      </c>
      <c r="CO1136" t="str">
        <v>1318-5YY0070EN</v>
      </c>
      <c r="CP1136" t="str">
        <v>WHSU6740607</v>
      </c>
      <c r="CQ1136" s="23">
        <v>10</v>
      </c>
      <c r="CR1136" s="25">
        <f t="shared" si="46"/>
        <v>5.857377781050574E-4</v>
      </c>
      <c r="CS1136" s="21">
        <f t="shared" si="47"/>
        <v>1.4643444452626435</v>
      </c>
    </row>
    <row r="1137" spans="2:97" x14ac:dyDescent="0.35">
      <c r="B1137" t="s">
        <v>299</v>
      </c>
      <c r="C1137" t="s">
        <v>3362</v>
      </c>
      <c r="D1137" t="s">
        <v>395</v>
      </c>
      <c r="E1137" t="s">
        <v>395</v>
      </c>
      <c r="F1137" t="s">
        <v>396</v>
      </c>
      <c r="G1137" t="s">
        <v>397</v>
      </c>
      <c r="H1137" t="s">
        <v>398</v>
      </c>
      <c r="I1137" t="s">
        <v>399</v>
      </c>
      <c r="J1137" t="s">
        <v>749</v>
      </c>
      <c r="K1137" t="s">
        <v>777</v>
      </c>
      <c r="L1137" t="s">
        <v>778</v>
      </c>
      <c r="M1137" t="s">
        <v>403</v>
      </c>
      <c r="N1137">
        <v>1</v>
      </c>
      <c r="O1137">
        <v>1</v>
      </c>
      <c r="P1137" t="s">
        <v>1372</v>
      </c>
      <c r="Q1137" t="s">
        <v>637</v>
      </c>
      <c r="R1137" t="s">
        <v>536</v>
      </c>
      <c r="S1137" t="s">
        <v>1373</v>
      </c>
      <c r="T1137" t="s">
        <v>408</v>
      </c>
      <c r="U1137">
        <v>50950078245</v>
      </c>
      <c r="W1137">
        <v>2016</v>
      </c>
      <c r="X1137" t="s">
        <v>409</v>
      </c>
      <c r="Y1137" t="s">
        <v>410</v>
      </c>
      <c r="Z1137" t="s">
        <v>410</v>
      </c>
      <c r="AA1137" t="s">
        <v>411</v>
      </c>
      <c r="AB1137" t="s">
        <v>769</v>
      </c>
      <c r="AC1137" t="s">
        <v>411</v>
      </c>
      <c r="AD1137">
        <v>46123</v>
      </c>
      <c r="AE1137">
        <v>46181</v>
      </c>
      <c r="AF1137">
        <v>46130</v>
      </c>
      <c r="AG1137" t="s">
        <v>781</v>
      </c>
      <c r="AH1137">
        <v>6191890</v>
      </c>
      <c r="AI1137">
        <v>46126</v>
      </c>
      <c r="AJ1137">
        <v>46127</v>
      </c>
      <c r="AK1137">
        <v>2016</v>
      </c>
      <c r="AL1137" t="s">
        <v>396</v>
      </c>
      <c r="AM1137" t="s">
        <v>3363</v>
      </c>
      <c r="AN1137">
        <v>46127</v>
      </c>
      <c r="AO1137">
        <v>46127.389062499999</v>
      </c>
      <c r="AP1137" t="s">
        <v>51</v>
      </c>
      <c r="AQ1137">
        <v>3.0685500000000001</v>
      </c>
      <c r="AR1137">
        <v>6186.2</v>
      </c>
      <c r="AS1137" t="s">
        <v>51</v>
      </c>
      <c r="AT1137">
        <v>6186.2</v>
      </c>
      <c r="AU1137" t="s">
        <v>415</v>
      </c>
      <c r="AV1137" t="s">
        <v>416</v>
      </c>
      <c r="AW1137" t="s">
        <v>3295</v>
      </c>
      <c r="AX1137">
        <v>46131</v>
      </c>
      <c r="AY1137">
        <v>46180</v>
      </c>
      <c r="AZ1137" t="s">
        <v>3360</v>
      </c>
      <c r="BA1137" t="s">
        <v>560</v>
      </c>
      <c r="BB1137" t="s">
        <v>3361</v>
      </c>
      <c r="BC1137">
        <v>28</v>
      </c>
      <c r="BD1137" t="s">
        <v>521</v>
      </c>
      <c r="BE1137">
        <v>5.1753999999999998</v>
      </c>
      <c r="BF1137">
        <v>3.3123999999999998</v>
      </c>
      <c r="BG1137" t="s">
        <v>522</v>
      </c>
      <c r="BH1137">
        <v>795</v>
      </c>
      <c r="BI1137">
        <v>395</v>
      </c>
      <c r="BJ1137">
        <v>145</v>
      </c>
      <c r="BK1137">
        <v>18</v>
      </c>
      <c r="BL1137" t="s">
        <v>521</v>
      </c>
      <c r="BM1137">
        <v>118.1572</v>
      </c>
      <c r="BN1137">
        <v>59.623199999999997</v>
      </c>
      <c r="BO1137">
        <v>472.62880000000001</v>
      </c>
      <c r="BP1137" t="s">
        <v>522</v>
      </c>
      <c r="BQ1137">
        <v>1200</v>
      </c>
      <c r="BR1137">
        <v>800</v>
      </c>
      <c r="BS1137">
        <v>1030</v>
      </c>
      <c r="BT1137">
        <v>4</v>
      </c>
      <c r="BU1137">
        <v>0</v>
      </c>
      <c r="BV1137">
        <v>4</v>
      </c>
      <c r="BW1137">
        <v>72</v>
      </c>
      <c r="BX1137">
        <v>0</v>
      </c>
      <c r="BY1137">
        <v>72</v>
      </c>
      <c r="BZ1137">
        <v>2016</v>
      </c>
      <c r="CA1137">
        <v>0</v>
      </c>
      <c r="CB1137">
        <v>2016</v>
      </c>
      <c r="CC1137">
        <v>238.49279999999999</v>
      </c>
      <c r="CD1137" t="s">
        <v>783</v>
      </c>
      <c r="CE1137" t="s">
        <v>784</v>
      </c>
      <c r="CG1137" t="s">
        <v>421</v>
      </c>
      <c r="CN1137" t="str">
        <v>M23</v>
      </c>
      <c r="CO1137" t="str">
        <v>1415-1060678EN</v>
      </c>
      <c r="CP1137" t="str">
        <v>WHSU6740607</v>
      </c>
      <c r="CQ1137" s="23">
        <v>50</v>
      </c>
      <c r="CR1137" s="25">
        <f t="shared" si="46"/>
        <v>2.9286888905252868E-3</v>
      </c>
      <c r="CS1137" s="21">
        <f t="shared" si="47"/>
        <v>7.3217222263132173</v>
      </c>
    </row>
    <row r="1138" spans="2:97" x14ac:dyDescent="0.35">
      <c r="B1138" t="s">
        <v>295</v>
      </c>
      <c r="C1138" t="s">
        <v>868</v>
      </c>
      <c r="D1138" t="s">
        <v>395</v>
      </c>
      <c r="E1138" t="s">
        <v>395</v>
      </c>
      <c r="F1138" t="s">
        <v>396</v>
      </c>
      <c r="G1138" t="s">
        <v>397</v>
      </c>
      <c r="H1138" t="s">
        <v>398</v>
      </c>
      <c r="I1138" t="s">
        <v>399</v>
      </c>
      <c r="J1138" t="s">
        <v>749</v>
      </c>
      <c r="K1138" t="s">
        <v>629</v>
      </c>
      <c r="L1138" t="s">
        <v>787</v>
      </c>
      <c r="M1138" t="s">
        <v>403</v>
      </c>
      <c r="N1138">
        <v>1</v>
      </c>
      <c r="O1138">
        <v>16</v>
      </c>
      <c r="P1138" t="s">
        <v>869</v>
      </c>
      <c r="Q1138" t="s">
        <v>637</v>
      </c>
      <c r="R1138" t="s">
        <v>870</v>
      </c>
      <c r="S1138" t="s">
        <v>871</v>
      </c>
      <c r="T1138" t="s">
        <v>408</v>
      </c>
      <c r="U1138">
        <v>50950076250</v>
      </c>
      <c r="W1138">
        <v>1200</v>
      </c>
      <c r="X1138" t="s">
        <v>409</v>
      </c>
      <c r="Y1138" t="s">
        <v>410</v>
      </c>
      <c r="Z1138" t="s">
        <v>410</v>
      </c>
      <c r="AA1138" t="s">
        <v>411</v>
      </c>
      <c r="AB1138" t="s">
        <v>769</v>
      </c>
      <c r="AC1138" t="s">
        <v>411</v>
      </c>
      <c r="AD1138">
        <v>46125</v>
      </c>
      <c r="AE1138">
        <v>46118</v>
      </c>
      <c r="AF1138">
        <v>46130</v>
      </c>
      <c r="AG1138" t="s">
        <v>754</v>
      </c>
      <c r="AH1138">
        <v>6191891</v>
      </c>
      <c r="AI1138">
        <v>46126</v>
      </c>
      <c r="AJ1138">
        <v>46127</v>
      </c>
      <c r="AK1138">
        <v>1200</v>
      </c>
      <c r="AL1138" t="s">
        <v>396</v>
      </c>
      <c r="AM1138" t="s">
        <v>3364</v>
      </c>
      <c r="AN1138">
        <v>46127</v>
      </c>
      <c r="AO1138">
        <v>46127.389062499999</v>
      </c>
      <c r="AP1138" t="s">
        <v>51</v>
      </c>
      <c r="AQ1138">
        <v>1.09693</v>
      </c>
      <c r="AR1138">
        <v>1316.32</v>
      </c>
      <c r="AS1138" t="s">
        <v>51</v>
      </c>
      <c r="AT1138">
        <v>1316.32</v>
      </c>
      <c r="AU1138" t="s">
        <v>415</v>
      </c>
      <c r="AV1138" t="s">
        <v>416</v>
      </c>
      <c r="AW1138" t="s">
        <v>3295</v>
      </c>
      <c r="AX1138">
        <v>46131</v>
      </c>
      <c r="AY1138">
        <v>46180</v>
      </c>
      <c r="AZ1138" t="s">
        <v>3360</v>
      </c>
      <c r="BA1138" t="s">
        <v>560</v>
      </c>
      <c r="BB1138" t="s">
        <v>3361</v>
      </c>
      <c r="BC1138">
        <v>40</v>
      </c>
      <c r="BD1138" t="s">
        <v>521</v>
      </c>
      <c r="BE1138">
        <v>4.4851000000000001</v>
      </c>
      <c r="BF1138">
        <v>3.3351000000000002</v>
      </c>
      <c r="BG1138" t="s">
        <v>522</v>
      </c>
      <c r="BH1138">
        <v>495</v>
      </c>
      <c r="BI1138">
        <v>395</v>
      </c>
      <c r="BJ1138">
        <v>1800</v>
      </c>
      <c r="BK1138">
        <v>30</v>
      </c>
      <c r="BL1138" t="s">
        <v>521</v>
      </c>
      <c r="BM1138">
        <v>161.55359999999999</v>
      </c>
      <c r="BN1138">
        <v>100.0536</v>
      </c>
      <c r="BO1138">
        <v>161.55359999999999</v>
      </c>
      <c r="BP1138" t="s">
        <v>522</v>
      </c>
      <c r="BQ1138">
        <v>1200</v>
      </c>
      <c r="BR1138">
        <v>1000</v>
      </c>
      <c r="BS1138">
        <v>1058</v>
      </c>
      <c r="BT1138">
        <v>1</v>
      </c>
      <c r="BU1138">
        <v>0</v>
      </c>
      <c r="BV1138">
        <v>1</v>
      </c>
      <c r="BW1138">
        <v>30</v>
      </c>
      <c r="BX1138">
        <v>0</v>
      </c>
      <c r="BY1138">
        <v>30</v>
      </c>
      <c r="BZ1138">
        <v>1200</v>
      </c>
      <c r="CA1138">
        <v>0</v>
      </c>
      <c r="CB1138">
        <v>1200</v>
      </c>
      <c r="CC1138">
        <v>100.0536</v>
      </c>
      <c r="CD1138" t="s">
        <v>799</v>
      </c>
      <c r="CE1138" t="s">
        <v>873</v>
      </c>
      <c r="CG1138" t="s">
        <v>421</v>
      </c>
      <c r="CN1138" t="str">
        <v>M23</v>
      </c>
      <c r="CO1138" t="str">
        <v>1109-1060020EN</v>
      </c>
      <c r="CP1138" t="str">
        <v>WHSU6740607</v>
      </c>
      <c r="CQ1138" s="23">
        <v>0.1</v>
      </c>
      <c r="CR1138" s="25">
        <f t="shared" si="46"/>
        <v>5.8573777810505744E-6</v>
      </c>
      <c r="CS1138" s="21">
        <f t="shared" si="47"/>
        <v>1.4643444452626437E-2</v>
      </c>
    </row>
    <row r="1139" spans="2:97" x14ac:dyDescent="0.35">
      <c r="B1139" t="s">
        <v>296</v>
      </c>
      <c r="C1139" t="s">
        <v>3365</v>
      </c>
      <c r="D1139" t="s">
        <v>395</v>
      </c>
      <c r="E1139" t="s">
        <v>395</v>
      </c>
      <c r="F1139" t="s">
        <v>396</v>
      </c>
      <c r="G1139" t="s">
        <v>397</v>
      </c>
      <c r="H1139" t="s">
        <v>398</v>
      </c>
      <c r="I1139" t="s">
        <v>399</v>
      </c>
      <c r="J1139" t="s">
        <v>749</v>
      </c>
      <c r="K1139" t="s">
        <v>629</v>
      </c>
      <c r="L1139" t="s">
        <v>787</v>
      </c>
      <c r="M1139" t="s">
        <v>403</v>
      </c>
      <c r="N1139">
        <v>1</v>
      </c>
      <c r="O1139">
        <v>1</v>
      </c>
      <c r="P1139" t="s">
        <v>875</v>
      </c>
      <c r="Q1139" t="s">
        <v>430</v>
      </c>
      <c r="R1139" t="s">
        <v>876</v>
      </c>
      <c r="S1139" t="s">
        <v>877</v>
      </c>
      <c r="T1139" t="s">
        <v>408</v>
      </c>
      <c r="U1139">
        <v>50950078858</v>
      </c>
      <c r="W1139">
        <v>19200</v>
      </c>
      <c r="X1139" t="s">
        <v>409</v>
      </c>
      <c r="Y1139" t="s">
        <v>410</v>
      </c>
      <c r="Z1139" t="s">
        <v>410</v>
      </c>
      <c r="AA1139" t="s">
        <v>411</v>
      </c>
      <c r="AB1139" t="s">
        <v>769</v>
      </c>
      <c r="AC1139" t="s">
        <v>411</v>
      </c>
      <c r="AD1139">
        <v>46132</v>
      </c>
      <c r="AE1139">
        <v>46167</v>
      </c>
      <c r="AF1139">
        <v>46130</v>
      </c>
      <c r="AG1139" t="s">
        <v>754</v>
      </c>
      <c r="AH1139">
        <v>6191892</v>
      </c>
      <c r="AI1139">
        <v>46126</v>
      </c>
      <c r="AJ1139">
        <v>46127</v>
      </c>
      <c r="AK1139">
        <v>19200</v>
      </c>
      <c r="AL1139" t="s">
        <v>396</v>
      </c>
      <c r="AM1139" t="s">
        <v>3366</v>
      </c>
      <c r="AN1139">
        <v>46127</v>
      </c>
      <c r="AO1139">
        <v>46127.389062499999</v>
      </c>
      <c r="AP1139" t="s">
        <v>51</v>
      </c>
      <c r="AQ1139">
        <v>0.12105</v>
      </c>
      <c r="AR1139">
        <v>2324.16</v>
      </c>
      <c r="AS1139" t="s">
        <v>51</v>
      </c>
      <c r="AT1139">
        <v>2324.16</v>
      </c>
      <c r="AU1139" t="s">
        <v>415</v>
      </c>
      <c r="AV1139" t="s">
        <v>416</v>
      </c>
      <c r="AW1139" t="s">
        <v>3295</v>
      </c>
      <c r="AX1139">
        <v>46131</v>
      </c>
      <c r="AY1139">
        <v>46180</v>
      </c>
      <c r="AZ1139" t="s">
        <v>3360</v>
      </c>
      <c r="BA1139" t="s">
        <v>560</v>
      </c>
      <c r="BB1139" t="s">
        <v>3361</v>
      </c>
      <c r="BC1139">
        <v>160</v>
      </c>
      <c r="BD1139" t="s">
        <v>521</v>
      </c>
      <c r="BE1139">
        <v>6.3452000000000002</v>
      </c>
      <c r="BF1139">
        <v>4.7952000000000004</v>
      </c>
      <c r="BG1139" t="s">
        <v>522</v>
      </c>
      <c r="BH1139">
        <v>595</v>
      </c>
      <c r="BI1139">
        <v>495</v>
      </c>
      <c r="BJ1139">
        <v>190</v>
      </c>
      <c r="BK1139">
        <v>20</v>
      </c>
      <c r="BL1139" t="s">
        <v>521</v>
      </c>
      <c r="BM1139">
        <v>153.904</v>
      </c>
      <c r="BN1139">
        <v>95.903999999999996</v>
      </c>
      <c r="BO1139">
        <v>923.42399999999998</v>
      </c>
      <c r="BP1139" t="s">
        <v>522</v>
      </c>
      <c r="BQ1139">
        <v>1200</v>
      </c>
      <c r="BR1139">
        <v>1000</v>
      </c>
      <c r="BS1139">
        <v>1110</v>
      </c>
      <c r="BT1139">
        <v>6</v>
      </c>
      <c r="BU1139">
        <v>0</v>
      </c>
      <c r="BV1139">
        <v>6</v>
      </c>
      <c r="BW1139">
        <v>120</v>
      </c>
      <c r="BX1139">
        <v>0</v>
      </c>
      <c r="BY1139">
        <v>120</v>
      </c>
      <c r="BZ1139">
        <v>19200</v>
      </c>
      <c r="CA1139">
        <v>0</v>
      </c>
      <c r="CB1139">
        <v>19200</v>
      </c>
      <c r="CC1139">
        <v>575.42399999999998</v>
      </c>
      <c r="CD1139" t="s">
        <v>592</v>
      </c>
      <c r="CE1139" t="s">
        <v>879</v>
      </c>
      <c r="CG1139" t="s">
        <v>421</v>
      </c>
      <c r="CN1139" t="str">
        <v>MCS</v>
      </c>
      <c r="CO1139" t="str">
        <v>0070-1100029</v>
      </c>
      <c r="CP1139" t="str">
        <v>WHSU6740607</v>
      </c>
      <c r="CQ1139" s="23">
        <v>2999.9999999999995</v>
      </c>
      <c r="CR1139" s="25">
        <f t="shared" si="46"/>
        <v>0.17572133343151719</v>
      </c>
      <c r="CS1139" s="21">
        <f t="shared" si="47"/>
        <v>439.303333578793</v>
      </c>
    </row>
    <row r="1140" spans="2:97" x14ac:dyDescent="0.35">
      <c r="B1140" t="s">
        <v>296</v>
      </c>
      <c r="C1140" t="s">
        <v>3306</v>
      </c>
      <c r="D1140" t="s">
        <v>395</v>
      </c>
      <c r="E1140" t="s">
        <v>395</v>
      </c>
      <c r="F1140" t="s">
        <v>396</v>
      </c>
      <c r="G1140" t="s">
        <v>397</v>
      </c>
      <c r="H1140" t="s">
        <v>398</v>
      </c>
      <c r="I1140" t="s">
        <v>399</v>
      </c>
      <c r="J1140" t="s">
        <v>749</v>
      </c>
      <c r="K1140" t="s">
        <v>629</v>
      </c>
      <c r="L1140" t="s">
        <v>787</v>
      </c>
      <c r="M1140" t="s">
        <v>403</v>
      </c>
      <c r="N1140">
        <v>1</v>
      </c>
      <c r="O1140">
        <v>3</v>
      </c>
      <c r="P1140" t="s">
        <v>881</v>
      </c>
      <c r="Q1140" t="s">
        <v>645</v>
      </c>
      <c r="R1140" t="s">
        <v>882</v>
      </c>
      <c r="S1140" t="s">
        <v>883</v>
      </c>
      <c r="T1140" t="s">
        <v>408</v>
      </c>
      <c r="U1140">
        <v>50950079723</v>
      </c>
      <c r="W1140">
        <v>6600</v>
      </c>
      <c r="X1140" t="s">
        <v>409</v>
      </c>
      <c r="Y1140" t="s">
        <v>410</v>
      </c>
      <c r="Z1140" t="s">
        <v>410</v>
      </c>
      <c r="AA1140" t="s">
        <v>411</v>
      </c>
      <c r="AB1140" t="s">
        <v>769</v>
      </c>
      <c r="AC1140" t="s">
        <v>411</v>
      </c>
      <c r="AD1140">
        <v>46118</v>
      </c>
      <c r="AE1140">
        <v>46209</v>
      </c>
      <c r="AF1140">
        <v>46130</v>
      </c>
      <c r="AG1140" t="s">
        <v>754</v>
      </c>
      <c r="AH1140">
        <v>6191893</v>
      </c>
      <c r="AI1140">
        <v>46126</v>
      </c>
      <c r="AJ1140">
        <v>46127</v>
      </c>
      <c r="AK1140">
        <v>6600</v>
      </c>
      <c r="AL1140" t="s">
        <v>396</v>
      </c>
      <c r="AM1140" t="s">
        <v>3367</v>
      </c>
      <c r="AN1140">
        <v>46127</v>
      </c>
      <c r="AO1140">
        <v>46127.389062499999</v>
      </c>
      <c r="AP1140" t="s">
        <v>51</v>
      </c>
      <c r="AQ1140">
        <v>0.20003000000000001</v>
      </c>
      <c r="AR1140">
        <v>1320.2</v>
      </c>
      <c r="AS1140" t="s">
        <v>51</v>
      </c>
      <c r="AT1140">
        <v>1320.2</v>
      </c>
      <c r="AU1140" t="s">
        <v>415</v>
      </c>
      <c r="AV1140" t="s">
        <v>416</v>
      </c>
      <c r="AW1140" t="s">
        <v>3295</v>
      </c>
      <c r="AX1140">
        <v>46131</v>
      </c>
      <c r="AY1140">
        <v>46180</v>
      </c>
      <c r="AZ1140" t="s">
        <v>3360</v>
      </c>
      <c r="BA1140" t="s">
        <v>560</v>
      </c>
      <c r="BB1140" t="s">
        <v>3361</v>
      </c>
      <c r="BC1140">
        <v>264</v>
      </c>
      <c r="BD1140" t="s">
        <v>521</v>
      </c>
      <c r="BE1140">
        <v>5.2203999999999997</v>
      </c>
      <c r="BF1140">
        <v>3.8304</v>
      </c>
      <c r="BG1140" t="s">
        <v>522</v>
      </c>
      <c r="BH1140">
        <v>595</v>
      </c>
      <c r="BI1140">
        <v>395</v>
      </c>
      <c r="BJ1140">
        <v>175</v>
      </c>
      <c r="BK1140">
        <v>25</v>
      </c>
      <c r="BL1140" t="s">
        <v>521</v>
      </c>
      <c r="BM1140">
        <v>157.5094</v>
      </c>
      <c r="BN1140">
        <v>95.759399999999999</v>
      </c>
      <c r="BO1140">
        <v>157.5094</v>
      </c>
      <c r="BP1140" t="s">
        <v>522</v>
      </c>
      <c r="BQ1140">
        <v>1200</v>
      </c>
      <c r="BR1140">
        <v>1000</v>
      </c>
      <c r="BS1140">
        <v>1035</v>
      </c>
      <c r="BT1140">
        <v>1</v>
      </c>
      <c r="BU1140">
        <v>0</v>
      </c>
      <c r="BV1140">
        <v>1</v>
      </c>
      <c r="BW1140">
        <v>25</v>
      </c>
      <c r="BX1140">
        <v>0</v>
      </c>
      <c r="BY1140">
        <v>25</v>
      </c>
      <c r="BZ1140">
        <v>6600</v>
      </c>
      <c r="CA1140">
        <v>0</v>
      </c>
      <c r="CB1140">
        <v>6600</v>
      </c>
      <c r="CC1140">
        <v>95.759399999999999</v>
      </c>
      <c r="CD1140" t="s">
        <v>885</v>
      </c>
      <c r="CE1140" t="s">
        <v>886</v>
      </c>
      <c r="CG1140" t="s">
        <v>421</v>
      </c>
      <c r="CN1140" t="str">
        <v>MCS</v>
      </c>
      <c r="CO1140" t="str">
        <v>0070-1100018</v>
      </c>
      <c r="CP1140" t="str">
        <v>WHSU6740607</v>
      </c>
      <c r="CQ1140" s="23">
        <v>500.00154586743258</v>
      </c>
      <c r="CR1140" s="25">
        <f t="shared" si="46"/>
        <v>2.9286979452548389E-2</v>
      </c>
      <c r="CS1140" s="21">
        <f t="shared" si="47"/>
        <v>73.217448631370971</v>
      </c>
    </row>
    <row r="1141" spans="2:97" x14ac:dyDescent="0.35">
      <c r="B1141" t="s">
        <v>296</v>
      </c>
      <c r="C1141" t="s">
        <v>3368</v>
      </c>
      <c r="D1141" t="s">
        <v>395</v>
      </c>
      <c r="E1141" t="s">
        <v>395</v>
      </c>
      <c r="F1141" t="s">
        <v>396</v>
      </c>
      <c r="G1141" t="s">
        <v>397</v>
      </c>
      <c r="H1141" t="s">
        <v>398</v>
      </c>
      <c r="I1141" t="s">
        <v>399</v>
      </c>
      <c r="J1141" t="s">
        <v>749</v>
      </c>
      <c r="K1141" t="s">
        <v>629</v>
      </c>
      <c r="L1141" t="s">
        <v>787</v>
      </c>
      <c r="M1141" t="s">
        <v>403</v>
      </c>
      <c r="N1141">
        <v>1</v>
      </c>
      <c r="O1141">
        <v>1</v>
      </c>
      <c r="P1141" t="s">
        <v>802</v>
      </c>
      <c r="Q1141" t="s">
        <v>405</v>
      </c>
      <c r="R1141" t="s">
        <v>803</v>
      </c>
      <c r="S1141" t="s">
        <v>804</v>
      </c>
      <c r="T1141" t="s">
        <v>408</v>
      </c>
      <c r="U1141">
        <v>50950080000</v>
      </c>
      <c r="W1141">
        <v>48960</v>
      </c>
      <c r="X1141" t="s">
        <v>409</v>
      </c>
      <c r="Y1141" t="s">
        <v>410</v>
      </c>
      <c r="Z1141" t="s">
        <v>410</v>
      </c>
      <c r="AA1141" t="s">
        <v>411</v>
      </c>
      <c r="AB1141" t="s">
        <v>769</v>
      </c>
      <c r="AC1141" t="s">
        <v>411</v>
      </c>
      <c r="AD1141">
        <v>46125</v>
      </c>
      <c r="AE1141">
        <v>46174</v>
      </c>
      <c r="AF1141">
        <v>46130</v>
      </c>
      <c r="AG1141" t="s">
        <v>754</v>
      </c>
      <c r="AH1141">
        <v>6191894</v>
      </c>
      <c r="AI1141">
        <v>46126</v>
      </c>
      <c r="AJ1141">
        <v>46127</v>
      </c>
      <c r="AK1141">
        <v>48960</v>
      </c>
      <c r="AL1141" t="s">
        <v>396</v>
      </c>
      <c r="AM1141" t="s">
        <v>3369</v>
      </c>
      <c r="AN1141">
        <v>46127</v>
      </c>
      <c r="AO1141">
        <v>46127.389062499999</v>
      </c>
      <c r="AP1141" t="s">
        <v>51</v>
      </c>
      <c r="AQ1141">
        <v>0.31907000000000002</v>
      </c>
      <c r="AR1141">
        <v>15621.67</v>
      </c>
      <c r="AS1141" t="s">
        <v>51</v>
      </c>
      <c r="AT1141">
        <v>15621.67</v>
      </c>
      <c r="AU1141" t="s">
        <v>415</v>
      </c>
      <c r="AV1141" t="s">
        <v>416</v>
      </c>
      <c r="AW1141" t="s">
        <v>3295</v>
      </c>
      <c r="AX1141">
        <v>46131</v>
      </c>
      <c r="AY1141">
        <v>46180</v>
      </c>
      <c r="AZ1141" t="s">
        <v>3360</v>
      </c>
      <c r="BA1141" t="s">
        <v>560</v>
      </c>
      <c r="BB1141" t="s">
        <v>3361</v>
      </c>
      <c r="BC1141">
        <v>288</v>
      </c>
      <c r="BD1141" t="s">
        <v>521</v>
      </c>
      <c r="BE1141">
        <v>13.2311</v>
      </c>
      <c r="BF1141">
        <v>11.8161</v>
      </c>
      <c r="BG1141" t="s">
        <v>522</v>
      </c>
      <c r="BH1141">
        <v>395</v>
      </c>
      <c r="BI1141">
        <v>295</v>
      </c>
      <c r="BJ1141">
        <v>160</v>
      </c>
      <c r="BK1141">
        <v>60</v>
      </c>
      <c r="BL1141" t="s">
        <v>521</v>
      </c>
      <c r="BM1141">
        <v>820.86599999999999</v>
      </c>
      <c r="BN1141">
        <v>708.96600000000001</v>
      </c>
      <c r="BO1141">
        <v>2330.2808799999998</v>
      </c>
      <c r="BP1141" t="s">
        <v>522</v>
      </c>
      <c r="BQ1141">
        <v>1200</v>
      </c>
      <c r="BR1141">
        <v>1000</v>
      </c>
      <c r="BS1141">
        <v>1120</v>
      </c>
      <c r="BT1141">
        <v>2</v>
      </c>
      <c r="BU1141">
        <v>1</v>
      </c>
      <c r="BV1141">
        <v>3</v>
      </c>
      <c r="BW1141">
        <v>170</v>
      </c>
      <c r="BX1141">
        <v>0</v>
      </c>
      <c r="BY1141">
        <v>170</v>
      </c>
      <c r="BZ1141">
        <v>34560</v>
      </c>
      <c r="CA1141">
        <v>14400</v>
      </c>
      <c r="CB1141">
        <v>48960</v>
      </c>
      <c r="CC1141">
        <v>2008.7308800000001</v>
      </c>
      <c r="CD1141" t="s">
        <v>806</v>
      </c>
      <c r="CE1141" t="s">
        <v>807</v>
      </c>
      <c r="CG1141" t="s">
        <v>421</v>
      </c>
      <c r="CN1141" t="str">
        <v>M45</v>
      </c>
      <c r="CO1141" t="str">
        <v>1406-12B0001EN</v>
      </c>
      <c r="CP1141" t="str">
        <v>WHSU6740607</v>
      </c>
      <c r="CQ1141" s="23">
        <v>50</v>
      </c>
      <c r="CR1141" s="25">
        <f t="shared" si="46"/>
        <v>2.9286888905252868E-3</v>
      </c>
      <c r="CS1141" s="21">
        <f t="shared" si="47"/>
        <v>7.3217222263132173</v>
      </c>
    </row>
    <row r="1142" spans="2:97" x14ac:dyDescent="0.35">
      <c r="B1142" t="s">
        <v>296</v>
      </c>
      <c r="C1142" t="s">
        <v>3370</v>
      </c>
      <c r="D1142" t="s">
        <v>395</v>
      </c>
      <c r="E1142" t="s">
        <v>395</v>
      </c>
      <c r="F1142" t="s">
        <v>396</v>
      </c>
      <c r="G1142" t="s">
        <v>397</v>
      </c>
      <c r="H1142" t="s">
        <v>398</v>
      </c>
      <c r="I1142" t="s">
        <v>399</v>
      </c>
      <c r="J1142" t="s">
        <v>749</v>
      </c>
      <c r="K1142" t="s">
        <v>629</v>
      </c>
      <c r="L1142" t="s">
        <v>787</v>
      </c>
      <c r="M1142" t="s">
        <v>403</v>
      </c>
      <c r="N1142">
        <v>1</v>
      </c>
      <c r="O1142">
        <v>1</v>
      </c>
      <c r="P1142" t="s">
        <v>881</v>
      </c>
      <c r="Q1142" t="s">
        <v>645</v>
      </c>
      <c r="R1142" t="s">
        <v>882</v>
      </c>
      <c r="S1142" t="s">
        <v>883</v>
      </c>
      <c r="T1142" t="s">
        <v>408</v>
      </c>
      <c r="U1142">
        <v>50950080026</v>
      </c>
      <c r="W1142">
        <v>6600</v>
      </c>
      <c r="X1142" t="s">
        <v>409</v>
      </c>
      <c r="Y1142" t="s">
        <v>410</v>
      </c>
      <c r="Z1142" t="s">
        <v>410</v>
      </c>
      <c r="AA1142" t="s">
        <v>411</v>
      </c>
      <c r="AB1142" t="s">
        <v>769</v>
      </c>
      <c r="AC1142" t="s">
        <v>411</v>
      </c>
      <c r="AD1142">
        <v>46125</v>
      </c>
      <c r="AE1142">
        <v>46230</v>
      </c>
      <c r="AF1142">
        <v>46130</v>
      </c>
      <c r="AG1142" t="s">
        <v>754</v>
      </c>
      <c r="AH1142">
        <v>6191895</v>
      </c>
      <c r="AI1142">
        <v>46126</v>
      </c>
      <c r="AJ1142">
        <v>46127</v>
      </c>
      <c r="AK1142">
        <v>6600</v>
      </c>
      <c r="AL1142" t="s">
        <v>396</v>
      </c>
      <c r="AM1142" t="s">
        <v>3371</v>
      </c>
      <c r="AN1142">
        <v>46127</v>
      </c>
      <c r="AO1142">
        <v>46127.389062499999</v>
      </c>
      <c r="AP1142" t="s">
        <v>51</v>
      </c>
      <c r="AQ1142">
        <v>0.20003000000000001</v>
      </c>
      <c r="AR1142">
        <v>1320.2</v>
      </c>
      <c r="AS1142" t="s">
        <v>51</v>
      </c>
      <c r="AT1142">
        <v>1320.2</v>
      </c>
      <c r="AU1142" t="s">
        <v>415</v>
      </c>
      <c r="AV1142" t="s">
        <v>416</v>
      </c>
      <c r="AW1142" t="s">
        <v>3295</v>
      </c>
      <c r="AX1142">
        <v>46131</v>
      </c>
      <c r="AY1142">
        <v>46180</v>
      </c>
      <c r="AZ1142" t="s">
        <v>3360</v>
      </c>
      <c r="BA1142" t="s">
        <v>560</v>
      </c>
      <c r="BB1142" t="s">
        <v>3361</v>
      </c>
      <c r="BC1142">
        <v>264</v>
      </c>
      <c r="BD1142" t="s">
        <v>521</v>
      </c>
      <c r="BE1142">
        <v>5.2203999999999997</v>
      </c>
      <c r="BF1142">
        <v>3.8304</v>
      </c>
      <c r="BG1142" t="s">
        <v>522</v>
      </c>
      <c r="BH1142">
        <v>595</v>
      </c>
      <c r="BI1142">
        <v>395</v>
      </c>
      <c r="BJ1142">
        <v>175</v>
      </c>
      <c r="BK1142">
        <v>25</v>
      </c>
      <c r="BL1142" t="s">
        <v>521</v>
      </c>
      <c r="BM1142">
        <v>157.5094</v>
      </c>
      <c r="BN1142">
        <v>95.759399999999999</v>
      </c>
      <c r="BO1142">
        <v>157.5094</v>
      </c>
      <c r="BP1142" t="s">
        <v>522</v>
      </c>
      <c r="BQ1142">
        <v>1200</v>
      </c>
      <c r="BR1142">
        <v>1000</v>
      </c>
      <c r="BS1142">
        <v>1035</v>
      </c>
      <c r="BT1142">
        <v>1</v>
      </c>
      <c r="BU1142">
        <v>0</v>
      </c>
      <c r="BV1142">
        <v>1</v>
      </c>
      <c r="BW1142">
        <v>25</v>
      </c>
      <c r="BX1142">
        <v>0</v>
      </c>
      <c r="BY1142">
        <v>25</v>
      </c>
      <c r="BZ1142">
        <v>6600</v>
      </c>
      <c r="CA1142">
        <v>0</v>
      </c>
      <c r="CB1142">
        <v>6600</v>
      </c>
      <c r="CC1142">
        <v>95.759399999999999</v>
      </c>
      <c r="CD1142" t="s">
        <v>885</v>
      </c>
      <c r="CE1142" t="s">
        <v>886</v>
      </c>
      <c r="CG1142" t="s">
        <v>421</v>
      </c>
      <c r="CN1142" t="str">
        <v>M45</v>
      </c>
      <c r="CO1142" t="str">
        <v>0060-G680340EN</v>
      </c>
      <c r="CP1142" t="str">
        <v>WHSU6740607</v>
      </c>
      <c r="CQ1142" s="23">
        <v>2033.4094210417099</v>
      </c>
      <c r="CR1142" s="25">
        <f t="shared" si="46"/>
        <v>0.11910447162588624</v>
      </c>
      <c r="CS1142" s="21">
        <f t="shared" si="47"/>
        <v>297.76117906471558</v>
      </c>
    </row>
    <row r="1143" spans="2:97" x14ac:dyDescent="0.35">
      <c r="B1143" t="s">
        <v>299</v>
      </c>
      <c r="C1143" t="s">
        <v>3308</v>
      </c>
      <c r="D1143" t="s">
        <v>965</v>
      </c>
      <c r="E1143" t="s">
        <v>395</v>
      </c>
      <c r="F1143" t="s">
        <v>396</v>
      </c>
      <c r="G1143" t="s">
        <v>397</v>
      </c>
      <c r="H1143" t="s">
        <v>398</v>
      </c>
      <c r="I1143" t="s">
        <v>399</v>
      </c>
      <c r="J1143" t="s">
        <v>749</v>
      </c>
      <c r="K1143" t="s">
        <v>809</v>
      </c>
      <c r="L1143" t="s">
        <v>787</v>
      </c>
      <c r="M1143" t="s">
        <v>403</v>
      </c>
      <c r="N1143">
        <v>1</v>
      </c>
      <c r="O1143">
        <v>3</v>
      </c>
      <c r="P1143" t="s">
        <v>810</v>
      </c>
      <c r="Q1143" t="s">
        <v>405</v>
      </c>
      <c r="R1143" t="s">
        <v>811</v>
      </c>
      <c r="S1143" t="s">
        <v>812</v>
      </c>
      <c r="T1143" t="s">
        <v>408</v>
      </c>
      <c r="U1143">
        <v>50950080295</v>
      </c>
      <c r="W1143">
        <v>3360</v>
      </c>
      <c r="X1143" t="s">
        <v>409</v>
      </c>
      <c r="Y1143" t="s">
        <v>410</v>
      </c>
      <c r="Z1143" t="s">
        <v>410</v>
      </c>
      <c r="AA1143" t="s">
        <v>411</v>
      </c>
      <c r="AB1143" t="s">
        <v>769</v>
      </c>
      <c r="AC1143" t="s">
        <v>411</v>
      </c>
      <c r="AD1143">
        <v>46123</v>
      </c>
      <c r="AE1143">
        <v>46132</v>
      </c>
      <c r="AF1143">
        <v>46130</v>
      </c>
      <c r="AG1143" t="s">
        <v>754</v>
      </c>
      <c r="AH1143">
        <v>6191896</v>
      </c>
      <c r="AI1143">
        <v>46126</v>
      </c>
      <c r="AJ1143">
        <v>46127</v>
      </c>
      <c r="AK1143">
        <v>3360</v>
      </c>
      <c r="AL1143" t="s">
        <v>396</v>
      </c>
      <c r="AM1143" t="s">
        <v>3372</v>
      </c>
      <c r="AN1143">
        <v>46127</v>
      </c>
      <c r="AO1143">
        <v>46127.389062499999</v>
      </c>
      <c r="AP1143" t="s">
        <v>51</v>
      </c>
      <c r="AQ1143">
        <v>2.0436299999999998</v>
      </c>
      <c r="AR1143">
        <v>6866.58</v>
      </c>
      <c r="AS1143" t="s">
        <v>51</v>
      </c>
      <c r="AT1143">
        <v>6866.58</v>
      </c>
      <c r="AU1143" t="s">
        <v>415</v>
      </c>
      <c r="AV1143" t="s">
        <v>416</v>
      </c>
      <c r="AW1143" t="s">
        <v>3295</v>
      </c>
      <c r="AX1143">
        <v>46131</v>
      </c>
      <c r="AY1143">
        <v>46180</v>
      </c>
      <c r="AZ1143" t="s">
        <v>3360</v>
      </c>
      <c r="BA1143" t="s">
        <v>560</v>
      </c>
      <c r="BB1143" t="s">
        <v>3361</v>
      </c>
      <c r="BC1143">
        <v>16</v>
      </c>
      <c r="BD1143" t="s">
        <v>521</v>
      </c>
      <c r="BE1143">
        <v>4.9545000000000003</v>
      </c>
      <c r="BF1143">
        <v>3.7555000000000001</v>
      </c>
      <c r="BG1143" t="s">
        <v>522</v>
      </c>
      <c r="BH1143">
        <v>495</v>
      </c>
      <c r="BI1143">
        <v>395</v>
      </c>
      <c r="BJ1143">
        <v>190</v>
      </c>
      <c r="BK1143">
        <v>30</v>
      </c>
      <c r="BL1143" t="s">
        <v>521</v>
      </c>
      <c r="BM1143">
        <v>175.63499999999999</v>
      </c>
      <c r="BN1143">
        <v>112.66500000000001</v>
      </c>
      <c r="BO1143">
        <v>1229.4492</v>
      </c>
      <c r="BP1143" t="s">
        <v>522</v>
      </c>
      <c r="BQ1143">
        <v>1200</v>
      </c>
      <c r="BR1143">
        <v>1000</v>
      </c>
      <c r="BS1143">
        <v>1120</v>
      </c>
      <c r="BT1143">
        <v>7</v>
      </c>
      <c r="BU1143">
        <v>0</v>
      </c>
      <c r="BV1143">
        <v>7</v>
      </c>
      <c r="BW1143">
        <v>210</v>
      </c>
      <c r="BX1143">
        <v>0</v>
      </c>
      <c r="BY1143">
        <v>210</v>
      </c>
      <c r="BZ1143">
        <v>3360</v>
      </c>
      <c r="CA1143">
        <v>0</v>
      </c>
      <c r="CB1143">
        <v>3360</v>
      </c>
      <c r="CC1143">
        <v>788.65920000000006</v>
      </c>
      <c r="CD1143" t="s">
        <v>806</v>
      </c>
      <c r="CE1143" t="s">
        <v>816</v>
      </c>
      <c r="CG1143" t="s">
        <v>421</v>
      </c>
      <c r="CN1143" t="str">
        <v>M45</v>
      </c>
      <c r="CO1143" t="str">
        <v>0062-G070080EN</v>
      </c>
      <c r="CP1143" t="str">
        <v>WHSU6740607</v>
      </c>
      <c r="CQ1143" s="23">
        <v>19.999964787581469</v>
      </c>
      <c r="CR1143" s="25">
        <f t="shared" si="46"/>
        <v>1.1714734936857357E-3</v>
      </c>
      <c r="CS1143" s="21">
        <f t="shared" si="47"/>
        <v>2.928683734214339</v>
      </c>
    </row>
    <row r="1144" spans="2:97" x14ac:dyDescent="0.35">
      <c r="B1144" t="s">
        <v>297</v>
      </c>
      <c r="C1144" t="s">
        <v>3373</v>
      </c>
      <c r="D1144" t="s">
        <v>395</v>
      </c>
      <c r="E1144" t="s">
        <v>395</v>
      </c>
      <c r="F1144" t="s">
        <v>396</v>
      </c>
      <c r="G1144" t="s">
        <v>397</v>
      </c>
      <c r="H1144" t="s">
        <v>398</v>
      </c>
      <c r="I1144" t="s">
        <v>399</v>
      </c>
      <c r="J1144" t="s">
        <v>749</v>
      </c>
      <c r="K1144" t="s">
        <v>845</v>
      </c>
      <c r="L1144" t="s">
        <v>787</v>
      </c>
      <c r="M1144" t="s">
        <v>403</v>
      </c>
      <c r="N1144">
        <v>1</v>
      </c>
      <c r="O1144">
        <v>1</v>
      </c>
      <c r="P1144" t="s">
        <v>1030</v>
      </c>
      <c r="Q1144" t="s">
        <v>424</v>
      </c>
      <c r="R1144" t="s">
        <v>1031</v>
      </c>
      <c r="S1144" t="s">
        <v>1032</v>
      </c>
      <c r="T1144" t="s">
        <v>408</v>
      </c>
      <c r="U1144">
        <v>50950081742</v>
      </c>
      <c r="W1144">
        <v>40000</v>
      </c>
      <c r="X1144" t="s">
        <v>409</v>
      </c>
      <c r="Y1144" t="s">
        <v>410</v>
      </c>
      <c r="Z1144" t="s">
        <v>410</v>
      </c>
      <c r="AA1144" t="s">
        <v>411</v>
      </c>
      <c r="AB1144" t="s">
        <v>769</v>
      </c>
      <c r="AC1144" t="s">
        <v>411</v>
      </c>
      <c r="AD1144">
        <v>46123</v>
      </c>
      <c r="AE1144">
        <v>46181</v>
      </c>
      <c r="AF1144">
        <v>46130</v>
      </c>
      <c r="AG1144" t="s">
        <v>754</v>
      </c>
      <c r="AH1144">
        <v>6191897</v>
      </c>
      <c r="AI1144">
        <v>46126</v>
      </c>
      <c r="AJ1144">
        <v>46127</v>
      </c>
      <c r="AK1144">
        <v>40000</v>
      </c>
      <c r="AL1144" t="s">
        <v>396</v>
      </c>
      <c r="AM1144" t="s">
        <v>3374</v>
      </c>
      <c r="AN1144">
        <v>46127</v>
      </c>
      <c r="AO1144">
        <v>46127.389062499999</v>
      </c>
      <c r="AP1144" t="s">
        <v>51</v>
      </c>
      <c r="AQ1144">
        <v>3.5709999999999999E-2</v>
      </c>
      <c r="AR1144">
        <v>1428.4</v>
      </c>
      <c r="AS1144" t="s">
        <v>51</v>
      </c>
      <c r="AT1144">
        <v>1428.4</v>
      </c>
      <c r="AU1144" t="s">
        <v>415</v>
      </c>
      <c r="AV1144" t="s">
        <v>416</v>
      </c>
      <c r="AW1144" t="s">
        <v>3295</v>
      </c>
      <c r="AX1144">
        <v>46131</v>
      </c>
      <c r="AY1144">
        <v>46180</v>
      </c>
      <c r="AZ1144" t="s">
        <v>3360</v>
      </c>
      <c r="BA1144" t="s">
        <v>560</v>
      </c>
      <c r="BB1144" t="s">
        <v>3361</v>
      </c>
      <c r="BC1144">
        <v>500</v>
      </c>
      <c r="BD1144" t="s">
        <v>521</v>
      </c>
      <c r="BE1144">
        <v>8.3230000000000004</v>
      </c>
      <c r="BF1144">
        <v>7.4</v>
      </c>
      <c r="BG1144" t="s">
        <v>522</v>
      </c>
      <c r="BH1144">
        <v>395</v>
      </c>
      <c r="BI1144">
        <v>295</v>
      </c>
      <c r="BJ1144">
        <v>220</v>
      </c>
      <c r="BK1144">
        <v>40</v>
      </c>
      <c r="BL1144" t="s">
        <v>521</v>
      </c>
      <c r="BM1144">
        <v>359.92</v>
      </c>
      <c r="BN1144">
        <v>296</v>
      </c>
      <c r="BO1144">
        <v>719.84</v>
      </c>
      <c r="BP1144" t="s">
        <v>522</v>
      </c>
      <c r="BQ1144">
        <v>1200</v>
      </c>
      <c r="BR1144">
        <v>1000</v>
      </c>
      <c r="BS1144">
        <v>1053</v>
      </c>
      <c r="BT1144">
        <v>2</v>
      </c>
      <c r="BU1144">
        <v>0</v>
      </c>
      <c r="BV1144">
        <v>2</v>
      </c>
      <c r="BW1144">
        <v>80</v>
      </c>
      <c r="BX1144">
        <v>0</v>
      </c>
      <c r="BY1144">
        <v>80</v>
      </c>
      <c r="BZ1144">
        <v>40000</v>
      </c>
      <c r="CA1144">
        <v>0</v>
      </c>
      <c r="CB1144">
        <v>40000</v>
      </c>
      <c r="CC1144">
        <v>592</v>
      </c>
      <c r="CD1144" t="s">
        <v>856</v>
      </c>
      <c r="CE1144" t="s">
        <v>1034</v>
      </c>
      <c r="CG1144" t="s">
        <v>421</v>
      </c>
      <c r="CN1144" t="str">
        <v>M45</v>
      </c>
      <c r="CO1144" t="str">
        <v>1318-11A0060EN</v>
      </c>
      <c r="CP1144" t="str">
        <v>WHSU6740607</v>
      </c>
      <c r="CQ1144" s="23">
        <v>50</v>
      </c>
      <c r="CR1144" s="25">
        <f t="shared" si="46"/>
        <v>2.9286888905252868E-3</v>
      </c>
      <c r="CS1144" s="21">
        <f t="shared" si="47"/>
        <v>7.3217222263132173</v>
      </c>
    </row>
    <row r="1145" spans="2:97" x14ac:dyDescent="0.35">
      <c r="B1145" t="s">
        <v>296</v>
      </c>
      <c r="C1145" t="s">
        <v>3375</v>
      </c>
      <c r="D1145" t="s">
        <v>395</v>
      </c>
      <c r="E1145" t="s">
        <v>395</v>
      </c>
      <c r="F1145" t="s">
        <v>396</v>
      </c>
      <c r="G1145" t="s">
        <v>397</v>
      </c>
      <c r="H1145" t="s">
        <v>398</v>
      </c>
      <c r="I1145" t="s">
        <v>399</v>
      </c>
      <c r="J1145" t="s">
        <v>749</v>
      </c>
      <c r="K1145" t="s">
        <v>629</v>
      </c>
      <c r="L1145" t="s">
        <v>787</v>
      </c>
      <c r="M1145" t="s">
        <v>403</v>
      </c>
      <c r="N1145">
        <v>1</v>
      </c>
      <c r="O1145">
        <v>1</v>
      </c>
      <c r="P1145" t="s">
        <v>3376</v>
      </c>
      <c r="Q1145" t="s">
        <v>424</v>
      </c>
      <c r="R1145" t="s">
        <v>839</v>
      </c>
      <c r="S1145" t="s">
        <v>840</v>
      </c>
      <c r="T1145" t="s">
        <v>408</v>
      </c>
      <c r="U1145">
        <v>50950081882</v>
      </c>
      <c r="W1145">
        <v>48000</v>
      </c>
      <c r="X1145" t="s">
        <v>409</v>
      </c>
      <c r="Y1145" t="s">
        <v>410</v>
      </c>
      <c r="Z1145" t="s">
        <v>410</v>
      </c>
      <c r="AA1145" t="s">
        <v>411</v>
      </c>
      <c r="AB1145" t="s">
        <v>769</v>
      </c>
      <c r="AC1145" t="s">
        <v>411</v>
      </c>
      <c r="AD1145">
        <v>46130</v>
      </c>
      <c r="AE1145">
        <v>46188</v>
      </c>
      <c r="AF1145">
        <v>46130</v>
      </c>
      <c r="AG1145" t="s">
        <v>754</v>
      </c>
      <c r="AH1145">
        <v>6191898</v>
      </c>
      <c r="AI1145">
        <v>46126</v>
      </c>
      <c r="AJ1145">
        <v>46127</v>
      </c>
      <c r="AK1145">
        <v>48000</v>
      </c>
      <c r="AL1145" t="s">
        <v>396</v>
      </c>
      <c r="AM1145" t="s">
        <v>3377</v>
      </c>
      <c r="AN1145">
        <v>46127</v>
      </c>
      <c r="AO1145">
        <v>46127.389062499999</v>
      </c>
      <c r="AP1145" t="s">
        <v>51</v>
      </c>
      <c r="AQ1145">
        <v>3.2689999999999997E-2</v>
      </c>
      <c r="AR1145">
        <v>1569.12</v>
      </c>
      <c r="AS1145" t="s">
        <v>51</v>
      </c>
      <c r="AT1145">
        <v>1569.12</v>
      </c>
      <c r="AU1145" t="s">
        <v>415</v>
      </c>
      <c r="AV1145" t="s">
        <v>416</v>
      </c>
      <c r="AW1145" t="s">
        <v>3295</v>
      </c>
      <c r="AX1145">
        <v>46131</v>
      </c>
      <c r="AY1145">
        <v>46180</v>
      </c>
      <c r="AZ1145" t="s">
        <v>3360</v>
      </c>
      <c r="BA1145" t="s">
        <v>560</v>
      </c>
      <c r="BB1145" t="s">
        <v>3361</v>
      </c>
      <c r="BC1145">
        <v>2000</v>
      </c>
      <c r="BD1145" t="s">
        <v>521</v>
      </c>
      <c r="BE1145">
        <v>7.3259999999999996</v>
      </c>
      <c r="BF1145">
        <v>5.7960000000000003</v>
      </c>
      <c r="BG1145" t="s">
        <v>522</v>
      </c>
      <c r="BH1145">
        <v>595</v>
      </c>
      <c r="BI1145">
        <v>495</v>
      </c>
      <c r="BJ1145">
        <v>310</v>
      </c>
      <c r="BK1145">
        <v>12</v>
      </c>
      <c r="BL1145" t="s">
        <v>521</v>
      </c>
      <c r="BM1145">
        <v>114.91200000000001</v>
      </c>
      <c r="BN1145">
        <v>69.552000000000007</v>
      </c>
      <c r="BO1145">
        <v>229.82400000000001</v>
      </c>
      <c r="BP1145" t="s">
        <v>522</v>
      </c>
      <c r="BQ1145">
        <v>1200</v>
      </c>
      <c r="BR1145">
        <v>1000</v>
      </c>
      <c r="BS1145">
        <v>1088</v>
      </c>
      <c r="BT1145">
        <v>2</v>
      </c>
      <c r="BU1145">
        <v>0</v>
      </c>
      <c r="BV1145">
        <v>2</v>
      </c>
      <c r="BW1145">
        <v>24</v>
      </c>
      <c r="BX1145">
        <v>0</v>
      </c>
      <c r="BY1145">
        <v>24</v>
      </c>
      <c r="BZ1145">
        <v>48000</v>
      </c>
      <c r="CA1145">
        <v>0</v>
      </c>
      <c r="CB1145">
        <v>48000</v>
      </c>
      <c r="CC1145">
        <v>139.10400000000001</v>
      </c>
      <c r="CD1145" t="s">
        <v>842</v>
      </c>
      <c r="CE1145" t="s">
        <v>843</v>
      </c>
      <c r="CG1145" t="s">
        <v>421</v>
      </c>
      <c r="CN1145" t="str">
        <v>M45</v>
      </c>
      <c r="CO1145" t="str">
        <v>1318-12B0009EN</v>
      </c>
      <c r="CP1145" t="str">
        <v>WHSU6740607</v>
      </c>
      <c r="CQ1145" s="23">
        <v>50</v>
      </c>
      <c r="CR1145" s="25">
        <f t="shared" si="46"/>
        <v>2.9286888905252868E-3</v>
      </c>
      <c r="CS1145" s="21">
        <f t="shared" si="47"/>
        <v>7.3217222263132173</v>
      </c>
    </row>
    <row r="1146" spans="2:97" x14ac:dyDescent="0.35">
      <c r="B1146" t="s">
        <v>296</v>
      </c>
      <c r="C1146" t="s">
        <v>3378</v>
      </c>
      <c r="D1146" t="s">
        <v>395</v>
      </c>
      <c r="E1146" t="s">
        <v>395</v>
      </c>
      <c r="F1146" t="s">
        <v>396</v>
      </c>
      <c r="G1146" t="s">
        <v>397</v>
      </c>
      <c r="H1146" t="s">
        <v>398</v>
      </c>
      <c r="I1146" t="s">
        <v>399</v>
      </c>
      <c r="J1146" t="s">
        <v>749</v>
      </c>
      <c r="K1146" t="s">
        <v>629</v>
      </c>
      <c r="L1146" t="s">
        <v>787</v>
      </c>
      <c r="M1146" t="s">
        <v>403</v>
      </c>
      <c r="N1146">
        <v>1</v>
      </c>
      <c r="O1146">
        <v>1</v>
      </c>
      <c r="P1146" t="s">
        <v>911</v>
      </c>
      <c r="Q1146" t="s">
        <v>424</v>
      </c>
      <c r="R1146" t="s">
        <v>912</v>
      </c>
      <c r="S1146" t="s">
        <v>913</v>
      </c>
      <c r="T1146" t="s">
        <v>408</v>
      </c>
      <c r="U1146">
        <v>50950081869</v>
      </c>
      <c r="W1146">
        <v>60000</v>
      </c>
      <c r="X1146" t="s">
        <v>409</v>
      </c>
      <c r="Y1146" t="s">
        <v>410</v>
      </c>
      <c r="Z1146" t="s">
        <v>410</v>
      </c>
      <c r="AA1146" t="s">
        <v>411</v>
      </c>
      <c r="AB1146" t="s">
        <v>769</v>
      </c>
      <c r="AC1146" t="s">
        <v>411</v>
      </c>
      <c r="AD1146">
        <v>46130</v>
      </c>
      <c r="AE1146">
        <v>46188</v>
      </c>
      <c r="AF1146">
        <v>46130</v>
      </c>
      <c r="AG1146" t="s">
        <v>754</v>
      </c>
      <c r="AH1146">
        <v>6191899</v>
      </c>
      <c r="AI1146">
        <v>46126</v>
      </c>
      <c r="AJ1146">
        <v>46127</v>
      </c>
      <c r="AK1146">
        <v>60000</v>
      </c>
      <c r="AL1146" t="s">
        <v>396</v>
      </c>
      <c r="AM1146" t="s">
        <v>3379</v>
      </c>
      <c r="AN1146">
        <v>46127</v>
      </c>
      <c r="AO1146">
        <v>46127.389062499999</v>
      </c>
      <c r="AP1146" t="s">
        <v>51</v>
      </c>
      <c r="AQ1146">
        <v>7.1179999999999993E-2</v>
      </c>
      <c r="AR1146">
        <v>4270.8</v>
      </c>
      <c r="AS1146" t="s">
        <v>51</v>
      </c>
      <c r="AT1146">
        <v>4270.8</v>
      </c>
      <c r="AU1146" t="s">
        <v>415</v>
      </c>
      <c r="AV1146" t="s">
        <v>416</v>
      </c>
      <c r="AW1146" t="s">
        <v>3295</v>
      </c>
      <c r="AX1146">
        <v>46131</v>
      </c>
      <c r="AY1146">
        <v>46180</v>
      </c>
      <c r="AZ1146" t="s">
        <v>3360</v>
      </c>
      <c r="BA1146" t="s">
        <v>560</v>
      </c>
      <c r="BB1146" t="s">
        <v>3361</v>
      </c>
      <c r="BC1146">
        <v>1200</v>
      </c>
      <c r="BD1146" t="s">
        <v>521</v>
      </c>
      <c r="BE1146">
        <v>7.0679999999999996</v>
      </c>
      <c r="BF1146">
        <v>6.1980000000000004</v>
      </c>
      <c r="BG1146" t="s">
        <v>522</v>
      </c>
      <c r="BH1146">
        <v>595</v>
      </c>
      <c r="BI1146">
        <v>395</v>
      </c>
      <c r="BJ1146">
        <v>190</v>
      </c>
      <c r="BK1146">
        <v>25</v>
      </c>
      <c r="BL1146" t="s">
        <v>521</v>
      </c>
      <c r="BM1146">
        <v>203.7</v>
      </c>
      <c r="BN1146">
        <v>154.94999999999999</v>
      </c>
      <c r="BO1146">
        <v>407.4</v>
      </c>
      <c r="BP1146" t="s">
        <v>522</v>
      </c>
      <c r="BQ1146">
        <v>1200</v>
      </c>
      <c r="BR1146">
        <v>1000</v>
      </c>
      <c r="BS1146">
        <v>1088</v>
      </c>
      <c r="BT1146">
        <v>2</v>
      </c>
      <c r="BU1146">
        <v>0</v>
      </c>
      <c r="BV1146">
        <v>2</v>
      </c>
      <c r="BW1146">
        <v>50</v>
      </c>
      <c r="BX1146">
        <v>0</v>
      </c>
      <c r="BY1146">
        <v>50</v>
      </c>
      <c r="BZ1146">
        <v>60000</v>
      </c>
      <c r="CA1146">
        <v>0</v>
      </c>
      <c r="CB1146">
        <v>60000</v>
      </c>
      <c r="CC1146">
        <v>309.89999999999998</v>
      </c>
      <c r="CD1146" t="s">
        <v>842</v>
      </c>
      <c r="CE1146" t="s">
        <v>898</v>
      </c>
      <c r="CG1146" t="s">
        <v>421</v>
      </c>
      <c r="CN1146" t="str">
        <v>M45</v>
      </c>
      <c r="CO1146" t="str">
        <v>1318-12B0005EN</v>
      </c>
      <c r="CP1146" t="str">
        <v>WHSU6740607</v>
      </c>
      <c r="CQ1146" s="23">
        <v>50</v>
      </c>
      <c r="CR1146" s="25">
        <f t="shared" si="46"/>
        <v>2.9286888905252868E-3</v>
      </c>
      <c r="CS1146" s="21">
        <f t="shared" si="47"/>
        <v>7.3217222263132173</v>
      </c>
    </row>
    <row r="1147" spans="2:97" x14ac:dyDescent="0.35">
      <c r="B1147" t="s">
        <v>296</v>
      </c>
      <c r="C1147" t="s">
        <v>3380</v>
      </c>
      <c r="D1147" t="s">
        <v>395</v>
      </c>
      <c r="E1147" t="s">
        <v>395</v>
      </c>
      <c r="F1147" t="s">
        <v>396</v>
      </c>
      <c r="G1147" t="s">
        <v>397</v>
      </c>
      <c r="H1147" t="s">
        <v>398</v>
      </c>
      <c r="I1147" t="s">
        <v>399</v>
      </c>
      <c r="J1147" t="s">
        <v>749</v>
      </c>
      <c r="K1147" t="s">
        <v>629</v>
      </c>
      <c r="L1147" t="s">
        <v>787</v>
      </c>
      <c r="M1147" t="s">
        <v>403</v>
      </c>
      <c r="N1147">
        <v>1</v>
      </c>
      <c r="O1147">
        <v>1</v>
      </c>
      <c r="P1147" t="s">
        <v>3381</v>
      </c>
      <c r="Q1147" t="s">
        <v>637</v>
      </c>
      <c r="R1147" t="s">
        <v>3382</v>
      </c>
      <c r="S1147" t="s">
        <v>840</v>
      </c>
      <c r="T1147" t="s">
        <v>408</v>
      </c>
      <c r="U1147">
        <v>50950081836</v>
      </c>
      <c r="W1147">
        <v>17280</v>
      </c>
      <c r="X1147" t="s">
        <v>409</v>
      </c>
      <c r="Y1147" t="s">
        <v>410</v>
      </c>
      <c r="Z1147" t="s">
        <v>410</v>
      </c>
      <c r="AA1147" t="s">
        <v>411</v>
      </c>
      <c r="AB1147" t="s">
        <v>769</v>
      </c>
      <c r="AC1147" t="s">
        <v>411</v>
      </c>
      <c r="AD1147">
        <v>46130</v>
      </c>
      <c r="AE1147">
        <v>46188</v>
      </c>
      <c r="AF1147">
        <v>46130</v>
      </c>
      <c r="AG1147" t="s">
        <v>754</v>
      </c>
      <c r="AH1147">
        <v>6191900</v>
      </c>
      <c r="AI1147">
        <v>46126</v>
      </c>
      <c r="AJ1147">
        <v>46127</v>
      </c>
      <c r="AK1147">
        <v>17280</v>
      </c>
      <c r="AL1147" t="s">
        <v>396</v>
      </c>
      <c r="AM1147" t="s">
        <v>3383</v>
      </c>
      <c r="AN1147">
        <v>46127</v>
      </c>
      <c r="AO1147">
        <v>46127.389062499999</v>
      </c>
      <c r="AP1147" t="s">
        <v>51</v>
      </c>
      <c r="AQ1147">
        <v>0.16836000000000001</v>
      </c>
      <c r="AR1147">
        <v>2909.28</v>
      </c>
      <c r="AS1147" t="s">
        <v>51</v>
      </c>
      <c r="AT1147">
        <v>2909.28</v>
      </c>
      <c r="AU1147" t="s">
        <v>415</v>
      </c>
      <c r="AV1147" t="s">
        <v>416</v>
      </c>
      <c r="AW1147" t="s">
        <v>3295</v>
      </c>
      <c r="AX1147">
        <v>46131</v>
      </c>
      <c r="AY1147">
        <v>46180</v>
      </c>
      <c r="AZ1147" t="s">
        <v>3360</v>
      </c>
      <c r="BA1147" t="s">
        <v>560</v>
      </c>
      <c r="BB1147" t="s">
        <v>3361</v>
      </c>
      <c r="BC1147">
        <v>360</v>
      </c>
      <c r="BD1147" t="s">
        <v>521</v>
      </c>
      <c r="BE1147">
        <v>14.6473</v>
      </c>
      <c r="BF1147">
        <v>13.1173</v>
      </c>
      <c r="BG1147" t="s">
        <v>522</v>
      </c>
      <c r="BH1147">
        <v>595</v>
      </c>
      <c r="BI1147">
        <v>495</v>
      </c>
      <c r="BJ1147">
        <v>310</v>
      </c>
      <c r="BK1147">
        <v>12</v>
      </c>
      <c r="BL1147" t="s">
        <v>521</v>
      </c>
      <c r="BM1147">
        <v>202.76759999999999</v>
      </c>
      <c r="BN1147">
        <v>157.4076</v>
      </c>
      <c r="BO1147">
        <v>811.07136000000003</v>
      </c>
      <c r="BP1147" t="s">
        <v>522</v>
      </c>
      <c r="BQ1147">
        <v>1200</v>
      </c>
      <c r="BR1147">
        <v>1000</v>
      </c>
      <c r="BS1147">
        <v>1088</v>
      </c>
      <c r="BT1147">
        <v>4</v>
      </c>
      <c r="BU1147">
        <v>0</v>
      </c>
      <c r="BV1147">
        <v>4</v>
      </c>
      <c r="BW1147">
        <v>48</v>
      </c>
      <c r="BX1147">
        <v>0</v>
      </c>
      <c r="BY1147">
        <v>48</v>
      </c>
      <c r="BZ1147">
        <v>17280</v>
      </c>
      <c r="CA1147">
        <v>0</v>
      </c>
      <c r="CB1147">
        <v>17280</v>
      </c>
      <c r="CC1147">
        <v>629.63135999999997</v>
      </c>
      <c r="CD1147" t="s">
        <v>842</v>
      </c>
      <c r="CE1147" t="s">
        <v>843</v>
      </c>
      <c r="CG1147" t="s">
        <v>421</v>
      </c>
      <c r="CN1147" t="str">
        <v>M45</v>
      </c>
      <c r="CO1147" t="str">
        <v>1318-12B0005EN</v>
      </c>
      <c r="CP1147" t="str">
        <v>WHSU6740607</v>
      </c>
      <c r="CQ1147" s="23">
        <v>50</v>
      </c>
      <c r="CR1147" s="25">
        <f t="shared" si="46"/>
        <v>2.9286888905252868E-3</v>
      </c>
      <c r="CS1147" s="21">
        <f t="shared" si="47"/>
        <v>7.3217222263132173</v>
      </c>
    </row>
    <row r="1148" spans="2:97" x14ac:dyDescent="0.35">
      <c r="B1148" t="s">
        <v>299</v>
      </c>
      <c r="C1148" t="s">
        <v>3338</v>
      </c>
      <c r="D1148" t="s">
        <v>965</v>
      </c>
      <c r="E1148" t="s">
        <v>395</v>
      </c>
      <c r="F1148" t="s">
        <v>396</v>
      </c>
      <c r="G1148" t="s">
        <v>397</v>
      </c>
      <c r="H1148" t="s">
        <v>398</v>
      </c>
      <c r="I1148" t="s">
        <v>399</v>
      </c>
      <c r="J1148" t="s">
        <v>749</v>
      </c>
      <c r="K1148" t="s">
        <v>809</v>
      </c>
      <c r="L1148" t="s">
        <v>787</v>
      </c>
      <c r="M1148" t="s">
        <v>403</v>
      </c>
      <c r="N1148">
        <v>1</v>
      </c>
      <c r="O1148">
        <v>2</v>
      </c>
      <c r="P1148" t="s">
        <v>828</v>
      </c>
      <c r="Q1148" t="s">
        <v>587</v>
      </c>
      <c r="R1148" t="s">
        <v>811</v>
      </c>
      <c r="S1148" t="s">
        <v>829</v>
      </c>
      <c r="T1148" t="s">
        <v>408</v>
      </c>
      <c r="U1148">
        <v>50950082101</v>
      </c>
      <c r="W1148">
        <v>3360</v>
      </c>
      <c r="X1148" t="s">
        <v>409</v>
      </c>
      <c r="Y1148" t="s">
        <v>410</v>
      </c>
      <c r="Z1148" t="s">
        <v>410</v>
      </c>
      <c r="AA1148" t="s">
        <v>411</v>
      </c>
      <c r="AB1148" t="s">
        <v>769</v>
      </c>
      <c r="AC1148" t="s">
        <v>411</v>
      </c>
      <c r="AD1148">
        <v>46123</v>
      </c>
      <c r="AE1148">
        <v>46181</v>
      </c>
      <c r="AF1148">
        <v>46130</v>
      </c>
      <c r="AG1148" t="s">
        <v>754</v>
      </c>
      <c r="AH1148">
        <v>6191901</v>
      </c>
      <c r="AI1148">
        <v>46126</v>
      </c>
      <c r="AJ1148">
        <v>46127</v>
      </c>
      <c r="AK1148">
        <v>3360</v>
      </c>
      <c r="AL1148" t="s">
        <v>396</v>
      </c>
      <c r="AM1148" t="s">
        <v>3384</v>
      </c>
      <c r="AN1148">
        <v>46127</v>
      </c>
      <c r="AO1148">
        <v>46127.389062499999</v>
      </c>
      <c r="AP1148" t="s">
        <v>51</v>
      </c>
      <c r="AQ1148">
        <v>1.98325</v>
      </c>
      <c r="AR1148">
        <v>6663.72</v>
      </c>
      <c r="AS1148" t="s">
        <v>51</v>
      </c>
      <c r="AT1148">
        <v>6663.72</v>
      </c>
      <c r="AU1148" t="s">
        <v>415</v>
      </c>
      <c r="AV1148" t="s">
        <v>416</v>
      </c>
      <c r="AW1148" t="s">
        <v>3295</v>
      </c>
      <c r="AX1148">
        <v>46131</v>
      </c>
      <c r="AY1148">
        <v>46180</v>
      </c>
      <c r="AZ1148" t="s">
        <v>3360</v>
      </c>
      <c r="BA1148" t="s">
        <v>560</v>
      </c>
      <c r="BB1148" t="s">
        <v>3361</v>
      </c>
      <c r="BC1148">
        <v>16</v>
      </c>
      <c r="BD1148" t="s">
        <v>521</v>
      </c>
      <c r="BE1148">
        <v>4.9409000000000001</v>
      </c>
      <c r="BF1148">
        <v>3.7418999999999998</v>
      </c>
      <c r="BG1148" t="s">
        <v>522</v>
      </c>
      <c r="BH1148">
        <v>495</v>
      </c>
      <c r="BI1148">
        <v>395</v>
      </c>
      <c r="BJ1148">
        <v>190</v>
      </c>
      <c r="BK1148">
        <v>30</v>
      </c>
      <c r="BL1148" t="s">
        <v>521</v>
      </c>
      <c r="BM1148">
        <v>175.227</v>
      </c>
      <c r="BN1148">
        <v>112.25700000000001</v>
      </c>
      <c r="BO1148">
        <v>1226.5932</v>
      </c>
      <c r="BP1148" t="s">
        <v>522</v>
      </c>
      <c r="BQ1148">
        <v>1200</v>
      </c>
      <c r="BR1148">
        <v>1000</v>
      </c>
      <c r="BS1148">
        <v>1120</v>
      </c>
      <c r="BT1148">
        <v>7</v>
      </c>
      <c r="BU1148">
        <v>0</v>
      </c>
      <c r="BV1148">
        <v>7</v>
      </c>
      <c r="BW1148">
        <v>210</v>
      </c>
      <c r="BX1148">
        <v>0</v>
      </c>
      <c r="BY1148">
        <v>210</v>
      </c>
      <c r="BZ1148">
        <v>3360</v>
      </c>
      <c r="CA1148">
        <v>0</v>
      </c>
      <c r="CB1148">
        <v>3360</v>
      </c>
      <c r="CC1148">
        <v>785.80319999999995</v>
      </c>
      <c r="CD1148" t="s">
        <v>806</v>
      </c>
      <c r="CE1148" t="s">
        <v>816</v>
      </c>
      <c r="CG1148" t="s">
        <v>421</v>
      </c>
      <c r="CN1148" t="str">
        <v>M45</v>
      </c>
      <c r="CO1148" t="str">
        <v>0060-G600320EN</v>
      </c>
      <c r="CP1148" t="str">
        <v>WHSU6740607</v>
      </c>
      <c r="CQ1148" s="23">
        <v>583.2603767292153</v>
      </c>
      <c r="CR1148" s="25">
        <f t="shared" si="46"/>
        <v>3.416376371220893E-2</v>
      </c>
      <c r="CS1148" s="21">
        <f t="shared" si="47"/>
        <v>85.409409280522326</v>
      </c>
    </row>
    <row r="1149" spans="2:97" x14ac:dyDescent="0.35">
      <c r="B1149" t="s">
        <v>296</v>
      </c>
      <c r="C1149" t="s">
        <v>3025</v>
      </c>
      <c r="D1149" t="s">
        <v>395</v>
      </c>
      <c r="E1149" t="s">
        <v>395</v>
      </c>
      <c r="F1149" t="s">
        <v>396</v>
      </c>
      <c r="G1149" t="s">
        <v>397</v>
      </c>
      <c r="H1149" t="s">
        <v>398</v>
      </c>
      <c r="I1149" t="s">
        <v>399</v>
      </c>
      <c r="J1149" t="s">
        <v>749</v>
      </c>
      <c r="K1149" t="s">
        <v>1142</v>
      </c>
      <c r="L1149" t="s">
        <v>787</v>
      </c>
      <c r="M1149" t="s">
        <v>403</v>
      </c>
      <c r="N1149">
        <v>1</v>
      </c>
      <c r="O1149">
        <v>2</v>
      </c>
      <c r="P1149" t="s">
        <v>3026</v>
      </c>
      <c r="Q1149" t="s">
        <v>424</v>
      </c>
      <c r="R1149" t="s">
        <v>3027</v>
      </c>
      <c r="S1149" t="s">
        <v>1165</v>
      </c>
      <c r="T1149" t="s">
        <v>408</v>
      </c>
      <c r="U1149">
        <v>50950082719</v>
      </c>
      <c r="W1149">
        <v>16000</v>
      </c>
      <c r="X1149" t="s">
        <v>409</v>
      </c>
      <c r="Y1149" t="s">
        <v>410</v>
      </c>
      <c r="Z1149" t="s">
        <v>410</v>
      </c>
      <c r="AA1149" t="s">
        <v>411</v>
      </c>
      <c r="AB1149" t="s">
        <v>769</v>
      </c>
      <c r="AC1149" t="s">
        <v>411</v>
      </c>
      <c r="AD1149">
        <v>46130</v>
      </c>
      <c r="AE1149">
        <v>46209</v>
      </c>
      <c r="AF1149">
        <v>46130</v>
      </c>
      <c r="AG1149" t="s">
        <v>754</v>
      </c>
      <c r="AH1149">
        <v>6191902</v>
      </c>
      <c r="AI1149">
        <v>46126</v>
      </c>
      <c r="AJ1149">
        <v>46127</v>
      </c>
      <c r="AK1149">
        <v>16000</v>
      </c>
      <c r="AL1149" t="s">
        <v>396</v>
      </c>
      <c r="AM1149" t="s">
        <v>3385</v>
      </c>
      <c r="AN1149">
        <v>46127</v>
      </c>
      <c r="AO1149">
        <v>46127.389062499999</v>
      </c>
      <c r="AP1149" t="s">
        <v>51</v>
      </c>
      <c r="AQ1149">
        <v>0.34544000000000002</v>
      </c>
      <c r="AR1149">
        <v>5527.04</v>
      </c>
      <c r="AS1149" t="s">
        <v>51</v>
      </c>
      <c r="AT1149">
        <v>5527.04</v>
      </c>
      <c r="AU1149" t="s">
        <v>415</v>
      </c>
      <c r="AV1149" t="s">
        <v>416</v>
      </c>
      <c r="AW1149" t="s">
        <v>3295</v>
      </c>
      <c r="AX1149">
        <v>46131</v>
      </c>
      <c r="AY1149">
        <v>46180</v>
      </c>
      <c r="AZ1149" t="s">
        <v>3360</v>
      </c>
      <c r="BA1149" t="s">
        <v>560</v>
      </c>
      <c r="BB1149" t="s">
        <v>3361</v>
      </c>
      <c r="BC1149">
        <v>2000</v>
      </c>
      <c r="BD1149" t="s">
        <v>521</v>
      </c>
      <c r="BE1149">
        <v>376.7</v>
      </c>
      <c r="BF1149">
        <v>356.2</v>
      </c>
      <c r="BG1149" t="s">
        <v>522</v>
      </c>
      <c r="BH1149">
        <v>1050</v>
      </c>
      <c r="BI1149">
        <v>480</v>
      </c>
      <c r="BJ1149">
        <v>460</v>
      </c>
      <c r="BK1149">
        <v>1</v>
      </c>
      <c r="BL1149" t="s">
        <v>521</v>
      </c>
      <c r="BM1149">
        <v>376.70010000000002</v>
      </c>
      <c r="BN1149">
        <v>356.2</v>
      </c>
      <c r="BO1149">
        <v>3013.6008000000002</v>
      </c>
      <c r="BP1149" t="s">
        <v>522</v>
      </c>
      <c r="BQ1149">
        <v>1050</v>
      </c>
      <c r="BR1149">
        <v>480</v>
      </c>
      <c r="BS1149">
        <v>480</v>
      </c>
      <c r="BT1149">
        <v>8</v>
      </c>
      <c r="BU1149">
        <v>0</v>
      </c>
      <c r="BV1149">
        <v>8</v>
      </c>
      <c r="BW1149">
        <v>8</v>
      </c>
      <c r="BX1149">
        <v>0</v>
      </c>
      <c r="BY1149">
        <v>8</v>
      </c>
      <c r="BZ1149">
        <v>16000</v>
      </c>
      <c r="CA1149">
        <v>0</v>
      </c>
      <c r="CB1149">
        <v>16000</v>
      </c>
      <c r="CC1149">
        <v>2849.6</v>
      </c>
      <c r="CD1149" t="s">
        <v>641</v>
      </c>
      <c r="CE1149" t="s">
        <v>1147</v>
      </c>
      <c r="CG1149" t="s">
        <v>421</v>
      </c>
      <c r="CN1149" t="str">
        <v>M45</v>
      </c>
      <c r="CO1149" t="str">
        <v>0060-G680340EN</v>
      </c>
      <c r="CP1149" t="str">
        <v>WHSU6740607</v>
      </c>
      <c r="CQ1149" s="23">
        <v>2562.2701012314578</v>
      </c>
      <c r="CR1149" s="25">
        <f t="shared" si="46"/>
        <v>0.15008183960003346</v>
      </c>
      <c r="CS1149" s="21">
        <f t="shared" si="47"/>
        <v>375.20459900008365</v>
      </c>
    </row>
    <row r="1150" spans="2:97" x14ac:dyDescent="0.35">
      <c r="B1150" s="34" t="s">
        <v>297</v>
      </c>
      <c r="C1150" t="s">
        <v>921</v>
      </c>
      <c r="D1150" t="s">
        <v>549</v>
      </c>
      <c r="E1150" t="s">
        <v>395</v>
      </c>
      <c r="F1150" t="s">
        <v>396</v>
      </c>
      <c r="G1150" t="s">
        <v>397</v>
      </c>
      <c r="H1150" t="s">
        <v>398</v>
      </c>
      <c r="I1150" t="s">
        <v>399</v>
      </c>
      <c r="J1150" t="s">
        <v>749</v>
      </c>
      <c r="K1150" t="s">
        <v>922</v>
      </c>
      <c r="L1150" t="s">
        <v>766</v>
      </c>
      <c r="M1150" t="s">
        <v>403</v>
      </c>
      <c r="N1150">
        <v>30</v>
      </c>
      <c r="O1150">
        <v>1</v>
      </c>
      <c r="P1150" t="s">
        <v>923</v>
      </c>
      <c r="Q1150" t="s">
        <v>645</v>
      </c>
      <c r="R1150" t="s">
        <v>924</v>
      </c>
      <c r="S1150" t="s">
        <v>925</v>
      </c>
      <c r="T1150" t="s">
        <v>408</v>
      </c>
      <c r="U1150">
        <v>50950080751</v>
      </c>
      <c r="W1150">
        <v>11520</v>
      </c>
      <c r="X1150" t="s">
        <v>409</v>
      </c>
      <c r="Y1150" t="s">
        <v>410</v>
      </c>
      <c r="Z1150" t="s">
        <v>410</v>
      </c>
      <c r="AA1150" t="s">
        <v>411</v>
      </c>
      <c r="AB1150" t="s">
        <v>554</v>
      </c>
      <c r="AC1150" t="s">
        <v>411</v>
      </c>
      <c r="AD1150">
        <v>46121</v>
      </c>
      <c r="AE1150">
        <v>46165</v>
      </c>
      <c r="AF1150">
        <v>46134</v>
      </c>
      <c r="AG1150" t="s">
        <v>926</v>
      </c>
      <c r="AH1150">
        <v>6194179</v>
      </c>
      <c r="AI1150">
        <v>46127</v>
      </c>
      <c r="AJ1150">
        <v>46128</v>
      </c>
      <c r="AK1150">
        <v>11520</v>
      </c>
      <c r="AL1150" t="s">
        <v>396</v>
      </c>
      <c r="AM1150" t="s">
        <v>3386</v>
      </c>
      <c r="AN1150">
        <v>46128</v>
      </c>
      <c r="AO1150">
        <v>46128.41265046296</v>
      </c>
      <c r="AP1150" t="s">
        <v>51</v>
      </c>
      <c r="AQ1150">
        <v>0.62368999999999997</v>
      </c>
      <c r="AR1150">
        <v>7184.91</v>
      </c>
      <c r="AS1150" t="s">
        <v>51</v>
      </c>
      <c r="AT1150">
        <v>7184.91</v>
      </c>
      <c r="AU1150" t="s">
        <v>415</v>
      </c>
      <c r="AV1150" t="s">
        <v>557</v>
      </c>
      <c r="AW1150" t="s">
        <v>3205</v>
      </c>
      <c r="AX1150">
        <v>46134</v>
      </c>
      <c r="AY1150">
        <v>46183</v>
      </c>
      <c r="AZ1150" t="s">
        <v>3387</v>
      </c>
      <c r="BA1150" t="s">
        <v>560</v>
      </c>
      <c r="BB1150" t="s">
        <v>3388</v>
      </c>
      <c r="BC1150">
        <v>288</v>
      </c>
      <c r="BD1150" t="s">
        <v>521</v>
      </c>
      <c r="BE1150">
        <v>9.8219999999999992</v>
      </c>
      <c r="BF1150">
        <v>8.3520000000000003</v>
      </c>
      <c r="BG1150" t="s">
        <v>522</v>
      </c>
      <c r="BH1150">
        <v>400</v>
      </c>
      <c r="BI1150">
        <v>300</v>
      </c>
      <c r="BJ1150">
        <v>160</v>
      </c>
      <c r="BK1150">
        <v>40</v>
      </c>
      <c r="BL1150" t="s">
        <v>521</v>
      </c>
      <c r="BM1150">
        <v>417.88</v>
      </c>
      <c r="BN1150">
        <v>334.08</v>
      </c>
      <c r="BO1150">
        <v>417.88</v>
      </c>
      <c r="BP1150" t="s">
        <v>522</v>
      </c>
      <c r="BQ1150">
        <v>1200</v>
      </c>
      <c r="BR1150">
        <v>800</v>
      </c>
      <c r="BS1150">
        <v>970</v>
      </c>
      <c r="BT1150">
        <v>1</v>
      </c>
      <c r="BU1150">
        <v>0</v>
      </c>
      <c r="BV1150">
        <v>1</v>
      </c>
      <c r="BW1150">
        <v>40</v>
      </c>
      <c r="BX1150">
        <v>0</v>
      </c>
      <c r="BY1150">
        <v>40</v>
      </c>
      <c r="BZ1150">
        <v>11520</v>
      </c>
      <c r="CA1150">
        <v>0</v>
      </c>
      <c r="CB1150">
        <v>11520</v>
      </c>
      <c r="CC1150">
        <v>334.08</v>
      </c>
      <c r="CD1150" t="s">
        <v>930</v>
      </c>
      <c r="CE1150" t="s">
        <v>931</v>
      </c>
      <c r="CG1150" t="s">
        <v>421</v>
      </c>
      <c r="CN1150" t="str">
        <v>M45</v>
      </c>
      <c r="CO1150" t="str">
        <v>1438-12B0006EN</v>
      </c>
      <c r="CP1150" t="str">
        <v>WHSU6740607</v>
      </c>
      <c r="CQ1150" s="23">
        <v>50</v>
      </c>
      <c r="CR1150" s="25">
        <f t="shared" si="46"/>
        <v>2.9286888905252868E-3</v>
      </c>
      <c r="CS1150" s="21">
        <f t="shared" si="47"/>
        <v>7.3217222263132173</v>
      </c>
    </row>
    <row r="1151" spans="2:97" x14ac:dyDescent="0.35">
      <c r="B1151" t="s">
        <v>299</v>
      </c>
      <c r="C1151" t="s">
        <v>2957</v>
      </c>
      <c r="D1151" t="s">
        <v>395</v>
      </c>
      <c r="E1151" t="s">
        <v>395</v>
      </c>
      <c r="F1151" t="s">
        <v>396</v>
      </c>
      <c r="G1151" t="s">
        <v>397</v>
      </c>
      <c r="H1151" t="s">
        <v>398</v>
      </c>
      <c r="I1151" t="s">
        <v>399</v>
      </c>
      <c r="J1151" t="s">
        <v>749</v>
      </c>
      <c r="K1151" t="s">
        <v>777</v>
      </c>
      <c r="L1151" t="s">
        <v>778</v>
      </c>
      <c r="M1151" t="s">
        <v>403</v>
      </c>
      <c r="N1151">
        <v>1</v>
      </c>
      <c r="O1151">
        <v>2</v>
      </c>
      <c r="P1151" t="s">
        <v>2055</v>
      </c>
      <c r="Q1151" t="s">
        <v>645</v>
      </c>
      <c r="R1151" t="s">
        <v>536</v>
      </c>
      <c r="S1151" t="s">
        <v>2056</v>
      </c>
      <c r="T1151" t="s">
        <v>408</v>
      </c>
      <c r="U1151">
        <v>50950078247</v>
      </c>
      <c r="W1151">
        <v>1008</v>
      </c>
      <c r="X1151" t="s">
        <v>409</v>
      </c>
      <c r="Y1151" t="s">
        <v>410</v>
      </c>
      <c r="Z1151" t="s">
        <v>410</v>
      </c>
      <c r="AA1151" t="s">
        <v>411</v>
      </c>
      <c r="AB1151" t="s">
        <v>554</v>
      </c>
      <c r="AC1151" t="s">
        <v>411</v>
      </c>
      <c r="AD1151">
        <v>46123</v>
      </c>
      <c r="AE1151">
        <v>46181</v>
      </c>
      <c r="AF1151">
        <v>46134</v>
      </c>
      <c r="AG1151" t="s">
        <v>781</v>
      </c>
      <c r="AH1151">
        <v>6194180</v>
      </c>
      <c r="AI1151">
        <v>46127</v>
      </c>
      <c r="AJ1151">
        <v>46128</v>
      </c>
      <c r="AK1151">
        <v>1008</v>
      </c>
      <c r="AL1151" t="s">
        <v>396</v>
      </c>
      <c r="AM1151" t="s">
        <v>3389</v>
      </c>
      <c r="AN1151">
        <v>46128</v>
      </c>
      <c r="AO1151">
        <v>46128.41265046296</v>
      </c>
      <c r="AP1151" t="s">
        <v>51</v>
      </c>
      <c r="AQ1151">
        <v>3.4422700000000002</v>
      </c>
      <c r="AR1151">
        <v>3469.8</v>
      </c>
      <c r="AS1151" t="s">
        <v>51</v>
      </c>
      <c r="AT1151">
        <v>3469.8</v>
      </c>
      <c r="AU1151" t="s">
        <v>415</v>
      </c>
      <c r="AV1151" t="s">
        <v>557</v>
      </c>
      <c r="AW1151" t="s">
        <v>3205</v>
      </c>
      <c r="AX1151">
        <v>46134</v>
      </c>
      <c r="AY1151">
        <v>46183</v>
      </c>
      <c r="AZ1151" t="s">
        <v>3387</v>
      </c>
      <c r="BA1151" t="s">
        <v>560</v>
      </c>
      <c r="BB1151" t="s">
        <v>3388</v>
      </c>
      <c r="BC1151">
        <v>14</v>
      </c>
      <c r="BD1151" t="s">
        <v>521</v>
      </c>
      <c r="BE1151">
        <v>3.4628000000000001</v>
      </c>
      <c r="BF1151">
        <v>1.9628000000000001</v>
      </c>
      <c r="BG1151" t="s">
        <v>522</v>
      </c>
      <c r="BH1151">
        <v>595</v>
      </c>
      <c r="BI1151">
        <v>395</v>
      </c>
      <c r="BJ1151">
        <v>145</v>
      </c>
      <c r="BK1151">
        <v>24</v>
      </c>
      <c r="BL1151" t="s">
        <v>521</v>
      </c>
      <c r="BM1151">
        <v>108.10720000000001</v>
      </c>
      <c r="BN1151">
        <v>47.107199999999999</v>
      </c>
      <c r="BO1151">
        <v>324.32159999999999</v>
      </c>
      <c r="BP1151" t="s">
        <v>522</v>
      </c>
      <c r="BQ1151">
        <v>1200</v>
      </c>
      <c r="BR1151">
        <v>800</v>
      </c>
      <c r="BS1151">
        <v>1030</v>
      </c>
      <c r="BT1151">
        <v>3</v>
      </c>
      <c r="BU1151">
        <v>0</v>
      </c>
      <c r="BV1151">
        <v>3</v>
      </c>
      <c r="BW1151">
        <v>72</v>
      </c>
      <c r="BX1151">
        <v>0</v>
      </c>
      <c r="BY1151">
        <v>72</v>
      </c>
      <c r="BZ1151">
        <v>1008</v>
      </c>
      <c r="CA1151">
        <v>0</v>
      </c>
      <c r="CB1151">
        <v>1008</v>
      </c>
      <c r="CC1151">
        <v>141.32159999999999</v>
      </c>
      <c r="CD1151" t="s">
        <v>783</v>
      </c>
      <c r="CE1151" t="s">
        <v>1370</v>
      </c>
      <c r="CG1151" t="s">
        <v>421</v>
      </c>
      <c r="CN1151" t="str">
        <v>M45</v>
      </c>
      <c r="CO1151" t="str">
        <v>0059-V040320EN</v>
      </c>
      <c r="CP1151" t="str">
        <v>WHSU6740607</v>
      </c>
      <c r="CQ1151" s="23">
        <v>3358.360325678459</v>
      </c>
      <c r="CR1151" s="25">
        <f t="shared" si="46"/>
        <v>0.19671185152390774</v>
      </c>
      <c r="CS1151" s="21">
        <f t="shared" si="47"/>
        <v>491.77962880976935</v>
      </c>
    </row>
    <row r="1152" spans="2:97" x14ac:dyDescent="0.35">
      <c r="B1152" t="s">
        <v>295</v>
      </c>
      <c r="C1152" t="s">
        <v>868</v>
      </c>
      <c r="D1152" t="s">
        <v>395</v>
      </c>
      <c r="E1152" t="s">
        <v>395</v>
      </c>
      <c r="F1152" t="s">
        <v>396</v>
      </c>
      <c r="G1152" t="s">
        <v>397</v>
      </c>
      <c r="H1152" t="s">
        <v>398</v>
      </c>
      <c r="I1152" t="s">
        <v>399</v>
      </c>
      <c r="J1152" t="s">
        <v>749</v>
      </c>
      <c r="K1152" t="s">
        <v>629</v>
      </c>
      <c r="L1152" t="s">
        <v>787</v>
      </c>
      <c r="M1152" t="s">
        <v>403</v>
      </c>
      <c r="N1152">
        <v>1</v>
      </c>
      <c r="O1152">
        <v>17</v>
      </c>
      <c r="P1152" t="s">
        <v>869</v>
      </c>
      <c r="Q1152" t="s">
        <v>637</v>
      </c>
      <c r="R1152" t="s">
        <v>870</v>
      </c>
      <c r="S1152" t="s">
        <v>871</v>
      </c>
      <c r="T1152" t="s">
        <v>408</v>
      </c>
      <c r="U1152">
        <v>50950076250</v>
      </c>
      <c r="W1152">
        <v>2400</v>
      </c>
      <c r="X1152" t="s">
        <v>409</v>
      </c>
      <c r="Y1152" t="s">
        <v>410</v>
      </c>
      <c r="Z1152" t="s">
        <v>410</v>
      </c>
      <c r="AA1152" t="s">
        <v>411</v>
      </c>
      <c r="AB1152" t="s">
        <v>554</v>
      </c>
      <c r="AC1152" t="s">
        <v>411</v>
      </c>
      <c r="AD1152">
        <v>46125</v>
      </c>
      <c r="AE1152">
        <v>46118</v>
      </c>
      <c r="AF1152">
        <v>46134</v>
      </c>
      <c r="AG1152" t="s">
        <v>754</v>
      </c>
      <c r="AH1152">
        <v>6194181</v>
      </c>
      <c r="AI1152">
        <v>46127</v>
      </c>
      <c r="AJ1152">
        <v>46128</v>
      </c>
      <c r="AK1152">
        <v>2400</v>
      </c>
      <c r="AL1152" t="s">
        <v>396</v>
      </c>
      <c r="AM1152" t="s">
        <v>3390</v>
      </c>
      <c r="AN1152">
        <v>46128</v>
      </c>
      <c r="AO1152">
        <v>46128.41265046296</v>
      </c>
      <c r="AP1152" t="s">
        <v>51</v>
      </c>
      <c r="AQ1152">
        <v>1.09693</v>
      </c>
      <c r="AR1152">
        <v>2632.64</v>
      </c>
      <c r="AS1152" t="s">
        <v>51</v>
      </c>
      <c r="AT1152">
        <v>2632.64</v>
      </c>
      <c r="AU1152" t="s">
        <v>415</v>
      </c>
      <c r="AV1152" t="s">
        <v>557</v>
      </c>
      <c r="AW1152" t="s">
        <v>3205</v>
      </c>
      <c r="AX1152">
        <v>46134</v>
      </c>
      <c r="AY1152">
        <v>46183</v>
      </c>
      <c r="AZ1152" t="s">
        <v>3387</v>
      </c>
      <c r="BA1152" t="s">
        <v>560</v>
      </c>
      <c r="BB1152" t="s">
        <v>3388</v>
      </c>
      <c r="BC1152">
        <v>40</v>
      </c>
      <c r="BD1152" t="s">
        <v>521</v>
      </c>
      <c r="BE1152">
        <v>4.4851000000000001</v>
      </c>
      <c r="BF1152">
        <v>3.3351000000000002</v>
      </c>
      <c r="BG1152" t="s">
        <v>522</v>
      </c>
      <c r="BH1152">
        <v>495</v>
      </c>
      <c r="BI1152">
        <v>395</v>
      </c>
      <c r="BJ1152">
        <v>1800</v>
      </c>
      <c r="BK1152">
        <v>30</v>
      </c>
      <c r="BL1152" t="s">
        <v>521</v>
      </c>
      <c r="BM1152">
        <v>161.553</v>
      </c>
      <c r="BN1152">
        <v>100.053</v>
      </c>
      <c r="BO1152">
        <v>323.10719999999998</v>
      </c>
      <c r="BP1152" t="s">
        <v>522</v>
      </c>
      <c r="BQ1152">
        <v>1200</v>
      </c>
      <c r="BR1152">
        <v>1000</v>
      </c>
      <c r="BS1152">
        <v>1058</v>
      </c>
      <c r="BT1152">
        <v>2</v>
      </c>
      <c r="BU1152">
        <v>0</v>
      </c>
      <c r="BV1152">
        <v>2</v>
      </c>
      <c r="BW1152">
        <v>60</v>
      </c>
      <c r="BX1152">
        <v>0</v>
      </c>
      <c r="BY1152">
        <v>60</v>
      </c>
      <c r="BZ1152">
        <v>2400</v>
      </c>
      <c r="CA1152">
        <v>0</v>
      </c>
      <c r="CB1152">
        <v>2400</v>
      </c>
      <c r="CC1152">
        <v>200.10720000000001</v>
      </c>
      <c r="CD1152" t="s">
        <v>799</v>
      </c>
      <c r="CE1152" t="s">
        <v>873</v>
      </c>
      <c r="CG1152" t="s">
        <v>421</v>
      </c>
      <c r="CN1152" t="str">
        <v>M45</v>
      </c>
      <c r="CO1152" t="str">
        <v>1205-10C0010EN</v>
      </c>
      <c r="CP1152" t="str">
        <v>WHSU6740607</v>
      </c>
      <c r="CQ1152" s="23">
        <v>0.1</v>
      </c>
      <c r="CR1152" s="25">
        <f t="shared" si="46"/>
        <v>5.8573777810505744E-6</v>
      </c>
      <c r="CS1152" s="21">
        <f t="shared" si="47"/>
        <v>1.4643444452626437E-2</v>
      </c>
    </row>
    <row r="1153" spans="2:97" x14ac:dyDescent="0.35">
      <c r="B1153" t="s">
        <v>296</v>
      </c>
      <c r="C1153" t="s">
        <v>3365</v>
      </c>
      <c r="D1153" t="s">
        <v>395</v>
      </c>
      <c r="E1153" t="s">
        <v>395</v>
      </c>
      <c r="F1153" t="s">
        <v>396</v>
      </c>
      <c r="G1153" t="s">
        <v>397</v>
      </c>
      <c r="H1153" t="s">
        <v>398</v>
      </c>
      <c r="I1153" t="s">
        <v>399</v>
      </c>
      <c r="J1153" t="s">
        <v>749</v>
      </c>
      <c r="K1153" t="s">
        <v>629</v>
      </c>
      <c r="L1153" t="s">
        <v>787</v>
      </c>
      <c r="M1153" t="s">
        <v>403</v>
      </c>
      <c r="N1153">
        <v>1</v>
      </c>
      <c r="O1153">
        <v>2</v>
      </c>
      <c r="P1153" t="s">
        <v>875</v>
      </c>
      <c r="Q1153" t="s">
        <v>430</v>
      </c>
      <c r="R1153" t="s">
        <v>876</v>
      </c>
      <c r="S1153" t="s">
        <v>877</v>
      </c>
      <c r="T1153" t="s">
        <v>408</v>
      </c>
      <c r="U1153">
        <v>50950078858</v>
      </c>
      <c r="W1153">
        <v>9600</v>
      </c>
      <c r="X1153" t="s">
        <v>409</v>
      </c>
      <c r="Y1153" t="s">
        <v>410</v>
      </c>
      <c r="Z1153" t="s">
        <v>410</v>
      </c>
      <c r="AA1153" t="s">
        <v>411</v>
      </c>
      <c r="AB1153" t="s">
        <v>554</v>
      </c>
      <c r="AC1153" t="s">
        <v>411</v>
      </c>
      <c r="AD1153">
        <v>46132</v>
      </c>
      <c r="AE1153">
        <v>46167</v>
      </c>
      <c r="AF1153">
        <v>46134</v>
      </c>
      <c r="AG1153" t="s">
        <v>754</v>
      </c>
      <c r="AH1153">
        <v>6194182</v>
      </c>
      <c r="AI1153">
        <v>46127</v>
      </c>
      <c r="AJ1153">
        <v>46128</v>
      </c>
      <c r="AK1153">
        <v>9600</v>
      </c>
      <c r="AL1153" t="s">
        <v>396</v>
      </c>
      <c r="AM1153" t="s">
        <v>3391</v>
      </c>
      <c r="AN1153">
        <v>46128</v>
      </c>
      <c r="AO1153">
        <v>46128.41265046296</v>
      </c>
      <c r="AP1153" t="s">
        <v>51</v>
      </c>
      <c r="AQ1153">
        <v>0.12105</v>
      </c>
      <c r="AR1153">
        <v>1162.08</v>
      </c>
      <c r="AS1153" t="s">
        <v>51</v>
      </c>
      <c r="AT1153">
        <v>1162.08</v>
      </c>
      <c r="AU1153" t="s">
        <v>415</v>
      </c>
      <c r="AV1153" t="s">
        <v>557</v>
      </c>
      <c r="AW1153" t="s">
        <v>3205</v>
      </c>
      <c r="AX1153">
        <v>46134</v>
      </c>
      <c r="AY1153">
        <v>46183</v>
      </c>
      <c r="AZ1153" t="s">
        <v>3387</v>
      </c>
      <c r="BA1153" t="s">
        <v>560</v>
      </c>
      <c r="BB1153" t="s">
        <v>3388</v>
      </c>
      <c r="BC1153">
        <v>160</v>
      </c>
      <c r="BD1153" t="s">
        <v>521</v>
      </c>
      <c r="BE1153">
        <v>6.3452000000000002</v>
      </c>
      <c r="BF1153">
        <v>4.7952000000000004</v>
      </c>
      <c r="BG1153" t="s">
        <v>522</v>
      </c>
      <c r="BH1153">
        <v>595</v>
      </c>
      <c r="BI1153">
        <v>495</v>
      </c>
      <c r="BJ1153">
        <v>190</v>
      </c>
      <c r="BK1153">
        <v>20</v>
      </c>
      <c r="BL1153" t="s">
        <v>521</v>
      </c>
      <c r="BM1153">
        <v>153.904</v>
      </c>
      <c r="BN1153">
        <v>95.903999999999996</v>
      </c>
      <c r="BO1153">
        <v>461.71199999999999</v>
      </c>
      <c r="BP1153" t="s">
        <v>522</v>
      </c>
      <c r="BQ1153">
        <v>1200</v>
      </c>
      <c r="BR1153">
        <v>1000</v>
      </c>
      <c r="BS1153">
        <v>1110</v>
      </c>
      <c r="BT1153">
        <v>3</v>
      </c>
      <c r="BU1153">
        <v>0</v>
      </c>
      <c r="BV1153">
        <v>3</v>
      </c>
      <c r="BW1153">
        <v>60</v>
      </c>
      <c r="BX1153">
        <v>0</v>
      </c>
      <c r="BY1153">
        <v>60</v>
      </c>
      <c r="BZ1153">
        <v>9600</v>
      </c>
      <c r="CA1153">
        <v>0</v>
      </c>
      <c r="CB1153">
        <v>9600</v>
      </c>
      <c r="CC1153">
        <v>287.71199999999999</v>
      </c>
      <c r="CD1153" t="s">
        <v>592</v>
      </c>
      <c r="CE1153" t="s">
        <v>879</v>
      </c>
      <c r="CG1153" t="s">
        <v>421</v>
      </c>
      <c r="CN1153" t="str">
        <v>M45</v>
      </c>
      <c r="CO1153" t="str">
        <v>1205-10C0010EN</v>
      </c>
      <c r="CP1153" t="str">
        <v>WHSU6740607</v>
      </c>
      <c r="CQ1153" s="23">
        <v>0.1</v>
      </c>
      <c r="CR1153" s="25">
        <f t="shared" si="46"/>
        <v>5.8573777810505744E-6</v>
      </c>
      <c r="CS1153" s="21">
        <f t="shared" si="47"/>
        <v>1.4643444452626437E-2</v>
      </c>
    </row>
    <row r="1154" spans="2:97" x14ac:dyDescent="0.35">
      <c r="B1154" t="s">
        <v>296</v>
      </c>
      <c r="C1154" t="s">
        <v>2798</v>
      </c>
      <c r="D1154" t="s">
        <v>395</v>
      </c>
      <c r="E1154" t="s">
        <v>395</v>
      </c>
      <c r="F1154" t="s">
        <v>396</v>
      </c>
      <c r="G1154" t="s">
        <v>397</v>
      </c>
      <c r="H1154" t="s">
        <v>398</v>
      </c>
      <c r="I1154" t="s">
        <v>399</v>
      </c>
      <c r="J1154" t="s">
        <v>749</v>
      </c>
      <c r="K1154" t="s">
        <v>629</v>
      </c>
      <c r="L1154" t="s">
        <v>787</v>
      </c>
      <c r="M1154" t="s">
        <v>403</v>
      </c>
      <c r="N1154">
        <v>1</v>
      </c>
      <c r="O1154">
        <v>2</v>
      </c>
      <c r="P1154" t="s">
        <v>1928</v>
      </c>
      <c r="Q1154" t="s">
        <v>424</v>
      </c>
      <c r="R1154" t="s">
        <v>803</v>
      </c>
      <c r="S1154" t="s">
        <v>1929</v>
      </c>
      <c r="T1154" t="s">
        <v>408</v>
      </c>
      <c r="U1154">
        <v>50950078780</v>
      </c>
      <c r="W1154">
        <v>9600</v>
      </c>
      <c r="X1154" t="s">
        <v>409</v>
      </c>
      <c r="Y1154" t="s">
        <v>410</v>
      </c>
      <c r="Z1154" t="s">
        <v>410</v>
      </c>
      <c r="AA1154" t="s">
        <v>411</v>
      </c>
      <c r="AB1154" t="s">
        <v>554</v>
      </c>
      <c r="AC1154" t="s">
        <v>411</v>
      </c>
      <c r="AD1154">
        <v>46125</v>
      </c>
      <c r="AE1154">
        <v>46146</v>
      </c>
      <c r="AF1154">
        <v>46134</v>
      </c>
      <c r="AG1154" t="s">
        <v>754</v>
      </c>
      <c r="AH1154">
        <v>6194183</v>
      </c>
      <c r="AI1154">
        <v>46127</v>
      </c>
      <c r="AJ1154">
        <v>46128</v>
      </c>
      <c r="AK1154">
        <v>9600</v>
      </c>
      <c r="AL1154" t="s">
        <v>396</v>
      </c>
      <c r="AM1154" t="s">
        <v>3392</v>
      </c>
      <c r="AN1154">
        <v>46128</v>
      </c>
      <c r="AO1154">
        <v>46128.41265046296</v>
      </c>
      <c r="AP1154" t="s">
        <v>51</v>
      </c>
      <c r="AQ1154">
        <v>0.51651999999999998</v>
      </c>
      <c r="AR1154">
        <v>4958.59</v>
      </c>
      <c r="AS1154" t="s">
        <v>51</v>
      </c>
      <c r="AT1154">
        <v>4958.59</v>
      </c>
      <c r="AU1154" t="s">
        <v>415</v>
      </c>
      <c r="AV1154" t="s">
        <v>557</v>
      </c>
      <c r="AW1154" t="s">
        <v>3205</v>
      </c>
      <c r="AX1154">
        <v>46134</v>
      </c>
      <c r="AY1154">
        <v>46183</v>
      </c>
      <c r="AZ1154" t="s">
        <v>3387</v>
      </c>
      <c r="BA1154" t="s">
        <v>560</v>
      </c>
      <c r="BB1154" t="s">
        <v>3388</v>
      </c>
      <c r="BC1154">
        <v>160</v>
      </c>
      <c r="BD1154" t="s">
        <v>521</v>
      </c>
      <c r="BE1154">
        <v>14.644299999999999</v>
      </c>
      <c r="BF1154">
        <v>13.4643</v>
      </c>
      <c r="BG1154" t="s">
        <v>522</v>
      </c>
      <c r="BH1154">
        <v>395</v>
      </c>
      <c r="BI1154">
        <v>295</v>
      </c>
      <c r="BJ1154">
        <v>140</v>
      </c>
      <c r="BK1154">
        <v>60</v>
      </c>
      <c r="BL1154" t="s">
        <v>521</v>
      </c>
      <c r="BM1154">
        <v>905.65920000000006</v>
      </c>
      <c r="BN1154">
        <v>807.85919999999999</v>
      </c>
      <c r="BO1154">
        <v>905.65920000000006</v>
      </c>
      <c r="BP1154" t="s">
        <v>522</v>
      </c>
      <c r="BQ1154">
        <v>1200</v>
      </c>
      <c r="BR1154">
        <v>1000</v>
      </c>
      <c r="BS1154">
        <v>1000</v>
      </c>
      <c r="BT1154">
        <v>1</v>
      </c>
      <c r="BU1154">
        <v>0</v>
      </c>
      <c r="BV1154">
        <v>1</v>
      </c>
      <c r="BW1154">
        <v>60</v>
      </c>
      <c r="BX1154">
        <v>0</v>
      </c>
      <c r="BY1154">
        <v>60</v>
      </c>
      <c r="BZ1154">
        <v>9600</v>
      </c>
      <c r="CA1154">
        <v>0</v>
      </c>
      <c r="CB1154">
        <v>9600</v>
      </c>
      <c r="CC1154">
        <v>807.85919999999999</v>
      </c>
      <c r="CD1154" t="s">
        <v>850</v>
      </c>
      <c r="CE1154" t="s">
        <v>1931</v>
      </c>
      <c r="CG1154" t="s">
        <v>421</v>
      </c>
      <c r="CN1154" t="str">
        <v>M45</v>
      </c>
      <c r="CO1154" t="str">
        <v>1205-10C0010EN</v>
      </c>
      <c r="CP1154" t="str">
        <v>WHSU6740607</v>
      </c>
      <c r="CQ1154" s="23">
        <v>0.1</v>
      </c>
      <c r="CR1154" s="25">
        <f t="shared" si="46"/>
        <v>5.8573777810505744E-6</v>
      </c>
      <c r="CS1154" s="21">
        <f t="shared" si="47"/>
        <v>1.4643444452626437E-2</v>
      </c>
    </row>
    <row r="1155" spans="2:97" x14ac:dyDescent="0.35">
      <c r="B1155" t="s">
        <v>296</v>
      </c>
      <c r="C1155" t="s">
        <v>3370</v>
      </c>
      <c r="D1155" t="s">
        <v>395</v>
      </c>
      <c r="E1155" t="s">
        <v>395</v>
      </c>
      <c r="F1155" t="s">
        <v>396</v>
      </c>
      <c r="G1155" t="s">
        <v>397</v>
      </c>
      <c r="H1155" t="s">
        <v>398</v>
      </c>
      <c r="I1155" t="s">
        <v>399</v>
      </c>
      <c r="J1155" t="s">
        <v>749</v>
      </c>
      <c r="K1155" t="s">
        <v>629</v>
      </c>
      <c r="L1155" t="s">
        <v>787</v>
      </c>
      <c r="M1155" t="s">
        <v>403</v>
      </c>
      <c r="N1155">
        <v>1</v>
      </c>
      <c r="O1155">
        <v>2</v>
      </c>
      <c r="P1155" t="s">
        <v>881</v>
      </c>
      <c r="Q1155" t="s">
        <v>645</v>
      </c>
      <c r="R1155" t="s">
        <v>882</v>
      </c>
      <c r="S1155" t="s">
        <v>883</v>
      </c>
      <c r="T1155" t="s">
        <v>408</v>
      </c>
      <c r="U1155">
        <v>50950080026</v>
      </c>
      <c r="W1155">
        <v>33000</v>
      </c>
      <c r="X1155" t="s">
        <v>409</v>
      </c>
      <c r="Y1155" t="s">
        <v>410</v>
      </c>
      <c r="Z1155" t="s">
        <v>410</v>
      </c>
      <c r="AA1155" t="s">
        <v>411</v>
      </c>
      <c r="AB1155" t="s">
        <v>554</v>
      </c>
      <c r="AC1155" t="s">
        <v>411</v>
      </c>
      <c r="AD1155">
        <v>46125</v>
      </c>
      <c r="AE1155">
        <v>46230</v>
      </c>
      <c r="AF1155">
        <v>46134</v>
      </c>
      <c r="AG1155" t="s">
        <v>754</v>
      </c>
      <c r="AH1155">
        <v>6194184</v>
      </c>
      <c r="AI1155">
        <v>46127</v>
      </c>
      <c r="AJ1155">
        <v>46128</v>
      </c>
      <c r="AK1155">
        <v>33000</v>
      </c>
      <c r="AL1155" t="s">
        <v>396</v>
      </c>
      <c r="AM1155" t="s">
        <v>3393</v>
      </c>
      <c r="AN1155">
        <v>46128</v>
      </c>
      <c r="AO1155">
        <v>46128.41265046296</v>
      </c>
      <c r="AP1155" t="s">
        <v>51</v>
      </c>
      <c r="AQ1155">
        <v>0.20003000000000001</v>
      </c>
      <c r="AR1155">
        <v>6601</v>
      </c>
      <c r="AS1155" t="s">
        <v>51</v>
      </c>
      <c r="AT1155">
        <v>6601</v>
      </c>
      <c r="AU1155" t="s">
        <v>415</v>
      </c>
      <c r="AV1155" t="s">
        <v>557</v>
      </c>
      <c r="AW1155" t="s">
        <v>3205</v>
      </c>
      <c r="AX1155">
        <v>46134</v>
      </c>
      <c r="AY1155">
        <v>46183</v>
      </c>
      <c r="AZ1155" t="s">
        <v>3387</v>
      </c>
      <c r="BA1155" t="s">
        <v>560</v>
      </c>
      <c r="BB1155" t="s">
        <v>3388</v>
      </c>
      <c r="BC1155">
        <v>264</v>
      </c>
      <c r="BD1155" t="s">
        <v>521</v>
      </c>
      <c r="BE1155">
        <v>5.2203999999999997</v>
      </c>
      <c r="BF1155">
        <v>3.8304</v>
      </c>
      <c r="BG1155" t="s">
        <v>522</v>
      </c>
      <c r="BH1155">
        <v>595</v>
      </c>
      <c r="BI1155">
        <v>395</v>
      </c>
      <c r="BJ1155">
        <v>175</v>
      </c>
      <c r="BK1155">
        <v>25</v>
      </c>
      <c r="BL1155" t="s">
        <v>521</v>
      </c>
      <c r="BM1155">
        <v>157.51</v>
      </c>
      <c r="BN1155">
        <v>95.76</v>
      </c>
      <c r="BO1155">
        <v>787.54700000000003</v>
      </c>
      <c r="BP1155" t="s">
        <v>522</v>
      </c>
      <c r="BQ1155">
        <v>1200</v>
      </c>
      <c r="BR1155">
        <v>1000</v>
      </c>
      <c r="BS1155">
        <v>1035</v>
      </c>
      <c r="BT1155">
        <v>5</v>
      </c>
      <c r="BU1155">
        <v>0</v>
      </c>
      <c r="BV1155">
        <v>5</v>
      </c>
      <c r="BW1155">
        <v>125</v>
      </c>
      <c r="BX1155">
        <v>0</v>
      </c>
      <c r="BY1155">
        <v>125</v>
      </c>
      <c r="BZ1155">
        <v>33000</v>
      </c>
      <c r="CA1155">
        <v>0</v>
      </c>
      <c r="CB1155">
        <v>33000</v>
      </c>
      <c r="CC1155">
        <v>478.79700000000003</v>
      </c>
      <c r="CD1155" t="s">
        <v>885</v>
      </c>
      <c r="CE1155" t="s">
        <v>886</v>
      </c>
      <c r="CG1155" t="s">
        <v>421</v>
      </c>
      <c r="CN1155" t="str">
        <v>M45</v>
      </c>
      <c r="CO1155" t="str">
        <v>1110-V0C0021EN</v>
      </c>
      <c r="CP1155" t="str">
        <v>WHSU6740607</v>
      </c>
      <c r="CQ1155" s="23">
        <v>0.1</v>
      </c>
      <c r="CR1155" s="25">
        <f t="shared" si="46"/>
        <v>5.8573777810505744E-6</v>
      </c>
      <c r="CS1155" s="21">
        <f t="shared" si="47"/>
        <v>1.4643444452626437E-2</v>
      </c>
    </row>
    <row r="1156" spans="2:97" x14ac:dyDescent="0.35">
      <c r="B1156" t="s">
        <v>299</v>
      </c>
      <c r="C1156" t="s">
        <v>3308</v>
      </c>
      <c r="D1156" t="s">
        <v>965</v>
      </c>
      <c r="E1156" t="s">
        <v>395</v>
      </c>
      <c r="F1156" t="s">
        <v>396</v>
      </c>
      <c r="G1156" t="s">
        <v>397</v>
      </c>
      <c r="H1156" t="s">
        <v>398</v>
      </c>
      <c r="I1156" t="s">
        <v>399</v>
      </c>
      <c r="J1156" t="s">
        <v>749</v>
      </c>
      <c r="K1156" t="s">
        <v>809</v>
      </c>
      <c r="L1156" t="s">
        <v>787</v>
      </c>
      <c r="M1156" t="s">
        <v>403</v>
      </c>
      <c r="N1156">
        <v>1</v>
      </c>
      <c r="O1156">
        <v>4</v>
      </c>
      <c r="P1156" t="s">
        <v>810</v>
      </c>
      <c r="Q1156" t="s">
        <v>405</v>
      </c>
      <c r="R1156" t="s">
        <v>811</v>
      </c>
      <c r="S1156" t="s">
        <v>812</v>
      </c>
      <c r="T1156" t="s">
        <v>408</v>
      </c>
      <c r="U1156">
        <v>50950080295</v>
      </c>
      <c r="W1156">
        <v>3840</v>
      </c>
      <c r="X1156" t="s">
        <v>409</v>
      </c>
      <c r="Y1156" t="s">
        <v>410</v>
      </c>
      <c r="Z1156" t="s">
        <v>410</v>
      </c>
      <c r="AA1156" t="s">
        <v>411</v>
      </c>
      <c r="AB1156" t="s">
        <v>554</v>
      </c>
      <c r="AC1156" t="s">
        <v>411</v>
      </c>
      <c r="AD1156">
        <v>46123</v>
      </c>
      <c r="AE1156">
        <v>46132</v>
      </c>
      <c r="AF1156">
        <v>46134</v>
      </c>
      <c r="AG1156" t="s">
        <v>754</v>
      </c>
      <c r="AH1156">
        <v>6194185</v>
      </c>
      <c r="AI1156">
        <v>46127</v>
      </c>
      <c r="AJ1156">
        <v>46128</v>
      </c>
      <c r="AK1156">
        <v>3840</v>
      </c>
      <c r="AL1156" t="s">
        <v>396</v>
      </c>
      <c r="AM1156" t="s">
        <v>3394</v>
      </c>
      <c r="AN1156">
        <v>46128</v>
      </c>
      <c r="AO1156">
        <v>46128.41265046296</v>
      </c>
      <c r="AP1156" t="s">
        <v>51</v>
      </c>
      <c r="AQ1156">
        <v>2.0436299999999998</v>
      </c>
      <c r="AR1156">
        <v>7847.52</v>
      </c>
      <c r="AS1156" t="s">
        <v>51</v>
      </c>
      <c r="AT1156">
        <v>7847.52</v>
      </c>
      <c r="AU1156" t="s">
        <v>415</v>
      </c>
      <c r="AV1156" t="s">
        <v>557</v>
      </c>
      <c r="AW1156" t="s">
        <v>3205</v>
      </c>
      <c r="AX1156">
        <v>46134</v>
      </c>
      <c r="AY1156">
        <v>46183</v>
      </c>
      <c r="AZ1156" t="s">
        <v>3387</v>
      </c>
      <c r="BA1156" t="s">
        <v>560</v>
      </c>
      <c r="BB1156" t="s">
        <v>3388</v>
      </c>
      <c r="BC1156">
        <v>16</v>
      </c>
      <c r="BD1156" t="s">
        <v>521</v>
      </c>
      <c r="BE1156">
        <v>4.9545000000000003</v>
      </c>
      <c r="BF1156">
        <v>3.7555000000000001</v>
      </c>
      <c r="BG1156" t="s">
        <v>522</v>
      </c>
      <c r="BH1156">
        <v>495</v>
      </c>
      <c r="BI1156">
        <v>395</v>
      </c>
      <c r="BJ1156">
        <v>190</v>
      </c>
      <c r="BK1156">
        <v>30</v>
      </c>
      <c r="BL1156" t="s">
        <v>521</v>
      </c>
      <c r="BM1156">
        <v>175.63499999999999</v>
      </c>
      <c r="BN1156">
        <v>112.66500000000001</v>
      </c>
      <c r="BO1156">
        <v>1405.0848000000001</v>
      </c>
      <c r="BP1156" t="s">
        <v>522</v>
      </c>
      <c r="BQ1156">
        <v>1200</v>
      </c>
      <c r="BR1156">
        <v>1000</v>
      </c>
      <c r="BS1156">
        <v>1120</v>
      </c>
      <c r="BT1156">
        <v>8</v>
      </c>
      <c r="BU1156">
        <v>0</v>
      </c>
      <c r="BV1156">
        <v>8</v>
      </c>
      <c r="BW1156">
        <v>240</v>
      </c>
      <c r="BX1156">
        <v>0</v>
      </c>
      <c r="BY1156">
        <v>240</v>
      </c>
      <c r="BZ1156">
        <v>3840</v>
      </c>
      <c r="CA1156">
        <v>0</v>
      </c>
      <c r="CB1156">
        <v>3840</v>
      </c>
      <c r="CC1156">
        <v>901.32479999999998</v>
      </c>
      <c r="CD1156" t="s">
        <v>806</v>
      </c>
      <c r="CE1156" t="s">
        <v>816</v>
      </c>
      <c r="CG1156" t="s">
        <v>421</v>
      </c>
      <c r="CN1156" t="str">
        <v>M23</v>
      </c>
      <c r="CO1156" t="str">
        <v>1104-1060067EN</v>
      </c>
      <c r="CP1156" t="str">
        <v>WHSU6740607</v>
      </c>
      <c r="CQ1156" s="23">
        <v>21</v>
      </c>
      <c r="CR1156" s="25">
        <f t="shared" si="46"/>
        <v>1.2300493340206206E-3</v>
      </c>
      <c r="CS1156" s="21">
        <f t="shared" si="47"/>
        <v>3.0751233350515514</v>
      </c>
    </row>
    <row r="1157" spans="2:97" x14ac:dyDescent="0.35">
      <c r="B1157" t="s">
        <v>299</v>
      </c>
      <c r="C1157" t="s">
        <v>3098</v>
      </c>
      <c r="D1157" t="s">
        <v>395</v>
      </c>
      <c r="E1157" t="s">
        <v>823</v>
      </c>
      <c r="F1157" t="s">
        <v>396</v>
      </c>
      <c r="G1157" t="s">
        <v>397</v>
      </c>
      <c r="H1157" t="s">
        <v>398</v>
      </c>
      <c r="I1157" t="s">
        <v>399</v>
      </c>
      <c r="J1157" t="s">
        <v>749</v>
      </c>
      <c r="K1157" t="s">
        <v>809</v>
      </c>
      <c r="L1157" t="s">
        <v>787</v>
      </c>
      <c r="M1157" t="s">
        <v>403</v>
      </c>
      <c r="N1157">
        <v>1</v>
      </c>
      <c r="O1157">
        <v>3</v>
      </c>
      <c r="P1157" t="s">
        <v>824</v>
      </c>
      <c r="Q1157" t="s">
        <v>424</v>
      </c>
      <c r="R1157" t="s">
        <v>811</v>
      </c>
      <c r="S1157" t="s">
        <v>825</v>
      </c>
      <c r="T1157" t="s">
        <v>408</v>
      </c>
      <c r="U1157">
        <v>50950081222</v>
      </c>
      <c r="W1157">
        <v>2880</v>
      </c>
      <c r="X1157" t="s">
        <v>409</v>
      </c>
      <c r="Y1157" t="s">
        <v>410</v>
      </c>
      <c r="Z1157" t="s">
        <v>410</v>
      </c>
      <c r="AA1157" t="s">
        <v>411</v>
      </c>
      <c r="AB1157" t="s">
        <v>554</v>
      </c>
      <c r="AC1157" t="s">
        <v>411</v>
      </c>
      <c r="AD1157">
        <v>46109</v>
      </c>
      <c r="AE1157">
        <v>46167</v>
      </c>
      <c r="AF1157">
        <v>46134</v>
      </c>
      <c r="AG1157" t="s">
        <v>754</v>
      </c>
      <c r="AH1157">
        <v>6194186</v>
      </c>
      <c r="AI1157">
        <v>46127</v>
      </c>
      <c r="AJ1157">
        <v>46128</v>
      </c>
      <c r="AK1157">
        <v>2880</v>
      </c>
      <c r="AL1157" t="s">
        <v>396</v>
      </c>
      <c r="AM1157" t="s">
        <v>3395</v>
      </c>
      <c r="AN1157">
        <v>46128</v>
      </c>
      <c r="AO1157">
        <v>46128.41265046296</v>
      </c>
      <c r="AP1157" t="s">
        <v>51</v>
      </c>
      <c r="AQ1157">
        <v>1.3411999999999999</v>
      </c>
      <c r="AR1157">
        <v>3862.66</v>
      </c>
      <c r="AS1157" t="s">
        <v>51</v>
      </c>
      <c r="AT1157">
        <v>3862.66</v>
      </c>
      <c r="AU1157" t="s">
        <v>415</v>
      </c>
      <c r="AV1157" t="s">
        <v>557</v>
      </c>
      <c r="AW1157" t="s">
        <v>3205</v>
      </c>
      <c r="AX1157">
        <v>46134</v>
      </c>
      <c r="AY1157">
        <v>46183</v>
      </c>
      <c r="AZ1157" t="s">
        <v>3387</v>
      </c>
      <c r="BA1157" t="s">
        <v>560</v>
      </c>
      <c r="BB1157" t="s">
        <v>3388</v>
      </c>
      <c r="BC1157">
        <v>48</v>
      </c>
      <c r="BD1157" t="s">
        <v>521</v>
      </c>
      <c r="BE1157">
        <v>8.2250999999999994</v>
      </c>
      <c r="BF1157">
        <v>6.7651000000000003</v>
      </c>
      <c r="BG1157" t="s">
        <v>522</v>
      </c>
      <c r="BH1157">
        <v>495</v>
      </c>
      <c r="BI1157">
        <v>395</v>
      </c>
      <c r="BJ1157">
        <v>190</v>
      </c>
      <c r="BK1157">
        <v>30</v>
      </c>
      <c r="BL1157" t="s">
        <v>521</v>
      </c>
      <c r="BM1157">
        <v>273.75299999999999</v>
      </c>
      <c r="BN1157">
        <v>202.953</v>
      </c>
      <c r="BO1157">
        <v>547.50720000000001</v>
      </c>
      <c r="BP1157" t="s">
        <v>522</v>
      </c>
      <c r="BQ1157">
        <v>1200</v>
      </c>
      <c r="BR1157">
        <v>1000</v>
      </c>
      <c r="BS1157">
        <v>1120</v>
      </c>
      <c r="BT1157">
        <v>2</v>
      </c>
      <c r="BU1157">
        <v>0</v>
      </c>
      <c r="BV1157">
        <v>2</v>
      </c>
      <c r="BW1157">
        <v>60</v>
      </c>
      <c r="BX1157">
        <v>0</v>
      </c>
      <c r="BY1157">
        <v>60</v>
      </c>
      <c r="BZ1157">
        <v>2880</v>
      </c>
      <c r="CA1157">
        <v>0</v>
      </c>
      <c r="CB1157">
        <v>2880</v>
      </c>
      <c r="CC1157">
        <v>405.90719999999999</v>
      </c>
      <c r="CD1157" t="s">
        <v>806</v>
      </c>
      <c r="CE1157" t="s">
        <v>821</v>
      </c>
      <c r="CG1157" t="s">
        <v>421</v>
      </c>
      <c r="CN1157" t="str">
        <v>M23</v>
      </c>
      <c r="CO1157" t="str">
        <v>1127-1020056EN</v>
      </c>
      <c r="CP1157" t="str">
        <v>WHSU6740607</v>
      </c>
      <c r="CQ1157" s="23">
        <v>10</v>
      </c>
      <c r="CR1157" s="25">
        <f t="shared" si="46"/>
        <v>5.857377781050574E-4</v>
      </c>
      <c r="CS1157" s="21">
        <f t="shared" si="47"/>
        <v>1.4643444452626435</v>
      </c>
    </row>
    <row r="1158" spans="2:97" x14ac:dyDescent="0.35">
      <c r="B1158" t="s">
        <v>296</v>
      </c>
      <c r="C1158" t="s">
        <v>1962</v>
      </c>
      <c r="D1158" t="s">
        <v>395</v>
      </c>
      <c r="E1158" t="s">
        <v>395</v>
      </c>
      <c r="F1158" t="s">
        <v>396</v>
      </c>
      <c r="G1158" t="s">
        <v>397</v>
      </c>
      <c r="H1158" t="s">
        <v>398</v>
      </c>
      <c r="I1158" t="s">
        <v>399</v>
      </c>
      <c r="J1158" t="s">
        <v>749</v>
      </c>
      <c r="K1158" t="s">
        <v>1142</v>
      </c>
      <c r="L1158" t="s">
        <v>787</v>
      </c>
      <c r="M1158" t="s">
        <v>403</v>
      </c>
      <c r="N1158">
        <v>1</v>
      </c>
      <c r="O1158">
        <v>4</v>
      </c>
      <c r="P1158" t="s">
        <v>1963</v>
      </c>
      <c r="Q1158" t="s">
        <v>424</v>
      </c>
      <c r="R1158" t="s">
        <v>1164</v>
      </c>
      <c r="S1158" t="s">
        <v>1165</v>
      </c>
      <c r="T1158" t="s">
        <v>408</v>
      </c>
      <c r="U1158">
        <v>50950081519</v>
      </c>
      <c r="W1158">
        <v>6000</v>
      </c>
      <c r="X1158" t="s">
        <v>409</v>
      </c>
      <c r="Y1158" t="s">
        <v>410</v>
      </c>
      <c r="Z1158" t="s">
        <v>410</v>
      </c>
      <c r="AA1158" t="s">
        <v>411</v>
      </c>
      <c r="AB1158" t="s">
        <v>554</v>
      </c>
      <c r="AC1158" t="s">
        <v>411</v>
      </c>
      <c r="AD1158">
        <v>46125</v>
      </c>
      <c r="AE1158">
        <v>46160</v>
      </c>
      <c r="AF1158">
        <v>46134</v>
      </c>
      <c r="AG1158" t="s">
        <v>754</v>
      </c>
      <c r="AH1158">
        <v>6194187</v>
      </c>
      <c r="AI1158">
        <v>46127</v>
      </c>
      <c r="AJ1158">
        <v>46128</v>
      </c>
      <c r="AK1158">
        <v>6000</v>
      </c>
      <c r="AL1158" t="s">
        <v>396</v>
      </c>
      <c r="AM1158" t="s">
        <v>3396</v>
      </c>
      <c r="AN1158">
        <v>46128</v>
      </c>
      <c r="AO1158">
        <v>46128.41265046296</v>
      </c>
      <c r="AP1158" t="s">
        <v>51</v>
      </c>
      <c r="AQ1158">
        <v>0.27694000000000002</v>
      </c>
      <c r="AR1158">
        <v>1661.64</v>
      </c>
      <c r="AS1158" t="s">
        <v>51</v>
      </c>
      <c r="AT1158">
        <v>1661.64</v>
      </c>
      <c r="AU1158" t="s">
        <v>415</v>
      </c>
      <c r="AV1158" t="s">
        <v>557</v>
      </c>
      <c r="AW1158" t="s">
        <v>3205</v>
      </c>
      <c r="AX1158">
        <v>46134</v>
      </c>
      <c r="AY1158">
        <v>46183</v>
      </c>
      <c r="AZ1158" t="s">
        <v>3387</v>
      </c>
      <c r="BA1158" t="s">
        <v>560</v>
      </c>
      <c r="BB1158" t="s">
        <v>3388</v>
      </c>
      <c r="BC1158">
        <v>3000</v>
      </c>
      <c r="BD1158" t="s">
        <v>521</v>
      </c>
      <c r="BE1158">
        <v>394.3</v>
      </c>
      <c r="BF1158">
        <v>373.8</v>
      </c>
      <c r="BG1158" t="s">
        <v>522</v>
      </c>
      <c r="BH1158">
        <v>1050</v>
      </c>
      <c r="BI1158">
        <v>480</v>
      </c>
      <c r="BJ1158">
        <v>460</v>
      </c>
      <c r="BK1158">
        <v>1</v>
      </c>
      <c r="BL1158" t="s">
        <v>521</v>
      </c>
      <c r="BM1158">
        <v>394.30009999999999</v>
      </c>
      <c r="BN1158">
        <v>373.8</v>
      </c>
      <c r="BO1158">
        <v>788.60019999999997</v>
      </c>
      <c r="BP1158" t="s">
        <v>522</v>
      </c>
      <c r="BQ1158">
        <v>1050</v>
      </c>
      <c r="BR1158">
        <v>480</v>
      </c>
      <c r="BS1158">
        <v>480</v>
      </c>
      <c r="BT1158">
        <v>2</v>
      </c>
      <c r="BU1158">
        <v>0</v>
      </c>
      <c r="BV1158">
        <v>2</v>
      </c>
      <c r="BW1158">
        <v>2</v>
      </c>
      <c r="BX1158">
        <v>0</v>
      </c>
      <c r="BY1158">
        <v>2</v>
      </c>
      <c r="BZ1158">
        <v>6000</v>
      </c>
      <c r="CA1158">
        <v>0</v>
      </c>
      <c r="CB1158">
        <v>6000</v>
      </c>
      <c r="CC1158">
        <v>747.6</v>
      </c>
      <c r="CD1158" t="s">
        <v>641</v>
      </c>
      <c r="CE1158" t="s">
        <v>1147</v>
      </c>
      <c r="CG1158" t="s">
        <v>421</v>
      </c>
      <c r="CN1158" t="str">
        <v>M45</v>
      </c>
      <c r="CO1158" t="str">
        <v>1202-12B0005EN</v>
      </c>
      <c r="CP1158" t="str">
        <v>WHSU6740607</v>
      </c>
      <c r="CQ1158" s="23">
        <v>154.9872</v>
      </c>
      <c r="CR1158" s="25">
        <f t="shared" ref="CR1158:CR1167" si="48">IFERROR(CQ1158/(SUMIFS(CQ:CQ,CP:CP,CP1158)),100%)</f>
        <v>9.078185816272415E-3</v>
      </c>
      <c r="CS1158" s="21">
        <f t="shared" si="47"/>
        <v>22.695464540681037</v>
      </c>
    </row>
    <row r="1159" spans="2:97" x14ac:dyDescent="0.35">
      <c r="B1159" t="s">
        <v>297</v>
      </c>
      <c r="C1159" t="s">
        <v>3397</v>
      </c>
      <c r="D1159" t="s">
        <v>395</v>
      </c>
      <c r="E1159" t="s">
        <v>395</v>
      </c>
      <c r="F1159" t="s">
        <v>396</v>
      </c>
      <c r="G1159" t="s">
        <v>397</v>
      </c>
      <c r="H1159" t="s">
        <v>398</v>
      </c>
      <c r="I1159" t="s">
        <v>399</v>
      </c>
      <c r="J1159" t="s">
        <v>749</v>
      </c>
      <c r="K1159" t="s">
        <v>629</v>
      </c>
      <c r="L1159" t="s">
        <v>787</v>
      </c>
      <c r="M1159" t="s">
        <v>403</v>
      </c>
      <c r="N1159">
        <v>1</v>
      </c>
      <c r="O1159">
        <v>1</v>
      </c>
      <c r="P1159" t="s">
        <v>1956</v>
      </c>
      <c r="Q1159" t="s">
        <v>430</v>
      </c>
      <c r="R1159" t="s">
        <v>833</v>
      </c>
      <c r="S1159" t="s">
        <v>834</v>
      </c>
      <c r="T1159" t="s">
        <v>408</v>
      </c>
      <c r="U1159">
        <v>50950081697</v>
      </c>
      <c r="W1159">
        <v>9600</v>
      </c>
      <c r="X1159" t="s">
        <v>409</v>
      </c>
      <c r="Y1159" t="s">
        <v>410</v>
      </c>
      <c r="Z1159" t="s">
        <v>410</v>
      </c>
      <c r="AA1159" t="s">
        <v>411</v>
      </c>
      <c r="AB1159" t="s">
        <v>554</v>
      </c>
      <c r="AC1159" t="s">
        <v>411</v>
      </c>
      <c r="AD1159">
        <v>46123</v>
      </c>
      <c r="AE1159">
        <v>46174</v>
      </c>
      <c r="AF1159">
        <v>46134</v>
      </c>
      <c r="AG1159" t="s">
        <v>754</v>
      </c>
      <c r="AH1159">
        <v>6194188</v>
      </c>
      <c r="AI1159">
        <v>46127</v>
      </c>
      <c r="AJ1159">
        <v>46128</v>
      </c>
      <c r="AK1159">
        <v>9600</v>
      </c>
      <c r="AL1159" t="s">
        <v>396</v>
      </c>
      <c r="AM1159" t="s">
        <v>3398</v>
      </c>
      <c r="AN1159">
        <v>46128</v>
      </c>
      <c r="AO1159">
        <v>46128.41265046296</v>
      </c>
      <c r="AP1159" t="s">
        <v>51</v>
      </c>
      <c r="AQ1159">
        <v>0.13516</v>
      </c>
      <c r="AR1159">
        <v>1297.54</v>
      </c>
      <c r="AS1159" t="s">
        <v>51</v>
      </c>
      <c r="AT1159">
        <v>1297.54</v>
      </c>
      <c r="AU1159" t="s">
        <v>415</v>
      </c>
      <c r="AV1159" t="s">
        <v>557</v>
      </c>
      <c r="AW1159" t="s">
        <v>3205</v>
      </c>
      <c r="AX1159">
        <v>46134</v>
      </c>
      <c r="AY1159">
        <v>46183</v>
      </c>
      <c r="AZ1159" t="s">
        <v>3387</v>
      </c>
      <c r="BA1159" t="s">
        <v>560</v>
      </c>
      <c r="BB1159" t="s">
        <v>3388</v>
      </c>
      <c r="BC1159">
        <v>320</v>
      </c>
      <c r="BD1159" t="s">
        <v>521</v>
      </c>
      <c r="BE1159">
        <v>4.202</v>
      </c>
      <c r="BF1159">
        <v>3.6320000000000001</v>
      </c>
      <c r="BG1159" t="s">
        <v>522</v>
      </c>
      <c r="BH1159">
        <v>395</v>
      </c>
      <c r="BI1159">
        <v>295</v>
      </c>
      <c r="BJ1159">
        <v>255</v>
      </c>
      <c r="BK1159">
        <v>30</v>
      </c>
      <c r="BL1159" t="s">
        <v>521</v>
      </c>
      <c r="BM1159">
        <v>153.06</v>
      </c>
      <c r="BN1159">
        <v>108.96</v>
      </c>
      <c r="BO1159">
        <v>153.06</v>
      </c>
      <c r="BP1159" t="s">
        <v>522</v>
      </c>
      <c r="BQ1159">
        <v>1200</v>
      </c>
      <c r="BR1159">
        <v>1000</v>
      </c>
      <c r="BS1159">
        <v>918</v>
      </c>
      <c r="BT1159">
        <v>1</v>
      </c>
      <c r="BU1159">
        <v>0</v>
      </c>
      <c r="BV1159">
        <v>1</v>
      </c>
      <c r="BW1159">
        <v>30</v>
      </c>
      <c r="BX1159">
        <v>0</v>
      </c>
      <c r="BY1159">
        <v>30</v>
      </c>
      <c r="BZ1159">
        <v>9600</v>
      </c>
      <c r="CA1159">
        <v>0</v>
      </c>
      <c r="CB1159">
        <v>9600</v>
      </c>
      <c r="CC1159">
        <v>108.96</v>
      </c>
      <c r="CD1159" t="s">
        <v>633</v>
      </c>
      <c r="CE1159" t="s">
        <v>836</v>
      </c>
      <c r="CG1159" t="s">
        <v>421</v>
      </c>
      <c r="CN1159" t="str">
        <v>M46</v>
      </c>
      <c r="CO1159" t="str">
        <v>1206-1JH0007EN</v>
      </c>
      <c r="CP1159" t="str">
        <v>WHSU6740607</v>
      </c>
      <c r="CQ1159" s="23">
        <v>117.53704</v>
      </c>
      <c r="CR1159" s="25">
        <f t="shared" si="48"/>
        <v>6.8845884654645259E-3</v>
      </c>
      <c r="CS1159" s="21">
        <f t="shared" ref="CS1159:CS1167" si="49">CR1159*$CS$2</f>
        <v>17.211471163661315</v>
      </c>
    </row>
    <row r="1160" spans="2:97" x14ac:dyDescent="0.35">
      <c r="B1160" t="s">
        <v>297</v>
      </c>
      <c r="C1160" t="s">
        <v>2950</v>
      </c>
      <c r="D1160" t="s">
        <v>395</v>
      </c>
      <c r="E1160" t="s">
        <v>395</v>
      </c>
      <c r="F1160" t="s">
        <v>396</v>
      </c>
      <c r="G1160" t="s">
        <v>397</v>
      </c>
      <c r="H1160" t="s">
        <v>398</v>
      </c>
      <c r="I1160" t="s">
        <v>399</v>
      </c>
      <c r="J1160" t="s">
        <v>749</v>
      </c>
      <c r="K1160" t="s">
        <v>629</v>
      </c>
      <c r="L1160" t="s">
        <v>787</v>
      </c>
      <c r="M1160" t="s">
        <v>403</v>
      </c>
      <c r="N1160">
        <v>2</v>
      </c>
      <c r="O1160">
        <v>1</v>
      </c>
      <c r="P1160" t="s">
        <v>2203</v>
      </c>
      <c r="Q1160" t="s">
        <v>789</v>
      </c>
      <c r="R1160" t="s">
        <v>2204</v>
      </c>
      <c r="S1160" t="s">
        <v>1484</v>
      </c>
      <c r="T1160" t="s">
        <v>408</v>
      </c>
      <c r="U1160">
        <v>50950081740</v>
      </c>
      <c r="W1160">
        <v>48000</v>
      </c>
      <c r="X1160" t="s">
        <v>409</v>
      </c>
      <c r="Y1160" t="s">
        <v>410</v>
      </c>
      <c r="Z1160" t="s">
        <v>410</v>
      </c>
      <c r="AA1160" t="s">
        <v>411</v>
      </c>
      <c r="AB1160" t="s">
        <v>554</v>
      </c>
      <c r="AC1160" t="s">
        <v>411</v>
      </c>
      <c r="AD1160">
        <v>46130</v>
      </c>
      <c r="AE1160">
        <v>46188</v>
      </c>
      <c r="AF1160">
        <v>46134</v>
      </c>
      <c r="AG1160" t="s">
        <v>754</v>
      </c>
      <c r="AH1160">
        <v>6194189</v>
      </c>
      <c r="AI1160">
        <v>46127</v>
      </c>
      <c r="AJ1160">
        <v>46128</v>
      </c>
      <c r="AK1160">
        <v>48000</v>
      </c>
      <c r="AL1160" t="s">
        <v>396</v>
      </c>
      <c r="AM1160" t="s">
        <v>3399</v>
      </c>
      <c r="AN1160">
        <v>46128</v>
      </c>
      <c r="AO1160">
        <v>46128.41265046296</v>
      </c>
      <c r="AP1160" t="s">
        <v>51</v>
      </c>
      <c r="AQ1160">
        <v>4.4010000000000001E-2</v>
      </c>
      <c r="AR1160">
        <v>2112.48</v>
      </c>
      <c r="AS1160" t="s">
        <v>51</v>
      </c>
      <c r="AT1160">
        <v>2112.48</v>
      </c>
      <c r="AU1160" t="s">
        <v>415</v>
      </c>
      <c r="AV1160" t="s">
        <v>557</v>
      </c>
      <c r="AW1160" t="s">
        <v>3205</v>
      </c>
      <c r="AX1160">
        <v>46134</v>
      </c>
      <c r="AY1160">
        <v>46183</v>
      </c>
      <c r="AZ1160" t="s">
        <v>3387</v>
      </c>
      <c r="BA1160" t="s">
        <v>560</v>
      </c>
      <c r="BB1160" t="s">
        <v>3388</v>
      </c>
      <c r="BC1160">
        <v>1200</v>
      </c>
      <c r="BD1160" t="s">
        <v>521</v>
      </c>
      <c r="BE1160">
        <v>5.9470000000000001</v>
      </c>
      <c r="BF1160">
        <v>5.04</v>
      </c>
      <c r="BG1160" t="s">
        <v>522</v>
      </c>
      <c r="BH1160">
        <v>395</v>
      </c>
      <c r="BI1160">
        <v>295</v>
      </c>
      <c r="BJ1160">
        <v>270</v>
      </c>
      <c r="BK1160">
        <v>30</v>
      </c>
      <c r="BL1160" t="s">
        <v>521</v>
      </c>
      <c r="BM1160">
        <v>205.41</v>
      </c>
      <c r="BN1160">
        <v>151.19999999999999</v>
      </c>
      <c r="BO1160">
        <v>291.88</v>
      </c>
      <c r="BP1160" t="s">
        <v>522</v>
      </c>
      <c r="BQ1160">
        <v>1200</v>
      </c>
      <c r="BR1160">
        <v>1000</v>
      </c>
      <c r="BS1160">
        <v>968</v>
      </c>
      <c r="BT1160">
        <v>1</v>
      </c>
      <c r="BU1160">
        <v>1</v>
      </c>
      <c r="BV1160">
        <v>2</v>
      </c>
      <c r="BW1160">
        <v>40</v>
      </c>
      <c r="BX1160">
        <v>0</v>
      </c>
      <c r="BY1160">
        <v>40</v>
      </c>
      <c r="BZ1160">
        <v>36000</v>
      </c>
      <c r="CA1160">
        <v>12000</v>
      </c>
      <c r="CB1160">
        <v>48000</v>
      </c>
      <c r="CC1160">
        <v>201.6</v>
      </c>
      <c r="CD1160" t="s">
        <v>1151</v>
      </c>
      <c r="CE1160" t="s">
        <v>634</v>
      </c>
      <c r="CG1160" t="s">
        <v>421</v>
      </c>
      <c r="CN1160" t="str">
        <v>M01</v>
      </c>
      <c r="CO1160" t="str">
        <v>1200-1030990EN0002</v>
      </c>
      <c r="CP1160" t="str">
        <v>ZCSU7928505</v>
      </c>
      <c r="CQ1160" s="23">
        <v>144.04320000000001</v>
      </c>
      <c r="CR1160" s="25">
        <f t="shared" si="48"/>
        <v>1.8492134713928899E-2</v>
      </c>
      <c r="CS1160" s="21">
        <f t="shared" si="49"/>
        <v>46.230336784822249</v>
      </c>
    </row>
    <row r="1161" spans="2:97" x14ac:dyDescent="0.35">
      <c r="B1161" t="s">
        <v>297</v>
      </c>
      <c r="C1161" t="s">
        <v>3400</v>
      </c>
      <c r="D1161" t="s">
        <v>395</v>
      </c>
      <c r="E1161" t="s">
        <v>395</v>
      </c>
      <c r="F1161" t="s">
        <v>396</v>
      </c>
      <c r="G1161" t="s">
        <v>397</v>
      </c>
      <c r="H1161" t="s">
        <v>398</v>
      </c>
      <c r="I1161" t="s">
        <v>399</v>
      </c>
      <c r="J1161" t="s">
        <v>749</v>
      </c>
      <c r="K1161" t="s">
        <v>629</v>
      </c>
      <c r="L1161" t="s">
        <v>787</v>
      </c>
      <c r="M1161" t="s">
        <v>403</v>
      </c>
      <c r="N1161">
        <v>1</v>
      </c>
      <c r="O1161">
        <v>1</v>
      </c>
      <c r="P1161" t="s">
        <v>1149</v>
      </c>
      <c r="Q1161" t="s">
        <v>430</v>
      </c>
      <c r="R1161" t="s">
        <v>1112</v>
      </c>
      <c r="S1161" t="s">
        <v>1113</v>
      </c>
      <c r="T1161" t="s">
        <v>408</v>
      </c>
      <c r="U1161">
        <v>50950081750</v>
      </c>
      <c r="W1161">
        <v>9600</v>
      </c>
      <c r="X1161" t="s">
        <v>409</v>
      </c>
      <c r="Y1161" t="s">
        <v>410</v>
      </c>
      <c r="Z1161" t="s">
        <v>410</v>
      </c>
      <c r="AA1161" t="s">
        <v>411</v>
      </c>
      <c r="AB1161" t="s">
        <v>554</v>
      </c>
      <c r="AC1161" t="s">
        <v>411</v>
      </c>
      <c r="AD1161">
        <v>46130</v>
      </c>
      <c r="AE1161">
        <v>46188</v>
      </c>
      <c r="AF1161">
        <v>46134</v>
      </c>
      <c r="AG1161" t="s">
        <v>754</v>
      </c>
      <c r="AH1161">
        <v>6194190</v>
      </c>
      <c r="AI1161">
        <v>46127</v>
      </c>
      <c r="AJ1161">
        <v>46128</v>
      </c>
      <c r="AK1161">
        <v>9600</v>
      </c>
      <c r="AL1161" t="s">
        <v>396</v>
      </c>
      <c r="AM1161" t="s">
        <v>3401</v>
      </c>
      <c r="AN1161">
        <v>46128</v>
      </c>
      <c r="AO1161">
        <v>46128.41265046296</v>
      </c>
      <c r="AP1161" t="s">
        <v>51</v>
      </c>
      <c r="AQ1161">
        <v>0.13643</v>
      </c>
      <c r="AR1161">
        <v>1309.72</v>
      </c>
      <c r="AS1161" t="s">
        <v>51</v>
      </c>
      <c r="AT1161">
        <v>1309.72</v>
      </c>
      <c r="AU1161" t="s">
        <v>415</v>
      </c>
      <c r="AV1161" t="s">
        <v>557</v>
      </c>
      <c r="AW1161" t="s">
        <v>3205</v>
      </c>
      <c r="AX1161">
        <v>46134</v>
      </c>
      <c r="AY1161">
        <v>46183</v>
      </c>
      <c r="AZ1161" t="s">
        <v>3387</v>
      </c>
      <c r="BA1161" t="s">
        <v>560</v>
      </c>
      <c r="BB1161" t="s">
        <v>3388</v>
      </c>
      <c r="BC1161">
        <v>160</v>
      </c>
      <c r="BD1161" t="s">
        <v>521</v>
      </c>
      <c r="BE1161">
        <v>4.2907000000000002</v>
      </c>
      <c r="BF1161">
        <v>3.3837000000000002</v>
      </c>
      <c r="BG1161" t="s">
        <v>522</v>
      </c>
      <c r="BH1161">
        <v>395</v>
      </c>
      <c r="BI1161">
        <v>295</v>
      </c>
      <c r="BJ1161">
        <v>270</v>
      </c>
      <c r="BK1161">
        <v>30</v>
      </c>
      <c r="BL1161" t="s">
        <v>521</v>
      </c>
      <c r="BM1161">
        <v>155.721</v>
      </c>
      <c r="BN1161">
        <v>101.511</v>
      </c>
      <c r="BO1161">
        <v>311.44080000000002</v>
      </c>
      <c r="BP1161" t="s">
        <v>522</v>
      </c>
      <c r="BQ1161">
        <v>1200</v>
      </c>
      <c r="BR1161">
        <v>1000</v>
      </c>
      <c r="BS1161">
        <v>968</v>
      </c>
      <c r="BT1161">
        <v>2</v>
      </c>
      <c r="BU1161">
        <v>0</v>
      </c>
      <c r="BV1161">
        <v>2</v>
      </c>
      <c r="BW1161">
        <v>60</v>
      </c>
      <c r="BX1161">
        <v>0</v>
      </c>
      <c r="BY1161">
        <v>60</v>
      </c>
      <c r="BZ1161">
        <v>9600</v>
      </c>
      <c r="CA1161">
        <v>0</v>
      </c>
      <c r="CB1161">
        <v>9600</v>
      </c>
      <c r="CC1161">
        <v>203.02080000000001</v>
      </c>
      <c r="CD1161" t="s">
        <v>1151</v>
      </c>
      <c r="CE1161" t="s">
        <v>634</v>
      </c>
      <c r="CG1161" t="s">
        <v>421</v>
      </c>
      <c r="CN1161" t="str">
        <v>M19</v>
      </c>
      <c r="CO1161" t="str">
        <v>1275-5YY0352EN</v>
      </c>
      <c r="CP1161" t="str">
        <v>ZCSU7928505</v>
      </c>
      <c r="CQ1161" s="23">
        <v>317.61</v>
      </c>
      <c r="CR1161" s="25">
        <f t="shared" si="48"/>
        <v>4.0774482283724309E-2</v>
      </c>
      <c r="CS1161" s="21">
        <f t="shared" si="49"/>
        <v>101.93620570931077</v>
      </c>
    </row>
    <row r="1162" spans="2:97" x14ac:dyDescent="0.35">
      <c r="B1162" t="s">
        <v>297</v>
      </c>
      <c r="C1162" t="s">
        <v>3017</v>
      </c>
      <c r="D1162" t="s">
        <v>395</v>
      </c>
      <c r="E1162" t="s">
        <v>395</v>
      </c>
      <c r="F1162" t="s">
        <v>396</v>
      </c>
      <c r="G1162" t="s">
        <v>397</v>
      </c>
      <c r="H1162" t="s">
        <v>398</v>
      </c>
      <c r="I1162" t="s">
        <v>399</v>
      </c>
      <c r="J1162" t="s">
        <v>749</v>
      </c>
      <c r="K1162" t="s">
        <v>629</v>
      </c>
      <c r="L1162" t="s">
        <v>787</v>
      </c>
      <c r="M1162" t="s">
        <v>403</v>
      </c>
      <c r="N1162">
        <v>2</v>
      </c>
      <c r="O1162">
        <v>1</v>
      </c>
      <c r="P1162" t="s">
        <v>832</v>
      </c>
      <c r="Q1162" t="s">
        <v>645</v>
      </c>
      <c r="R1162" t="s">
        <v>833</v>
      </c>
      <c r="S1162" t="s">
        <v>834</v>
      </c>
      <c r="T1162" t="s">
        <v>408</v>
      </c>
      <c r="U1162">
        <v>50950081765</v>
      </c>
      <c r="W1162">
        <v>9600</v>
      </c>
      <c r="X1162" t="s">
        <v>409</v>
      </c>
      <c r="Y1162" t="s">
        <v>410</v>
      </c>
      <c r="Z1162" t="s">
        <v>410</v>
      </c>
      <c r="AA1162" t="s">
        <v>411</v>
      </c>
      <c r="AB1162" t="s">
        <v>554</v>
      </c>
      <c r="AC1162" t="s">
        <v>411</v>
      </c>
      <c r="AD1162">
        <v>46123</v>
      </c>
      <c r="AE1162">
        <v>46174</v>
      </c>
      <c r="AF1162">
        <v>46134</v>
      </c>
      <c r="AG1162" t="s">
        <v>754</v>
      </c>
      <c r="AH1162">
        <v>6194191</v>
      </c>
      <c r="AI1162">
        <v>46127</v>
      </c>
      <c r="AJ1162">
        <v>46128</v>
      </c>
      <c r="AK1162">
        <v>9600</v>
      </c>
      <c r="AL1162" t="s">
        <v>396</v>
      </c>
      <c r="AM1162" t="s">
        <v>3402</v>
      </c>
      <c r="AN1162">
        <v>46128</v>
      </c>
      <c r="AO1162">
        <v>46128.41265046296</v>
      </c>
      <c r="AP1162" t="s">
        <v>51</v>
      </c>
      <c r="AQ1162">
        <v>0.13306999999999999</v>
      </c>
      <c r="AR1162">
        <v>1277.47</v>
      </c>
      <c r="AS1162" t="s">
        <v>51</v>
      </c>
      <c r="AT1162">
        <v>1277.47</v>
      </c>
      <c r="AU1162" t="s">
        <v>415</v>
      </c>
      <c r="AV1162" t="s">
        <v>557</v>
      </c>
      <c r="AW1162" t="s">
        <v>3205</v>
      </c>
      <c r="AX1162">
        <v>46134</v>
      </c>
      <c r="AY1162">
        <v>46183</v>
      </c>
      <c r="AZ1162" t="s">
        <v>3387</v>
      </c>
      <c r="BA1162" t="s">
        <v>560</v>
      </c>
      <c r="BB1162" t="s">
        <v>3388</v>
      </c>
      <c r="BC1162">
        <v>320</v>
      </c>
      <c r="BD1162" t="s">
        <v>521</v>
      </c>
      <c r="BE1162">
        <v>4.1859999999999999</v>
      </c>
      <c r="BF1162">
        <v>3.6160000000000001</v>
      </c>
      <c r="BG1162" t="s">
        <v>522</v>
      </c>
      <c r="BH1162">
        <v>395</v>
      </c>
      <c r="BI1162">
        <v>295</v>
      </c>
      <c r="BJ1162">
        <v>255</v>
      </c>
      <c r="BK1162">
        <v>30</v>
      </c>
      <c r="BL1162" t="s">
        <v>521</v>
      </c>
      <c r="BM1162">
        <v>152.58000000000001</v>
      </c>
      <c r="BN1162">
        <v>108.48</v>
      </c>
      <c r="BO1162">
        <v>152.58000000000001</v>
      </c>
      <c r="BP1162" t="s">
        <v>522</v>
      </c>
      <c r="BQ1162">
        <v>1200</v>
      </c>
      <c r="BR1162">
        <v>1000</v>
      </c>
      <c r="BS1162">
        <v>918</v>
      </c>
      <c r="BT1162">
        <v>1</v>
      </c>
      <c r="BU1162">
        <v>0</v>
      </c>
      <c r="BV1162">
        <v>1</v>
      </c>
      <c r="BW1162">
        <v>30</v>
      </c>
      <c r="BX1162">
        <v>0</v>
      </c>
      <c r="BY1162">
        <v>30</v>
      </c>
      <c r="BZ1162">
        <v>9600</v>
      </c>
      <c r="CA1162">
        <v>0</v>
      </c>
      <c r="CB1162">
        <v>9600</v>
      </c>
      <c r="CC1162">
        <v>108.48</v>
      </c>
      <c r="CD1162" t="s">
        <v>633</v>
      </c>
      <c r="CE1162" t="s">
        <v>836</v>
      </c>
      <c r="CG1162" t="s">
        <v>421</v>
      </c>
      <c r="CN1162" t="str">
        <v>M19</v>
      </c>
      <c r="CO1162" t="str">
        <v>1275-5YY0783EN</v>
      </c>
      <c r="CP1162" t="str">
        <v>ZCSU7928505</v>
      </c>
      <c r="CQ1162" s="23">
        <v>99.156400000000005</v>
      </c>
      <c r="CR1162" s="25">
        <f t="shared" si="48"/>
        <v>1.2729608246333178E-2</v>
      </c>
      <c r="CS1162" s="21">
        <f t="shared" si="49"/>
        <v>31.824020615832943</v>
      </c>
    </row>
    <row r="1163" spans="2:97" x14ac:dyDescent="0.35">
      <c r="B1163" t="s">
        <v>296</v>
      </c>
      <c r="C1163" t="s">
        <v>3403</v>
      </c>
      <c r="D1163" t="s">
        <v>395</v>
      </c>
      <c r="E1163" t="s">
        <v>395</v>
      </c>
      <c r="F1163" t="s">
        <v>396</v>
      </c>
      <c r="G1163" t="s">
        <v>397</v>
      </c>
      <c r="H1163" t="s">
        <v>398</v>
      </c>
      <c r="I1163" t="s">
        <v>399</v>
      </c>
      <c r="J1163" t="s">
        <v>749</v>
      </c>
      <c r="K1163" t="s">
        <v>1142</v>
      </c>
      <c r="L1163" t="s">
        <v>787</v>
      </c>
      <c r="M1163" t="s">
        <v>403</v>
      </c>
      <c r="N1163">
        <v>1</v>
      </c>
      <c r="O1163">
        <v>1</v>
      </c>
      <c r="P1163" t="s">
        <v>1653</v>
      </c>
      <c r="Q1163" t="s">
        <v>430</v>
      </c>
      <c r="R1163" t="s">
        <v>1654</v>
      </c>
      <c r="S1163" t="s">
        <v>1655</v>
      </c>
      <c r="T1163" t="s">
        <v>408</v>
      </c>
      <c r="U1163">
        <v>50950081766</v>
      </c>
      <c r="W1163">
        <v>9000</v>
      </c>
      <c r="X1163" t="s">
        <v>409</v>
      </c>
      <c r="Y1163" t="s">
        <v>410</v>
      </c>
      <c r="Z1163" t="s">
        <v>410</v>
      </c>
      <c r="AA1163" t="s">
        <v>411</v>
      </c>
      <c r="AB1163" t="s">
        <v>554</v>
      </c>
      <c r="AC1163" t="s">
        <v>411</v>
      </c>
      <c r="AD1163">
        <v>46132</v>
      </c>
      <c r="AE1163">
        <v>46188</v>
      </c>
      <c r="AF1163">
        <v>46134</v>
      </c>
      <c r="AG1163" t="s">
        <v>754</v>
      </c>
      <c r="AH1163">
        <v>6194192</v>
      </c>
      <c r="AI1163">
        <v>46127</v>
      </c>
      <c r="AJ1163">
        <v>46128</v>
      </c>
      <c r="AK1163">
        <v>9000</v>
      </c>
      <c r="AL1163" t="s">
        <v>396</v>
      </c>
      <c r="AM1163" t="s">
        <v>3404</v>
      </c>
      <c r="AN1163">
        <v>46128</v>
      </c>
      <c r="AO1163">
        <v>46128.41265046296</v>
      </c>
      <c r="AP1163" t="s">
        <v>51</v>
      </c>
      <c r="AQ1163">
        <v>4.2209999999999998E-2</v>
      </c>
      <c r="AR1163">
        <v>379.89</v>
      </c>
      <c r="AS1163" t="s">
        <v>51</v>
      </c>
      <c r="AT1163">
        <v>379.89</v>
      </c>
      <c r="AU1163" t="s">
        <v>415</v>
      </c>
      <c r="AV1163" t="s">
        <v>557</v>
      </c>
      <c r="AW1163" t="s">
        <v>3205</v>
      </c>
      <c r="AX1163">
        <v>46134</v>
      </c>
      <c r="AY1163">
        <v>46183</v>
      </c>
      <c r="AZ1163" t="s">
        <v>3387</v>
      </c>
      <c r="BA1163" t="s">
        <v>560</v>
      </c>
      <c r="BB1163" t="s">
        <v>3388</v>
      </c>
      <c r="BC1163">
        <v>9000</v>
      </c>
      <c r="BD1163" t="s">
        <v>521</v>
      </c>
      <c r="BE1163">
        <v>473.2</v>
      </c>
      <c r="BF1163">
        <v>452.7</v>
      </c>
      <c r="BG1163" t="s">
        <v>522</v>
      </c>
      <c r="BH1163">
        <v>1050</v>
      </c>
      <c r="BI1163">
        <v>480</v>
      </c>
      <c r="BJ1163">
        <v>460</v>
      </c>
      <c r="BK1163">
        <v>1</v>
      </c>
      <c r="BL1163" t="s">
        <v>521</v>
      </c>
      <c r="BM1163">
        <v>473.20010000000002</v>
      </c>
      <c r="BN1163">
        <v>452.7</v>
      </c>
      <c r="BO1163">
        <v>473.20010000000002</v>
      </c>
      <c r="BP1163" t="s">
        <v>522</v>
      </c>
      <c r="BQ1163">
        <v>1050</v>
      </c>
      <c r="BR1163">
        <v>480</v>
      </c>
      <c r="BS1163">
        <v>480</v>
      </c>
      <c r="BT1163">
        <v>1</v>
      </c>
      <c r="BU1163">
        <v>0</v>
      </c>
      <c r="BV1163">
        <v>1</v>
      </c>
      <c r="BW1163">
        <v>1</v>
      </c>
      <c r="BX1163">
        <v>0</v>
      </c>
      <c r="BY1163">
        <v>1</v>
      </c>
      <c r="BZ1163">
        <v>9000</v>
      </c>
      <c r="CA1163">
        <v>0</v>
      </c>
      <c r="CB1163">
        <v>9000</v>
      </c>
      <c r="CC1163">
        <v>452.7</v>
      </c>
      <c r="CD1163" t="s">
        <v>641</v>
      </c>
      <c r="CE1163" t="s">
        <v>1147</v>
      </c>
      <c r="CG1163" t="s">
        <v>421</v>
      </c>
      <c r="CN1163" t="str">
        <v>M19</v>
      </c>
      <c r="CO1163" t="str">
        <v>1275-5YY0568EN</v>
      </c>
      <c r="CP1163" t="str">
        <v>ZCSU7928505</v>
      </c>
      <c r="CQ1163" s="23">
        <v>1410.9004</v>
      </c>
      <c r="CR1163" s="25">
        <f t="shared" si="48"/>
        <v>0.18113010725071482</v>
      </c>
      <c r="CS1163" s="21">
        <f t="shared" si="49"/>
        <v>452.82526812678708</v>
      </c>
    </row>
    <row r="1164" spans="2:97" x14ac:dyDescent="0.35">
      <c r="B1164" t="s">
        <v>296</v>
      </c>
      <c r="C1164" t="s">
        <v>3331</v>
      </c>
      <c r="D1164" t="s">
        <v>395</v>
      </c>
      <c r="E1164" t="s">
        <v>395</v>
      </c>
      <c r="F1164" t="s">
        <v>396</v>
      </c>
      <c r="G1164" t="s">
        <v>397</v>
      </c>
      <c r="H1164" t="s">
        <v>398</v>
      </c>
      <c r="I1164" t="s">
        <v>399</v>
      </c>
      <c r="J1164" t="s">
        <v>749</v>
      </c>
      <c r="K1164" t="s">
        <v>1142</v>
      </c>
      <c r="L1164" t="s">
        <v>787</v>
      </c>
      <c r="M1164" t="s">
        <v>403</v>
      </c>
      <c r="N1164">
        <v>1</v>
      </c>
      <c r="O1164">
        <v>2</v>
      </c>
      <c r="P1164" t="s">
        <v>1412</v>
      </c>
      <c r="Q1164" t="s">
        <v>587</v>
      </c>
      <c r="R1164" t="s">
        <v>1164</v>
      </c>
      <c r="S1164" t="s">
        <v>1165</v>
      </c>
      <c r="T1164" t="s">
        <v>408</v>
      </c>
      <c r="U1164">
        <v>50950081881</v>
      </c>
      <c r="W1164">
        <v>14528</v>
      </c>
      <c r="X1164" t="s">
        <v>409</v>
      </c>
      <c r="Y1164" t="s">
        <v>410</v>
      </c>
      <c r="Z1164" t="s">
        <v>410</v>
      </c>
      <c r="AA1164" t="s">
        <v>411</v>
      </c>
      <c r="AB1164" t="s">
        <v>554</v>
      </c>
      <c r="AC1164" t="s">
        <v>411</v>
      </c>
      <c r="AD1164">
        <v>46130</v>
      </c>
      <c r="AE1164">
        <v>46195</v>
      </c>
      <c r="AF1164">
        <v>46134</v>
      </c>
      <c r="AG1164" t="s">
        <v>754</v>
      </c>
      <c r="AH1164">
        <v>6194193</v>
      </c>
      <c r="AI1164">
        <v>46127</v>
      </c>
      <c r="AJ1164">
        <v>46128</v>
      </c>
      <c r="AK1164">
        <v>14528</v>
      </c>
      <c r="AL1164" t="s">
        <v>396</v>
      </c>
      <c r="AM1164" t="s">
        <v>3405</v>
      </c>
      <c r="AN1164">
        <v>46128</v>
      </c>
      <c r="AO1164">
        <v>46128.41265046296</v>
      </c>
      <c r="AP1164" t="s">
        <v>51</v>
      </c>
      <c r="AQ1164">
        <v>0.22423000000000001</v>
      </c>
      <c r="AR1164">
        <v>3257.6</v>
      </c>
      <c r="AS1164" t="s">
        <v>51</v>
      </c>
      <c r="AT1164">
        <v>3257.6</v>
      </c>
      <c r="AU1164" t="s">
        <v>415</v>
      </c>
      <c r="AV1164" t="s">
        <v>557</v>
      </c>
      <c r="AW1164" t="s">
        <v>3205</v>
      </c>
      <c r="AX1164">
        <v>46134</v>
      </c>
      <c r="AY1164">
        <v>46183</v>
      </c>
      <c r="AZ1164" t="s">
        <v>3387</v>
      </c>
      <c r="BA1164" t="s">
        <v>560</v>
      </c>
      <c r="BB1164" t="s">
        <v>3388</v>
      </c>
      <c r="BC1164">
        <v>3632</v>
      </c>
      <c r="BD1164" t="s">
        <v>521</v>
      </c>
      <c r="BE1164">
        <v>638.37580000000003</v>
      </c>
      <c r="BF1164">
        <v>617.87580000000003</v>
      </c>
      <c r="BG1164" t="s">
        <v>522</v>
      </c>
      <c r="BH1164">
        <v>1050</v>
      </c>
      <c r="BI1164">
        <v>480</v>
      </c>
      <c r="BJ1164">
        <v>460</v>
      </c>
      <c r="BK1164">
        <v>1</v>
      </c>
      <c r="BL1164" t="s">
        <v>521</v>
      </c>
      <c r="BM1164">
        <v>638.3759</v>
      </c>
      <c r="BN1164">
        <v>617.87580000000003</v>
      </c>
      <c r="BO1164">
        <v>2553.5037600000001</v>
      </c>
      <c r="BP1164" t="s">
        <v>522</v>
      </c>
      <c r="BQ1164">
        <v>1050</v>
      </c>
      <c r="BR1164">
        <v>480</v>
      </c>
      <c r="BS1164">
        <v>480</v>
      </c>
      <c r="BT1164">
        <v>4</v>
      </c>
      <c r="BU1164">
        <v>0</v>
      </c>
      <c r="BV1164">
        <v>4</v>
      </c>
      <c r="BW1164">
        <v>4</v>
      </c>
      <c r="BX1164">
        <v>0</v>
      </c>
      <c r="BY1164">
        <v>4</v>
      </c>
      <c r="BZ1164">
        <v>14528</v>
      </c>
      <c r="CA1164">
        <v>0</v>
      </c>
      <c r="CB1164">
        <v>14528</v>
      </c>
      <c r="CC1164">
        <v>2471.5033600000002</v>
      </c>
      <c r="CD1164" t="s">
        <v>641</v>
      </c>
      <c r="CE1164" t="s">
        <v>1147</v>
      </c>
      <c r="CG1164" t="s">
        <v>421</v>
      </c>
      <c r="CN1164" t="str">
        <v>M01</v>
      </c>
      <c r="CO1164" t="str">
        <v>1438-1010107EN</v>
      </c>
      <c r="CP1164" t="str">
        <v>ZCSU7928505</v>
      </c>
      <c r="CQ1164" s="23">
        <v>999.68960000000004</v>
      </c>
      <c r="CR1164" s="25">
        <f t="shared" si="48"/>
        <v>0.12833923958446974</v>
      </c>
      <c r="CS1164" s="21">
        <f t="shared" si="49"/>
        <v>320.84809896117434</v>
      </c>
    </row>
    <row r="1165" spans="2:97" x14ac:dyDescent="0.35">
      <c r="B1165" t="s">
        <v>296</v>
      </c>
      <c r="C1165" t="s">
        <v>3333</v>
      </c>
      <c r="D1165" t="s">
        <v>395</v>
      </c>
      <c r="E1165" t="s">
        <v>395</v>
      </c>
      <c r="F1165" t="s">
        <v>396</v>
      </c>
      <c r="G1165" t="s">
        <v>397</v>
      </c>
      <c r="H1165" t="s">
        <v>398</v>
      </c>
      <c r="I1165" t="s">
        <v>399</v>
      </c>
      <c r="J1165" t="s">
        <v>749</v>
      </c>
      <c r="K1165" t="s">
        <v>1142</v>
      </c>
      <c r="L1165" t="s">
        <v>787</v>
      </c>
      <c r="M1165" t="s">
        <v>403</v>
      </c>
      <c r="N1165">
        <v>1</v>
      </c>
      <c r="O1165">
        <v>2</v>
      </c>
      <c r="P1165" t="s">
        <v>1406</v>
      </c>
      <c r="Q1165" t="s">
        <v>587</v>
      </c>
      <c r="R1165" t="s">
        <v>1164</v>
      </c>
      <c r="S1165" t="s">
        <v>1165</v>
      </c>
      <c r="T1165" t="s">
        <v>408</v>
      </c>
      <c r="U1165">
        <v>50950081834</v>
      </c>
      <c r="W1165">
        <v>18160</v>
      </c>
      <c r="X1165" t="s">
        <v>409</v>
      </c>
      <c r="Y1165" t="s">
        <v>410</v>
      </c>
      <c r="Z1165" t="s">
        <v>410</v>
      </c>
      <c r="AA1165" t="s">
        <v>411</v>
      </c>
      <c r="AB1165" t="s">
        <v>554</v>
      </c>
      <c r="AC1165" t="s">
        <v>411</v>
      </c>
      <c r="AD1165">
        <v>46130</v>
      </c>
      <c r="AE1165">
        <v>46195</v>
      </c>
      <c r="AF1165">
        <v>46134</v>
      </c>
      <c r="AG1165" t="s">
        <v>754</v>
      </c>
      <c r="AH1165">
        <v>6194194</v>
      </c>
      <c r="AI1165">
        <v>46127</v>
      </c>
      <c r="AJ1165">
        <v>46128</v>
      </c>
      <c r="AK1165">
        <v>18160</v>
      </c>
      <c r="AL1165" t="s">
        <v>396</v>
      </c>
      <c r="AM1165" t="s">
        <v>3406</v>
      </c>
      <c r="AN1165">
        <v>46128</v>
      </c>
      <c r="AO1165">
        <v>46128.41265046296</v>
      </c>
      <c r="AP1165" t="s">
        <v>51</v>
      </c>
      <c r="AQ1165">
        <v>0.22667000000000001</v>
      </c>
      <c r="AR1165">
        <v>4116.3500000000004</v>
      </c>
      <c r="AS1165" t="s">
        <v>51</v>
      </c>
      <c r="AT1165">
        <v>4116.3500000000004</v>
      </c>
      <c r="AU1165" t="s">
        <v>415</v>
      </c>
      <c r="AV1165" t="s">
        <v>557</v>
      </c>
      <c r="AW1165" t="s">
        <v>3205</v>
      </c>
      <c r="AX1165">
        <v>46134</v>
      </c>
      <c r="AY1165">
        <v>46183</v>
      </c>
      <c r="AZ1165" t="s">
        <v>3387</v>
      </c>
      <c r="BA1165" t="s">
        <v>560</v>
      </c>
      <c r="BB1165" t="s">
        <v>3388</v>
      </c>
      <c r="BC1165">
        <v>3632</v>
      </c>
      <c r="BD1165" t="s">
        <v>521</v>
      </c>
      <c r="BE1165">
        <v>646.221</v>
      </c>
      <c r="BF1165">
        <v>625.721</v>
      </c>
      <c r="BG1165" t="s">
        <v>522</v>
      </c>
      <c r="BH1165">
        <v>1050</v>
      </c>
      <c r="BI1165">
        <v>480</v>
      </c>
      <c r="BJ1165">
        <v>460</v>
      </c>
      <c r="BK1165">
        <v>1</v>
      </c>
      <c r="BL1165" t="s">
        <v>521</v>
      </c>
      <c r="BM1165">
        <v>646.22109999999998</v>
      </c>
      <c r="BN1165">
        <v>625.721</v>
      </c>
      <c r="BO1165">
        <v>3231.1053000000002</v>
      </c>
      <c r="BP1165" t="s">
        <v>522</v>
      </c>
      <c r="BQ1165">
        <v>1050</v>
      </c>
      <c r="BR1165">
        <v>480</v>
      </c>
      <c r="BS1165">
        <v>480</v>
      </c>
      <c r="BT1165">
        <v>5</v>
      </c>
      <c r="BU1165">
        <v>0</v>
      </c>
      <c r="BV1165">
        <v>5</v>
      </c>
      <c r="BW1165">
        <v>5</v>
      </c>
      <c r="BX1165">
        <v>0</v>
      </c>
      <c r="BY1165">
        <v>5</v>
      </c>
      <c r="BZ1165">
        <v>18160</v>
      </c>
      <c r="CA1165">
        <v>0</v>
      </c>
      <c r="CB1165">
        <v>18160</v>
      </c>
      <c r="CC1165">
        <v>3128.6048000000001</v>
      </c>
      <c r="CD1165" t="s">
        <v>641</v>
      </c>
      <c r="CE1165" t="s">
        <v>1147</v>
      </c>
      <c r="CG1165" t="s">
        <v>421</v>
      </c>
      <c r="CN1165" t="str">
        <v>M45</v>
      </c>
      <c r="CO1165" t="str">
        <v>1438-12C0005EN</v>
      </c>
      <c r="CP1165" t="str">
        <v>ZCSU7928505</v>
      </c>
      <c r="CQ1165" s="23">
        <v>478.92</v>
      </c>
      <c r="CR1165" s="25">
        <f t="shared" si="48"/>
        <v>6.1483313042162542E-2</v>
      </c>
      <c r="CS1165" s="21">
        <f t="shared" si="49"/>
        <v>153.70828260540637</v>
      </c>
    </row>
    <row r="1166" spans="2:97" x14ac:dyDescent="0.35">
      <c r="B1166" t="s">
        <v>299</v>
      </c>
      <c r="C1166" t="s">
        <v>3019</v>
      </c>
      <c r="D1166" t="s">
        <v>395</v>
      </c>
      <c r="E1166" t="s">
        <v>395</v>
      </c>
      <c r="F1166" t="s">
        <v>396</v>
      </c>
      <c r="G1166" t="s">
        <v>397</v>
      </c>
      <c r="H1166" t="s">
        <v>398</v>
      </c>
      <c r="I1166" t="s">
        <v>399</v>
      </c>
      <c r="J1166" t="s">
        <v>749</v>
      </c>
      <c r="K1166" t="s">
        <v>809</v>
      </c>
      <c r="L1166" t="s">
        <v>787</v>
      </c>
      <c r="M1166" t="s">
        <v>403</v>
      </c>
      <c r="N1166">
        <v>1</v>
      </c>
      <c r="O1166">
        <v>2</v>
      </c>
      <c r="P1166" t="s">
        <v>1138</v>
      </c>
      <c r="Q1166" t="s">
        <v>943</v>
      </c>
      <c r="R1166" t="s">
        <v>811</v>
      </c>
      <c r="S1166" t="s">
        <v>1139</v>
      </c>
      <c r="T1166" t="s">
        <v>408</v>
      </c>
      <c r="U1166">
        <v>50950082100</v>
      </c>
      <c r="W1166">
        <v>4320</v>
      </c>
      <c r="X1166" t="s">
        <v>409</v>
      </c>
      <c r="Y1166" t="s">
        <v>410</v>
      </c>
      <c r="Z1166" t="s">
        <v>410</v>
      </c>
      <c r="AA1166" t="s">
        <v>411</v>
      </c>
      <c r="AB1166" t="s">
        <v>554</v>
      </c>
      <c r="AC1166" t="s">
        <v>411</v>
      </c>
      <c r="AD1166">
        <v>46130</v>
      </c>
      <c r="AE1166">
        <v>46188</v>
      </c>
      <c r="AF1166">
        <v>46134</v>
      </c>
      <c r="AG1166" t="s">
        <v>754</v>
      </c>
      <c r="AH1166">
        <v>6194195</v>
      </c>
      <c r="AI1166">
        <v>46127</v>
      </c>
      <c r="AJ1166">
        <v>46128</v>
      </c>
      <c r="AK1166">
        <v>4320</v>
      </c>
      <c r="AL1166" t="s">
        <v>396</v>
      </c>
      <c r="AM1166" t="s">
        <v>3407</v>
      </c>
      <c r="AN1166">
        <v>46128</v>
      </c>
      <c r="AO1166">
        <v>46128.41265046296</v>
      </c>
      <c r="AP1166" t="s">
        <v>51</v>
      </c>
      <c r="AQ1166">
        <v>1.5686</v>
      </c>
      <c r="AR1166">
        <v>6776.37</v>
      </c>
      <c r="AS1166" t="s">
        <v>51</v>
      </c>
      <c r="AT1166">
        <v>6776.37</v>
      </c>
      <c r="AU1166" t="s">
        <v>415</v>
      </c>
      <c r="AV1166" t="s">
        <v>557</v>
      </c>
      <c r="AW1166" t="s">
        <v>3205</v>
      </c>
      <c r="AX1166">
        <v>46134</v>
      </c>
      <c r="AY1166">
        <v>46183</v>
      </c>
      <c r="AZ1166" t="s">
        <v>3387</v>
      </c>
      <c r="BA1166" t="s">
        <v>560</v>
      </c>
      <c r="BB1166" t="s">
        <v>3388</v>
      </c>
      <c r="BC1166">
        <v>16</v>
      </c>
      <c r="BD1166" t="s">
        <v>521</v>
      </c>
      <c r="BE1166">
        <v>4.0369000000000002</v>
      </c>
      <c r="BF1166">
        <v>2.8378999999999999</v>
      </c>
      <c r="BG1166" t="s">
        <v>522</v>
      </c>
      <c r="BH1166">
        <v>495</v>
      </c>
      <c r="BI1166">
        <v>395</v>
      </c>
      <c r="BJ1166">
        <v>190</v>
      </c>
      <c r="BK1166">
        <v>30</v>
      </c>
      <c r="BL1166" t="s">
        <v>521</v>
      </c>
      <c r="BM1166">
        <v>148.107</v>
      </c>
      <c r="BN1166">
        <v>85.137</v>
      </c>
      <c r="BO1166">
        <v>1332.9511199999999</v>
      </c>
      <c r="BP1166" t="s">
        <v>522</v>
      </c>
      <c r="BQ1166">
        <v>1200</v>
      </c>
      <c r="BR1166">
        <v>1000</v>
      </c>
      <c r="BS1166">
        <v>1120</v>
      </c>
      <c r="BT1166">
        <v>9</v>
      </c>
      <c r="BU1166">
        <v>0</v>
      </c>
      <c r="BV1166">
        <v>9</v>
      </c>
      <c r="BW1166">
        <v>270</v>
      </c>
      <c r="BX1166">
        <v>0</v>
      </c>
      <c r="BY1166">
        <v>270</v>
      </c>
      <c r="BZ1166">
        <v>4320</v>
      </c>
      <c r="CA1166">
        <v>0</v>
      </c>
      <c r="CB1166">
        <v>4320</v>
      </c>
      <c r="CC1166">
        <v>766.22112000000004</v>
      </c>
      <c r="CD1166" t="s">
        <v>806</v>
      </c>
      <c r="CE1166" t="s">
        <v>816</v>
      </c>
      <c r="CG1166" t="s">
        <v>421</v>
      </c>
      <c r="CN1166" t="str">
        <v>M01</v>
      </c>
      <c r="CO1166" t="str">
        <v>1438-1010133EN</v>
      </c>
      <c r="CP1166" t="str">
        <v>ZCSU7928505</v>
      </c>
      <c r="CQ1166" s="23">
        <v>1665.6016</v>
      </c>
      <c r="CR1166" s="25">
        <f t="shared" si="48"/>
        <v>0.21382841513473397</v>
      </c>
      <c r="CS1166" s="21">
        <f t="shared" si="49"/>
        <v>534.57103783683488</v>
      </c>
    </row>
    <row r="1167" spans="2:97" x14ac:dyDescent="0.35">
      <c r="B1167" t="s">
        <v>299</v>
      </c>
      <c r="C1167" t="s">
        <v>3340</v>
      </c>
      <c r="D1167" t="s">
        <v>395</v>
      </c>
      <c r="E1167" t="s">
        <v>395</v>
      </c>
      <c r="F1167" t="s">
        <v>396</v>
      </c>
      <c r="G1167" t="s">
        <v>397</v>
      </c>
      <c r="H1167" t="s">
        <v>398</v>
      </c>
      <c r="I1167" t="s">
        <v>399</v>
      </c>
      <c r="J1167" t="s">
        <v>749</v>
      </c>
      <c r="K1167" t="s">
        <v>2155</v>
      </c>
      <c r="L1167" t="s">
        <v>787</v>
      </c>
      <c r="M1167" t="s">
        <v>403</v>
      </c>
      <c r="N1167">
        <v>1</v>
      </c>
      <c r="O1167">
        <v>2</v>
      </c>
      <c r="P1167" t="s">
        <v>2156</v>
      </c>
      <c r="Q1167" t="s">
        <v>430</v>
      </c>
      <c r="R1167" t="s">
        <v>2157</v>
      </c>
      <c r="S1167" t="s">
        <v>2158</v>
      </c>
      <c r="T1167" t="s">
        <v>408</v>
      </c>
      <c r="U1167">
        <v>50950081956</v>
      </c>
      <c r="W1167">
        <v>11520</v>
      </c>
      <c r="X1167" t="s">
        <v>409</v>
      </c>
      <c r="Y1167" t="s">
        <v>410</v>
      </c>
      <c r="Z1167" t="s">
        <v>410</v>
      </c>
      <c r="AA1167" t="s">
        <v>411</v>
      </c>
      <c r="AB1167" t="s">
        <v>554</v>
      </c>
      <c r="AC1167" t="s">
        <v>411</v>
      </c>
      <c r="AD1167">
        <v>46125</v>
      </c>
      <c r="AE1167">
        <v>46195</v>
      </c>
      <c r="AF1167">
        <v>46134</v>
      </c>
      <c r="AG1167" t="s">
        <v>754</v>
      </c>
      <c r="AH1167">
        <v>6194196</v>
      </c>
      <c r="AI1167">
        <v>46127</v>
      </c>
      <c r="AJ1167">
        <v>46128</v>
      </c>
      <c r="AK1167">
        <v>11520</v>
      </c>
      <c r="AL1167" t="s">
        <v>396</v>
      </c>
      <c r="AM1167" t="s">
        <v>3408</v>
      </c>
      <c r="AN1167">
        <v>46128</v>
      </c>
      <c r="AO1167">
        <v>46128.41265046296</v>
      </c>
      <c r="AP1167" t="s">
        <v>51</v>
      </c>
      <c r="AQ1167">
        <v>0.59287000000000001</v>
      </c>
      <c r="AR1167">
        <v>6829.86</v>
      </c>
      <c r="AS1167" t="s">
        <v>51</v>
      </c>
      <c r="AT1167">
        <v>6829.86</v>
      </c>
      <c r="AU1167" t="s">
        <v>415</v>
      </c>
      <c r="AV1167" t="s">
        <v>557</v>
      </c>
      <c r="AW1167" t="s">
        <v>3205</v>
      </c>
      <c r="AX1167">
        <v>46134</v>
      </c>
      <c r="AY1167">
        <v>46183</v>
      </c>
      <c r="AZ1167" t="s">
        <v>3387</v>
      </c>
      <c r="BA1167" t="s">
        <v>560</v>
      </c>
      <c r="BB1167" t="s">
        <v>3388</v>
      </c>
      <c r="BC1167">
        <v>192</v>
      </c>
      <c r="BD1167" t="s">
        <v>521</v>
      </c>
      <c r="BE1167">
        <v>8.4347999999999992</v>
      </c>
      <c r="BF1167">
        <v>7.3228</v>
      </c>
      <c r="BG1167" t="s">
        <v>522</v>
      </c>
      <c r="BH1167">
        <v>395</v>
      </c>
      <c r="BI1167">
        <v>295</v>
      </c>
      <c r="BJ1167">
        <v>140</v>
      </c>
      <c r="BK1167">
        <v>60</v>
      </c>
      <c r="BL1167" t="s">
        <v>521</v>
      </c>
      <c r="BM1167">
        <v>533.08704</v>
      </c>
      <c r="BN1167">
        <v>439.36703999999997</v>
      </c>
      <c r="BO1167">
        <v>533.08704</v>
      </c>
      <c r="BP1167" t="s">
        <v>522</v>
      </c>
      <c r="BQ1167">
        <v>1200</v>
      </c>
      <c r="BR1167">
        <v>1000</v>
      </c>
      <c r="BS1167">
        <v>1000</v>
      </c>
      <c r="BT1167">
        <v>1</v>
      </c>
      <c r="BU1167">
        <v>0</v>
      </c>
      <c r="BV1167">
        <v>1</v>
      </c>
      <c r="BW1167">
        <v>60</v>
      </c>
      <c r="BX1167">
        <v>0</v>
      </c>
      <c r="BY1167">
        <v>60</v>
      </c>
      <c r="BZ1167">
        <v>11520</v>
      </c>
      <c r="CA1167">
        <v>0</v>
      </c>
      <c r="CB1167">
        <v>11520</v>
      </c>
      <c r="CC1167">
        <v>439.36703999999997</v>
      </c>
      <c r="CD1167" t="s">
        <v>2160</v>
      </c>
      <c r="CE1167" t="s">
        <v>2161</v>
      </c>
      <c r="CG1167" t="s">
        <v>421</v>
      </c>
      <c r="CN1167" t="str">
        <v>M19</v>
      </c>
      <c r="CO1167" t="str">
        <v>1301-5YY0322EN0093</v>
      </c>
      <c r="CP1167" t="str">
        <v>ZCSU7928505</v>
      </c>
      <c r="CQ1167" s="23">
        <v>2673.5093999999999</v>
      </c>
      <c r="CR1167" s="25">
        <f t="shared" si="48"/>
        <v>0.34322269974393249</v>
      </c>
      <c r="CS1167" s="21">
        <f t="shared" si="49"/>
        <v>858.0567493598312</v>
      </c>
    </row>
    <row r="1168" spans="2:97" x14ac:dyDescent="0.35">
      <c r="B1168" t="s">
        <v>296</v>
      </c>
      <c r="C1168" t="s">
        <v>3409</v>
      </c>
      <c r="D1168" t="s">
        <v>395</v>
      </c>
      <c r="E1168" t="s">
        <v>395</v>
      </c>
      <c r="F1168" t="s">
        <v>396</v>
      </c>
      <c r="G1168" t="s">
        <v>397</v>
      </c>
      <c r="H1168" t="s">
        <v>398</v>
      </c>
      <c r="I1168" t="s">
        <v>399</v>
      </c>
      <c r="J1168" t="s">
        <v>749</v>
      </c>
      <c r="K1168" t="s">
        <v>629</v>
      </c>
      <c r="L1168" t="s">
        <v>787</v>
      </c>
      <c r="M1168" t="s">
        <v>403</v>
      </c>
      <c r="N1168">
        <v>1</v>
      </c>
      <c r="O1168">
        <v>1</v>
      </c>
      <c r="P1168" t="s">
        <v>2811</v>
      </c>
      <c r="Q1168" t="s">
        <v>405</v>
      </c>
      <c r="R1168" t="s">
        <v>839</v>
      </c>
      <c r="S1168" t="s">
        <v>840</v>
      </c>
      <c r="T1168" t="s">
        <v>408</v>
      </c>
      <c r="U1168">
        <v>50950082585</v>
      </c>
      <c r="W1168">
        <v>50000</v>
      </c>
      <c r="X1168" t="s">
        <v>409</v>
      </c>
      <c r="Y1168" t="s">
        <v>410</v>
      </c>
      <c r="Z1168" t="s">
        <v>410</v>
      </c>
      <c r="AA1168" t="s">
        <v>411</v>
      </c>
      <c r="AB1168" t="s">
        <v>554</v>
      </c>
      <c r="AC1168" t="s">
        <v>411</v>
      </c>
      <c r="AD1168">
        <v>46130</v>
      </c>
      <c r="AE1168">
        <v>46188</v>
      </c>
      <c r="AF1168">
        <v>46134</v>
      </c>
      <c r="AG1168" t="s">
        <v>754</v>
      </c>
      <c r="AH1168">
        <v>6194197</v>
      </c>
      <c r="AI1168">
        <v>46127</v>
      </c>
      <c r="AJ1168">
        <v>46128</v>
      </c>
      <c r="AK1168">
        <v>50000</v>
      </c>
      <c r="AL1168" t="s">
        <v>396</v>
      </c>
      <c r="AM1168" t="s">
        <v>3410</v>
      </c>
      <c r="AN1168">
        <v>46128</v>
      </c>
      <c r="AO1168">
        <v>46128.41265046296</v>
      </c>
      <c r="AP1168" t="s">
        <v>51</v>
      </c>
      <c r="AQ1168">
        <v>2.4080000000000001E-2</v>
      </c>
      <c r="AR1168">
        <v>1204</v>
      </c>
      <c r="AS1168" t="s">
        <v>51</v>
      </c>
      <c r="AT1168">
        <v>1204</v>
      </c>
      <c r="AU1168" t="s">
        <v>415</v>
      </c>
      <c r="AV1168" t="s">
        <v>557</v>
      </c>
      <c r="AW1168" t="s">
        <v>3205</v>
      </c>
      <c r="AX1168">
        <v>46134</v>
      </c>
      <c r="AY1168">
        <v>46183</v>
      </c>
      <c r="AZ1168" t="s">
        <v>3387</v>
      </c>
      <c r="BA1168" t="s">
        <v>560</v>
      </c>
      <c r="BB1168" t="s">
        <v>3388</v>
      </c>
      <c r="BC1168">
        <v>10000</v>
      </c>
      <c r="BD1168" t="s">
        <v>521</v>
      </c>
      <c r="BE1168">
        <v>9.2720000000000002</v>
      </c>
      <c r="BF1168">
        <v>8.42</v>
      </c>
      <c r="BG1168" t="s">
        <v>522</v>
      </c>
      <c r="BH1168">
        <v>595</v>
      </c>
      <c r="BI1168">
        <v>395</v>
      </c>
      <c r="BJ1168">
        <v>190</v>
      </c>
      <c r="BK1168">
        <v>25</v>
      </c>
      <c r="BL1168" t="s">
        <v>521</v>
      </c>
      <c r="BM1168">
        <v>73.36</v>
      </c>
      <c r="BN1168">
        <v>42.1</v>
      </c>
      <c r="BO1168">
        <v>73.36</v>
      </c>
      <c r="BP1168" t="s">
        <v>522</v>
      </c>
      <c r="BQ1168">
        <v>1200</v>
      </c>
      <c r="BR1168">
        <v>1000</v>
      </c>
      <c r="BS1168">
        <v>1018</v>
      </c>
      <c r="BT1168">
        <v>0</v>
      </c>
      <c r="BU1168">
        <v>1</v>
      </c>
      <c r="BV1168">
        <v>1</v>
      </c>
      <c r="BW1168">
        <v>5</v>
      </c>
      <c r="BX1168">
        <v>0</v>
      </c>
      <c r="BY1168">
        <v>5</v>
      </c>
      <c r="BZ1168">
        <v>0</v>
      </c>
      <c r="CA1168">
        <v>50000</v>
      </c>
      <c r="CB1168">
        <v>50000</v>
      </c>
      <c r="CC1168">
        <v>42.1</v>
      </c>
      <c r="CD1168" t="s">
        <v>2813</v>
      </c>
      <c r="CE1168" t="s">
        <v>2814</v>
      </c>
      <c r="CG1168" t="s">
        <v>421</v>
      </c>
    </row>
    <row r="1169" spans="2:85" x14ac:dyDescent="0.35">
      <c r="B1169" s="34" t="s">
        <v>297</v>
      </c>
      <c r="C1169" t="s">
        <v>921</v>
      </c>
      <c r="D1169" t="s">
        <v>549</v>
      </c>
      <c r="E1169" t="s">
        <v>395</v>
      </c>
      <c r="F1169" t="s">
        <v>396</v>
      </c>
      <c r="G1169" t="s">
        <v>397</v>
      </c>
      <c r="H1169" t="s">
        <v>398</v>
      </c>
      <c r="I1169" t="s">
        <v>399</v>
      </c>
      <c r="J1169" t="s">
        <v>749</v>
      </c>
      <c r="K1169" t="s">
        <v>922</v>
      </c>
      <c r="L1169" t="s">
        <v>766</v>
      </c>
      <c r="M1169" t="s">
        <v>403</v>
      </c>
      <c r="N1169">
        <v>1</v>
      </c>
      <c r="O1169">
        <v>1</v>
      </c>
      <c r="P1169" t="s">
        <v>923</v>
      </c>
      <c r="Q1169" t="s">
        <v>645</v>
      </c>
      <c r="R1169" t="s">
        <v>924</v>
      </c>
      <c r="S1169" t="s">
        <v>925</v>
      </c>
      <c r="T1169" t="s">
        <v>408</v>
      </c>
      <c r="U1169">
        <v>50950080751</v>
      </c>
      <c r="W1169">
        <v>11520</v>
      </c>
      <c r="X1169" t="s">
        <v>409</v>
      </c>
      <c r="Y1169" t="s">
        <v>410</v>
      </c>
      <c r="Z1169" t="s">
        <v>410</v>
      </c>
      <c r="AA1169" t="s">
        <v>411</v>
      </c>
      <c r="AB1169" t="s">
        <v>554</v>
      </c>
      <c r="AC1169" t="s">
        <v>411</v>
      </c>
      <c r="AD1169">
        <v>46125</v>
      </c>
      <c r="AE1169">
        <v>46167</v>
      </c>
      <c r="AF1169">
        <v>46134</v>
      </c>
      <c r="AG1169" t="s">
        <v>926</v>
      </c>
      <c r="AH1169">
        <v>6196099</v>
      </c>
      <c r="AI1169">
        <v>46128</v>
      </c>
      <c r="AJ1169">
        <v>46129</v>
      </c>
      <c r="AK1169">
        <v>11520</v>
      </c>
      <c r="AL1169" t="s">
        <v>396</v>
      </c>
      <c r="AM1169" t="s">
        <v>3411</v>
      </c>
      <c r="AN1169">
        <v>46129</v>
      </c>
      <c r="AO1169">
        <v>46129.489178240743</v>
      </c>
      <c r="AP1169" t="s">
        <v>51</v>
      </c>
      <c r="AQ1169">
        <v>0.62368999999999997</v>
      </c>
      <c r="AR1169">
        <v>7184.9</v>
      </c>
      <c r="AS1169" t="s">
        <v>51</v>
      </c>
      <c r="AT1169">
        <v>7184.9</v>
      </c>
      <c r="AU1169" t="s">
        <v>415</v>
      </c>
      <c r="AV1169" t="s">
        <v>557</v>
      </c>
      <c r="AW1169" t="s">
        <v>3205</v>
      </c>
      <c r="AX1169">
        <v>46134</v>
      </c>
      <c r="AY1169">
        <v>46183</v>
      </c>
      <c r="AZ1169" t="s">
        <v>3206</v>
      </c>
      <c r="BA1169" t="s">
        <v>560</v>
      </c>
      <c r="BB1169" t="s">
        <v>3207</v>
      </c>
      <c r="BC1169">
        <v>288</v>
      </c>
      <c r="BD1169" t="s">
        <v>521</v>
      </c>
      <c r="BE1169">
        <v>9.8219999999999992</v>
      </c>
      <c r="BF1169">
        <v>8.3520000000000003</v>
      </c>
      <c r="BG1169" t="s">
        <v>522</v>
      </c>
      <c r="BH1169">
        <v>400</v>
      </c>
      <c r="BI1169">
        <v>300</v>
      </c>
      <c r="BJ1169">
        <v>160</v>
      </c>
      <c r="BK1169">
        <v>40</v>
      </c>
      <c r="BL1169" t="s">
        <v>521</v>
      </c>
      <c r="BM1169">
        <v>417.88</v>
      </c>
      <c r="BN1169">
        <v>334.08</v>
      </c>
      <c r="BO1169">
        <v>417.88</v>
      </c>
      <c r="BP1169" t="s">
        <v>522</v>
      </c>
      <c r="BQ1169">
        <v>1200</v>
      </c>
      <c r="BR1169">
        <v>800</v>
      </c>
      <c r="BS1169">
        <v>970</v>
      </c>
      <c r="BT1169">
        <v>1</v>
      </c>
      <c r="BU1169">
        <v>0</v>
      </c>
      <c r="BV1169">
        <v>1</v>
      </c>
      <c r="BW1169">
        <v>40</v>
      </c>
      <c r="BX1169">
        <v>0</v>
      </c>
      <c r="BY1169">
        <v>40</v>
      </c>
      <c r="BZ1169">
        <v>11520</v>
      </c>
      <c r="CA1169">
        <v>0</v>
      </c>
      <c r="CB1169">
        <v>11520</v>
      </c>
      <c r="CC1169">
        <v>334.08</v>
      </c>
      <c r="CD1169" t="s">
        <v>930</v>
      </c>
      <c r="CE1169" t="s">
        <v>931</v>
      </c>
      <c r="CG1169" t="s">
        <v>421</v>
      </c>
    </row>
    <row r="1170" spans="2:85" x14ac:dyDescent="0.35">
      <c r="B1170" t="s">
        <v>297</v>
      </c>
      <c r="C1170" t="s">
        <v>2381</v>
      </c>
      <c r="D1170" t="s">
        <v>549</v>
      </c>
      <c r="E1170" t="s">
        <v>395</v>
      </c>
      <c r="F1170" t="s">
        <v>396</v>
      </c>
      <c r="G1170" t="s">
        <v>397</v>
      </c>
      <c r="H1170" t="s">
        <v>398</v>
      </c>
      <c r="I1170" t="s">
        <v>399</v>
      </c>
      <c r="J1170" t="s">
        <v>749</v>
      </c>
      <c r="K1170" t="s">
        <v>401</v>
      </c>
      <c r="L1170" t="s">
        <v>766</v>
      </c>
      <c r="M1170" t="s">
        <v>403</v>
      </c>
      <c r="N1170">
        <v>1</v>
      </c>
      <c r="O1170">
        <v>3</v>
      </c>
      <c r="P1170" t="s">
        <v>767</v>
      </c>
      <c r="Q1170" t="s">
        <v>424</v>
      </c>
      <c r="R1170" t="s">
        <v>552</v>
      </c>
      <c r="S1170" t="s">
        <v>768</v>
      </c>
      <c r="T1170" t="s">
        <v>408</v>
      </c>
      <c r="U1170">
        <v>50950081498</v>
      </c>
      <c r="W1170">
        <v>23040</v>
      </c>
      <c r="X1170" t="s">
        <v>409</v>
      </c>
      <c r="Y1170" t="s">
        <v>410</v>
      </c>
      <c r="Z1170" t="s">
        <v>410</v>
      </c>
      <c r="AA1170" t="s">
        <v>411</v>
      </c>
      <c r="AB1170" t="s">
        <v>554</v>
      </c>
      <c r="AC1170" t="s">
        <v>411</v>
      </c>
      <c r="AD1170">
        <v>46116</v>
      </c>
      <c r="AE1170">
        <v>46174</v>
      </c>
      <c r="AF1170">
        <v>46134</v>
      </c>
      <c r="AG1170" t="s">
        <v>770</v>
      </c>
      <c r="AH1170">
        <v>6196100</v>
      </c>
      <c r="AI1170">
        <v>46128</v>
      </c>
      <c r="AJ1170">
        <v>46129</v>
      </c>
      <c r="AK1170">
        <v>23040</v>
      </c>
      <c r="AL1170" t="s">
        <v>396</v>
      </c>
      <c r="AM1170" t="s">
        <v>3412</v>
      </c>
      <c r="AN1170">
        <v>46129</v>
      </c>
      <c r="AO1170">
        <v>46129.489178240743</v>
      </c>
      <c r="AP1170" t="s">
        <v>51</v>
      </c>
      <c r="AQ1170">
        <v>0.20744000000000001</v>
      </c>
      <c r="AR1170">
        <v>4779.42</v>
      </c>
      <c r="AS1170" t="s">
        <v>51</v>
      </c>
      <c r="AT1170">
        <v>4779.42</v>
      </c>
      <c r="AU1170" t="s">
        <v>415</v>
      </c>
      <c r="AV1170" t="s">
        <v>557</v>
      </c>
      <c r="AW1170" t="s">
        <v>3205</v>
      </c>
      <c r="AX1170">
        <v>46134</v>
      </c>
      <c r="AY1170">
        <v>46183</v>
      </c>
      <c r="AZ1170" t="s">
        <v>3206</v>
      </c>
      <c r="BA1170" t="s">
        <v>560</v>
      </c>
      <c r="BB1170" t="s">
        <v>3207</v>
      </c>
      <c r="BC1170">
        <v>240</v>
      </c>
      <c r="BD1170" t="s">
        <v>521</v>
      </c>
      <c r="BE1170">
        <v>2.5634000000000001</v>
      </c>
      <c r="BF1170">
        <v>1.2864</v>
      </c>
      <c r="BG1170" t="s">
        <v>522</v>
      </c>
      <c r="BH1170">
        <v>340</v>
      </c>
      <c r="BI1170">
        <v>250</v>
      </c>
      <c r="BJ1170">
        <v>230</v>
      </c>
      <c r="BK1170">
        <v>48</v>
      </c>
      <c r="BL1170" t="s">
        <v>521</v>
      </c>
      <c r="BM1170">
        <v>144.04320000000001</v>
      </c>
      <c r="BN1170">
        <v>61.747199999999999</v>
      </c>
      <c r="BO1170">
        <v>288.08640000000003</v>
      </c>
      <c r="BP1170" t="s">
        <v>522</v>
      </c>
      <c r="BQ1170">
        <v>1066</v>
      </c>
      <c r="BR1170">
        <v>1066</v>
      </c>
      <c r="BS1170">
        <v>1080</v>
      </c>
      <c r="BT1170">
        <v>2</v>
      </c>
      <c r="BU1170">
        <v>0</v>
      </c>
      <c r="BV1170">
        <v>2</v>
      </c>
      <c r="BW1170">
        <v>96</v>
      </c>
      <c r="BX1170">
        <v>0</v>
      </c>
      <c r="BY1170">
        <v>96</v>
      </c>
      <c r="BZ1170">
        <v>23040</v>
      </c>
      <c r="CA1170">
        <v>0</v>
      </c>
      <c r="CB1170">
        <v>23040</v>
      </c>
      <c r="CC1170">
        <v>123.4944</v>
      </c>
      <c r="CD1170" t="s">
        <v>562</v>
      </c>
      <c r="CE1170" t="s">
        <v>563</v>
      </c>
      <c r="CG1170" t="s">
        <v>421</v>
      </c>
    </row>
    <row r="1171" spans="2:85" x14ac:dyDescent="0.35">
      <c r="B1171" t="s">
        <v>299</v>
      </c>
      <c r="C1171" t="s">
        <v>3036</v>
      </c>
      <c r="D1171" t="s">
        <v>395</v>
      </c>
      <c r="E1171" t="s">
        <v>823</v>
      </c>
      <c r="F1171" t="s">
        <v>396</v>
      </c>
      <c r="G1171" t="s">
        <v>397</v>
      </c>
      <c r="H1171" t="s">
        <v>398</v>
      </c>
      <c r="I1171" t="s">
        <v>399</v>
      </c>
      <c r="J1171" t="s">
        <v>749</v>
      </c>
      <c r="K1171" t="s">
        <v>777</v>
      </c>
      <c r="L1171" t="s">
        <v>778</v>
      </c>
      <c r="M1171" t="s">
        <v>403</v>
      </c>
      <c r="N1171">
        <v>1</v>
      </c>
      <c r="O1171">
        <v>2</v>
      </c>
      <c r="P1171" t="s">
        <v>2417</v>
      </c>
      <c r="Q1171" t="s">
        <v>637</v>
      </c>
      <c r="R1171" t="s">
        <v>536</v>
      </c>
      <c r="S1171" t="s">
        <v>2418</v>
      </c>
      <c r="T1171" t="s">
        <v>408</v>
      </c>
      <c r="U1171">
        <v>50950080334</v>
      </c>
      <c r="W1171">
        <v>2520</v>
      </c>
      <c r="X1171" t="s">
        <v>409</v>
      </c>
      <c r="Y1171" t="s">
        <v>410</v>
      </c>
      <c r="Z1171" t="s">
        <v>410</v>
      </c>
      <c r="AA1171" t="s">
        <v>411</v>
      </c>
      <c r="AB1171" t="s">
        <v>554</v>
      </c>
      <c r="AC1171" t="s">
        <v>411</v>
      </c>
      <c r="AD1171">
        <v>46116</v>
      </c>
      <c r="AE1171">
        <v>46174</v>
      </c>
      <c r="AF1171">
        <v>46134</v>
      </c>
      <c r="AG1171" t="s">
        <v>781</v>
      </c>
      <c r="AH1171">
        <v>6196101</v>
      </c>
      <c r="AI1171">
        <v>46128</v>
      </c>
      <c r="AJ1171">
        <v>46129</v>
      </c>
      <c r="AK1171">
        <v>2520</v>
      </c>
      <c r="AL1171" t="s">
        <v>396</v>
      </c>
      <c r="AM1171" t="s">
        <v>3413</v>
      </c>
      <c r="AN1171">
        <v>46129</v>
      </c>
      <c r="AO1171">
        <v>46129.489178240743</v>
      </c>
      <c r="AP1171" t="s">
        <v>51</v>
      </c>
      <c r="AQ1171">
        <v>2.8247499999999999</v>
      </c>
      <c r="AR1171">
        <v>7118.35</v>
      </c>
      <c r="AS1171" t="s">
        <v>51</v>
      </c>
      <c r="AT1171">
        <v>7118.35</v>
      </c>
      <c r="AU1171" t="s">
        <v>415</v>
      </c>
      <c r="AV1171" t="s">
        <v>557</v>
      </c>
      <c r="AW1171" t="s">
        <v>3205</v>
      </c>
      <c r="AX1171">
        <v>46134</v>
      </c>
      <c r="AY1171">
        <v>46183</v>
      </c>
      <c r="AZ1171" t="s">
        <v>3206</v>
      </c>
      <c r="BA1171" t="s">
        <v>560</v>
      </c>
      <c r="BB1171" t="s">
        <v>3207</v>
      </c>
      <c r="BC1171">
        <v>28</v>
      </c>
      <c r="BD1171" t="s">
        <v>521</v>
      </c>
      <c r="BE1171">
        <v>4.8365999999999998</v>
      </c>
      <c r="BF1171">
        <v>2.9735999999999998</v>
      </c>
      <c r="BG1171" t="s">
        <v>522</v>
      </c>
      <c r="BH1171">
        <v>795</v>
      </c>
      <c r="BI1171">
        <v>395</v>
      </c>
      <c r="BJ1171">
        <v>145</v>
      </c>
      <c r="BK1171">
        <v>18</v>
      </c>
      <c r="BL1171" t="s">
        <v>521</v>
      </c>
      <c r="BM1171">
        <v>112.05880000000001</v>
      </c>
      <c r="BN1171">
        <v>53.524799999999999</v>
      </c>
      <c r="BO1171">
        <v>560.29399999999998</v>
      </c>
      <c r="BP1171" t="s">
        <v>522</v>
      </c>
      <c r="BQ1171">
        <v>1200</v>
      </c>
      <c r="BR1171">
        <v>800</v>
      </c>
      <c r="BS1171">
        <v>1030</v>
      </c>
      <c r="BT1171">
        <v>5</v>
      </c>
      <c r="BU1171">
        <v>0</v>
      </c>
      <c r="BV1171">
        <v>5</v>
      </c>
      <c r="BW1171">
        <v>90</v>
      </c>
      <c r="BX1171">
        <v>0</v>
      </c>
      <c r="BY1171">
        <v>90</v>
      </c>
      <c r="BZ1171">
        <v>2520</v>
      </c>
      <c r="CA1171">
        <v>0</v>
      </c>
      <c r="CB1171">
        <v>2520</v>
      </c>
      <c r="CC1171">
        <v>267.62400000000002</v>
      </c>
      <c r="CD1171" t="s">
        <v>783</v>
      </c>
      <c r="CE1171" t="s">
        <v>784</v>
      </c>
      <c r="CG1171" t="s">
        <v>421</v>
      </c>
    </row>
    <row r="1172" spans="2:85" x14ac:dyDescent="0.35">
      <c r="B1172" t="s">
        <v>296</v>
      </c>
      <c r="C1172" t="s">
        <v>3414</v>
      </c>
      <c r="D1172" t="s">
        <v>395</v>
      </c>
      <c r="E1172" t="s">
        <v>395</v>
      </c>
      <c r="F1172" t="s">
        <v>396</v>
      </c>
      <c r="G1172" t="s">
        <v>397</v>
      </c>
      <c r="H1172" t="s">
        <v>398</v>
      </c>
      <c r="I1172" t="s">
        <v>399</v>
      </c>
      <c r="J1172" t="s">
        <v>749</v>
      </c>
      <c r="K1172" t="s">
        <v>515</v>
      </c>
      <c r="L1172" t="s">
        <v>787</v>
      </c>
      <c r="M1172" t="s">
        <v>403</v>
      </c>
      <c r="N1172">
        <v>1</v>
      </c>
      <c r="O1172">
        <v>1</v>
      </c>
      <c r="P1172" t="s">
        <v>996</v>
      </c>
      <c r="Q1172" t="s">
        <v>424</v>
      </c>
      <c r="R1172" t="s">
        <v>997</v>
      </c>
      <c r="S1172" t="s">
        <v>998</v>
      </c>
      <c r="T1172" t="s">
        <v>408</v>
      </c>
      <c r="U1172">
        <v>50950078509</v>
      </c>
      <c r="W1172">
        <v>23000</v>
      </c>
      <c r="X1172" t="s">
        <v>409</v>
      </c>
      <c r="Y1172" t="s">
        <v>410</v>
      </c>
      <c r="Z1172" t="s">
        <v>410</v>
      </c>
      <c r="AA1172" t="s">
        <v>411</v>
      </c>
      <c r="AB1172" t="s">
        <v>554</v>
      </c>
      <c r="AC1172" t="s">
        <v>411</v>
      </c>
      <c r="AD1172">
        <v>46125</v>
      </c>
      <c r="AE1172">
        <v>46139</v>
      </c>
      <c r="AF1172">
        <v>46134</v>
      </c>
      <c r="AG1172" t="s">
        <v>754</v>
      </c>
      <c r="AH1172">
        <v>6196102</v>
      </c>
      <c r="AI1172">
        <v>46128</v>
      </c>
      <c r="AJ1172">
        <v>46129</v>
      </c>
      <c r="AK1172">
        <v>23000</v>
      </c>
      <c r="AL1172" t="s">
        <v>396</v>
      </c>
      <c r="AM1172" t="s">
        <v>3415</v>
      </c>
      <c r="AN1172">
        <v>46129</v>
      </c>
      <c r="AO1172">
        <v>46129.489178240743</v>
      </c>
      <c r="AP1172" t="s">
        <v>51</v>
      </c>
      <c r="AQ1172">
        <v>0.25383</v>
      </c>
      <c r="AR1172">
        <v>5838.09</v>
      </c>
      <c r="AS1172" t="s">
        <v>51</v>
      </c>
      <c r="AT1172">
        <v>5838.09</v>
      </c>
      <c r="AU1172" t="s">
        <v>415</v>
      </c>
      <c r="AV1172" t="s">
        <v>557</v>
      </c>
      <c r="AW1172" t="s">
        <v>3205</v>
      </c>
      <c r="AX1172">
        <v>46134</v>
      </c>
      <c r="AY1172">
        <v>46183</v>
      </c>
      <c r="AZ1172" t="s">
        <v>3206</v>
      </c>
      <c r="BA1172" t="s">
        <v>560</v>
      </c>
      <c r="BB1172" t="s">
        <v>3207</v>
      </c>
      <c r="BC1172">
        <v>1000</v>
      </c>
      <c r="BD1172" t="s">
        <v>521</v>
      </c>
      <c r="BE1172">
        <v>11.22</v>
      </c>
      <c r="BF1172">
        <v>10.5</v>
      </c>
      <c r="BG1172" t="s">
        <v>522</v>
      </c>
      <c r="BH1172">
        <v>395</v>
      </c>
      <c r="BI1172">
        <v>295</v>
      </c>
      <c r="BJ1172">
        <v>220</v>
      </c>
      <c r="BK1172">
        <v>32</v>
      </c>
      <c r="BL1172" t="s">
        <v>521</v>
      </c>
      <c r="BM1172">
        <v>283.06</v>
      </c>
      <c r="BN1172">
        <v>241.5</v>
      </c>
      <c r="BO1172">
        <v>283.06</v>
      </c>
      <c r="BP1172" t="s">
        <v>522</v>
      </c>
      <c r="BQ1172">
        <v>1200</v>
      </c>
      <c r="BR1172">
        <v>800</v>
      </c>
      <c r="BS1172">
        <v>1040</v>
      </c>
      <c r="BT1172">
        <v>0</v>
      </c>
      <c r="BU1172">
        <v>1</v>
      </c>
      <c r="BV1172">
        <v>1</v>
      </c>
      <c r="BW1172">
        <v>23</v>
      </c>
      <c r="BX1172">
        <v>0</v>
      </c>
      <c r="BY1172">
        <v>23</v>
      </c>
      <c r="BZ1172">
        <v>0</v>
      </c>
      <c r="CA1172">
        <v>23000</v>
      </c>
      <c r="CB1172">
        <v>23000</v>
      </c>
      <c r="CC1172">
        <v>241.5</v>
      </c>
      <c r="CD1172" t="s">
        <v>1000</v>
      </c>
      <c r="CE1172" t="s">
        <v>620</v>
      </c>
      <c r="CG1172" t="s">
        <v>421</v>
      </c>
    </row>
    <row r="1173" spans="2:85" x14ac:dyDescent="0.35">
      <c r="B1173" t="s">
        <v>299</v>
      </c>
      <c r="C1173" t="s">
        <v>2997</v>
      </c>
      <c r="D1173" t="s">
        <v>395</v>
      </c>
      <c r="E1173" t="s">
        <v>395</v>
      </c>
      <c r="F1173" t="s">
        <v>396</v>
      </c>
      <c r="G1173" t="s">
        <v>397</v>
      </c>
      <c r="H1173" t="s">
        <v>398</v>
      </c>
      <c r="I1173" t="s">
        <v>399</v>
      </c>
      <c r="J1173" t="s">
        <v>749</v>
      </c>
      <c r="K1173" t="s">
        <v>526</v>
      </c>
      <c r="L1173" t="s">
        <v>787</v>
      </c>
      <c r="M1173" t="s">
        <v>403</v>
      </c>
      <c r="N1173">
        <v>1</v>
      </c>
      <c r="O1173">
        <v>2</v>
      </c>
      <c r="P1173" t="s">
        <v>966</v>
      </c>
      <c r="Q1173" t="s">
        <v>424</v>
      </c>
      <c r="R1173" t="s">
        <v>959</v>
      </c>
      <c r="S1173" t="s">
        <v>967</v>
      </c>
      <c r="T1173" t="s">
        <v>408</v>
      </c>
      <c r="U1173">
        <v>50950079529</v>
      </c>
      <c r="W1173">
        <v>28512</v>
      </c>
      <c r="X1173" t="s">
        <v>409</v>
      </c>
      <c r="Y1173" t="s">
        <v>410</v>
      </c>
      <c r="Z1173" t="s">
        <v>410</v>
      </c>
      <c r="AA1173" t="s">
        <v>411</v>
      </c>
      <c r="AB1173" t="s">
        <v>554</v>
      </c>
      <c r="AC1173" t="s">
        <v>411</v>
      </c>
      <c r="AD1173">
        <v>46123</v>
      </c>
      <c r="AE1173">
        <v>46132</v>
      </c>
      <c r="AF1173">
        <v>46134</v>
      </c>
      <c r="AG1173" t="s">
        <v>754</v>
      </c>
      <c r="AH1173">
        <v>6196103</v>
      </c>
      <c r="AI1173">
        <v>46128</v>
      </c>
      <c r="AJ1173">
        <v>46129</v>
      </c>
      <c r="AK1173">
        <v>28512</v>
      </c>
      <c r="AL1173" t="s">
        <v>396</v>
      </c>
      <c r="AM1173" t="s">
        <v>3416</v>
      </c>
      <c r="AN1173">
        <v>46129</v>
      </c>
      <c r="AO1173">
        <v>46129.489178240743</v>
      </c>
      <c r="AP1173" t="s">
        <v>51</v>
      </c>
      <c r="AQ1173">
        <v>5.3010000000000002E-2</v>
      </c>
      <c r="AR1173">
        <v>1511.42</v>
      </c>
      <c r="AS1173" t="s">
        <v>51</v>
      </c>
      <c r="AT1173">
        <v>1511.42</v>
      </c>
      <c r="AU1173" t="s">
        <v>415</v>
      </c>
      <c r="AV1173" t="s">
        <v>557</v>
      </c>
      <c r="AW1173" t="s">
        <v>3205</v>
      </c>
      <c r="AX1173">
        <v>46134</v>
      </c>
      <c r="AY1173">
        <v>46183</v>
      </c>
      <c r="AZ1173" t="s">
        <v>3206</v>
      </c>
      <c r="BA1173" t="s">
        <v>560</v>
      </c>
      <c r="BB1173" t="s">
        <v>3207</v>
      </c>
      <c r="BC1173">
        <v>594</v>
      </c>
      <c r="BD1173" t="s">
        <v>521</v>
      </c>
      <c r="BE1173">
        <v>8.2226999999999997</v>
      </c>
      <c r="BF1173">
        <v>7.9726999999999997</v>
      </c>
      <c r="BG1173" t="s">
        <v>522</v>
      </c>
      <c r="BH1173">
        <v>286</v>
      </c>
      <c r="BI1173">
        <v>190</v>
      </c>
      <c r="BJ1173">
        <v>72</v>
      </c>
      <c r="BK1173">
        <v>48</v>
      </c>
      <c r="BL1173" t="s">
        <v>521</v>
      </c>
      <c r="BM1173">
        <v>419.688064</v>
      </c>
      <c r="BN1173">
        <v>382.688064</v>
      </c>
      <c r="BO1173">
        <v>419.688064</v>
      </c>
      <c r="BP1173" t="s">
        <v>522</v>
      </c>
      <c r="BQ1173">
        <v>1200</v>
      </c>
      <c r="BR1173">
        <v>800</v>
      </c>
      <c r="BS1173">
        <v>378</v>
      </c>
      <c r="BT1173">
        <v>1</v>
      </c>
      <c r="BU1173">
        <v>0</v>
      </c>
      <c r="BV1173">
        <v>1</v>
      </c>
      <c r="BW1173">
        <v>48</v>
      </c>
      <c r="BX1173">
        <v>0</v>
      </c>
      <c r="BY1173">
        <v>48</v>
      </c>
      <c r="BZ1173">
        <v>28512</v>
      </c>
      <c r="CA1173">
        <v>0</v>
      </c>
      <c r="CB1173">
        <v>28512</v>
      </c>
      <c r="CC1173">
        <v>382.688064</v>
      </c>
      <c r="CD1173" t="s">
        <v>969</v>
      </c>
      <c r="CE1173" t="s">
        <v>970</v>
      </c>
      <c r="CG1173" t="s">
        <v>421</v>
      </c>
    </row>
    <row r="1174" spans="2:85" x14ac:dyDescent="0.35">
      <c r="B1174" t="s">
        <v>296</v>
      </c>
      <c r="C1174" t="s">
        <v>3417</v>
      </c>
      <c r="D1174" t="s">
        <v>395</v>
      </c>
      <c r="E1174" t="s">
        <v>395</v>
      </c>
      <c r="F1174" t="s">
        <v>396</v>
      </c>
      <c r="G1174" t="s">
        <v>397</v>
      </c>
      <c r="H1174" t="s">
        <v>398</v>
      </c>
      <c r="I1174" t="s">
        <v>399</v>
      </c>
      <c r="J1174" t="s">
        <v>749</v>
      </c>
      <c r="K1174" t="s">
        <v>629</v>
      </c>
      <c r="L1174" t="s">
        <v>787</v>
      </c>
      <c r="M1174" t="s">
        <v>403</v>
      </c>
      <c r="N1174">
        <v>1</v>
      </c>
      <c r="O1174">
        <v>1</v>
      </c>
      <c r="P1174" t="s">
        <v>2137</v>
      </c>
      <c r="Q1174" t="s">
        <v>430</v>
      </c>
      <c r="R1174" t="s">
        <v>2138</v>
      </c>
      <c r="S1174" t="s">
        <v>518</v>
      </c>
      <c r="T1174" t="s">
        <v>408</v>
      </c>
      <c r="U1174">
        <v>50950079994</v>
      </c>
      <c r="W1174">
        <v>90000</v>
      </c>
      <c r="X1174" t="s">
        <v>409</v>
      </c>
      <c r="Y1174" t="s">
        <v>410</v>
      </c>
      <c r="Z1174" t="s">
        <v>410</v>
      </c>
      <c r="AA1174" t="s">
        <v>411</v>
      </c>
      <c r="AB1174" t="s">
        <v>554</v>
      </c>
      <c r="AC1174" t="s">
        <v>411</v>
      </c>
      <c r="AD1174">
        <v>46125</v>
      </c>
      <c r="AE1174">
        <v>46160</v>
      </c>
      <c r="AF1174">
        <v>46134</v>
      </c>
      <c r="AG1174" t="s">
        <v>754</v>
      </c>
      <c r="AH1174">
        <v>6196104</v>
      </c>
      <c r="AI1174">
        <v>46128</v>
      </c>
      <c r="AJ1174">
        <v>46129</v>
      </c>
      <c r="AK1174">
        <v>90000</v>
      </c>
      <c r="AL1174" t="s">
        <v>396</v>
      </c>
      <c r="AM1174" t="s">
        <v>3418</v>
      </c>
      <c r="AN1174">
        <v>46129</v>
      </c>
      <c r="AO1174">
        <v>46129.489178240743</v>
      </c>
      <c r="AP1174" t="s">
        <v>51</v>
      </c>
      <c r="AQ1174">
        <v>1.336E-2</v>
      </c>
      <c r="AR1174">
        <v>1202.4000000000001</v>
      </c>
      <c r="AS1174" t="s">
        <v>51</v>
      </c>
      <c r="AT1174">
        <v>1202.4000000000001</v>
      </c>
      <c r="AU1174" t="s">
        <v>415</v>
      </c>
      <c r="AV1174" t="s">
        <v>557</v>
      </c>
      <c r="AW1174" t="s">
        <v>3205</v>
      </c>
      <c r="AX1174">
        <v>46134</v>
      </c>
      <c r="AY1174">
        <v>46183</v>
      </c>
      <c r="AZ1174" t="s">
        <v>3206</v>
      </c>
      <c r="BA1174" t="s">
        <v>560</v>
      </c>
      <c r="BB1174" t="s">
        <v>3207</v>
      </c>
      <c r="BC1174">
        <v>15000</v>
      </c>
      <c r="BD1174" t="s">
        <v>521</v>
      </c>
      <c r="BE1174">
        <v>3.84</v>
      </c>
      <c r="BF1174">
        <v>3.45</v>
      </c>
      <c r="BG1174" t="s">
        <v>522</v>
      </c>
      <c r="BH1174">
        <v>368</v>
      </c>
      <c r="BI1174">
        <v>257</v>
      </c>
      <c r="BJ1174">
        <v>136</v>
      </c>
      <c r="BK1174">
        <v>6</v>
      </c>
      <c r="BL1174" t="s">
        <v>521</v>
      </c>
      <c r="BM1174">
        <v>31.04</v>
      </c>
      <c r="BN1174">
        <v>20.7</v>
      </c>
      <c r="BO1174">
        <v>31.04</v>
      </c>
      <c r="BP1174" t="s">
        <v>522</v>
      </c>
      <c r="BQ1174">
        <v>800</v>
      </c>
      <c r="BR1174">
        <v>300</v>
      </c>
      <c r="BS1174">
        <v>608</v>
      </c>
      <c r="BT1174">
        <v>1</v>
      </c>
      <c r="BU1174">
        <v>0</v>
      </c>
      <c r="BV1174">
        <v>1</v>
      </c>
      <c r="BW1174">
        <v>6</v>
      </c>
      <c r="BX1174">
        <v>0</v>
      </c>
      <c r="BY1174">
        <v>6</v>
      </c>
      <c r="BZ1174">
        <v>90000</v>
      </c>
      <c r="CA1174">
        <v>0</v>
      </c>
      <c r="CB1174">
        <v>90000</v>
      </c>
      <c r="CC1174">
        <v>20.7</v>
      </c>
      <c r="CD1174" t="s">
        <v>523</v>
      </c>
      <c r="CE1174" t="s">
        <v>653</v>
      </c>
      <c r="CG1174" t="s">
        <v>421</v>
      </c>
    </row>
    <row r="1175" spans="2:85" x14ac:dyDescent="0.35">
      <c r="B1175" t="s">
        <v>296</v>
      </c>
      <c r="C1175" t="s">
        <v>3370</v>
      </c>
      <c r="D1175" t="s">
        <v>395</v>
      </c>
      <c r="E1175" t="s">
        <v>395</v>
      </c>
      <c r="F1175" t="s">
        <v>396</v>
      </c>
      <c r="G1175" t="s">
        <v>397</v>
      </c>
      <c r="H1175" t="s">
        <v>398</v>
      </c>
      <c r="I1175" t="s">
        <v>399</v>
      </c>
      <c r="J1175" t="s">
        <v>749</v>
      </c>
      <c r="K1175" t="s">
        <v>629</v>
      </c>
      <c r="L1175" t="s">
        <v>787</v>
      </c>
      <c r="M1175" t="s">
        <v>403</v>
      </c>
      <c r="N1175">
        <v>1</v>
      </c>
      <c r="O1175">
        <v>3</v>
      </c>
      <c r="P1175" t="s">
        <v>881</v>
      </c>
      <c r="Q1175" t="s">
        <v>645</v>
      </c>
      <c r="R1175" t="s">
        <v>882</v>
      </c>
      <c r="S1175" t="s">
        <v>883</v>
      </c>
      <c r="T1175" t="s">
        <v>408</v>
      </c>
      <c r="U1175">
        <v>50950080026</v>
      </c>
      <c r="W1175">
        <v>33000</v>
      </c>
      <c r="X1175" t="s">
        <v>409</v>
      </c>
      <c r="Y1175" t="s">
        <v>410</v>
      </c>
      <c r="Z1175" t="s">
        <v>410</v>
      </c>
      <c r="AA1175" t="s">
        <v>411</v>
      </c>
      <c r="AB1175" t="s">
        <v>554</v>
      </c>
      <c r="AC1175" t="s">
        <v>411</v>
      </c>
      <c r="AD1175">
        <v>46125</v>
      </c>
      <c r="AE1175">
        <v>46230</v>
      </c>
      <c r="AF1175">
        <v>46134</v>
      </c>
      <c r="AG1175" t="s">
        <v>754</v>
      </c>
      <c r="AH1175">
        <v>6196105</v>
      </c>
      <c r="AI1175">
        <v>46128</v>
      </c>
      <c r="AJ1175">
        <v>46129</v>
      </c>
      <c r="AK1175">
        <v>33000</v>
      </c>
      <c r="AL1175" t="s">
        <v>396</v>
      </c>
      <c r="AM1175" t="s">
        <v>3419</v>
      </c>
      <c r="AN1175">
        <v>46129</v>
      </c>
      <c r="AO1175">
        <v>46129.489178240743</v>
      </c>
      <c r="AP1175" t="s">
        <v>51</v>
      </c>
      <c r="AQ1175">
        <v>0.20003000000000001</v>
      </c>
      <c r="AR1175">
        <v>6601</v>
      </c>
      <c r="AS1175" t="s">
        <v>51</v>
      </c>
      <c r="AT1175">
        <v>6601</v>
      </c>
      <c r="AU1175" t="s">
        <v>415</v>
      </c>
      <c r="AV1175" t="s">
        <v>557</v>
      </c>
      <c r="AW1175" t="s">
        <v>3205</v>
      </c>
      <c r="AX1175">
        <v>46134</v>
      </c>
      <c r="AY1175">
        <v>46183</v>
      </c>
      <c r="AZ1175" t="s">
        <v>3206</v>
      </c>
      <c r="BA1175" t="s">
        <v>560</v>
      </c>
      <c r="BB1175" t="s">
        <v>3207</v>
      </c>
      <c r="BC1175">
        <v>264</v>
      </c>
      <c r="BD1175" t="s">
        <v>521</v>
      </c>
      <c r="BE1175">
        <v>5.2203999999999997</v>
      </c>
      <c r="BF1175">
        <v>3.8304</v>
      </c>
      <c r="BG1175" t="s">
        <v>522</v>
      </c>
      <c r="BH1175">
        <v>595</v>
      </c>
      <c r="BI1175">
        <v>395</v>
      </c>
      <c r="BJ1175">
        <v>175</v>
      </c>
      <c r="BK1175">
        <v>25</v>
      </c>
      <c r="BL1175" t="s">
        <v>521</v>
      </c>
      <c r="BM1175">
        <v>157.51</v>
      </c>
      <c r="BN1175">
        <v>95.76</v>
      </c>
      <c r="BO1175">
        <v>787.54700000000003</v>
      </c>
      <c r="BP1175" t="s">
        <v>522</v>
      </c>
      <c r="BQ1175">
        <v>1200</v>
      </c>
      <c r="BR1175">
        <v>1000</v>
      </c>
      <c r="BS1175">
        <v>1035</v>
      </c>
      <c r="BT1175">
        <v>5</v>
      </c>
      <c r="BU1175">
        <v>0</v>
      </c>
      <c r="BV1175">
        <v>5</v>
      </c>
      <c r="BW1175">
        <v>125</v>
      </c>
      <c r="BX1175">
        <v>0</v>
      </c>
      <c r="BY1175">
        <v>125</v>
      </c>
      <c r="BZ1175">
        <v>33000</v>
      </c>
      <c r="CA1175">
        <v>0</v>
      </c>
      <c r="CB1175">
        <v>33000</v>
      </c>
      <c r="CC1175">
        <v>478.79700000000003</v>
      </c>
      <c r="CD1175" t="s">
        <v>885</v>
      </c>
      <c r="CE1175" t="s">
        <v>886</v>
      </c>
      <c r="CG1175" t="s">
        <v>421</v>
      </c>
    </row>
    <row r="1176" spans="2:85" x14ac:dyDescent="0.35">
      <c r="B1176" t="s">
        <v>299</v>
      </c>
      <c r="C1176" t="s">
        <v>3308</v>
      </c>
      <c r="D1176" t="s">
        <v>965</v>
      </c>
      <c r="E1176" t="s">
        <v>395</v>
      </c>
      <c r="F1176" t="s">
        <v>396</v>
      </c>
      <c r="G1176" t="s">
        <v>397</v>
      </c>
      <c r="H1176" t="s">
        <v>398</v>
      </c>
      <c r="I1176" t="s">
        <v>399</v>
      </c>
      <c r="J1176" t="s">
        <v>749</v>
      </c>
      <c r="K1176" t="s">
        <v>809</v>
      </c>
      <c r="L1176" t="s">
        <v>787</v>
      </c>
      <c r="M1176" t="s">
        <v>403</v>
      </c>
      <c r="N1176">
        <v>1</v>
      </c>
      <c r="O1176">
        <v>5</v>
      </c>
      <c r="P1176" t="s">
        <v>810</v>
      </c>
      <c r="Q1176" t="s">
        <v>405</v>
      </c>
      <c r="R1176" t="s">
        <v>811</v>
      </c>
      <c r="S1176" t="s">
        <v>812</v>
      </c>
      <c r="T1176" t="s">
        <v>408</v>
      </c>
      <c r="U1176">
        <v>50950080295</v>
      </c>
      <c r="W1176">
        <v>1440</v>
      </c>
      <c r="X1176" t="s">
        <v>409</v>
      </c>
      <c r="Y1176" t="s">
        <v>410</v>
      </c>
      <c r="Z1176" t="s">
        <v>410</v>
      </c>
      <c r="AA1176" t="s">
        <v>411</v>
      </c>
      <c r="AB1176" t="s">
        <v>554</v>
      </c>
      <c r="AC1176" t="s">
        <v>411</v>
      </c>
      <c r="AD1176">
        <v>46123</v>
      </c>
      <c r="AE1176">
        <v>46132</v>
      </c>
      <c r="AF1176">
        <v>46134</v>
      </c>
      <c r="AG1176" t="s">
        <v>754</v>
      </c>
      <c r="AH1176">
        <v>6196106</v>
      </c>
      <c r="AI1176">
        <v>46128</v>
      </c>
      <c r="AJ1176">
        <v>46129</v>
      </c>
      <c r="AK1176">
        <v>1440</v>
      </c>
      <c r="AL1176" t="s">
        <v>396</v>
      </c>
      <c r="AM1176" t="s">
        <v>3420</v>
      </c>
      <c r="AN1176">
        <v>46129</v>
      </c>
      <c r="AO1176">
        <v>46129.489178240743</v>
      </c>
      <c r="AP1176" t="s">
        <v>51</v>
      </c>
      <c r="AQ1176">
        <v>2.0436299999999998</v>
      </c>
      <c r="AR1176">
        <v>2942.82</v>
      </c>
      <c r="AS1176" t="s">
        <v>51</v>
      </c>
      <c r="AT1176">
        <v>2942.82</v>
      </c>
      <c r="AU1176" t="s">
        <v>415</v>
      </c>
      <c r="AV1176" t="s">
        <v>557</v>
      </c>
      <c r="AW1176" t="s">
        <v>3205</v>
      </c>
      <c r="AX1176">
        <v>46134</v>
      </c>
      <c r="AY1176">
        <v>46183</v>
      </c>
      <c r="AZ1176" t="s">
        <v>3206</v>
      </c>
      <c r="BA1176" t="s">
        <v>560</v>
      </c>
      <c r="BB1176" t="s">
        <v>3207</v>
      </c>
      <c r="BC1176">
        <v>16</v>
      </c>
      <c r="BD1176" t="s">
        <v>521</v>
      </c>
      <c r="BE1176">
        <v>4.9545000000000003</v>
      </c>
      <c r="BF1176">
        <v>3.7555000000000001</v>
      </c>
      <c r="BG1176" t="s">
        <v>522</v>
      </c>
      <c r="BH1176">
        <v>495</v>
      </c>
      <c r="BI1176">
        <v>395</v>
      </c>
      <c r="BJ1176">
        <v>190</v>
      </c>
      <c r="BK1176">
        <v>30</v>
      </c>
      <c r="BL1176" t="s">
        <v>521</v>
      </c>
      <c r="BM1176">
        <v>175.63499999999999</v>
      </c>
      <c r="BN1176">
        <v>112.66500000000001</v>
      </c>
      <c r="BO1176">
        <v>526.90679999999998</v>
      </c>
      <c r="BP1176" t="s">
        <v>522</v>
      </c>
      <c r="BQ1176">
        <v>1200</v>
      </c>
      <c r="BR1176">
        <v>1000</v>
      </c>
      <c r="BS1176">
        <v>1120</v>
      </c>
      <c r="BT1176">
        <v>3</v>
      </c>
      <c r="BU1176">
        <v>0</v>
      </c>
      <c r="BV1176">
        <v>3</v>
      </c>
      <c r="BW1176">
        <v>90</v>
      </c>
      <c r="BX1176">
        <v>0</v>
      </c>
      <c r="BY1176">
        <v>90</v>
      </c>
      <c r="BZ1176">
        <v>1440</v>
      </c>
      <c r="CA1176">
        <v>0</v>
      </c>
      <c r="CB1176">
        <v>1440</v>
      </c>
      <c r="CC1176">
        <v>337.99680000000001</v>
      </c>
      <c r="CD1176" t="s">
        <v>806</v>
      </c>
      <c r="CE1176" t="s">
        <v>816</v>
      </c>
      <c r="CG1176" t="s">
        <v>421</v>
      </c>
    </row>
    <row r="1177" spans="2:85" x14ac:dyDescent="0.35">
      <c r="B1177" t="s">
        <v>296</v>
      </c>
      <c r="C1177" t="s">
        <v>3421</v>
      </c>
      <c r="D1177" t="s">
        <v>395</v>
      </c>
      <c r="E1177" t="s">
        <v>395</v>
      </c>
      <c r="F1177" t="s">
        <v>396</v>
      </c>
      <c r="G1177" t="s">
        <v>397</v>
      </c>
      <c r="H1177" t="s">
        <v>398</v>
      </c>
      <c r="I1177" t="s">
        <v>399</v>
      </c>
      <c r="J1177" t="s">
        <v>749</v>
      </c>
      <c r="K1177" t="s">
        <v>515</v>
      </c>
      <c r="L1177" t="s">
        <v>787</v>
      </c>
      <c r="M1177" t="s">
        <v>403</v>
      </c>
      <c r="N1177">
        <v>1</v>
      </c>
      <c r="O1177">
        <v>1</v>
      </c>
      <c r="P1177" t="s">
        <v>1513</v>
      </c>
      <c r="Q1177" t="s">
        <v>430</v>
      </c>
      <c r="R1177" t="s">
        <v>691</v>
      </c>
      <c r="S1177" t="s">
        <v>1514</v>
      </c>
      <c r="T1177" t="s">
        <v>408</v>
      </c>
      <c r="U1177">
        <v>50950080965</v>
      </c>
      <c r="W1177">
        <v>48000</v>
      </c>
      <c r="X1177" t="s">
        <v>409</v>
      </c>
      <c r="Y1177" t="s">
        <v>410</v>
      </c>
      <c r="Z1177" t="s">
        <v>410</v>
      </c>
      <c r="AA1177" t="s">
        <v>411</v>
      </c>
      <c r="AB1177" t="s">
        <v>554</v>
      </c>
      <c r="AC1177" t="s">
        <v>411</v>
      </c>
      <c r="AD1177">
        <v>46130</v>
      </c>
      <c r="AE1177">
        <v>46188</v>
      </c>
      <c r="AF1177">
        <v>46134</v>
      </c>
      <c r="AG1177" t="s">
        <v>754</v>
      </c>
      <c r="AH1177">
        <v>6196107</v>
      </c>
      <c r="AI1177">
        <v>46128</v>
      </c>
      <c r="AJ1177">
        <v>46129</v>
      </c>
      <c r="AK1177">
        <v>48000</v>
      </c>
      <c r="AL1177" t="s">
        <v>396</v>
      </c>
      <c r="AM1177" t="s">
        <v>3422</v>
      </c>
      <c r="AN1177">
        <v>46129</v>
      </c>
      <c r="AO1177">
        <v>46129.489178240743</v>
      </c>
      <c r="AP1177" t="s">
        <v>51</v>
      </c>
      <c r="AQ1177">
        <v>3.243E-2</v>
      </c>
      <c r="AR1177">
        <v>1556.64</v>
      </c>
      <c r="AS1177" t="s">
        <v>51</v>
      </c>
      <c r="AT1177">
        <v>1556.64</v>
      </c>
      <c r="AU1177" t="s">
        <v>415</v>
      </c>
      <c r="AV1177" t="s">
        <v>557</v>
      </c>
      <c r="AW1177" t="s">
        <v>3205</v>
      </c>
      <c r="AX1177">
        <v>46134</v>
      </c>
      <c r="AY1177">
        <v>46183</v>
      </c>
      <c r="AZ1177" t="s">
        <v>3206</v>
      </c>
      <c r="BA1177" t="s">
        <v>560</v>
      </c>
      <c r="BB1177" t="s">
        <v>3207</v>
      </c>
      <c r="BC1177">
        <v>12000</v>
      </c>
      <c r="BD1177" t="s">
        <v>521</v>
      </c>
      <c r="BE1177">
        <v>10.519</v>
      </c>
      <c r="BF1177">
        <v>9.84</v>
      </c>
      <c r="BG1177" t="s">
        <v>522</v>
      </c>
      <c r="BH1177">
        <v>395</v>
      </c>
      <c r="BI1177">
        <v>295</v>
      </c>
      <c r="BJ1177">
        <v>174</v>
      </c>
      <c r="BK1177">
        <v>6</v>
      </c>
      <c r="BL1177" t="s">
        <v>521</v>
      </c>
      <c r="BM1177">
        <v>50.076000000000001</v>
      </c>
      <c r="BN1177">
        <v>39.36</v>
      </c>
      <c r="BO1177">
        <v>50.076000000000001</v>
      </c>
      <c r="BP1177" t="s">
        <v>522</v>
      </c>
      <c r="BQ1177">
        <v>800</v>
      </c>
      <c r="BR1177">
        <v>300</v>
      </c>
      <c r="BS1177">
        <v>698</v>
      </c>
      <c r="BT1177">
        <v>0</v>
      </c>
      <c r="BU1177">
        <v>1</v>
      </c>
      <c r="BV1177">
        <v>1</v>
      </c>
      <c r="BW1177">
        <v>4</v>
      </c>
      <c r="BX1177">
        <v>0</v>
      </c>
      <c r="BY1177">
        <v>4</v>
      </c>
      <c r="BZ1177">
        <v>0</v>
      </c>
      <c r="CA1177">
        <v>48000</v>
      </c>
      <c r="CB1177">
        <v>48000</v>
      </c>
      <c r="CC1177">
        <v>39.36</v>
      </c>
      <c r="CD1177" t="s">
        <v>659</v>
      </c>
      <c r="CE1177" t="s">
        <v>1006</v>
      </c>
      <c r="CG1177" t="s">
        <v>421</v>
      </c>
    </row>
    <row r="1178" spans="2:85" x14ac:dyDescent="0.35">
      <c r="B1178" t="s">
        <v>296</v>
      </c>
      <c r="C1178" t="s">
        <v>3423</v>
      </c>
      <c r="D1178" t="s">
        <v>395</v>
      </c>
      <c r="E1178" t="s">
        <v>395</v>
      </c>
      <c r="F1178" t="s">
        <v>396</v>
      </c>
      <c r="G1178" t="s">
        <v>397</v>
      </c>
      <c r="H1178" t="s">
        <v>398</v>
      </c>
      <c r="I1178" t="s">
        <v>399</v>
      </c>
      <c r="J1178" t="s">
        <v>749</v>
      </c>
      <c r="K1178" t="s">
        <v>515</v>
      </c>
      <c r="L1178" t="s">
        <v>787</v>
      </c>
      <c r="M1178" t="s">
        <v>403</v>
      </c>
      <c r="N1178">
        <v>1</v>
      </c>
      <c r="O1178">
        <v>1</v>
      </c>
      <c r="P1178" t="s">
        <v>978</v>
      </c>
      <c r="Q1178" t="s">
        <v>430</v>
      </c>
      <c r="R1178" t="s">
        <v>691</v>
      </c>
      <c r="S1178" t="s">
        <v>979</v>
      </c>
      <c r="T1178" t="s">
        <v>408</v>
      </c>
      <c r="U1178">
        <v>50950080951</v>
      </c>
      <c r="W1178">
        <v>48000</v>
      </c>
      <c r="X1178" t="s">
        <v>409</v>
      </c>
      <c r="Y1178" t="s">
        <v>410</v>
      </c>
      <c r="Z1178" t="s">
        <v>410</v>
      </c>
      <c r="AA1178" t="s">
        <v>411</v>
      </c>
      <c r="AB1178" t="s">
        <v>554</v>
      </c>
      <c r="AC1178" t="s">
        <v>411</v>
      </c>
      <c r="AD1178">
        <v>46130</v>
      </c>
      <c r="AE1178">
        <v>46188</v>
      </c>
      <c r="AF1178">
        <v>46134</v>
      </c>
      <c r="AG1178" t="s">
        <v>754</v>
      </c>
      <c r="AH1178">
        <v>6196108</v>
      </c>
      <c r="AI1178">
        <v>46128</v>
      </c>
      <c r="AJ1178">
        <v>46129</v>
      </c>
      <c r="AK1178">
        <v>48000</v>
      </c>
      <c r="AL1178" t="s">
        <v>396</v>
      </c>
      <c r="AM1178" t="s">
        <v>3424</v>
      </c>
      <c r="AN1178">
        <v>46129</v>
      </c>
      <c r="AO1178">
        <v>46129.489178240743</v>
      </c>
      <c r="AP1178" t="s">
        <v>51</v>
      </c>
      <c r="AQ1178">
        <v>2.7890000000000002E-2</v>
      </c>
      <c r="AR1178">
        <v>1338.72</v>
      </c>
      <c r="AS1178" t="s">
        <v>51</v>
      </c>
      <c r="AT1178">
        <v>1338.72</v>
      </c>
      <c r="AU1178" t="s">
        <v>415</v>
      </c>
      <c r="AV1178" t="s">
        <v>557</v>
      </c>
      <c r="AW1178" t="s">
        <v>3205</v>
      </c>
      <c r="AX1178">
        <v>46134</v>
      </c>
      <c r="AY1178">
        <v>46183</v>
      </c>
      <c r="AZ1178" t="s">
        <v>3206</v>
      </c>
      <c r="BA1178" t="s">
        <v>560</v>
      </c>
      <c r="BB1178" t="s">
        <v>3207</v>
      </c>
      <c r="BC1178">
        <v>16000</v>
      </c>
      <c r="BD1178" t="s">
        <v>521</v>
      </c>
      <c r="BE1178">
        <v>8.9338499999999996</v>
      </c>
      <c r="BF1178">
        <v>8</v>
      </c>
      <c r="BG1178" t="s">
        <v>522</v>
      </c>
      <c r="BH1178">
        <v>398</v>
      </c>
      <c r="BI1178">
        <v>298</v>
      </c>
      <c r="BJ1178">
        <v>155</v>
      </c>
      <c r="BK1178">
        <v>6</v>
      </c>
      <c r="BL1178" t="s">
        <v>521</v>
      </c>
      <c r="BM1178">
        <v>34.801549999999999</v>
      </c>
      <c r="BN1178">
        <v>24</v>
      </c>
      <c r="BO1178">
        <v>34.801549999999999</v>
      </c>
      <c r="BP1178" t="s">
        <v>522</v>
      </c>
      <c r="BQ1178">
        <v>800</v>
      </c>
      <c r="BR1178">
        <v>300</v>
      </c>
      <c r="BS1178">
        <v>608</v>
      </c>
      <c r="BT1178">
        <v>0</v>
      </c>
      <c r="BU1178">
        <v>1</v>
      </c>
      <c r="BV1178">
        <v>1</v>
      </c>
      <c r="BW1178">
        <v>3</v>
      </c>
      <c r="BX1178">
        <v>0</v>
      </c>
      <c r="BY1178">
        <v>3</v>
      </c>
      <c r="BZ1178">
        <v>0</v>
      </c>
      <c r="CA1178">
        <v>48000</v>
      </c>
      <c r="CB1178">
        <v>48000</v>
      </c>
      <c r="CC1178">
        <v>24</v>
      </c>
      <c r="CD1178" t="s">
        <v>523</v>
      </c>
      <c r="CE1178" t="s">
        <v>981</v>
      </c>
      <c r="CG1178" t="s">
        <v>421</v>
      </c>
    </row>
    <row r="1179" spans="2:85" x14ac:dyDescent="0.35">
      <c r="B1179" t="s">
        <v>296</v>
      </c>
      <c r="C1179" t="s">
        <v>3425</v>
      </c>
      <c r="D1179" t="s">
        <v>395</v>
      </c>
      <c r="E1179" t="s">
        <v>395</v>
      </c>
      <c r="F1179" t="s">
        <v>396</v>
      </c>
      <c r="G1179" t="s">
        <v>397</v>
      </c>
      <c r="H1179" t="s">
        <v>398</v>
      </c>
      <c r="I1179" t="s">
        <v>399</v>
      </c>
      <c r="J1179" t="s">
        <v>749</v>
      </c>
      <c r="K1179" t="s">
        <v>515</v>
      </c>
      <c r="L1179" t="s">
        <v>787</v>
      </c>
      <c r="M1179" t="s">
        <v>403</v>
      </c>
      <c r="N1179">
        <v>1</v>
      </c>
      <c r="O1179">
        <v>1</v>
      </c>
      <c r="P1179" t="s">
        <v>987</v>
      </c>
      <c r="Q1179" t="s">
        <v>405</v>
      </c>
      <c r="R1179" t="s">
        <v>691</v>
      </c>
      <c r="S1179" t="s">
        <v>988</v>
      </c>
      <c r="T1179" t="s">
        <v>408</v>
      </c>
      <c r="U1179">
        <v>50950080926</v>
      </c>
      <c r="W1179">
        <v>48000</v>
      </c>
      <c r="X1179" t="s">
        <v>409</v>
      </c>
      <c r="Y1179" t="s">
        <v>410</v>
      </c>
      <c r="Z1179" t="s">
        <v>410</v>
      </c>
      <c r="AA1179" t="s">
        <v>411</v>
      </c>
      <c r="AB1179" t="s">
        <v>554</v>
      </c>
      <c r="AC1179" t="s">
        <v>411</v>
      </c>
      <c r="AD1179">
        <v>46130</v>
      </c>
      <c r="AE1179">
        <v>46188</v>
      </c>
      <c r="AF1179">
        <v>46134</v>
      </c>
      <c r="AG1179" t="s">
        <v>754</v>
      </c>
      <c r="AH1179">
        <v>6196109</v>
      </c>
      <c r="AI1179">
        <v>46128</v>
      </c>
      <c r="AJ1179">
        <v>46129</v>
      </c>
      <c r="AK1179">
        <v>48000</v>
      </c>
      <c r="AL1179" t="s">
        <v>396</v>
      </c>
      <c r="AM1179" t="s">
        <v>3426</v>
      </c>
      <c r="AN1179">
        <v>46129</v>
      </c>
      <c r="AO1179">
        <v>46129.489178240743</v>
      </c>
      <c r="AP1179" t="s">
        <v>51</v>
      </c>
      <c r="AQ1179">
        <v>1.3939999999999999E-2</v>
      </c>
      <c r="AR1179">
        <v>669.12</v>
      </c>
      <c r="AS1179" t="s">
        <v>51</v>
      </c>
      <c r="AT1179">
        <v>669.12</v>
      </c>
      <c r="AU1179" t="s">
        <v>415</v>
      </c>
      <c r="AV1179" t="s">
        <v>557</v>
      </c>
      <c r="AW1179" t="s">
        <v>3205</v>
      </c>
      <c r="AX1179">
        <v>46134</v>
      </c>
      <c r="AY1179">
        <v>46183</v>
      </c>
      <c r="AZ1179" t="s">
        <v>3206</v>
      </c>
      <c r="BA1179" t="s">
        <v>560</v>
      </c>
      <c r="BB1179" t="s">
        <v>3207</v>
      </c>
      <c r="BC1179">
        <v>24000</v>
      </c>
      <c r="BD1179" t="s">
        <v>521</v>
      </c>
      <c r="BE1179">
        <v>11.613849999999999</v>
      </c>
      <c r="BF1179">
        <v>10.68</v>
      </c>
      <c r="BG1179" t="s">
        <v>522</v>
      </c>
      <c r="BH1179">
        <v>398</v>
      </c>
      <c r="BI1179">
        <v>298</v>
      </c>
      <c r="BJ1179">
        <v>155</v>
      </c>
      <c r="BK1179">
        <v>6</v>
      </c>
      <c r="BL1179" t="s">
        <v>521</v>
      </c>
      <c r="BM1179">
        <v>31.227699999999999</v>
      </c>
      <c r="BN1179">
        <v>21.36</v>
      </c>
      <c r="BO1179">
        <v>31.227699999999999</v>
      </c>
      <c r="BP1179" t="s">
        <v>522</v>
      </c>
      <c r="BQ1179">
        <v>800</v>
      </c>
      <c r="BR1179">
        <v>300</v>
      </c>
      <c r="BS1179">
        <v>608</v>
      </c>
      <c r="BT1179">
        <v>0</v>
      </c>
      <c r="BU1179">
        <v>1</v>
      </c>
      <c r="BV1179">
        <v>1</v>
      </c>
      <c r="BW1179">
        <v>2</v>
      </c>
      <c r="BX1179">
        <v>0</v>
      </c>
      <c r="BY1179">
        <v>2</v>
      </c>
      <c r="BZ1179">
        <v>0</v>
      </c>
      <c r="CA1179">
        <v>48000</v>
      </c>
      <c r="CB1179">
        <v>48000</v>
      </c>
      <c r="CC1179">
        <v>21.36</v>
      </c>
      <c r="CD1179" t="s">
        <v>523</v>
      </c>
      <c r="CE1179" t="s">
        <v>981</v>
      </c>
      <c r="CG1179" t="s">
        <v>421</v>
      </c>
    </row>
    <row r="1180" spans="2:85" x14ac:dyDescent="0.35">
      <c r="B1180" t="s">
        <v>299</v>
      </c>
      <c r="C1180" t="s">
        <v>2758</v>
      </c>
      <c r="D1180" t="s">
        <v>395</v>
      </c>
      <c r="E1180" t="s">
        <v>395</v>
      </c>
      <c r="F1180" t="s">
        <v>396</v>
      </c>
      <c r="G1180" t="s">
        <v>397</v>
      </c>
      <c r="H1180" t="s">
        <v>398</v>
      </c>
      <c r="I1180" t="s">
        <v>399</v>
      </c>
      <c r="J1180" t="s">
        <v>749</v>
      </c>
      <c r="K1180" t="s">
        <v>526</v>
      </c>
      <c r="L1180" t="s">
        <v>787</v>
      </c>
      <c r="M1180" t="s">
        <v>403</v>
      </c>
      <c r="N1180">
        <v>1</v>
      </c>
      <c r="O1180">
        <v>3</v>
      </c>
      <c r="P1180" t="s">
        <v>1065</v>
      </c>
      <c r="Q1180" t="s">
        <v>430</v>
      </c>
      <c r="R1180" t="s">
        <v>959</v>
      </c>
      <c r="S1180" t="s">
        <v>1066</v>
      </c>
      <c r="T1180" t="s">
        <v>408</v>
      </c>
      <c r="U1180">
        <v>50950080997</v>
      </c>
      <c r="W1180">
        <v>36000</v>
      </c>
      <c r="X1180" t="s">
        <v>409</v>
      </c>
      <c r="Y1180" t="s">
        <v>410</v>
      </c>
      <c r="Z1180" t="s">
        <v>410</v>
      </c>
      <c r="AA1180" t="s">
        <v>411</v>
      </c>
      <c r="AB1180" t="s">
        <v>554</v>
      </c>
      <c r="AC1180" t="s">
        <v>411</v>
      </c>
      <c r="AD1180">
        <v>46109</v>
      </c>
      <c r="AE1180">
        <v>46167</v>
      </c>
      <c r="AF1180">
        <v>46134</v>
      </c>
      <c r="AG1180" t="s">
        <v>754</v>
      </c>
      <c r="AH1180">
        <v>6196110</v>
      </c>
      <c r="AI1180">
        <v>46128</v>
      </c>
      <c r="AJ1180">
        <v>46129</v>
      </c>
      <c r="AK1180">
        <v>36000</v>
      </c>
      <c r="AL1180" t="s">
        <v>396</v>
      </c>
      <c r="AM1180" t="s">
        <v>3427</v>
      </c>
      <c r="AN1180">
        <v>46129</v>
      </c>
      <c r="AO1180">
        <v>46129.489178240743</v>
      </c>
      <c r="AP1180" t="s">
        <v>51</v>
      </c>
      <c r="AQ1180">
        <v>0.11276</v>
      </c>
      <c r="AR1180">
        <v>4059.36</v>
      </c>
      <c r="AS1180" t="s">
        <v>51</v>
      </c>
      <c r="AT1180">
        <v>4059.36</v>
      </c>
      <c r="AU1180" t="s">
        <v>415</v>
      </c>
      <c r="AV1180" t="s">
        <v>557</v>
      </c>
      <c r="AW1180" t="s">
        <v>3205</v>
      </c>
      <c r="AX1180">
        <v>46134</v>
      </c>
      <c r="AY1180">
        <v>46183</v>
      </c>
      <c r="AZ1180" t="s">
        <v>3206</v>
      </c>
      <c r="BA1180" t="s">
        <v>560</v>
      </c>
      <c r="BB1180" t="s">
        <v>3207</v>
      </c>
      <c r="BC1180">
        <v>250</v>
      </c>
      <c r="BD1180" t="s">
        <v>521</v>
      </c>
      <c r="BE1180">
        <v>7.8822999999999999</v>
      </c>
      <c r="BF1180">
        <v>7.6322999999999999</v>
      </c>
      <c r="BG1180" t="s">
        <v>522</v>
      </c>
      <c r="BH1180">
        <v>286</v>
      </c>
      <c r="BI1180">
        <v>190</v>
      </c>
      <c r="BJ1180">
        <v>72</v>
      </c>
      <c r="BK1180">
        <v>48</v>
      </c>
      <c r="BL1180" t="s">
        <v>521</v>
      </c>
      <c r="BM1180">
        <v>403.35039999999998</v>
      </c>
      <c r="BN1180">
        <v>366.35039999999998</v>
      </c>
      <c r="BO1180">
        <v>1210.0440000000001</v>
      </c>
      <c r="BP1180" t="s">
        <v>522</v>
      </c>
      <c r="BQ1180">
        <v>1200</v>
      </c>
      <c r="BR1180">
        <v>800</v>
      </c>
      <c r="BS1180">
        <v>378</v>
      </c>
      <c r="BT1180">
        <v>3</v>
      </c>
      <c r="BU1180">
        <v>0</v>
      </c>
      <c r="BV1180">
        <v>3</v>
      </c>
      <c r="BW1180">
        <v>144</v>
      </c>
      <c r="BX1180">
        <v>0</v>
      </c>
      <c r="BY1180">
        <v>144</v>
      </c>
      <c r="BZ1180">
        <v>36000</v>
      </c>
      <c r="CA1180">
        <v>0</v>
      </c>
      <c r="CB1180">
        <v>36000</v>
      </c>
      <c r="CC1180">
        <v>1099.0440000000001</v>
      </c>
      <c r="CD1180" t="s">
        <v>969</v>
      </c>
      <c r="CE1180" t="s">
        <v>970</v>
      </c>
      <c r="CG1180" t="s">
        <v>421</v>
      </c>
    </row>
    <row r="1181" spans="2:85" x14ac:dyDescent="0.35">
      <c r="B1181" t="s">
        <v>299</v>
      </c>
      <c r="C1181" t="s">
        <v>3428</v>
      </c>
      <c r="D1181" t="s">
        <v>965</v>
      </c>
      <c r="E1181" t="s">
        <v>395</v>
      </c>
      <c r="F1181" t="s">
        <v>396</v>
      </c>
      <c r="G1181" t="s">
        <v>397</v>
      </c>
      <c r="H1181" t="s">
        <v>398</v>
      </c>
      <c r="I1181" t="s">
        <v>399</v>
      </c>
      <c r="J1181" t="s">
        <v>749</v>
      </c>
      <c r="K1181" t="s">
        <v>809</v>
      </c>
      <c r="L1181" t="s">
        <v>787</v>
      </c>
      <c r="M1181" t="s">
        <v>403</v>
      </c>
      <c r="N1181">
        <v>1</v>
      </c>
      <c r="O1181">
        <v>1</v>
      </c>
      <c r="P1181" t="s">
        <v>818</v>
      </c>
      <c r="Q1181" t="s">
        <v>430</v>
      </c>
      <c r="R1181" t="s">
        <v>811</v>
      </c>
      <c r="S1181" t="s">
        <v>819</v>
      </c>
      <c r="T1181" t="s">
        <v>408</v>
      </c>
      <c r="U1181">
        <v>50950081223</v>
      </c>
      <c r="W1181">
        <v>4320</v>
      </c>
      <c r="X1181" t="s">
        <v>409</v>
      </c>
      <c r="Y1181" t="s">
        <v>410</v>
      </c>
      <c r="Z1181" t="s">
        <v>410</v>
      </c>
      <c r="AA1181" t="s">
        <v>411</v>
      </c>
      <c r="AB1181" t="s">
        <v>554</v>
      </c>
      <c r="AC1181" t="s">
        <v>411</v>
      </c>
      <c r="AD1181">
        <v>46123</v>
      </c>
      <c r="AE1181">
        <v>46174</v>
      </c>
      <c r="AF1181">
        <v>46134</v>
      </c>
      <c r="AG1181" t="s">
        <v>754</v>
      </c>
      <c r="AH1181">
        <v>6196111</v>
      </c>
      <c r="AI1181">
        <v>46128</v>
      </c>
      <c r="AJ1181">
        <v>46129</v>
      </c>
      <c r="AK1181">
        <v>4320</v>
      </c>
      <c r="AL1181" t="s">
        <v>396</v>
      </c>
      <c r="AM1181" t="s">
        <v>3429</v>
      </c>
      <c r="AN1181">
        <v>46129</v>
      </c>
      <c r="AO1181">
        <v>46129.489178240743</v>
      </c>
      <c r="AP1181" t="s">
        <v>51</v>
      </c>
      <c r="AQ1181">
        <v>1.27105</v>
      </c>
      <c r="AR1181">
        <v>5490.93</v>
      </c>
      <c r="AS1181" t="s">
        <v>51</v>
      </c>
      <c r="AT1181">
        <v>5490.93</v>
      </c>
      <c r="AU1181" t="s">
        <v>415</v>
      </c>
      <c r="AV1181" t="s">
        <v>557</v>
      </c>
      <c r="AW1181" t="s">
        <v>3205</v>
      </c>
      <c r="AX1181">
        <v>46134</v>
      </c>
      <c r="AY1181">
        <v>46183</v>
      </c>
      <c r="AZ1181" t="s">
        <v>3206</v>
      </c>
      <c r="BA1181" t="s">
        <v>560</v>
      </c>
      <c r="BB1181" t="s">
        <v>3207</v>
      </c>
      <c r="BC1181">
        <v>48</v>
      </c>
      <c r="BD1181" t="s">
        <v>521</v>
      </c>
      <c r="BE1181">
        <v>7.6898999999999997</v>
      </c>
      <c r="BF1181">
        <v>6.2298999999999998</v>
      </c>
      <c r="BG1181" t="s">
        <v>522</v>
      </c>
      <c r="BH1181">
        <v>495</v>
      </c>
      <c r="BI1181">
        <v>395</v>
      </c>
      <c r="BJ1181">
        <v>190</v>
      </c>
      <c r="BK1181">
        <v>30</v>
      </c>
      <c r="BL1181" t="s">
        <v>521</v>
      </c>
      <c r="BM1181">
        <v>257.697</v>
      </c>
      <c r="BN1181">
        <v>186.89699999999999</v>
      </c>
      <c r="BO1181">
        <v>773.09280000000001</v>
      </c>
      <c r="BP1181" t="s">
        <v>522</v>
      </c>
      <c r="BQ1181">
        <v>1200</v>
      </c>
      <c r="BR1181">
        <v>1000</v>
      </c>
      <c r="BS1181">
        <v>1120</v>
      </c>
      <c r="BT1181">
        <v>3</v>
      </c>
      <c r="BU1181">
        <v>0</v>
      </c>
      <c r="BV1181">
        <v>3</v>
      </c>
      <c r="BW1181">
        <v>90</v>
      </c>
      <c r="BX1181">
        <v>0</v>
      </c>
      <c r="BY1181">
        <v>90</v>
      </c>
      <c r="BZ1181">
        <v>4320</v>
      </c>
      <c r="CA1181">
        <v>0</v>
      </c>
      <c r="CB1181">
        <v>4320</v>
      </c>
      <c r="CC1181">
        <v>560.69280000000003</v>
      </c>
      <c r="CD1181" t="s">
        <v>806</v>
      </c>
      <c r="CE1181" t="s">
        <v>821</v>
      </c>
      <c r="CG1181" t="s">
        <v>421</v>
      </c>
    </row>
    <row r="1182" spans="2:85" x14ac:dyDescent="0.35">
      <c r="B1182" t="s">
        <v>297</v>
      </c>
      <c r="C1182" t="s">
        <v>2357</v>
      </c>
      <c r="D1182" t="s">
        <v>395</v>
      </c>
      <c r="E1182" t="s">
        <v>395</v>
      </c>
      <c r="F1182" t="s">
        <v>396</v>
      </c>
      <c r="G1182" t="s">
        <v>397</v>
      </c>
      <c r="H1182" t="s">
        <v>398</v>
      </c>
      <c r="I1182" t="s">
        <v>399</v>
      </c>
      <c r="J1182" t="s">
        <v>749</v>
      </c>
      <c r="K1182" t="s">
        <v>629</v>
      </c>
      <c r="L1182" t="s">
        <v>787</v>
      </c>
      <c r="M1182" t="s">
        <v>403</v>
      </c>
      <c r="N1182">
        <v>1</v>
      </c>
      <c r="O1182">
        <v>1</v>
      </c>
      <c r="P1182" t="s">
        <v>896</v>
      </c>
      <c r="Q1182" t="s">
        <v>424</v>
      </c>
      <c r="R1182" t="s">
        <v>833</v>
      </c>
      <c r="S1182" t="s">
        <v>834</v>
      </c>
      <c r="T1182" t="s">
        <v>408</v>
      </c>
      <c r="U1182">
        <v>50950081500</v>
      </c>
      <c r="W1182">
        <v>7000</v>
      </c>
      <c r="X1182" t="s">
        <v>409</v>
      </c>
      <c r="Y1182" t="s">
        <v>410</v>
      </c>
      <c r="Z1182" t="s">
        <v>410</v>
      </c>
      <c r="AA1182" t="s">
        <v>411</v>
      </c>
      <c r="AB1182" t="s">
        <v>554</v>
      </c>
      <c r="AC1182" t="s">
        <v>411</v>
      </c>
      <c r="AD1182">
        <v>46123</v>
      </c>
      <c r="AE1182">
        <v>46174</v>
      </c>
      <c r="AF1182">
        <v>46134</v>
      </c>
      <c r="AG1182" t="s">
        <v>754</v>
      </c>
      <c r="AH1182">
        <v>6196112</v>
      </c>
      <c r="AI1182">
        <v>46128</v>
      </c>
      <c r="AJ1182">
        <v>46129</v>
      </c>
      <c r="AK1182">
        <v>7000</v>
      </c>
      <c r="AL1182" t="s">
        <v>396</v>
      </c>
      <c r="AM1182" t="s">
        <v>3430</v>
      </c>
      <c r="AN1182">
        <v>46129</v>
      </c>
      <c r="AO1182">
        <v>46129.489178240743</v>
      </c>
      <c r="AP1182" t="s">
        <v>51</v>
      </c>
      <c r="AQ1182">
        <v>0.12942000000000001</v>
      </c>
      <c r="AR1182">
        <v>905.94</v>
      </c>
      <c r="AS1182" t="s">
        <v>51</v>
      </c>
      <c r="AT1182">
        <v>905.94</v>
      </c>
      <c r="AU1182" t="s">
        <v>415</v>
      </c>
      <c r="AV1182" t="s">
        <v>557</v>
      </c>
      <c r="AW1182" t="s">
        <v>3205</v>
      </c>
      <c r="AX1182">
        <v>46134</v>
      </c>
      <c r="AY1182">
        <v>46183</v>
      </c>
      <c r="AZ1182" t="s">
        <v>3206</v>
      </c>
      <c r="BA1182" t="s">
        <v>560</v>
      </c>
      <c r="BB1182" t="s">
        <v>3207</v>
      </c>
      <c r="BC1182">
        <v>1400</v>
      </c>
      <c r="BD1182" t="s">
        <v>521</v>
      </c>
      <c r="BE1182">
        <v>10.201000000000001</v>
      </c>
      <c r="BF1182">
        <v>9.3309999999999995</v>
      </c>
      <c r="BG1182" t="s">
        <v>522</v>
      </c>
      <c r="BH1182">
        <v>595</v>
      </c>
      <c r="BI1182">
        <v>395</v>
      </c>
      <c r="BJ1182">
        <v>190</v>
      </c>
      <c r="BK1182">
        <v>25</v>
      </c>
      <c r="BL1182" t="s">
        <v>521</v>
      </c>
      <c r="BM1182">
        <v>78.004999999999995</v>
      </c>
      <c r="BN1182">
        <v>46.655000000000001</v>
      </c>
      <c r="BO1182">
        <v>78.004999999999995</v>
      </c>
      <c r="BP1182" t="s">
        <v>522</v>
      </c>
      <c r="BQ1182">
        <v>1200</v>
      </c>
      <c r="BR1182">
        <v>1000</v>
      </c>
      <c r="BS1182">
        <v>1088</v>
      </c>
      <c r="BT1182">
        <v>0</v>
      </c>
      <c r="BU1182">
        <v>1</v>
      </c>
      <c r="BV1182">
        <v>1</v>
      </c>
      <c r="BW1182">
        <v>5</v>
      </c>
      <c r="BX1182">
        <v>0</v>
      </c>
      <c r="BY1182">
        <v>5</v>
      </c>
      <c r="BZ1182">
        <v>0</v>
      </c>
      <c r="CA1182">
        <v>7000</v>
      </c>
      <c r="CB1182">
        <v>7000</v>
      </c>
      <c r="CC1182">
        <v>46.655000000000001</v>
      </c>
      <c r="CD1182" t="s">
        <v>842</v>
      </c>
      <c r="CE1182" t="s">
        <v>898</v>
      </c>
      <c r="CG1182" t="s">
        <v>421</v>
      </c>
    </row>
    <row r="1183" spans="2:85" x14ac:dyDescent="0.35">
      <c r="B1183" t="s">
        <v>3497</v>
      </c>
      <c r="C1183" t="s">
        <v>3431</v>
      </c>
      <c r="D1183" t="s">
        <v>395</v>
      </c>
      <c r="E1183" t="s">
        <v>395</v>
      </c>
      <c r="F1183" t="s">
        <v>396</v>
      </c>
      <c r="G1183" t="s">
        <v>397</v>
      </c>
      <c r="H1183" t="s">
        <v>398</v>
      </c>
      <c r="I1183" t="s">
        <v>399</v>
      </c>
      <c r="J1183" t="s">
        <v>749</v>
      </c>
      <c r="K1183" t="s">
        <v>515</v>
      </c>
      <c r="L1183" t="s">
        <v>787</v>
      </c>
      <c r="M1183" t="s">
        <v>403</v>
      </c>
      <c r="N1183">
        <v>1</v>
      </c>
      <c r="O1183">
        <v>1</v>
      </c>
      <c r="P1183" t="s">
        <v>1053</v>
      </c>
      <c r="Q1183" t="s">
        <v>424</v>
      </c>
      <c r="R1183" t="s">
        <v>1017</v>
      </c>
      <c r="S1183" t="s">
        <v>1054</v>
      </c>
      <c r="T1183" t="s">
        <v>408</v>
      </c>
      <c r="U1183">
        <v>50950081663</v>
      </c>
      <c r="W1183">
        <v>72000</v>
      </c>
      <c r="X1183" t="s">
        <v>409</v>
      </c>
      <c r="Y1183" t="s">
        <v>410</v>
      </c>
      <c r="Z1183" t="s">
        <v>410</v>
      </c>
      <c r="AA1183" t="s">
        <v>411</v>
      </c>
      <c r="AB1183" t="s">
        <v>554</v>
      </c>
      <c r="AC1183" t="s">
        <v>411</v>
      </c>
      <c r="AD1183">
        <v>46123</v>
      </c>
      <c r="AE1183">
        <v>46181</v>
      </c>
      <c r="AF1183">
        <v>46134</v>
      </c>
      <c r="AG1183" t="s">
        <v>754</v>
      </c>
      <c r="AH1183">
        <v>6196113</v>
      </c>
      <c r="AI1183">
        <v>46128</v>
      </c>
      <c r="AJ1183">
        <v>46129</v>
      </c>
      <c r="AK1183">
        <v>72000</v>
      </c>
      <c r="AL1183" t="s">
        <v>396</v>
      </c>
      <c r="AM1183" t="s">
        <v>3432</v>
      </c>
      <c r="AN1183">
        <v>46129</v>
      </c>
      <c r="AO1183">
        <v>46129.489178240743</v>
      </c>
      <c r="AP1183" t="s">
        <v>51</v>
      </c>
      <c r="AQ1183">
        <v>1.307E-2</v>
      </c>
      <c r="AR1183">
        <v>941.04</v>
      </c>
      <c r="AS1183" t="s">
        <v>51</v>
      </c>
      <c r="AT1183">
        <v>941.04</v>
      </c>
      <c r="AU1183" t="s">
        <v>415</v>
      </c>
      <c r="AV1183" t="s">
        <v>557</v>
      </c>
      <c r="AW1183" t="s">
        <v>3205</v>
      </c>
      <c r="AX1183">
        <v>46134</v>
      </c>
      <c r="AY1183">
        <v>46183</v>
      </c>
      <c r="AZ1183" t="s">
        <v>3206</v>
      </c>
      <c r="BA1183" t="s">
        <v>560</v>
      </c>
      <c r="BB1183" t="s">
        <v>3207</v>
      </c>
      <c r="BC1183">
        <v>12000</v>
      </c>
      <c r="BD1183" t="s">
        <v>521</v>
      </c>
      <c r="BE1183">
        <v>8.3738499999999991</v>
      </c>
      <c r="BF1183">
        <v>7.44</v>
      </c>
      <c r="BG1183" t="s">
        <v>522</v>
      </c>
      <c r="BH1183">
        <v>398</v>
      </c>
      <c r="BI1183">
        <v>298</v>
      </c>
      <c r="BJ1183">
        <v>155</v>
      </c>
      <c r="BK1183">
        <v>6</v>
      </c>
      <c r="BL1183" t="s">
        <v>521</v>
      </c>
      <c r="BM1183">
        <v>58.243099999999998</v>
      </c>
      <c r="BN1183">
        <v>44.64</v>
      </c>
      <c r="BO1183">
        <v>58.243099999999998</v>
      </c>
      <c r="BP1183" t="s">
        <v>522</v>
      </c>
      <c r="BQ1183">
        <v>800</v>
      </c>
      <c r="BR1183">
        <v>300</v>
      </c>
      <c r="BS1183">
        <v>608</v>
      </c>
      <c r="BT1183">
        <v>1</v>
      </c>
      <c r="BU1183">
        <v>0</v>
      </c>
      <c r="BV1183">
        <v>1</v>
      </c>
      <c r="BW1183">
        <v>6</v>
      </c>
      <c r="BX1183">
        <v>0</v>
      </c>
      <c r="BY1183">
        <v>6</v>
      </c>
      <c r="BZ1183">
        <v>72000</v>
      </c>
      <c r="CA1183">
        <v>0</v>
      </c>
      <c r="CB1183">
        <v>72000</v>
      </c>
      <c r="CC1183">
        <v>44.64</v>
      </c>
      <c r="CD1183" t="s">
        <v>523</v>
      </c>
      <c r="CE1183" t="s">
        <v>1056</v>
      </c>
      <c r="CG1183" t="s">
        <v>421</v>
      </c>
    </row>
    <row r="1184" spans="2:85" x14ac:dyDescent="0.35">
      <c r="B1184" t="s">
        <v>297</v>
      </c>
      <c r="C1184" t="s">
        <v>2778</v>
      </c>
      <c r="D1184" t="s">
        <v>395</v>
      </c>
      <c r="E1184" t="s">
        <v>395</v>
      </c>
      <c r="F1184" t="s">
        <v>396</v>
      </c>
      <c r="G1184" t="s">
        <v>397</v>
      </c>
      <c r="H1184" t="s">
        <v>398</v>
      </c>
      <c r="I1184" t="s">
        <v>399</v>
      </c>
      <c r="J1184" t="s">
        <v>749</v>
      </c>
      <c r="K1184" t="s">
        <v>515</v>
      </c>
      <c r="L1184" t="s">
        <v>787</v>
      </c>
      <c r="M1184" t="s">
        <v>403</v>
      </c>
      <c r="N1184">
        <v>3</v>
      </c>
      <c r="O1184">
        <v>1</v>
      </c>
      <c r="P1184" t="s">
        <v>1527</v>
      </c>
      <c r="Q1184" t="s">
        <v>405</v>
      </c>
      <c r="R1184" t="s">
        <v>1528</v>
      </c>
      <c r="S1184" t="s">
        <v>1529</v>
      </c>
      <c r="T1184" t="s">
        <v>408</v>
      </c>
      <c r="U1184">
        <v>50950081684</v>
      </c>
      <c r="W1184">
        <v>160000</v>
      </c>
      <c r="X1184" t="s">
        <v>409</v>
      </c>
      <c r="Y1184" t="s">
        <v>410</v>
      </c>
      <c r="Z1184" t="s">
        <v>410</v>
      </c>
      <c r="AA1184" t="s">
        <v>411</v>
      </c>
      <c r="AB1184" t="s">
        <v>554</v>
      </c>
      <c r="AC1184" t="s">
        <v>411</v>
      </c>
      <c r="AD1184">
        <v>46123</v>
      </c>
      <c r="AE1184">
        <v>46174</v>
      </c>
      <c r="AF1184">
        <v>46134</v>
      </c>
      <c r="AG1184" t="s">
        <v>754</v>
      </c>
      <c r="AH1184">
        <v>6196114</v>
      </c>
      <c r="AI1184">
        <v>46128</v>
      </c>
      <c r="AJ1184">
        <v>46129</v>
      </c>
      <c r="AK1184">
        <v>160000</v>
      </c>
      <c r="AL1184" t="s">
        <v>396</v>
      </c>
      <c r="AM1184" t="s">
        <v>3433</v>
      </c>
      <c r="AN1184">
        <v>46129</v>
      </c>
      <c r="AO1184">
        <v>46129.489178240743</v>
      </c>
      <c r="AP1184" t="s">
        <v>51</v>
      </c>
      <c r="AQ1184">
        <v>1.5200000000000001E-3</v>
      </c>
      <c r="AR1184">
        <v>243.2</v>
      </c>
      <c r="AS1184" t="s">
        <v>51</v>
      </c>
      <c r="AT1184">
        <v>243.2</v>
      </c>
      <c r="AU1184" t="s">
        <v>415</v>
      </c>
      <c r="AV1184" t="s">
        <v>557</v>
      </c>
      <c r="AW1184" t="s">
        <v>3205</v>
      </c>
      <c r="AX1184">
        <v>46134</v>
      </c>
      <c r="AY1184">
        <v>46183</v>
      </c>
      <c r="AZ1184" t="s">
        <v>3206</v>
      </c>
      <c r="BA1184" t="s">
        <v>560</v>
      </c>
      <c r="BB1184" t="s">
        <v>3207</v>
      </c>
      <c r="BC1184">
        <v>80000</v>
      </c>
      <c r="BD1184" t="s">
        <v>521</v>
      </c>
      <c r="BE1184">
        <v>4.8280000000000003</v>
      </c>
      <c r="BF1184">
        <v>4.1280000000000001</v>
      </c>
      <c r="BG1184" t="s">
        <v>522</v>
      </c>
      <c r="BH1184">
        <v>398</v>
      </c>
      <c r="BI1184">
        <v>375</v>
      </c>
      <c r="BJ1184">
        <v>234</v>
      </c>
      <c r="BK1184">
        <v>8</v>
      </c>
      <c r="BL1184" t="s">
        <v>521</v>
      </c>
      <c r="BM1184">
        <v>17.655999999999999</v>
      </c>
      <c r="BN1184">
        <v>8.2560000000000002</v>
      </c>
      <c r="BO1184">
        <v>17.655999999999999</v>
      </c>
      <c r="BP1184" t="s">
        <v>522</v>
      </c>
      <c r="BQ1184">
        <v>800</v>
      </c>
      <c r="BR1184">
        <v>300</v>
      </c>
      <c r="BS1184">
        <v>625</v>
      </c>
      <c r="BT1184">
        <v>0</v>
      </c>
      <c r="BU1184">
        <v>1</v>
      </c>
      <c r="BV1184">
        <v>1</v>
      </c>
      <c r="BW1184">
        <v>2</v>
      </c>
      <c r="BX1184">
        <v>0</v>
      </c>
      <c r="BY1184">
        <v>2</v>
      </c>
      <c r="BZ1184">
        <v>0</v>
      </c>
      <c r="CA1184">
        <v>160000</v>
      </c>
      <c r="CB1184">
        <v>160000</v>
      </c>
      <c r="CC1184">
        <v>8.2560000000000002</v>
      </c>
      <c r="CD1184" t="s">
        <v>1346</v>
      </c>
      <c r="CE1184" t="s">
        <v>1347</v>
      </c>
      <c r="CG1184" t="s">
        <v>421</v>
      </c>
    </row>
    <row r="1185" spans="2:85" x14ac:dyDescent="0.35">
      <c r="B1185" t="s">
        <v>297</v>
      </c>
      <c r="C1185" t="s">
        <v>3434</v>
      </c>
      <c r="D1185" t="s">
        <v>395</v>
      </c>
      <c r="E1185" t="s">
        <v>395</v>
      </c>
      <c r="F1185" t="s">
        <v>396</v>
      </c>
      <c r="G1185" t="s">
        <v>397</v>
      </c>
      <c r="H1185" t="s">
        <v>398</v>
      </c>
      <c r="I1185" t="s">
        <v>399</v>
      </c>
      <c r="J1185" t="s">
        <v>749</v>
      </c>
      <c r="K1185" t="s">
        <v>515</v>
      </c>
      <c r="L1185" t="s">
        <v>787</v>
      </c>
      <c r="M1185" t="s">
        <v>403</v>
      </c>
      <c r="N1185">
        <v>1</v>
      </c>
      <c r="O1185">
        <v>1</v>
      </c>
      <c r="P1185" t="s">
        <v>1527</v>
      </c>
      <c r="Q1185" t="s">
        <v>405</v>
      </c>
      <c r="R1185" t="s">
        <v>1528</v>
      </c>
      <c r="S1185" t="s">
        <v>1529</v>
      </c>
      <c r="T1185" t="s">
        <v>408</v>
      </c>
      <c r="U1185">
        <v>50950081703</v>
      </c>
      <c r="W1185">
        <v>160000</v>
      </c>
      <c r="X1185" t="s">
        <v>409</v>
      </c>
      <c r="Y1185" t="s">
        <v>410</v>
      </c>
      <c r="Z1185" t="s">
        <v>410</v>
      </c>
      <c r="AA1185" t="s">
        <v>411</v>
      </c>
      <c r="AB1185" t="s">
        <v>554</v>
      </c>
      <c r="AC1185" t="s">
        <v>411</v>
      </c>
      <c r="AD1185">
        <v>46130</v>
      </c>
      <c r="AE1185">
        <v>46188</v>
      </c>
      <c r="AF1185">
        <v>46134</v>
      </c>
      <c r="AG1185" t="s">
        <v>754</v>
      </c>
      <c r="AH1185">
        <v>6196115</v>
      </c>
      <c r="AI1185">
        <v>46128</v>
      </c>
      <c r="AJ1185">
        <v>46129</v>
      </c>
      <c r="AK1185">
        <v>160000</v>
      </c>
      <c r="AL1185" t="s">
        <v>396</v>
      </c>
      <c r="AM1185" t="s">
        <v>3435</v>
      </c>
      <c r="AN1185">
        <v>46129</v>
      </c>
      <c r="AO1185">
        <v>46129.489178240743</v>
      </c>
      <c r="AP1185" t="s">
        <v>51</v>
      </c>
      <c r="AQ1185">
        <v>1.5200000000000001E-3</v>
      </c>
      <c r="AR1185">
        <v>243.2</v>
      </c>
      <c r="AS1185" t="s">
        <v>51</v>
      </c>
      <c r="AT1185">
        <v>243.2</v>
      </c>
      <c r="AU1185" t="s">
        <v>415</v>
      </c>
      <c r="AV1185" t="s">
        <v>557</v>
      </c>
      <c r="AW1185" t="s">
        <v>3205</v>
      </c>
      <c r="AX1185">
        <v>46134</v>
      </c>
      <c r="AY1185">
        <v>46183</v>
      </c>
      <c r="AZ1185" t="s">
        <v>3206</v>
      </c>
      <c r="BA1185" t="s">
        <v>560</v>
      </c>
      <c r="BB1185" t="s">
        <v>3207</v>
      </c>
      <c r="BC1185">
        <v>80000</v>
      </c>
      <c r="BD1185" t="s">
        <v>521</v>
      </c>
      <c r="BE1185">
        <v>4.8280000000000003</v>
      </c>
      <c r="BF1185">
        <v>4.1280000000000001</v>
      </c>
      <c r="BG1185" t="s">
        <v>522</v>
      </c>
      <c r="BH1185">
        <v>398</v>
      </c>
      <c r="BI1185">
        <v>375</v>
      </c>
      <c r="BJ1185">
        <v>234</v>
      </c>
      <c r="BK1185">
        <v>8</v>
      </c>
      <c r="BL1185" t="s">
        <v>521</v>
      </c>
      <c r="BM1185">
        <v>17.655999999999999</v>
      </c>
      <c r="BN1185">
        <v>8.2560000000000002</v>
      </c>
      <c r="BO1185">
        <v>17.655999999999999</v>
      </c>
      <c r="BP1185" t="s">
        <v>522</v>
      </c>
      <c r="BQ1185">
        <v>800</v>
      </c>
      <c r="BR1185">
        <v>300</v>
      </c>
      <c r="BS1185">
        <v>625</v>
      </c>
      <c r="BT1185">
        <v>0</v>
      </c>
      <c r="BU1185">
        <v>1</v>
      </c>
      <c r="BV1185">
        <v>1</v>
      </c>
      <c r="BW1185">
        <v>2</v>
      </c>
      <c r="BX1185">
        <v>0</v>
      </c>
      <c r="BY1185">
        <v>2</v>
      </c>
      <c r="BZ1185">
        <v>0</v>
      </c>
      <c r="CA1185">
        <v>160000</v>
      </c>
      <c r="CB1185">
        <v>160000</v>
      </c>
      <c r="CC1185">
        <v>8.2560000000000002</v>
      </c>
      <c r="CD1185" t="s">
        <v>1346</v>
      </c>
      <c r="CE1185" t="s">
        <v>1347</v>
      </c>
      <c r="CG1185" t="s">
        <v>421</v>
      </c>
    </row>
    <row r="1186" spans="2:85" x14ac:dyDescent="0.35">
      <c r="B1186" t="s">
        <v>3497</v>
      </c>
      <c r="C1186" t="s">
        <v>2782</v>
      </c>
      <c r="D1186" t="s">
        <v>395</v>
      </c>
      <c r="E1186" t="s">
        <v>395</v>
      </c>
      <c r="F1186" t="s">
        <v>396</v>
      </c>
      <c r="G1186" t="s">
        <v>397</v>
      </c>
      <c r="H1186" t="s">
        <v>398</v>
      </c>
      <c r="I1186" t="s">
        <v>399</v>
      </c>
      <c r="J1186" t="s">
        <v>749</v>
      </c>
      <c r="K1186" t="s">
        <v>515</v>
      </c>
      <c r="L1186" t="s">
        <v>787</v>
      </c>
      <c r="M1186" t="s">
        <v>403</v>
      </c>
      <c r="N1186">
        <v>2</v>
      </c>
      <c r="O1186">
        <v>1</v>
      </c>
      <c r="P1186" t="s">
        <v>1026</v>
      </c>
      <c r="Q1186" t="s">
        <v>424</v>
      </c>
      <c r="R1186" t="s">
        <v>1017</v>
      </c>
      <c r="S1186" t="s">
        <v>1027</v>
      </c>
      <c r="T1186" t="s">
        <v>408</v>
      </c>
      <c r="U1186">
        <v>50950081710</v>
      </c>
      <c r="W1186">
        <v>96000</v>
      </c>
      <c r="X1186" t="s">
        <v>409</v>
      </c>
      <c r="Y1186" t="s">
        <v>410</v>
      </c>
      <c r="Z1186" t="s">
        <v>410</v>
      </c>
      <c r="AA1186" t="s">
        <v>411</v>
      </c>
      <c r="AB1186" t="s">
        <v>554</v>
      </c>
      <c r="AC1186" t="s">
        <v>411</v>
      </c>
      <c r="AD1186">
        <v>46123</v>
      </c>
      <c r="AE1186">
        <v>46167</v>
      </c>
      <c r="AF1186">
        <v>46134</v>
      </c>
      <c r="AG1186" t="s">
        <v>754</v>
      </c>
      <c r="AH1186">
        <v>6196116</v>
      </c>
      <c r="AI1186">
        <v>46128</v>
      </c>
      <c r="AJ1186">
        <v>46129</v>
      </c>
      <c r="AK1186">
        <v>96000</v>
      </c>
      <c r="AL1186" t="s">
        <v>396</v>
      </c>
      <c r="AM1186" t="s">
        <v>3436</v>
      </c>
      <c r="AN1186">
        <v>46129</v>
      </c>
      <c r="AO1186">
        <v>46129.489178240743</v>
      </c>
      <c r="AP1186" t="s">
        <v>51</v>
      </c>
      <c r="AQ1186">
        <v>1.6310000000000002E-2</v>
      </c>
      <c r="AR1186">
        <v>1565.76</v>
      </c>
      <c r="AS1186" t="s">
        <v>51</v>
      </c>
      <c r="AT1186">
        <v>1565.76</v>
      </c>
      <c r="AU1186" t="s">
        <v>415</v>
      </c>
      <c r="AV1186" t="s">
        <v>557</v>
      </c>
      <c r="AW1186" t="s">
        <v>3205</v>
      </c>
      <c r="AX1186">
        <v>46134</v>
      </c>
      <c r="AY1186">
        <v>46183</v>
      </c>
      <c r="AZ1186" t="s">
        <v>3206</v>
      </c>
      <c r="BA1186" t="s">
        <v>560</v>
      </c>
      <c r="BB1186" t="s">
        <v>3207</v>
      </c>
      <c r="BC1186">
        <v>16000</v>
      </c>
      <c r="BD1186" t="s">
        <v>521</v>
      </c>
      <c r="BE1186">
        <v>14.533849999999999</v>
      </c>
      <c r="BF1186">
        <v>13.6</v>
      </c>
      <c r="BG1186" t="s">
        <v>522</v>
      </c>
      <c r="BH1186">
        <v>398</v>
      </c>
      <c r="BI1186">
        <v>298</v>
      </c>
      <c r="BJ1186">
        <v>155</v>
      </c>
      <c r="BK1186">
        <v>6</v>
      </c>
      <c r="BL1186" t="s">
        <v>521</v>
      </c>
      <c r="BM1186">
        <v>95.203100000000006</v>
      </c>
      <c r="BN1186">
        <v>81.599999999999994</v>
      </c>
      <c r="BO1186">
        <v>95.203100000000006</v>
      </c>
      <c r="BP1186" t="s">
        <v>522</v>
      </c>
      <c r="BQ1186">
        <v>800</v>
      </c>
      <c r="BR1186">
        <v>300</v>
      </c>
      <c r="BS1186">
        <v>608</v>
      </c>
      <c r="BT1186">
        <v>1</v>
      </c>
      <c r="BU1186">
        <v>0</v>
      </c>
      <c r="BV1186">
        <v>1</v>
      </c>
      <c r="BW1186">
        <v>6</v>
      </c>
      <c r="BX1186">
        <v>0</v>
      </c>
      <c r="BY1186">
        <v>6</v>
      </c>
      <c r="BZ1186">
        <v>96000</v>
      </c>
      <c r="CA1186">
        <v>0</v>
      </c>
      <c r="CB1186">
        <v>96000</v>
      </c>
      <c r="CC1186">
        <v>81.599999999999994</v>
      </c>
      <c r="CD1186" t="s">
        <v>523</v>
      </c>
      <c r="CE1186" t="s">
        <v>1020</v>
      </c>
      <c r="CG1186" t="s">
        <v>421</v>
      </c>
    </row>
    <row r="1187" spans="2:85" x14ac:dyDescent="0.35">
      <c r="B1187" t="s">
        <v>297</v>
      </c>
      <c r="C1187" t="s">
        <v>3071</v>
      </c>
      <c r="D1187" t="s">
        <v>395</v>
      </c>
      <c r="E1187" t="s">
        <v>395</v>
      </c>
      <c r="F1187" t="s">
        <v>396</v>
      </c>
      <c r="G1187" t="s">
        <v>397</v>
      </c>
      <c r="H1187" t="s">
        <v>398</v>
      </c>
      <c r="I1187" t="s">
        <v>399</v>
      </c>
      <c r="J1187" t="s">
        <v>749</v>
      </c>
      <c r="K1187" t="s">
        <v>629</v>
      </c>
      <c r="L1187" t="s">
        <v>787</v>
      </c>
      <c r="M1187" t="s">
        <v>403</v>
      </c>
      <c r="N1187">
        <v>4</v>
      </c>
      <c r="O1187">
        <v>1</v>
      </c>
      <c r="P1187" t="s">
        <v>1037</v>
      </c>
      <c r="Q1187" t="s">
        <v>430</v>
      </c>
      <c r="R1187" t="s">
        <v>1038</v>
      </c>
      <c r="S1187" t="s">
        <v>840</v>
      </c>
      <c r="T1187" t="s">
        <v>408</v>
      </c>
      <c r="U1187">
        <v>50950081758</v>
      </c>
      <c r="W1187">
        <v>33600</v>
      </c>
      <c r="X1187" t="s">
        <v>409</v>
      </c>
      <c r="Y1187" t="s">
        <v>410</v>
      </c>
      <c r="Z1187" t="s">
        <v>410</v>
      </c>
      <c r="AA1187" t="s">
        <v>411</v>
      </c>
      <c r="AB1187" t="s">
        <v>554</v>
      </c>
      <c r="AC1187" t="s">
        <v>411</v>
      </c>
      <c r="AD1187">
        <v>46130</v>
      </c>
      <c r="AE1187">
        <v>46188</v>
      </c>
      <c r="AF1187">
        <v>46134</v>
      </c>
      <c r="AG1187" t="s">
        <v>754</v>
      </c>
      <c r="AH1187">
        <v>6196117</v>
      </c>
      <c r="AI1187">
        <v>46128</v>
      </c>
      <c r="AJ1187">
        <v>46129</v>
      </c>
      <c r="AK1187">
        <v>33600</v>
      </c>
      <c r="AL1187" t="s">
        <v>396</v>
      </c>
      <c r="AM1187" t="s">
        <v>3437</v>
      </c>
      <c r="AN1187">
        <v>46129</v>
      </c>
      <c r="AO1187">
        <v>46129.489178240743</v>
      </c>
      <c r="AP1187" t="s">
        <v>51</v>
      </c>
      <c r="AQ1187">
        <v>1.5480000000000001E-2</v>
      </c>
      <c r="AR1187">
        <v>520.13</v>
      </c>
      <c r="AS1187" t="s">
        <v>51</v>
      </c>
      <c r="AT1187">
        <v>520.13</v>
      </c>
      <c r="AU1187" t="s">
        <v>415</v>
      </c>
      <c r="AV1187" t="s">
        <v>557</v>
      </c>
      <c r="AW1187" t="s">
        <v>3205</v>
      </c>
      <c r="AX1187">
        <v>46134</v>
      </c>
      <c r="AY1187">
        <v>46183</v>
      </c>
      <c r="AZ1187" t="s">
        <v>3206</v>
      </c>
      <c r="BA1187" t="s">
        <v>560</v>
      </c>
      <c r="BB1187" t="s">
        <v>3207</v>
      </c>
      <c r="BC1187">
        <v>16800</v>
      </c>
      <c r="BD1187" t="s">
        <v>521</v>
      </c>
      <c r="BE1187">
        <v>8.2989999999999995</v>
      </c>
      <c r="BF1187">
        <v>7.3920000000000003</v>
      </c>
      <c r="BG1187" t="s">
        <v>522</v>
      </c>
      <c r="BH1187">
        <v>395</v>
      </c>
      <c r="BI1187">
        <v>295</v>
      </c>
      <c r="BJ1187">
        <v>270</v>
      </c>
      <c r="BK1187">
        <v>4</v>
      </c>
      <c r="BL1187" t="s">
        <v>521</v>
      </c>
      <c r="BM1187">
        <v>24.597999999999999</v>
      </c>
      <c r="BN1187">
        <v>14.784000000000001</v>
      </c>
      <c r="BO1187">
        <v>24.597999999999999</v>
      </c>
      <c r="BP1187" t="s">
        <v>522</v>
      </c>
      <c r="BQ1187">
        <v>800</v>
      </c>
      <c r="BR1187">
        <v>300</v>
      </c>
      <c r="BS1187">
        <v>698</v>
      </c>
      <c r="BT1187">
        <v>0</v>
      </c>
      <c r="BU1187">
        <v>1</v>
      </c>
      <c r="BV1187">
        <v>1</v>
      </c>
      <c r="BW1187">
        <v>2</v>
      </c>
      <c r="BX1187">
        <v>0</v>
      </c>
      <c r="BY1187">
        <v>2</v>
      </c>
      <c r="BZ1187">
        <v>0</v>
      </c>
      <c r="CA1187">
        <v>33600</v>
      </c>
      <c r="CB1187">
        <v>33600</v>
      </c>
      <c r="CC1187">
        <v>14.784000000000001</v>
      </c>
      <c r="CD1187" t="s">
        <v>659</v>
      </c>
      <c r="CE1187" t="s">
        <v>634</v>
      </c>
      <c r="CG1187" t="s">
        <v>421</v>
      </c>
    </row>
    <row r="1188" spans="2:85" x14ac:dyDescent="0.35">
      <c r="B1188" t="s">
        <v>297</v>
      </c>
      <c r="C1188" t="s">
        <v>3071</v>
      </c>
      <c r="D1188" t="s">
        <v>395</v>
      </c>
      <c r="E1188" t="s">
        <v>395</v>
      </c>
      <c r="F1188" t="s">
        <v>396</v>
      </c>
      <c r="G1188" t="s">
        <v>397</v>
      </c>
      <c r="H1188" t="s">
        <v>398</v>
      </c>
      <c r="I1188" t="s">
        <v>399</v>
      </c>
      <c r="J1188" t="s">
        <v>749</v>
      </c>
      <c r="K1188" t="s">
        <v>629</v>
      </c>
      <c r="L1188" t="s">
        <v>787</v>
      </c>
      <c r="M1188" t="s">
        <v>403</v>
      </c>
      <c r="N1188">
        <v>1</v>
      </c>
      <c r="O1188">
        <v>1</v>
      </c>
      <c r="P1188" t="s">
        <v>1037</v>
      </c>
      <c r="Q1188" t="s">
        <v>430</v>
      </c>
      <c r="R1188" t="s">
        <v>1038</v>
      </c>
      <c r="S1188" t="s">
        <v>840</v>
      </c>
      <c r="T1188" t="s">
        <v>408</v>
      </c>
      <c r="U1188">
        <v>50950081758</v>
      </c>
      <c r="W1188">
        <v>33600</v>
      </c>
      <c r="X1188" t="s">
        <v>409</v>
      </c>
      <c r="Y1188" t="s">
        <v>410</v>
      </c>
      <c r="Z1188" t="s">
        <v>410</v>
      </c>
      <c r="AA1188" t="s">
        <v>411</v>
      </c>
      <c r="AB1188" t="s">
        <v>554</v>
      </c>
      <c r="AC1188" t="s">
        <v>411</v>
      </c>
      <c r="AD1188">
        <v>46130</v>
      </c>
      <c r="AE1188">
        <v>46195</v>
      </c>
      <c r="AF1188">
        <v>46134</v>
      </c>
      <c r="AG1188" t="s">
        <v>754</v>
      </c>
      <c r="AH1188">
        <v>6196117</v>
      </c>
      <c r="AI1188">
        <v>46128</v>
      </c>
      <c r="AJ1188">
        <v>46129</v>
      </c>
      <c r="AK1188">
        <v>33600</v>
      </c>
      <c r="AL1188" t="s">
        <v>396</v>
      </c>
      <c r="AM1188" t="s">
        <v>3437</v>
      </c>
      <c r="AN1188">
        <v>46129</v>
      </c>
      <c r="AO1188">
        <v>46129.489178240743</v>
      </c>
      <c r="AP1188" t="s">
        <v>51</v>
      </c>
      <c r="AQ1188">
        <v>1.5480000000000001E-2</v>
      </c>
      <c r="AR1188">
        <v>520.13</v>
      </c>
      <c r="AS1188" t="s">
        <v>51</v>
      </c>
      <c r="AT1188">
        <v>520.13</v>
      </c>
      <c r="AU1188" t="s">
        <v>415</v>
      </c>
      <c r="AV1188" t="s">
        <v>557</v>
      </c>
      <c r="AW1188" t="s">
        <v>3205</v>
      </c>
      <c r="AX1188">
        <v>46134</v>
      </c>
      <c r="AY1188">
        <v>46183</v>
      </c>
      <c r="AZ1188" t="s">
        <v>3206</v>
      </c>
      <c r="BA1188" t="s">
        <v>560</v>
      </c>
      <c r="BB1188" t="s">
        <v>3207</v>
      </c>
      <c r="BC1188">
        <v>16800</v>
      </c>
      <c r="BD1188" t="s">
        <v>521</v>
      </c>
      <c r="BE1188">
        <v>8.2989999999999995</v>
      </c>
      <c r="BF1188">
        <v>7.3920000000000003</v>
      </c>
      <c r="BG1188" t="s">
        <v>522</v>
      </c>
      <c r="BH1188">
        <v>395</v>
      </c>
      <c r="BI1188">
        <v>295</v>
      </c>
      <c r="BJ1188">
        <v>270</v>
      </c>
      <c r="BK1188">
        <v>4</v>
      </c>
      <c r="BL1188" t="s">
        <v>521</v>
      </c>
      <c r="BM1188">
        <v>24.597999999999999</v>
      </c>
      <c r="BN1188">
        <v>14.784000000000001</v>
      </c>
      <c r="BO1188">
        <v>24.597999999999999</v>
      </c>
      <c r="BP1188" t="s">
        <v>522</v>
      </c>
      <c r="BQ1188">
        <v>800</v>
      </c>
      <c r="BR1188">
        <v>300</v>
      </c>
      <c r="BS1188">
        <v>698</v>
      </c>
      <c r="BT1188">
        <v>0</v>
      </c>
      <c r="BU1188">
        <v>1</v>
      </c>
      <c r="BV1188">
        <v>1</v>
      </c>
      <c r="BW1188">
        <v>2</v>
      </c>
      <c r="BX1188">
        <v>0</v>
      </c>
      <c r="BY1188">
        <v>2</v>
      </c>
      <c r="BZ1188">
        <v>0</v>
      </c>
      <c r="CA1188">
        <v>33600</v>
      </c>
      <c r="CB1188">
        <v>33600</v>
      </c>
      <c r="CC1188">
        <v>14.784000000000001</v>
      </c>
      <c r="CD1188" t="s">
        <v>659</v>
      </c>
      <c r="CE1188" t="s">
        <v>634</v>
      </c>
      <c r="CG1188" t="s">
        <v>421</v>
      </c>
    </row>
    <row r="1189" spans="2:85" x14ac:dyDescent="0.35">
      <c r="B1189" t="s">
        <v>297</v>
      </c>
      <c r="C1189" t="s">
        <v>3438</v>
      </c>
      <c r="D1189" t="s">
        <v>395</v>
      </c>
      <c r="E1189" t="s">
        <v>395</v>
      </c>
      <c r="F1189" t="s">
        <v>396</v>
      </c>
      <c r="G1189" t="s">
        <v>397</v>
      </c>
      <c r="H1189" t="s">
        <v>398</v>
      </c>
      <c r="I1189" t="s">
        <v>399</v>
      </c>
      <c r="J1189" t="s">
        <v>749</v>
      </c>
      <c r="K1189" t="s">
        <v>629</v>
      </c>
      <c r="L1189" t="s">
        <v>787</v>
      </c>
      <c r="M1189" t="s">
        <v>403</v>
      </c>
      <c r="N1189">
        <v>2</v>
      </c>
      <c r="O1189">
        <v>1</v>
      </c>
      <c r="P1189" t="s">
        <v>900</v>
      </c>
      <c r="Q1189" t="s">
        <v>789</v>
      </c>
      <c r="R1189" t="s">
        <v>631</v>
      </c>
      <c r="S1189" t="s">
        <v>901</v>
      </c>
      <c r="T1189" t="s">
        <v>408</v>
      </c>
      <c r="U1189">
        <v>50950081764</v>
      </c>
      <c r="W1189">
        <v>28000</v>
      </c>
      <c r="X1189" t="s">
        <v>409</v>
      </c>
      <c r="Y1189" t="s">
        <v>410</v>
      </c>
      <c r="Z1189" t="s">
        <v>410</v>
      </c>
      <c r="AA1189" t="s">
        <v>411</v>
      </c>
      <c r="AB1189" t="s">
        <v>554</v>
      </c>
      <c r="AC1189" t="s">
        <v>411</v>
      </c>
      <c r="AD1189">
        <v>46123</v>
      </c>
      <c r="AE1189">
        <v>46160</v>
      </c>
      <c r="AF1189">
        <v>46134</v>
      </c>
      <c r="AG1189" t="s">
        <v>754</v>
      </c>
      <c r="AH1189">
        <v>6196118</v>
      </c>
      <c r="AI1189">
        <v>46128</v>
      </c>
      <c r="AJ1189">
        <v>46129</v>
      </c>
      <c r="AK1189">
        <v>28000</v>
      </c>
      <c r="AL1189" t="s">
        <v>396</v>
      </c>
      <c r="AM1189" t="s">
        <v>3439</v>
      </c>
      <c r="AN1189">
        <v>46129</v>
      </c>
      <c r="AO1189">
        <v>46129.489178240743</v>
      </c>
      <c r="AP1189" t="s">
        <v>51</v>
      </c>
      <c r="AQ1189">
        <v>0.12556</v>
      </c>
      <c r="AR1189">
        <v>3515.68</v>
      </c>
      <c r="AS1189" t="s">
        <v>51</v>
      </c>
      <c r="AT1189">
        <v>3515.68</v>
      </c>
      <c r="AU1189" t="s">
        <v>415</v>
      </c>
      <c r="AV1189" t="s">
        <v>557</v>
      </c>
      <c r="AW1189" t="s">
        <v>3205</v>
      </c>
      <c r="AX1189">
        <v>46134</v>
      </c>
      <c r="AY1189">
        <v>46183</v>
      </c>
      <c r="AZ1189" t="s">
        <v>3206</v>
      </c>
      <c r="BA1189" t="s">
        <v>560</v>
      </c>
      <c r="BB1189" t="s">
        <v>3207</v>
      </c>
      <c r="BC1189">
        <v>1400</v>
      </c>
      <c r="BD1189" t="s">
        <v>521</v>
      </c>
      <c r="BE1189">
        <v>9.8621999999999996</v>
      </c>
      <c r="BF1189">
        <v>8.9922000000000004</v>
      </c>
      <c r="BG1189" t="s">
        <v>522</v>
      </c>
      <c r="BH1189">
        <v>595</v>
      </c>
      <c r="BI1189">
        <v>395</v>
      </c>
      <c r="BJ1189">
        <v>190</v>
      </c>
      <c r="BK1189">
        <v>25</v>
      </c>
      <c r="BL1189" t="s">
        <v>521</v>
      </c>
      <c r="BM1189">
        <v>224.244</v>
      </c>
      <c r="BN1189">
        <v>179.84399999999999</v>
      </c>
      <c r="BO1189">
        <v>224.244</v>
      </c>
      <c r="BP1189" t="s">
        <v>522</v>
      </c>
      <c r="BQ1189">
        <v>1200</v>
      </c>
      <c r="BR1189">
        <v>1000</v>
      </c>
      <c r="BS1189">
        <v>1088</v>
      </c>
      <c r="BT1189">
        <v>0</v>
      </c>
      <c r="BU1189">
        <v>1</v>
      </c>
      <c r="BV1189">
        <v>1</v>
      </c>
      <c r="BW1189">
        <v>20</v>
      </c>
      <c r="BX1189">
        <v>0</v>
      </c>
      <c r="BY1189">
        <v>20</v>
      </c>
      <c r="BZ1189">
        <v>0</v>
      </c>
      <c r="CA1189">
        <v>28000</v>
      </c>
      <c r="CB1189">
        <v>28000</v>
      </c>
      <c r="CC1189">
        <v>179.84399999999999</v>
      </c>
      <c r="CD1189" t="s">
        <v>842</v>
      </c>
      <c r="CE1189" t="s">
        <v>898</v>
      </c>
      <c r="CG1189" t="s">
        <v>421</v>
      </c>
    </row>
    <row r="1190" spans="2:85" x14ac:dyDescent="0.35">
      <c r="B1190" t="s">
        <v>297</v>
      </c>
      <c r="C1190" t="s">
        <v>3017</v>
      </c>
      <c r="D1190" t="s">
        <v>395</v>
      </c>
      <c r="E1190" t="s">
        <v>395</v>
      </c>
      <c r="F1190" t="s">
        <v>396</v>
      </c>
      <c r="G1190" t="s">
        <v>397</v>
      </c>
      <c r="H1190" t="s">
        <v>398</v>
      </c>
      <c r="I1190" t="s">
        <v>399</v>
      </c>
      <c r="J1190" t="s">
        <v>749</v>
      </c>
      <c r="K1190" t="s">
        <v>629</v>
      </c>
      <c r="L1190" t="s">
        <v>787</v>
      </c>
      <c r="M1190" t="s">
        <v>403</v>
      </c>
      <c r="N1190">
        <v>2</v>
      </c>
      <c r="O1190">
        <v>3</v>
      </c>
      <c r="P1190" t="s">
        <v>832</v>
      </c>
      <c r="Q1190" t="s">
        <v>645</v>
      </c>
      <c r="R1190" t="s">
        <v>833</v>
      </c>
      <c r="S1190" t="s">
        <v>834</v>
      </c>
      <c r="T1190" t="s">
        <v>408</v>
      </c>
      <c r="U1190">
        <v>50950081765</v>
      </c>
      <c r="W1190">
        <v>9600</v>
      </c>
      <c r="X1190" t="s">
        <v>409</v>
      </c>
      <c r="Y1190" t="s">
        <v>410</v>
      </c>
      <c r="Z1190" t="s">
        <v>410</v>
      </c>
      <c r="AA1190" t="s">
        <v>411</v>
      </c>
      <c r="AB1190" t="s">
        <v>554</v>
      </c>
      <c r="AC1190" t="s">
        <v>411</v>
      </c>
      <c r="AD1190">
        <v>46123</v>
      </c>
      <c r="AE1190">
        <v>46174</v>
      </c>
      <c r="AF1190">
        <v>46134</v>
      </c>
      <c r="AG1190" t="s">
        <v>754</v>
      </c>
      <c r="AH1190">
        <v>6196119</v>
      </c>
      <c r="AI1190">
        <v>46128</v>
      </c>
      <c r="AJ1190">
        <v>46129</v>
      </c>
      <c r="AK1190">
        <v>9600</v>
      </c>
      <c r="AL1190" t="s">
        <v>396</v>
      </c>
      <c r="AM1190" t="s">
        <v>3440</v>
      </c>
      <c r="AN1190">
        <v>46129</v>
      </c>
      <c r="AO1190">
        <v>46129.489178240743</v>
      </c>
      <c r="AP1190" t="s">
        <v>51</v>
      </c>
      <c r="AQ1190">
        <v>0.13306999999999999</v>
      </c>
      <c r="AR1190">
        <v>1277.47</v>
      </c>
      <c r="AS1190" t="s">
        <v>51</v>
      </c>
      <c r="AT1190">
        <v>1277.47</v>
      </c>
      <c r="AU1190" t="s">
        <v>415</v>
      </c>
      <c r="AV1190" t="s">
        <v>557</v>
      </c>
      <c r="AW1190" t="s">
        <v>3205</v>
      </c>
      <c r="AX1190">
        <v>46134</v>
      </c>
      <c r="AY1190">
        <v>46183</v>
      </c>
      <c r="AZ1190" t="s">
        <v>3206</v>
      </c>
      <c r="BA1190" t="s">
        <v>560</v>
      </c>
      <c r="BB1190" t="s">
        <v>3207</v>
      </c>
      <c r="BC1190">
        <v>320</v>
      </c>
      <c r="BD1190" t="s">
        <v>521</v>
      </c>
      <c r="BE1190">
        <v>4.1859999999999999</v>
      </c>
      <c r="BF1190">
        <v>3.6160000000000001</v>
      </c>
      <c r="BG1190" t="s">
        <v>522</v>
      </c>
      <c r="BH1190">
        <v>395</v>
      </c>
      <c r="BI1190">
        <v>295</v>
      </c>
      <c r="BJ1190">
        <v>255</v>
      </c>
      <c r="BK1190">
        <v>30</v>
      </c>
      <c r="BL1190" t="s">
        <v>521</v>
      </c>
      <c r="BM1190">
        <v>152.58000000000001</v>
      </c>
      <c r="BN1190">
        <v>108.48</v>
      </c>
      <c r="BO1190">
        <v>152.58000000000001</v>
      </c>
      <c r="BP1190" t="s">
        <v>522</v>
      </c>
      <c r="BQ1190">
        <v>1200</v>
      </c>
      <c r="BR1190">
        <v>1000</v>
      </c>
      <c r="BS1190">
        <v>918</v>
      </c>
      <c r="BT1190">
        <v>1</v>
      </c>
      <c r="BU1190">
        <v>0</v>
      </c>
      <c r="BV1190">
        <v>1</v>
      </c>
      <c r="BW1190">
        <v>30</v>
      </c>
      <c r="BX1190">
        <v>0</v>
      </c>
      <c r="BY1190">
        <v>30</v>
      </c>
      <c r="BZ1190">
        <v>9600</v>
      </c>
      <c r="CA1190">
        <v>0</v>
      </c>
      <c r="CB1190">
        <v>9600</v>
      </c>
      <c r="CC1190">
        <v>108.48</v>
      </c>
      <c r="CD1190" t="s">
        <v>633</v>
      </c>
      <c r="CE1190" t="s">
        <v>836</v>
      </c>
      <c r="CG1190" t="s">
        <v>421</v>
      </c>
    </row>
    <row r="1191" spans="2:85" x14ac:dyDescent="0.35">
      <c r="B1191" t="s">
        <v>3497</v>
      </c>
      <c r="C1191" t="s">
        <v>3441</v>
      </c>
      <c r="D1191" t="s">
        <v>395</v>
      </c>
      <c r="E1191" t="s">
        <v>395</v>
      </c>
      <c r="F1191" t="s">
        <v>396</v>
      </c>
      <c r="G1191" t="s">
        <v>397</v>
      </c>
      <c r="H1191" t="s">
        <v>398</v>
      </c>
      <c r="I1191" t="s">
        <v>399</v>
      </c>
      <c r="J1191" t="s">
        <v>749</v>
      </c>
      <c r="K1191" t="s">
        <v>515</v>
      </c>
      <c r="L1191" t="s">
        <v>787</v>
      </c>
      <c r="M1191" t="s">
        <v>403</v>
      </c>
      <c r="N1191">
        <v>1</v>
      </c>
      <c r="O1191">
        <v>1</v>
      </c>
      <c r="P1191" t="s">
        <v>1549</v>
      </c>
      <c r="Q1191" t="s">
        <v>637</v>
      </c>
      <c r="R1191" t="s">
        <v>616</v>
      </c>
      <c r="S1191" t="s">
        <v>1540</v>
      </c>
      <c r="T1191" t="s">
        <v>408</v>
      </c>
      <c r="U1191">
        <v>50950082079</v>
      </c>
      <c r="W1191">
        <v>15000</v>
      </c>
      <c r="X1191" t="s">
        <v>409</v>
      </c>
      <c r="Y1191" t="s">
        <v>410</v>
      </c>
      <c r="Z1191" t="s">
        <v>410</v>
      </c>
      <c r="AA1191" t="s">
        <v>411</v>
      </c>
      <c r="AB1191" t="s">
        <v>554</v>
      </c>
      <c r="AC1191" t="s">
        <v>411</v>
      </c>
      <c r="AD1191">
        <v>46125</v>
      </c>
      <c r="AE1191">
        <v>46202</v>
      </c>
      <c r="AF1191">
        <v>46134</v>
      </c>
      <c r="AG1191" t="s">
        <v>754</v>
      </c>
      <c r="AH1191">
        <v>6196120</v>
      </c>
      <c r="AI1191">
        <v>46128</v>
      </c>
      <c r="AJ1191">
        <v>46129</v>
      </c>
      <c r="AK1191">
        <v>15000</v>
      </c>
      <c r="AL1191" t="s">
        <v>396</v>
      </c>
      <c r="AM1191" t="s">
        <v>3442</v>
      </c>
      <c r="AN1191">
        <v>46129</v>
      </c>
      <c r="AO1191">
        <v>46129.489178240743</v>
      </c>
      <c r="AP1191" t="s">
        <v>51</v>
      </c>
      <c r="AQ1191">
        <v>3.5810000000000002E-2</v>
      </c>
      <c r="AR1191">
        <v>537.15</v>
      </c>
      <c r="AS1191" t="s">
        <v>51</v>
      </c>
      <c r="AT1191">
        <v>537.15</v>
      </c>
      <c r="AU1191" t="s">
        <v>415</v>
      </c>
      <c r="AV1191" t="s">
        <v>557</v>
      </c>
      <c r="AW1191" t="s">
        <v>3205</v>
      </c>
      <c r="AX1191">
        <v>46134</v>
      </c>
      <c r="AY1191">
        <v>46183</v>
      </c>
      <c r="AZ1191" t="s">
        <v>3206</v>
      </c>
      <c r="BA1191" t="s">
        <v>560</v>
      </c>
      <c r="BB1191" t="s">
        <v>3207</v>
      </c>
      <c r="BC1191">
        <v>2000</v>
      </c>
      <c r="BD1191" t="s">
        <v>521</v>
      </c>
      <c r="BE1191">
        <v>8.0278500000000008</v>
      </c>
      <c r="BF1191">
        <v>7.0940000000000003</v>
      </c>
      <c r="BG1191" t="s">
        <v>522</v>
      </c>
      <c r="BH1191">
        <v>398</v>
      </c>
      <c r="BI1191">
        <v>298</v>
      </c>
      <c r="BJ1191">
        <v>155</v>
      </c>
      <c r="BK1191">
        <v>6</v>
      </c>
      <c r="BL1191" t="s">
        <v>521</v>
      </c>
      <c r="BM1191">
        <v>56.167099999999998</v>
      </c>
      <c r="BN1191">
        <v>42.564</v>
      </c>
      <c r="BO1191">
        <v>76.675799999999995</v>
      </c>
      <c r="BP1191" t="s">
        <v>522</v>
      </c>
      <c r="BQ1191">
        <v>800</v>
      </c>
      <c r="BR1191">
        <v>300</v>
      </c>
      <c r="BS1191">
        <v>608</v>
      </c>
      <c r="BT1191">
        <v>1</v>
      </c>
      <c r="BU1191">
        <v>1</v>
      </c>
      <c r="BV1191">
        <v>2</v>
      </c>
      <c r="BW1191">
        <v>7</v>
      </c>
      <c r="BX1191">
        <v>1</v>
      </c>
      <c r="BY1191">
        <v>8</v>
      </c>
      <c r="BZ1191">
        <v>12000</v>
      </c>
      <c r="CA1191">
        <v>3000</v>
      </c>
      <c r="CB1191">
        <v>15000</v>
      </c>
      <c r="CC1191">
        <v>53.204999999999998</v>
      </c>
      <c r="CD1191" t="s">
        <v>523</v>
      </c>
      <c r="CE1191" t="s">
        <v>981</v>
      </c>
      <c r="CG1191" t="s">
        <v>421</v>
      </c>
    </row>
    <row r="1192" spans="2:85" x14ac:dyDescent="0.35">
      <c r="B1192" t="s">
        <v>299</v>
      </c>
      <c r="C1192" t="s">
        <v>3443</v>
      </c>
      <c r="D1192" t="s">
        <v>395</v>
      </c>
      <c r="E1192" t="s">
        <v>395</v>
      </c>
      <c r="F1192" t="s">
        <v>396</v>
      </c>
      <c r="G1192" t="s">
        <v>397</v>
      </c>
      <c r="H1192" t="s">
        <v>398</v>
      </c>
      <c r="I1192" t="s">
        <v>399</v>
      </c>
      <c r="J1192" t="s">
        <v>749</v>
      </c>
      <c r="K1192" t="s">
        <v>629</v>
      </c>
      <c r="L1192" t="s">
        <v>787</v>
      </c>
      <c r="M1192" t="s">
        <v>403</v>
      </c>
      <c r="N1192">
        <v>1</v>
      </c>
      <c r="O1192">
        <v>1</v>
      </c>
      <c r="P1192" t="s">
        <v>3444</v>
      </c>
      <c r="Q1192" t="s">
        <v>430</v>
      </c>
      <c r="R1192" t="s">
        <v>3382</v>
      </c>
      <c r="S1192" t="s">
        <v>840</v>
      </c>
      <c r="T1192" t="s">
        <v>408</v>
      </c>
      <c r="U1192">
        <v>50950082087</v>
      </c>
      <c r="W1192">
        <v>7200</v>
      </c>
      <c r="X1192" t="s">
        <v>409</v>
      </c>
      <c r="Y1192" t="s">
        <v>410</v>
      </c>
      <c r="Z1192" t="s">
        <v>410</v>
      </c>
      <c r="AA1192" t="s">
        <v>411</v>
      </c>
      <c r="AB1192" t="s">
        <v>554</v>
      </c>
      <c r="AC1192" t="s">
        <v>411</v>
      </c>
      <c r="AD1192">
        <v>46130</v>
      </c>
      <c r="AE1192">
        <v>46188</v>
      </c>
      <c r="AF1192">
        <v>46134</v>
      </c>
      <c r="AG1192" t="s">
        <v>754</v>
      </c>
      <c r="AH1192">
        <v>6196121</v>
      </c>
      <c r="AI1192">
        <v>46128</v>
      </c>
      <c r="AJ1192">
        <v>46129</v>
      </c>
      <c r="AK1192">
        <v>7200</v>
      </c>
      <c r="AL1192" t="s">
        <v>396</v>
      </c>
      <c r="AM1192" t="s">
        <v>3445</v>
      </c>
      <c r="AN1192">
        <v>46129</v>
      </c>
      <c r="AO1192">
        <v>46129.489178240743</v>
      </c>
      <c r="AP1192" t="s">
        <v>51</v>
      </c>
      <c r="AQ1192">
        <v>6.5049999999999997E-2</v>
      </c>
      <c r="AR1192">
        <v>468.36</v>
      </c>
      <c r="AS1192" t="s">
        <v>51</v>
      </c>
      <c r="AT1192">
        <v>468.36</v>
      </c>
      <c r="AU1192" t="s">
        <v>415</v>
      </c>
      <c r="AV1192" t="s">
        <v>557</v>
      </c>
      <c r="AW1192" t="s">
        <v>3205</v>
      </c>
      <c r="AX1192">
        <v>46134</v>
      </c>
      <c r="AY1192">
        <v>46183</v>
      </c>
      <c r="AZ1192" t="s">
        <v>3206</v>
      </c>
      <c r="BA1192" t="s">
        <v>560</v>
      </c>
      <c r="BB1192" t="s">
        <v>3207</v>
      </c>
      <c r="BC1192">
        <v>1200</v>
      </c>
      <c r="BD1192" t="s">
        <v>521</v>
      </c>
      <c r="BE1192">
        <v>3.5973999999999999</v>
      </c>
      <c r="BF1192">
        <v>2.9184000000000001</v>
      </c>
      <c r="BG1192" t="s">
        <v>522</v>
      </c>
      <c r="BH1192">
        <v>395</v>
      </c>
      <c r="BI1192">
        <v>295</v>
      </c>
      <c r="BJ1192">
        <v>174</v>
      </c>
      <c r="BK1192">
        <v>6</v>
      </c>
      <c r="BL1192" t="s">
        <v>521</v>
      </c>
      <c r="BM1192">
        <v>29.584399999999999</v>
      </c>
      <c r="BN1192">
        <v>17.510400000000001</v>
      </c>
      <c r="BO1192">
        <v>29.584399999999999</v>
      </c>
      <c r="BP1192" t="s">
        <v>522</v>
      </c>
      <c r="BQ1192">
        <v>800</v>
      </c>
      <c r="BR1192">
        <v>300</v>
      </c>
      <c r="BS1192">
        <v>698</v>
      </c>
      <c r="BT1192">
        <v>1</v>
      </c>
      <c r="BU1192">
        <v>0</v>
      </c>
      <c r="BV1192">
        <v>1</v>
      </c>
      <c r="BW1192">
        <v>6</v>
      </c>
      <c r="BX1192">
        <v>0</v>
      </c>
      <c r="BY1192">
        <v>6</v>
      </c>
      <c r="BZ1192">
        <v>7200</v>
      </c>
      <c r="CA1192">
        <v>0</v>
      </c>
      <c r="CB1192">
        <v>7200</v>
      </c>
      <c r="CC1192">
        <v>17.510400000000001</v>
      </c>
      <c r="CD1192" t="s">
        <v>659</v>
      </c>
      <c r="CE1192" t="s">
        <v>1006</v>
      </c>
      <c r="CG1192" t="s">
        <v>421</v>
      </c>
    </row>
    <row r="1193" spans="2:85" x14ac:dyDescent="0.35">
      <c r="B1193" t="s">
        <v>299</v>
      </c>
      <c r="C1193" t="s">
        <v>3446</v>
      </c>
      <c r="D1193" t="s">
        <v>395</v>
      </c>
      <c r="E1193" t="s">
        <v>395</v>
      </c>
      <c r="F1193" t="s">
        <v>396</v>
      </c>
      <c r="G1193" t="s">
        <v>397</v>
      </c>
      <c r="H1193" t="s">
        <v>398</v>
      </c>
      <c r="I1193" t="s">
        <v>399</v>
      </c>
      <c r="J1193" t="s">
        <v>749</v>
      </c>
      <c r="K1193" t="s">
        <v>629</v>
      </c>
      <c r="L1193" t="s">
        <v>787</v>
      </c>
      <c r="M1193" t="s">
        <v>403</v>
      </c>
      <c r="N1193">
        <v>1</v>
      </c>
      <c r="O1193">
        <v>1</v>
      </c>
      <c r="P1193" t="s">
        <v>3447</v>
      </c>
      <c r="Q1193" t="s">
        <v>430</v>
      </c>
      <c r="R1193" t="s">
        <v>3382</v>
      </c>
      <c r="S1193" t="s">
        <v>840</v>
      </c>
      <c r="T1193" t="s">
        <v>408</v>
      </c>
      <c r="U1193">
        <v>50950082094</v>
      </c>
      <c r="W1193">
        <v>7200</v>
      </c>
      <c r="X1193" t="s">
        <v>409</v>
      </c>
      <c r="Y1193" t="s">
        <v>410</v>
      </c>
      <c r="Z1193" t="s">
        <v>410</v>
      </c>
      <c r="AA1193" t="s">
        <v>411</v>
      </c>
      <c r="AB1193" t="s">
        <v>554</v>
      </c>
      <c r="AC1193" t="s">
        <v>411</v>
      </c>
      <c r="AD1193">
        <v>46130</v>
      </c>
      <c r="AE1193">
        <v>46188</v>
      </c>
      <c r="AF1193">
        <v>46134</v>
      </c>
      <c r="AG1193" t="s">
        <v>754</v>
      </c>
      <c r="AH1193">
        <v>6196122</v>
      </c>
      <c r="AI1193">
        <v>46128</v>
      </c>
      <c r="AJ1193">
        <v>46129</v>
      </c>
      <c r="AK1193">
        <v>7200</v>
      </c>
      <c r="AL1193" t="s">
        <v>396</v>
      </c>
      <c r="AM1193" t="s">
        <v>3448</v>
      </c>
      <c r="AN1193">
        <v>46129</v>
      </c>
      <c r="AO1193">
        <v>46129.489178240743</v>
      </c>
      <c r="AP1193" t="s">
        <v>51</v>
      </c>
      <c r="AQ1193">
        <v>6.8900000000000003E-2</v>
      </c>
      <c r="AR1193">
        <v>496.08</v>
      </c>
      <c r="AS1193" t="s">
        <v>51</v>
      </c>
      <c r="AT1193">
        <v>496.08</v>
      </c>
      <c r="AU1193" t="s">
        <v>415</v>
      </c>
      <c r="AV1193" t="s">
        <v>557</v>
      </c>
      <c r="AW1193" t="s">
        <v>3205</v>
      </c>
      <c r="AX1193">
        <v>46134</v>
      </c>
      <c r="AY1193">
        <v>46183</v>
      </c>
      <c r="AZ1193" t="s">
        <v>3206</v>
      </c>
      <c r="BA1193" t="s">
        <v>560</v>
      </c>
      <c r="BB1193" t="s">
        <v>3207</v>
      </c>
      <c r="BC1193">
        <v>1200</v>
      </c>
      <c r="BD1193" t="s">
        <v>521</v>
      </c>
      <c r="BE1193">
        <v>4.2910000000000004</v>
      </c>
      <c r="BF1193">
        <v>3.6120000000000001</v>
      </c>
      <c r="BG1193" t="s">
        <v>522</v>
      </c>
      <c r="BH1193">
        <v>395</v>
      </c>
      <c r="BI1193">
        <v>295</v>
      </c>
      <c r="BJ1193">
        <v>174</v>
      </c>
      <c r="BK1193">
        <v>6</v>
      </c>
      <c r="BL1193" t="s">
        <v>521</v>
      </c>
      <c r="BM1193">
        <v>33.746000000000002</v>
      </c>
      <c r="BN1193">
        <v>21.672000000000001</v>
      </c>
      <c r="BO1193">
        <v>33.746000000000002</v>
      </c>
      <c r="BP1193" t="s">
        <v>522</v>
      </c>
      <c r="BQ1193">
        <v>800</v>
      </c>
      <c r="BR1193">
        <v>300</v>
      </c>
      <c r="BS1193">
        <v>698</v>
      </c>
      <c r="BT1193">
        <v>1</v>
      </c>
      <c r="BU1193">
        <v>0</v>
      </c>
      <c r="BV1193">
        <v>1</v>
      </c>
      <c r="BW1193">
        <v>6</v>
      </c>
      <c r="BX1193">
        <v>0</v>
      </c>
      <c r="BY1193">
        <v>6</v>
      </c>
      <c r="BZ1193">
        <v>7200</v>
      </c>
      <c r="CA1193">
        <v>0</v>
      </c>
      <c r="CB1193">
        <v>7200</v>
      </c>
      <c r="CC1193">
        <v>21.672000000000001</v>
      </c>
      <c r="CD1193" t="s">
        <v>659</v>
      </c>
      <c r="CE1193" t="s">
        <v>1006</v>
      </c>
      <c r="CG1193" t="s">
        <v>421</v>
      </c>
    </row>
    <row r="1194" spans="2:85" x14ac:dyDescent="0.35">
      <c r="B1194" t="s">
        <v>299</v>
      </c>
      <c r="C1194" t="s">
        <v>3338</v>
      </c>
      <c r="D1194" t="s">
        <v>965</v>
      </c>
      <c r="E1194" t="s">
        <v>395</v>
      </c>
      <c r="F1194" t="s">
        <v>396</v>
      </c>
      <c r="G1194" t="s">
        <v>397</v>
      </c>
      <c r="H1194" t="s">
        <v>398</v>
      </c>
      <c r="I1194" t="s">
        <v>399</v>
      </c>
      <c r="J1194" t="s">
        <v>749</v>
      </c>
      <c r="K1194" t="s">
        <v>809</v>
      </c>
      <c r="L1194" t="s">
        <v>787</v>
      </c>
      <c r="M1194" t="s">
        <v>403</v>
      </c>
      <c r="N1194">
        <v>1</v>
      </c>
      <c r="O1194">
        <v>3</v>
      </c>
      <c r="P1194" t="s">
        <v>828</v>
      </c>
      <c r="Q1194" t="s">
        <v>587</v>
      </c>
      <c r="R1194" t="s">
        <v>811</v>
      </c>
      <c r="S1194" t="s">
        <v>829</v>
      </c>
      <c r="T1194" t="s">
        <v>408</v>
      </c>
      <c r="U1194">
        <v>50950082101</v>
      </c>
      <c r="W1194">
        <v>480</v>
      </c>
      <c r="X1194" t="s">
        <v>409</v>
      </c>
      <c r="Y1194" t="s">
        <v>410</v>
      </c>
      <c r="Z1194" t="s">
        <v>410</v>
      </c>
      <c r="AA1194" t="s">
        <v>411</v>
      </c>
      <c r="AB1194" t="s">
        <v>554</v>
      </c>
      <c r="AC1194" t="s">
        <v>411</v>
      </c>
      <c r="AD1194">
        <v>46123</v>
      </c>
      <c r="AE1194">
        <v>46181</v>
      </c>
      <c r="AF1194">
        <v>46134</v>
      </c>
      <c r="AG1194" t="s">
        <v>754</v>
      </c>
      <c r="AH1194">
        <v>6196123</v>
      </c>
      <c r="AI1194">
        <v>46128</v>
      </c>
      <c r="AJ1194">
        <v>46129</v>
      </c>
      <c r="AK1194">
        <v>480</v>
      </c>
      <c r="AL1194" t="s">
        <v>396</v>
      </c>
      <c r="AM1194" t="s">
        <v>3449</v>
      </c>
      <c r="AN1194">
        <v>46129</v>
      </c>
      <c r="AO1194">
        <v>46129.489178240743</v>
      </c>
      <c r="AP1194" t="s">
        <v>51</v>
      </c>
      <c r="AQ1194">
        <v>1.98325</v>
      </c>
      <c r="AR1194">
        <v>951.96</v>
      </c>
      <c r="AS1194" t="s">
        <v>51</v>
      </c>
      <c r="AT1194">
        <v>951.96</v>
      </c>
      <c r="AU1194" t="s">
        <v>415</v>
      </c>
      <c r="AV1194" t="s">
        <v>557</v>
      </c>
      <c r="AW1194" t="s">
        <v>3205</v>
      </c>
      <c r="AX1194">
        <v>46134</v>
      </c>
      <c r="AY1194">
        <v>46183</v>
      </c>
      <c r="AZ1194" t="s">
        <v>3206</v>
      </c>
      <c r="BA1194" t="s">
        <v>560</v>
      </c>
      <c r="BB1194" t="s">
        <v>3207</v>
      </c>
      <c r="BC1194">
        <v>16</v>
      </c>
      <c r="BD1194" t="s">
        <v>521</v>
      </c>
      <c r="BE1194">
        <v>4.9409000000000001</v>
      </c>
      <c r="BF1194">
        <v>3.7418999999999998</v>
      </c>
      <c r="BG1194" t="s">
        <v>522</v>
      </c>
      <c r="BH1194">
        <v>495</v>
      </c>
      <c r="BI1194">
        <v>395</v>
      </c>
      <c r="BJ1194">
        <v>190</v>
      </c>
      <c r="BK1194">
        <v>30</v>
      </c>
      <c r="BL1194" t="s">
        <v>521</v>
      </c>
      <c r="BM1194">
        <v>175.2276</v>
      </c>
      <c r="BN1194">
        <v>112.2576</v>
      </c>
      <c r="BO1194">
        <v>175.2276</v>
      </c>
      <c r="BP1194" t="s">
        <v>522</v>
      </c>
      <c r="BQ1194">
        <v>1200</v>
      </c>
      <c r="BR1194">
        <v>1000</v>
      </c>
      <c r="BS1194">
        <v>1120</v>
      </c>
      <c r="BT1194">
        <v>1</v>
      </c>
      <c r="BU1194">
        <v>0</v>
      </c>
      <c r="BV1194">
        <v>1</v>
      </c>
      <c r="BW1194">
        <v>30</v>
      </c>
      <c r="BX1194">
        <v>0</v>
      </c>
      <c r="BY1194">
        <v>30</v>
      </c>
      <c r="BZ1194">
        <v>480</v>
      </c>
      <c r="CA1194">
        <v>0</v>
      </c>
      <c r="CB1194">
        <v>480</v>
      </c>
      <c r="CC1194">
        <v>112.2576</v>
      </c>
      <c r="CD1194" t="s">
        <v>806</v>
      </c>
      <c r="CE1194" t="s">
        <v>816</v>
      </c>
      <c r="CG1194" t="s">
        <v>421</v>
      </c>
    </row>
    <row r="1195" spans="2:85" x14ac:dyDescent="0.35">
      <c r="B1195" t="s">
        <v>3497</v>
      </c>
      <c r="C1195" t="s">
        <v>3450</v>
      </c>
      <c r="D1195" t="s">
        <v>395</v>
      </c>
      <c r="E1195" t="s">
        <v>395</v>
      </c>
      <c r="F1195" t="s">
        <v>396</v>
      </c>
      <c r="G1195" t="s">
        <v>397</v>
      </c>
      <c r="H1195" t="s">
        <v>398</v>
      </c>
      <c r="I1195" t="s">
        <v>399</v>
      </c>
      <c r="J1195" t="s">
        <v>749</v>
      </c>
      <c r="K1195" t="s">
        <v>515</v>
      </c>
      <c r="L1195" t="s">
        <v>787</v>
      </c>
      <c r="M1195" t="s">
        <v>403</v>
      </c>
      <c r="N1195">
        <v>1</v>
      </c>
      <c r="O1195">
        <v>1</v>
      </c>
      <c r="P1195" t="s">
        <v>3055</v>
      </c>
      <c r="Q1195" t="s">
        <v>424</v>
      </c>
      <c r="R1195" t="s">
        <v>691</v>
      </c>
      <c r="S1195" t="s">
        <v>1196</v>
      </c>
      <c r="T1195" t="s">
        <v>408</v>
      </c>
      <c r="U1195">
        <v>50950081958</v>
      </c>
      <c r="W1195">
        <v>12800</v>
      </c>
      <c r="X1195" t="s">
        <v>409</v>
      </c>
      <c r="Y1195" t="s">
        <v>410</v>
      </c>
      <c r="Z1195" t="s">
        <v>410</v>
      </c>
      <c r="AA1195" t="s">
        <v>411</v>
      </c>
      <c r="AB1195" t="s">
        <v>554</v>
      </c>
      <c r="AC1195" t="s">
        <v>411</v>
      </c>
      <c r="AD1195">
        <v>46130</v>
      </c>
      <c r="AE1195">
        <v>46188</v>
      </c>
      <c r="AF1195">
        <v>46134</v>
      </c>
      <c r="AG1195" t="s">
        <v>754</v>
      </c>
      <c r="AH1195">
        <v>6196124</v>
      </c>
      <c r="AI1195">
        <v>46128</v>
      </c>
      <c r="AJ1195">
        <v>46129</v>
      </c>
      <c r="AK1195">
        <v>12800</v>
      </c>
      <c r="AL1195" t="s">
        <v>396</v>
      </c>
      <c r="AM1195" t="s">
        <v>3451</v>
      </c>
      <c r="AN1195">
        <v>46129</v>
      </c>
      <c r="AO1195">
        <v>46129.489178240743</v>
      </c>
      <c r="AP1195" t="s">
        <v>51</v>
      </c>
      <c r="AQ1195">
        <v>5.5329999999999997E-2</v>
      </c>
      <c r="AR1195">
        <v>708.22</v>
      </c>
      <c r="AS1195" t="s">
        <v>51</v>
      </c>
      <c r="AT1195">
        <v>708.22</v>
      </c>
      <c r="AU1195" t="s">
        <v>415</v>
      </c>
      <c r="AV1195" t="s">
        <v>557</v>
      </c>
      <c r="AW1195" t="s">
        <v>3205</v>
      </c>
      <c r="AX1195">
        <v>46134</v>
      </c>
      <c r="AY1195">
        <v>46183</v>
      </c>
      <c r="AZ1195" t="s">
        <v>3206</v>
      </c>
      <c r="BA1195" t="s">
        <v>560</v>
      </c>
      <c r="BB1195" t="s">
        <v>3207</v>
      </c>
      <c r="BC1195">
        <v>3200</v>
      </c>
      <c r="BD1195" t="s">
        <v>521</v>
      </c>
      <c r="BE1195">
        <v>8.6778499999999994</v>
      </c>
      <c r="BF1195">
        <v>7.7439999999999998</v>
      </c>
      <c r="BG1195" t="s">
        <v>522</v>
      </c>
      <c r="BH1195">
        <v>398</v>
      </c>
      <c r="BI1195">
        <v>298</v>
      </c>
      <c r="BJ1195">
        <v>155</v>
      </c>
      <c r="BK1195">
        <v>6</v>
      </c>
      <c r="BL1195" t="s">
        <v>521</v>
      </c>
      <c r="BM1195">
        <v>42.711399999999998</v>
      </c>
      <c r="BN1195">
        <v>30.975999999999999</v>
      </c>
      <c r="BO1195">
        <v>42.711399999999998</v>
      </c>
      <c r="BP1195" t="s">
        <v>522</v>
      </c>
      <c r="BQ1195">
        <v>800</v>
      </c>
      <c r="BR1195">
        <v>300</v>
      </c>
      <c r="BS1195">
        <v>608</v>
      </c>
      <c r="BT1195">
        <v>0</v>
      </c>
      <c r="BU1195">
        <v>1</v>
      </c>
      <c r="BV1195">
        <v>1</v>
      </c>
      <c r="BW1195">
        <v>4</v>
      </c>
      <c r="BX1195">
        <v>0</v>
      </c>
      <c r="BY1195">
        <v>4</v>
      </c>
      <c r="BZ1195">
        <v>0</v>
      </c>
      <c r="CA1195">
        <v>12800</v>
      </c>
      <c r="CB1195">
        <v>12800</v>
      </c>
      <c r="CC1195">
        <v>30.975999999999999</v>
      </c>
      <c r="CD1195" t="s">
        <v>523</v>
      </c>
      <c r="CE1195" t="s">
        <v>981</v>
      </c>
      <c r="CG1195" t="s">
        <v>421</v>
      </c>
    </row>
    <row r="1196" spans="2:85" x14ac:dyDescent="0.35">
      <c r="B1196" t="s">
        <v>3497</v>
      </c>
      <c r="C1196" t="s">
        <v>3452</v>
      </c>
      <c r="D1196" t="s">
        <v>395</v>
      </c>
      <c r="E1196" t="s">
        <v>395</v>
      </c>
      <c r="F1196" t="s">
        <v>396</v>
      </c>
      <c r="G1196" t="s">
        <v>397</v>
      </c>
      <c r="H1196" t="s">
        <v>398</v>
      </c>
      <c r="I1196" t="s">
        <v>399</v>
      </c>
      <c r="J1196" t="s">
        <v>749</v>
      </c>
      <c r="K1196" t="s">
        <v>515</v>
      </c>
      <c r="L1196" t="s">
        <v>787</v>
      </c>
      <c r="M1196" t="s">
        <v>403</v>
      </c>
      <c r="N1196">
        <v>1</v>
      </c>
      <c r="O1196">
        <v>1</v>
      </c>
      <c r="P1196" t="s">
        <v>2166</v>
      </c>
      <c r="Q1196" t="s">
        <v>424</v>
      </c>
      <c r="R1196" t="s">
        <v>616</v>
      </c>
      <c r="S1196" t="s">
        <v>1540</v>
      </c>
      <c r="T1196" t="s">
        <v>408</v>
      </c>
      <c r="U1196">
        <v>50950082131</v>
      </c>
      <c r="W1196">
        <v>15000</v>
      </c>
      <c r="X1196" t="s">
        <v>409</v>
      </c>
      <c r="Y1196" t="s">
        <v>410</v>
      </c>
      <c r="Z1196" t="s">
        <v>410</v>
      </c>
      <c r="AA1196" t="s">
        <v>411</v>
      </c>
      <c r="AB1196" t="s">
        <v>554</v>
      </c>
      <c r="AC1196" t="s">
        <v>411</v>
      </c>
      <c r="AD1196">
        <v>46125</v>
      </c>
      <c r="AE1196">
        <v>46202</v>
      </c>
      <c r="AF1196">
        <v>46134</v>
      </c>
      <c r="AG1196" t="s">
        <v>754</v>
      </c>
      <c r="AH1196">
        <v>6196125</v>
      </c>
      <c r="AI1196">
        <v>46128</v>
      </c>
      <c r="AJ1196">
        <v>46129</v>
      </c>
      <c r="AK1196">
        <v>15000</v>
      </c>
      <c r="AL1196" t="s">
        <v>396</v>
      </c>
      <c r="AM1196" t="s">
        <v>3453</v>
      </c>
      <c r="AN1196">
        <v>46129</v>
      </c>
      <c r="AO1196">
        <v>46129.489178240743</v>
      </c>
      <c r="AP1196" t="s">
        <v>51</v>
      </c>
      <c r="AQ1196">
        <v>3.3079999999999998E-2</v>
      </c>
      <c r="AR1196">
        <v>496.2</v>
      </c>
      <c r="AS1196" t="s">
        <v>51</v>
      </c>
      <c r="AT1196">
        <v>496.2</v>
      </c>
      <c r="AU1196" t="s">
        <v>415</v>
      </c>
      <c r="AV1196" t="s">
        <v>557</v>
      </c>
      <c r="AW1196" t="s">
        <v>3205</v>
      </c>
      <c r="AX1196">
        <v>46134</v>
      </c>
      <c r="AY1196">
        <v>46183</v>
      </c>
      <c r="AZ1196" t="s">
        <v>3206</v>
      </c>
      <c r="BA1196" t="s">
        <v>560</v>
      </c>
      <c r="BB1196" t="s">
        <v>3207</v>
      </c>
      <c r="BC1196">
        <v>5000</v>
      </c>
      <c r="BD1196" t="s">
        <v>521</v>
      </c>
      <c r="BE1196">
        <v>13.625</v>
      </c>
      <c r="BF1196">
        <v>11.795</v>
      </c>
      <c r="BG1196" t="s">
        <v>522</v>
      </c>
      <c r="BH1196">
        <v>395</v>
      </c>
      <c r="BI1196">
        <v>295</v>
      </c>
      <c r="BJ1196">
        <v>210</v>
      </c>
      <c r="BK1196">
        <v>6</v>
      </c>
      <c r="BL1196" t="s">
        <v>521</v>
      </c>
      <c r="BM1196">
        <v>48.875</v>
      </c>
      <c r="BN1196">
        <v>35.384999999999998</v>
      </c>
      <c r="BO1196">
        <v>48.875</v>
      </c>
      <c r="BP1196" t="s">
        <v>522</v>
      </c>
      <c r="BQ1196">
        <v>800</v>
      </c>
      <c r="BR1196">
        <v>300</v>
      </c>
      <c r="BS1196">
        <v>790</v>
      </c>
      <c r="BT1196">
        <v>0</v>
      </c>
      <c r="BU1196">
        <v>1</v>
      </c>
      <c r="BV1196">
        <v>1</v>
      </c>
      <c r="BW1196">
        <v>3</v>
      </c>
      <c r="BX1196">
        <v>0</v>
      </c>
      <c r="BY1196">
        <v>3</v>
      </c>
      <c r="BZ1196">
        <v>0</v>
      </c>
      <c r="CA1196">
        <v>15000</v>
      </c>
      <c r="CB1196">
        <v>15000</v>
      </c>
      <c r="CC1196">
        <v>35.384999999999998</v>
      </c>
      <c r="CD1196" t="s">
        <v>626</v>
      </c>
      <c r="CE1196" t="s">
        <v>2168</v>
      </c>
      <c r="CG1196" t="s">
        <v>421</v>
      </c>
    </row>
    <row r="1197" spans="2:85" x14ac:dyDescent="0.35">
      <c r="B1197" t="s">
        <v>3497</v>
      </c>
      <c r="C1197" t="s">
        <v>3454</v>
      </c>
      <c r="D1197" t="s">
        <v>395</v>
      </c>
      <c r="E1197" t="s">
        <v>395</v>
      </c>
      <c r="F1197" t="s">
        <v>396</v>
      </c>
      <c r="G1197" t="s">
        <v>397</v>
      </c>
      <c r="H1197" t="s">
        <v>398</v>
      </c>
      <c r="I1197" t="s">
        <v>399</v>
      </c>
      <c r="J1197" t="s">
        <v>749</v>
      </c>
      <c r="K1197" t="s">
        <v>515</v>
      </c>
      <c r="L1197" t="s">
        <v>787</v>
      </c>
      <c r="M1197" t="s">
        <v>403</v>
      </c>
      <c r="N1197">
        <v>1</v>
      </c>
      <c r="O1197">
        <v>1</v>
      </c>
      <c r="P1197" t="s">
        <v>2171</v>
      </c>
      <c r="Q1197" t="s">
        <v>424</v>
      </c>
      <c r="R1197" t="s">
        <v>616</v>
      </c>
      <c r="S1197" t="s">
        <v>1540</v>
      </c>
      <c r="T1197" t="s">
        <v>408</v>
      </c>
      <c r="U1197">
        <v>50950082133</v>
      </c>
      <c r="W1197">
        <v>15000</v>
      </c>
      <c r="X1197" t="s">
        <v>409</v>
      </c>
      <c r="Y1197" t="s">
        <v>410</v>
      </c>
      <c r="Z1197" t="s">
        <v>410</v>
      </c>
      <c r="AA1197" t="s">
        <v>411</v>
      </c>
      <c r="AB1197" t="s">
        <v>554</v>
      </c>
      <c r="AC1197" t="s">
        <v>411</v>
      </c>
      <c r="AD1197">
        <v>46125</v>
      </c>
      <c r="AE1197">
        <v>46188</v>
      </c>
      <c r="AF1197">
        <v>46134</v>
      </c>
      <c r="AG1197" t="s">
        <v>754</v>
      </c>
      <c r="AH1197">
        <v>6196126</v>
      </c>
      <c r="AI1197">
        <v>46128</v>
      </c>
      <c r="AJ1197">
        <v>46129</v>
      </c>
      <c r="AK1197">
        <v>15000</v>
      </c>
      <c r="AL1197" t="s">
        <v>396</v>
      </c>
      <c r="AM1197" t="s">
        <v>3455</v>
      </c>
      <c r="AN1197">
        <v>46129</v>
      </c>
      <c r="AO1197">
        <v>46129.489178240743</v>
      </c>
      <c r="AP1197" t="s">
        <v>51</v>
      </c>
      <c r="AQ1197">
        <v>2.4039999999999999E-2</v>
      </c>
      <c r="AR1197">
        <v>360.6</v>
      </c>
      <c r="AS1197" t="s">
        <v>51</v>
      </c>
      <c r="AT1197">
        <v>360.6</v>
      </c>
      <c r="AU1197" t="s">
        <v>415</v>
      </c>
      <c r="AV1197" t="s">
        <v>557</v>
      </c>
      <c r="AW1197" t="s">
        <v>3205</v>
      </c>
      <c r="AX1197">
        <v>46134</v>
      </c>
      <c r="AY1197">
        <v>46183</v>
      </c>
      <c r="AZ1197" t="s">
        <v>3206</v>
      </c>
      <c r="BA1197" t="s">
        <v>560</v>
      </c>
      <c r="BB1197" t="s">
        <v>3207</v>
      </c>
      <c r="BC1197">
        <v>7500</v>
      </c>
      <c r="BD1197" t="s">
        <v>521</v>
      </c>
      <c r="BE1197">
        <v>14.124000000000001</v>
      </c>
      <c r="BF1197">
        <v>12.18</v>
      </c>
      <c r="BG1197" t="s">
        <v>522</v>
      </c>
      <c r="BH1197">
        <v>395</v>
      </c>
      <c r="BI1197">
        <v>295</v>
      </c>
      <c r="BJ1197">
        <v>200</v>
      </c>
      <c r="BK1197">
        <v>6</v>
      </c>
      <c r="BL1197" t="s">
        <v>521</v>
      </c>
      <c r="BM1197">
        <v>36.247999999999998</v>
      </c>
      <c r="BN1197">
        <v>24.36</v>
      </c>
      <c r="BO1197">
        <v>36.247999999999998</v>
      </c>
      <c r="BP1197" t="s">
        <v>522</v>
      </c>
      <c r="BQ1197">
        <v>800</v>
      </c>
      <c r="BR1197">
        <v>300</v>
      </c>
      <c r="BS1197">
        <v>790</v>
      </c>
      <c r="BT1197">
        <v>0</v>
      </c>
      <c r="BU1197">
        <v>1</v>
      </c>
      <c r="BV1197">
        <v>1</v>
      </c>
      <c r="BW1197">
        <v>2</v>
      </c>
      <c r="BX1197">
        <v>0</v>
      </c>
      <c r="BY1197">
        <v>2</v>
      </c>
      <c r="BZ1197">
        <v>0</v>
      </c>
      <c r="CA1197">
        <v>15000</v>
      </c>
      <c r="CB1197">
        <v>15000</v>
      </c>
      <c r="CC1197">
        <v>24.36</v>
      </c>
      <c r="CD1197" t="s">
        <v>626</v>
      </c>
      <c r="CE1197" t="s">
        <v>1542</v>
      </c>
      <c r="CG1197" t="s">
        <v>421</v>
      </c>
    </row>
    <row r="1198" spans="2:85" x14ac:dyDescent="0.35">
      <c r="B1198" t="s">
        <v>299</v>
      </c>
      <c r="C1198" t="s">
        <v>2975</v>
      </c>
      <c r="D1198" t="s">
        <v>965</v>
      </c>
      <c r="E1198" t="s">
        <v>395</v>
      </c>
      <c r="F1198" t="s">
        <v>396</v>
      </c>
      <c r="G1198" t="s">
        <v>397</v>
      </c>
      <c r="H1198" t="s">
        <v>398</v>
      </c>
      <c r="I1198" t="s">
        <v>399</v>
      </c>
      <c r="J1198" t="s">
        <v>749</v>
      </c>
      <c r="K1198" t="s">
        <v>809</v>
      </c>
      <c r="L1198" t="s">
        <v>787</v>
      </c>
      <c r="M1198" t="s">
        <v>403</v>
      </c>
      <c r="N1198">
        <v>1</v>
      </c>
      <c r="O1198">
        <v>2</v>
      </c>
      <c r="P1198" t="s">
        <v>1171</v>
      </c>
      <c r="Q1198" t="s">
        <v>424</v>
      </c>
      <c r="R1198" t="s">
        <v>811</v>
      </c>
      <c r="S1198" t="s">
        <v>1172</v>
      </c>
      <c r="T1198" t="s">
        <v>408</v>
      </c>
      <c r="U1198">
        <v>50950082145</v>
      </c>
      <c r="W1198">
        <v>3840</v>
      </c>
      <c r="X1198" t="s">
        <v>409</v>
      </c>
      <c r="Y1198" t="s">
        <v>410</v>
      </c>
      <c r="Z1198" t="s">
        <v>410</v>
      </c>
      <c r="AA1198" t="s">
        <v>411</v>
      </c>
      <c r="AB1198" t="s">
        <v>554</v>
      </c>
      <c r="AC1198" t="s">
        <v>411</v>
      </c>
      <c r="AD1198">
        <v>46109</v>
      </c>
      <c r="AE1198">
        <v>46167</v>
      </c>
      <c r="AF1198">
        <v>46134</v>
      </c>
      <c r="AG1198" t="s">
        <v>754</v>
      </c>
      <c r="AH1198">
        <v>6196127</v>
      </c>
      <c r="AI1198">
        <v>46128</v>
      </c>
      <c r="AJ1198">
        <v>46129</v>
      </c>
      <c r="AK1198">
        <v>3840</v>
      </c>
      <c r="AL1198" t="s">
        <v>396</v>
      </c>
      <c r="AM1198" t="s">
        <v>3456</v>
      </c>
      <c r="AN1198">
        <v>46129</v>
      </c>
      <c r="AO1198">
        <v>46129.489178240743</v>
      </c>
      <c r="AP1198" t="s">
        <v>51</v>
      </c>
      <c r="AQ1198">
        <v>2.47784</v>
      </c>
      <c r="AR1198">
        <v>9514.8799999999992</v>
      </c>
      <c r="AS1198" t="s">
        <v>51</v>
      </c>
      <c r="AT1198">
        <v>9514.8799999999992</v>
      </c>
      <c r="AU1198" t="s">
        <v>415</v>
      </c>
      <c r="AV1198" t="s">
        <v>557</v>
      </c>
      <c r="AW1198" t="s">
        <v>3205</v>
      </c>
      <c r="AX1198">
        <v>46134</v>
      </c>
      <c r="AY1198">
        <v>46183</v>
      </c>
      <c r="AZ1198" t="s">
        <v>3206</v>
      </c>
      <c r="BA1198" t="s">
        <v>560</v>
      </c>
      <c r="BB1198" t="s">
        <v>3207</v>
      </c>
      <c r="BC1198">
        <v>16</v>
      </c>
      <c r="BD1198" t="s">
        <v>521</v>
      </c>
      <c r="BE1198">
        <v>6.3556999999999997</v>
      </c>
      <c r="BF1198">
        <v>5.1566999999999998</v>
      </c>
      <c r="BG1198" t="s">
        <v>522</v>
      </c>
      <c r="BH1198">
        <v>495</v>
      </c>
      <c r="BI1198">
        <v>395</v>
      </c>
      <c r="BJ1198">
        <v>190</v>
      </c>
      <c r="BK1198">
        <v>30</v>
      </c>
      <c r="BL1198" t="s">
        <v>521</v>
      </c>
      <c r="BM1198">
        <v>217.67099999999999</v>
      </c>
      <c r="BN1198">
        <v>154.70099999999999</v>
      </c>
      <c r="BO1198">
        <v>1741.3612800000001</v>
      </c>
      <c r="BP1198" t="s">
        <v>522</v>
      </c>
      <c r="BQ1198">
        <v>1200</v>
      </c>
      <c r="BR1198">
        <v>1000</v>
      </c>
      <c r="BS1198">
        <v>1120</v>
      </c>
      <c r="BT1198">
        <v>8</v>
      </c>
      <c r="BU1198">
        <v>0</v>
      </c>
      <c r="BV1198">
        <v>8</v>
      </c>
      <c r="BW1198">
        <v>240</v>
      </c>
      <c r="BX1198">
        <v>0</v>
      </c>
      <c r="BY1198">
        <v>240</v>
      </c>
      <c r="BZ1198">
        <v>3840</v>
      </c>
      <c r="CA1198">
        <v>0</v>
      </c>
      <c r="CB1198">
        <v>3840</v>
      </c>
      <c r="CC1198">
        <v>1237.6012800000001</v>
      </c>
      <c r="CD1198" t="s">
        <v>806</v>
      </c>
      <c r="CE1198" t="s">
        <v>816</v>
      </c>
      <c r="CG1198" t="s">
        <v>421</v>
      </c>
    </row>
    <row r="1199" spans="2:85" x14ac:dyDescent="0.35">
      <c r="B1199" t="s">
        <v>298</v>
      </c>
      <c r="C1199" t="s">
        <v>3457</v>
      </c>
      <c r="D1199" t="s">
        <v>395</v>
      </c>
      <c r="E1199" t="s">
        <v>395</v>
      </c>
      <c r="F1199" t="s">
        <v>396</v>
      </c>
      <c r="G1199" t="s">
        <v>397</v>
      </c>
      <c r="H1199" t="s">
        <v>398</v>
      </c>
      <c r="I1199" t="s">
        <v>399</v>
      </c>
      <c r="J1199" t="s">
        <v>749</v>
      </c>
      <c r="K1199" t="s">
        <v>629</v>
      </c>
      <c r="L1199" t="s">
        <v>787</v>
      </c>
      <c r="M1199" t="s">
        <v>403</v>
      </c>
      <c r="N1199">
        <v>1</v>
      </c>
      <c r="O1199">
        <v>1</v>
      </c>
      <c r="P1199" t="s">
        <v>2199</v>
      </c>
      <c r="Q1199" t="s">
        <v>430</v>
      </c>
      <c r="R1199" t="s">
        <v>2200</v>
      </c>
      <c r="S1199" t="s">
        <v>494</v>
      </c>
      <c r="T1199" t="s">
        <v>408</v>
      </c>
      <c r="U1199">
        <v>50950082315</v>
      </c>
      <c r="W1199">
        <v>8000</v>
      </c>
      <c r="X1199" t="s">
        <v>409</v>
      </c>
      <c r="Y1199" t="s">
        <v>410</v>
      </c>
      <c r="Z1199" t="s">
        <v>410</v>
      </c>
      <c r="AA1199" t="s">
        <v>411</v>
      </c>
      <c r="AB1199" t="s">
        <v>554</v>
      </c>
      <c r="AC1199" t="s">
        <v>411</v>
      </c>
      <c r="AD1199">
        <v>46123</v>
      </c>
      <c r="AE1199">
        <v>46181</v>
      </c>
      <c r="AF1199">
        <v>46134</v>
      </c>
      <c r="AG1199" t="s">
        <v>754</v>
      </c>
      <c r="AH1199">
        <v>6196128</v>
      </c>
      <c r="AI1199">
        <v>46128</v>
      </c>
      <c r="AJ1199">
        <v>46129</v>
      </c>
      <c r="AK1199">
        <v>8000</v>
      </c>
      <c r="AL1199" t="s">
        <v>396</v>
      </c>
      <c r="AM1199" t="s">
        <v>3458</v>
      </c>
      <c r="AN1199">
        <v>46129</v>
      </c>
      <c r="AO1199">
        <v>46129.489178240743</v>
      </c>
      <c r="AP1199" t="s">
        <v>51</v>
      </c>
      <c r="AQ1199">
        <v>3.6589999999999998E-2</v>
      </c>
      <c r="AR1199">
        <v>292.72000000000003</v>
      </c>
      <c r="AS1199" t="s">
        <v>51</v>
      </c>
      <c r="AT1199">
        <v>292.72000000000003</v>
      </c>
      <c r="AU1199" t="s">
        <v>415</v>
      </c>
      <c r="AV1199" t="s">
        <v>557</v>
      </c>
      <c r="AW1199" t="s">
        <v>3205</v>
      </c>
      <c r="AX1199">
        <v>46134</v>
      </c>
      <c r="AY1199">
        <v>46183</v>
      </c>
      <c r="AZ1199" t="s">
        <v>3206</v>
      </c>
      <c r="BA1199" t="s">
        <v>560</v>
      </c>
      <c r="BB1199" t="s">
        <v>3207</v>
      </c>
      <c r="BC1199">
        <v>4000</v>
      </c>
      <c r="BD1199" t="s">
        <v>521</v>
      </c>
      <c r="BE1199">
        <v>3.351</v>
      </c>
      <c r="BF1199">
        <v>2.6720000000000002</v>
      </c>
      <c r="BG1199" t="s">
        <v>522</v>
      </c>
      <c r="BH1199">
        <v>395</v>
      </c>
      <c r="BI1199">
        <v>295</v>
      </c>
      <c r="BJ1199">
        <v>174</v>
      </c>
      <c r="BK1199">
        <v>40</v>
      </c>
      <c r="BL1199" t="s">
        <v>521</v>
      </c>
      <c r="BM1199">
        <v>31.702000000000002</v>
      </c>
      <c r="BN1199">
        <v>5.3440000000000003</v>
      </c>
      <c r="BO1199">
        <v>31.702000000000002</v>
      </c>
      <c r="BP1199" t="s">
        <v>522</v>
      </c>
      <c r="BQ1199">
        <v>1200</v>
      </c>
      <c r="BR1199">
        <v>800</v>
      </c>
      <c r="BS1199">
        <v>1030</v>
      </c>
      <c r="BT1199">
        <v>0</v>
      </c>
      <c r="BU1199">
        <v>1</v>
      </c>
      <c r="BV1199">
        <v>1</v>
      </c>
      <c r="BW1199">
        <v>2</v>
      </c>
      <c r="BX1199">
        <v>0</v>
      </c>
      <c r="BY1199">
        <v>2</v>
      </c>
      <c r="BZ1199">
        <v>0</v>
      </c>
      <c r="CA1199">
        <v>8000</v>
      </c>
      <c r="CB1199">
        <v>8000</v>
      </c>
      <c r="CC1199">
        <v>5.3440000000000003</v>
      </c>
      <c r="CD1199" t="s">
        <v>783</v>
      </c>
      <c r="CE1199" t="s">
        <v>1006</v>
      </c>
      <c r="CG1199" t="s">
        <v>421</v>
      </c>
    </row>
    <row r="1200" spans="2:85" x14ac:dyDescent="0.35">
      <c r="B1200" t="s">
        <v>295</v>
      </c>
      <c r="C1200" t="s">
        <v>3459</v>
      </c>
      <c r="D1200" t="s">
        <v>395</v>
      </c>
      <c r="E1200" t="s">
        <v>395</v>
      </c>
      <c r="F1200" t="s">
        <v>396</v>
      </c>
      <c r="G1200" t="s">
        <v>397</v>
      </c>
      <c r="H1200" t="s">
        <v>398</v>
      </c>
      <c r="I1200" t="s">
        <v>399</v>
      </c>
      <c r="J1200" t="s">
        <v>749</v>
      </c>
      <c r="K1200" t="s">
        <v>526</v>
      </c>
      <c r="L1200" t="s">
        <v>787</v>
      </c>
      <c r="M1200" t="s">
        <v>403</v>
      </c>
      <c r="N1200">
        <v>1</v>
      </c>
      <c r="O1200">
        <v>1</v>
      </c>
      <c r="P1200" t="s">
        <v>1041</v>
      </c>
      <c r="Q1200" t="s">
        <v>430</v>
      </c>
      <c r="R1200" t="s">
        <v>1042</v>
      </c>
      <c r="S1200" t="s">
        <v>440</v>
      </c>
      <c r="T1200" t="s">
        <v>408</v>
      </c>
      <c r="U1200">
        <v>50950082596</v>
      </c>
      <c r="W1200">
        <v>24640</v>
      </c>
      <c r="X1200" t="s">
        <v>409</v>
      </c>
      <c r="Y1200" t="s">
        <v>410</v>
      </c>
      <c r="Z1200" t="s">
        <v>410</v>
      </c>
      <c r="AA1200" t="s">
        <v>411</v>
      </c>
      <c r="AB1200" t="s">
        <v>554</v>
      </c>
      <c r="AC1200" t="s">
        <v>411</v>
      </c>
      <c r="AD1200">
        <v>46123</v>
      </c>
      <c r="AE1200">
        <v>46181</v>
      </c>
      <c r="AF1200">
        <v>46134</v>
      </c>
      <c r="AG1200" t="s">
        <v>754</v>
      </c>
      <c r="AH1200">
        <v>6196129</v>
      </c>
      <c r="AI1200">
        <v>46128</v>
      </c>
      <c r="AJ1200">
        <v>46129</v>
      </c>
      <c r="AK1200">
        <v>24640</v>
      </c>
      <c r="AL1200" t="s">
        <v>396</v>
      </c>
      <c r="AM1200" t="s">
        <v>3460</v>
      </c>
      <c r="AN1200">
        <v>46129</v>
      </c>
      <c r="AO1200">
        <v>46129.489178240743</v>
      </c>
      <c r="AP1200" t="s">
        <v>51</v>
      </c>
      <c r="AQ1200">
        <v>4.7809999999999998E-2</v>
      </c>
      <c r="AR1200">
        <v>1178.04</v>
      </c>
      <c r="AS1200" t="s">
        <v>51</v>
      </c>
      <c r="AT1200">
        <v>1178.04</v>
      </c>
      <c r="AU1200" t="s">
        <v>415</v>
      </c>
      <c r="AV1200" t="s">
        <v>557</v>
      </c>
      <c r="AW1200" t="s">
        <v>3205</v>
      </c>
      <c r="AX1200">
        <v>46134</v>
      </c>
      <c r="AY1200">
        <v>46183</v>
      </c>
      <c r="AZ1200" t="s">
        <v>3206</v>
      </c>
      <c r="BA1200" t="s">
        <v>560</v>
      </c>
      <c r="BB1200" t="s">
        <v>3207</v>
      </c>
      <c r="BC1200">
        <v>308</v>
      </c>
      <c r="BD1200" t="s">
        <v>521</v>
      </c>
      <c r="BE1200">
        <v>9.3520000000000003</v>
      </c>
      <c r="BF1200">
        <v>9.0489999999999995</v>
      </c>
      <c r="BG1200" t="s">
        <v>522</v>
      </c>
      <c r="BH1200">
        <v>286</v>
      </c>
      <c r="BI1200">
        <v>192</v>
      </c>
      <c r="BJ1200">
        <v>87</v>
      </c>
      <c r="BK1200">
        <v>80</v>
      </c>
      <c r="BL1200" t="s">
        <v>521</v>
      </c>
      <c r="BM1200">
        <v>776.16319999999996</v>
      </c>
      <c r="BN1200">
        <v>723.92319999999995</v>
      </c>
      <c r="BO1200">
        <v>776.16319999999996</v>
      </c>
      <c r="BP1200" t="s">
        <v>522</v>
      </c>
      <c r="BQ1200">
        <v>1200</v>
      </c>
      <c r="BR1200">
        <v>1000</v>
      </c>
      <c r="BS1200">
        <v>510</v>
      </c>
      <c r="BT1200">
        <v>1</v>
      </c>
      <c r="BU1200">
        <v>0</v>
      </c>
      <c r="BV1200">
        <v>1</v>
      </c>
      <c r="BW1200">
        <v>80</v>
      </c>
      <c r="BX1200">
        <v>0</v>
      </c>
      <c r="BY1200">
        <v>80</v>
      </c>
      <c r="BZ1200">
        <v>24640</v>
      </c>
      <c r="CA1200">
        <v>0</v>
      </c>
      <c r="CB1200">
        <v>24640</v>
      </c>
      <c r="CC1200">
        <v>723.92319999999995</v>
      </c>
      <c r="CD1200" t="s">
        <v>1044</v>
      </c>
      <c r="CE1200" t="s">
        <v>1045</v>
      </c>
      <c r="CG1200" t="s">
        <v>421</v>
      </c>
    </row>
    <row r="1201" spans="2:85" x14ac:dyDescent="0.35">
      <c r="B1201" s="34" t="s">
        <v>298</v>
      </c>
      <c r="C1201" t="s">
        <v>3461</v>
      </c>
      <c r="D1201" t="s">
        <v>395</v>
      </c>
      <c r="E1201" t="s">
        <v>395</v>
      </c>
      <c r="F1201" t="s">
        <v>396</v>
      </c>
      <c r="G1201" t="s">
        <v>397</v>
      </c>
      <c r="H1201" t="s">
        <v>398</v>
      </c>
      <c r="I1201" t="s">
        <v>399</v>
      </c>
      <c r="J1201" t="s">
        <v>749</v>
      </c>
      <c r="K1201" t="s">
        <v>629</v>
      </c>
      <c r="L1201" t="s">
        <v>787</v>
      </c>
      <c r="M1201" t="s">
        <v>403</v>
      </c>
      <c r="N1201">
        <v>1</v>
      </c>
      <c r="O1201">
        <v>1</v>
      </c>
      <c r="P1201" t="s">
        <v>2405</v>
      </c>
      <c r="Q1201" t="s">
        <v>424</v>
      </c>
      <c r="R1201" t="s">
        <v>2406</v>
      </c>
      <c r="S1201" t="s">
        <v>2215</v>
      </c>
      <c r="T1201" t="s">
        <v>408</v>
      </c>
      <c r="U1201">
        <v>50950082728</v>
      </c>
      <c r="W1201">
        <v>5000</v>
      </c>
      <c r="X1201" t="s">
        <v>409</v>
      </c>
      <c r="Y1201" t="s">
        <v>410</v>
      </c>
      <c r="Z1201" t="s">
        <v>410</v>
      </c>
      <c r="AA1201" t="s">
        <v>411</v>
      </c>
      <c r="AB1201" t="s">
        <v>554</v>
      </c>
      <c r="AC1201" t="s">
        <v>411</v>
      </c>
      <c r="AD1201">
        <v>46123</v>
      </c>
      <c r="AE1201">
        <v>46188</v>
      </c>
      <c r="AF1201">
        <v>46134</v>
      </c>
      <c r="AG1201" t="s">
        <v>754</v>
      </c>
      <c r="AH1201">
        <v>6196130</v>
      </c>
      <c r="AI1201">
        <v>46128</v>
      </c>
      <c r="AJ1201">
        <v>46129</v>
      </c>
      <c r="AK1201">
        <v>5000</v>
      </c>
      <c r="AL1201" t="s">
        <v>396</v>
      </c>
      <c r="AM1201" t="s">
        <v>3462</v>
      </c>
      <c r="AN1201">
        <v>46129</v>
      </c>
      <c r="AO1201">
        <v>46129.489178240743</v>
      </c>
      <c r="AP1201" t="s">
        <v>51</v>
      </c>
      <c r="AQ1201">
        <v>0.90710999999999997</v>
      </c>
      <c r="AR1201">
        <v>4535.55</v>
      </c>
      <c r="AS1201" t="s">
        <v>51</v>
      </c>
      <c r="AT1201">
        <v>4535.55</v>
      </c>
      <c r="AU1201" t="s">
        <v>415</v>
      </c>
      <c r="AV1201" t="s">
        <v>557</v>
      </c>
      <c r="AW1201" t="s">
        <v>3205</v>
      </c>
      <c r="AX1201">
        <v>46134</v>
      </c>
      <c r="AY1201">
        <v>46183</v>
      </c>
      <c r="AZ1201" t="s">
        <v>3206</v>
      </c>
      <c r="BA1201" t="s">
        <v>560</v>
      </c>
      <c r="BB1201" t="s">
        <v>3207</v>
      </c>
      <c r="BC1201">
        <v>300</v>
      </c>
      <c r="BD1201" t="s">
        <v>521</v>
      </c>
      <c r="BE1201">
        <v>5.5110000000000001</v>
      </c>
      <c r="BF1201">
        <v>3.681</v>
      </c>
      <c r="BG1201" t="s">
        <v>522</v>
      </c>
      <c r="BH1201">
        <v>395</v>
      </c>
      <c r="BI1201">
        <v>295</v>
      </c>
      <c r="BJ1201">
        <v>210</v>
      </c>
      <c r="BK1201">
        <v>32</v>
      </c>
      <c r="BL1201" t="s">
        <v>521</v>
      </c>
      <c r="BM1201">
        <v>122.46</v>
      </c>
      <c r="BN1201">
        <v>61.35</v>
      </c>
      <c r="BO1201">
        <v>122.46</v>
      </c>
      <c r="BP1201" t="s">
        <v>522</v>
      </c>
      <c r="BQ1201">
        <v>1200</v>
      </c>
      <c r="BR1201">
        <v>800</v>
      </c>
      <c r="BS1201">
        <v>1000</v>
      </c>
      <c r="BT1201">
        <v>0</v>
      </c>
      <c r="BU1201">
        <v>1</v>
      </c>
      <c r="BV1201">
        <v>1</v>
      </c>
      <c r="BW1201">
        <v>16</v>
      </c>
      <c r="BX1201">
        <v>1</v>
      </c>
      <c r="BY1201">
        <v>17</v>
      </c>
      <c r="BZ1201">
        <v>0</v>
      </c>
      <c r="CA1201">
        <v>5000</v>
      </c>
      <c r="CB1201">
        <v>5000</v>
      </c>
      <c r="CC1201">
        <v>61.35</v>
      </c>
      <c r="CD1201" t="s">
        <v>759</v>
      </c>
      <c r="CE1201" t="s">
        <v>2168</v>
      </c>
      <c r="CG1201" t="s">
        <v>421</v>
      </c>
    </row>
    <row r="1202" spans="2:85" x14ac:dyDescent="0.35">
      <c r="B1202" t="s">
        <v>295</v>
      </c>
      <c r="C1202" t="s">
        <v>3083</v>
      </c>
      <c r="D1202" t="s">
        <v>395</v>
      </c>
      <c r="E1202" t="s">
        <v>395</v>
      </c>
      <c r="F1202" t="s">
        <v>396</v>
      </c>
      <c r="G1202" t="s">
        <v>397</v>
      </c>
      <c r="H1202" t="s">
        <v>398</v>
      </c>
      <c r="I1202" t="s">
        <v>399</v>
      </c>
      <c r="J1202" t="s">
        <v>749</v>
      </c>
      <c r="K1202" t="s">
        <v>845</v>
      </c>
      <c r="L1202" t="s">
        <v>750</v>
      </c>
      <c r="M1202" t="s">
        <v>403</v>
      </c>
      <c r="N1202">
        <v>1</v>
      </c>
      <c r="O1202">
        <v>2</v>
      </c>
      <c r="P1202" t="s">
        <v>1120</v>
      </c>
      <c r="Q1202" t="s">
        <v>637</v>
      </c>
      <c r="R1202" t="s">
        <v>1121</v>
      </c>
      <c r="S1202" t="s">
        <v>1122</v>
      </c>
      <c r="T1202" t="s">
        <v>408</v>
      </c>
      <c r="U1202">
        <v>50950082608</v>
      </c>
      <c r="W1202">
        <v>10000</v>
      </c>
      <c r="X1202" t="s">
        <v>409</v>
      </c>
      <c r="Y1202" t="s">
        <v>410</v>
      </c>
      <c r="Z1202" t="s">
        <v>410</v>
      </c>
      <c r="AA1202" t="s">
        <v>411</v>
      </c>
      <c r="AB1202" t="s">
        <v>554</v>
      </c>
      <c r="AC1202" t="s">
        <v>411</v>
      </c>
      <c r="AD1202">
        <v>46125</v>
      </c>
      <c r="AE1202">
        <v>46167</v>
      </c>
      <c r="AF1202">
        <v>46134</v>
      </c>
      <c r="AG1202" t="s">
        <v>754</v>
      </c>
      <c r="AH1202">
        <v>6196131</v>
      </c>
      <c r="AI1202">
        <v>46128</v>
      </c>
      <c r="AJ1202">
        <v>46129</v>
      </c>
      <c r="AK1202">
        <v>10000</v>
      </c>
      <c r="AL1202" t="s">
        <v>396</v>
      </c>
      <c r="AM1202" t="s">
        <v>3463</v>
      </c>
      <c r="AN1202">
        <v>46129</v>
      </c>
      <c r="AO1202">
        <v>46132.624895833331</v>
      </c>
      <c r="AP1202" t="s">
        <v>51</v>
      </c>
      <c r="AQ1202">
        <v>5.5640000000000002E-2</v>
      </c>
      <c r="AR1202">
        <v>556.4</v>
      </c>
      <c r="AS1202" t="s">
        <v>51</v>
      </c>
      <c r="AT1202">
        <v>556.4</v>
      </c>
      <c r="AU1202" t="s">
        <v>415</v>
      </c>
      <c r="AV1202" t="s">
        <v>557</v>
      </c>
      <c r="AW1202" t="s">
        <v>3205</v>
      </c>
      <c r="AX1202">
        <v>46134</v>
      </c>
      <c r="AY1202">
        <v>46183</v>
      </c>
      <c r="AZ1202" t="s">
        <v>3206</v>
      </c>
      <c r="BA1202" t="s">
        <v>560</v>
      </c>
      <c r="BB1202" t="s">
        <v>3207</v>
      </c>
      <c r="BC1202">
        <v>500</v>
      </c>
      <c r="BD1202" t="s">
        <v>521</v>
      </c>
      <c r="BE1202">
        <v>9.3520000000000003</v>
      </c>
      <c r="BF1202">
        <v>8.7919999999999998</v>
      </c>
      <c r="BG1202" t="s">
        <v>522</v>
      </c>
      <c r="BH1202">
        <v>295</v>
      </c>
      <c r="BI1202">
        <v>195</v>
      </c>
      <c r="BJ1202">
        <v>138</v>
      </c>
      <c r="BK1202">
        <v>100</v>
      </c>
      <c r="BL1202" t="s">
        <v>521</v>
      </c>
      <c r="BM1202">
        <v>214.04</v>
      </c>
      <c r="BN1202">
        <v>175.84</v>
      </c>
      <c r="BO1202">
        <v>214.04</v>
      </c>
      <c r="BP1202" t="s">
        <v>522</v>
      </c>
      <c r="BQ1202">
        <v>1200</v>
      </c>
      <c r="BR1202">
        <v>1000</v>
      </c>
      <c r="BS1202">
        <v>850</v>
      </c>
      <c r="BT1202">
        <v>0</v>
      </c>
      <c r="BU1202">
        <v>1</v>
      </c>
      <c r="BV1202">
        <v>1</v>
      </c>
      <c r="BW1202">
        <v>20</v>
      </c>
      <c r="BX1202">
        <v>0</v>
      </c>
      <c r="BY1202">
        <v>20</v>
      </c>
      <c r="BZ1202">
        <v>0</v>
      </c>
      <c r="CA1202">
        <v>10000</v>
      </c>
      <c r="CB1202">
        <v>10000</v>
      </c>
      <c r="CC1202">
        <v>175.84</v>
      </c>
      <c r="CD1202" t="s">
        <v>1124</v>
      </c>
      <c r="CE1202" t="s">
        <v>1125</v>
      </c>
      <c r="CG1202" t="s">
        <v>421</v>
      </c>
    </row>
    <row r="1203" spans="2:85" x14ac:dyDescent="0.35">
      <c r="B1203" t="s">
        <v>296</v>
      </c>
      <c r="C1203" t="s">
        <v>3464</v>
      </c>
      <c r="D1203" t="s">
        <v>395</v>
      </c>
      <c r="E1203" t="s">
        <v>395</v>
      </c>
      <c r="F1203" t="s">
        <v>396</v>
      </c>
      <c r="G1203" t="s">
        <v>397</v>
      </c>
      <c r="H1203" t="s">
        <v>398</v>
      </c>
      <c r="I1203" t="s">
        <v>399</v>
      </c>
      <c r="J1203" t="s">
        <v>749</v>
      </c>
      <c r="K1203" t="s">
        <v>629</v>
      </c>
      <c r="L1203" t="s">
        <v>750</v>
      </c>
      <c r="M1203" t="s">
        <v>403</v>
      </c>
      <c r="N1203">
        <v>1</v>
      </c>
      <c r="O1203">
        <v>1</v>
      </c>
      <c r="P1203" t="s">
        <v>3465</v>
      </c>
      <c r="Q1203" t="s">
        <v>637</v>
      </c>
      <c r="R1203" t="s">
        <v>839</v>
      </c>
      <c r="S1203" t="s">
        <v>840</v>
      </c>
      <c r="T1203" t="s">
        <v>408</v>
      </c>
      <c r="U1203">
        <v>50950083297</v>
      </c>
      <c r="W1203">
        <v>16800</v>
      </c>
      <c r="X1203" t="s">
        <v>409</v>
      </c>
      <c r="Y1203" t="s">
        <v>410</v>
      </c>
      <c r="Z1203" t="s">
        <v>410</v>
      </c>
      <c r="AA1203" t="s">
        <v>411</v>
      </c>
      <c r="AB1203" t="s">
        <v>554</v>
      </c>
      <c r="AC1203" t="s">
        <v>411</v>
      </c>
      <c r="AD1203">
        <v>46130</v>
      </c>
      <c r="AE1203">
        <v>46188</v>
      </c>
      <c r="AF1203">
        <v>46134</v>
      </c>
      <c r="AG1203" t="s">
        <v>754</v>
      </c>
      <c r="AH1203">
        <v>6196132</v>
      </c>
      <c r="AI1203">
        <v>46128</v>
      </c>
      <c r="AJ1203">
        <v>46129</v>
      </c>
      <c r="AK1203">
        <v>16800</v>
      </c>
      <c r="AL1203" t="s">
        <v>396</v>
      </c>
      <c r="AM1203" t="s">
        <v>3466</v>
      </c>
      <c r="AN1203">
        <v>46129</v>
      </c>
      <c r="AO1203">
        <v>46129.489178240743</v>
      </c>
      <c r="AP1203" t="s">
        <v>51</v>
      </c>
      <c r="AQ1203">
        <v>0.12391000000000001</v>
      </c>
      <c r="AR1203">
        <v>2081.6999999999998</v>
      </c>
      <c r="AS1203" t="s">
        <v>51</v>
      </c>
      <c r="AT1203">
        <v>2081.6999999999998</v>
      </c>
      <c r="AU1203" t="s">
        <v>415</v>
      </c>
      <c r="AV1203" t="s">
        <v>557</v>
      </c>
      <c r="AW1203" t="s">
        <v>3205</v>
      </c>
      <c r="AX1203">
        <v>46134</v>
      </c>
      <c r="AY1203">
        <v>46183</v>
      </c>
      <c r="AZ1203" t="s">
        <v>3206</v>
      </c>
      <c r="BA1203" t="s">
        <v>560</v>
      </c>
      <c r="BB1203" t="s">
        <v>3207</v>
      </c>
      <c r="BC1203">
        <v>280</v>
      </c>
      <c r="BD1203" t="s">
        <v>521</v>
      </c>
      <c r="BE1203">
        <v>8.5182000000000002</v>
      </c>
      <c r="BF1203">
        <v>6.9882</v>
      </c>
      <c r="BG1203" t="s">
        <v>522</v>
      </c>
      <c r="BH1203">
        <v>595</v>
      </c>
      <c r="BI1203">
        <v>495</v>
      </c>
      <c r="BJ1203">
        <v>310</v>
      </c>
      <c r="BK1203">
        <v>12</v>
      </c>
      <c r="BL1203" t="s">
        <v>521</v>
      </c>
      <c r="BM1203">
        <v>129.2184</v>
      </c>
      <c r="BN1203">
        <v>83.858400000000003</v>
      </c>
      <c r="BO1203">
        <v>646.09439999999995</v>
      </c>
      <c r="BP1203" t="s">
        <v>522</v>
      </c>
      <c r="BQ1203">
        <v>1200</v>
      </c>
      <c r="BR1203">
        <v>1000</v>
      </c>
      <c r="BS1203">
        <v>1088</v>
      </c>
      <c r="BT1203">
        <v>5</v>
      </c>
      <c r="BU1203">
        <v>0</v>
      </c>
      <c r="BV1203">
        <v>5</v>
      </c>
      <c r="BW1203">
        <v>60</v>
      </c>
      <c r="BX1203">
        <v>0</v>
      </c>
      <c r="BY1203">
        <v>60</v>
      </c>
      <c r="BZ1203">
        <v>16800</v>
      </c>
      <c r="CA1203">
        <v>0</v>
      </c>
      <c r="CB1203">
        <v>16800</v>
      </c>
      <c r="CC1203">
        <v>419.2944</v>
      </c>
      <c r="CD1203" t="s">
        <v>842</v>
      </c>
      <c r="CE1203" t="s">
        <v>843</v>
      </c>
      <c r="CG1203" t="s">
        <v>421</v>
      </c>
    </row>
    <row r="1204" spans="2:85" x14ac:dyDescent="0.35">
      <c r="B1204" t="s">
        <v>299</v>
      </c>
      <c r="C1204" t="s">
        <v>3467</v>
      </c>
      <c r="D1204" t="s">
        <v>395</v>
      </c>
      <c r="E1204" t="s">
        <v>395</v>
      </c>
      <c r="F1204" t="s">
        <v>396</v>
      </c>
      <c r="G1204" t="s">
        <v>397</v>
      </c>
      <c r="H1204" t="s">
        <v>398</v>
      </c>
      <c r="I1204" t="s">
        <v>399</v>
      </c>
      <c r="J1204" t="s">
        <v>749</v>
      </c>
      <c r="K1204" t="s">
        <v>777</v>
      </c>
      <c r="L1204" t="s">
        <v>778</v>
      </c>
      <c r="M1204" t="s">
        <v>403</v>
      </c>
      <c r="N1204">
        <v>1</v>
      </c>
      <c r="O1204">
        <v>2</v>
      </c>
      <c r="P1204" t="s">
        <v>1367</v>
      </c>
      <c r="Q1204" t="s">
        <v>645</v>
      </c>
      <c r="R1204" t="s">
        <v>536</v>
      </c>
      <c r="S1204" t="s">
        <v>1368</v>
      </c>
      <c r="T1204" t="s">
        <v>408</v>
      </c>
      <c r="U1204">
        <v>50950079491</v>
      </c>
      <c r="W1204">
        <v>4704</v>
      </c>
      <c r="X1204" t="s">
        <v>409</v>
      </c>
      <c r="Y1204" t="s">
        <v>410</v>
      </c>
      <c r="Z1204" t="s">
        <v>410</v>
      </c>
      <c r="AA1204" t="s">
        <v>411</v>
      </c>
      <c r="AB1204" t="s">
        <v>769</v>
      </c>
      <c r="AC1204" t="s">
        <v>411</v>
      </c>
      <c r="AD1204">
        <v>46130</v>
      </c>
      <c r="AE1204">
        <v>46188</v>
      </c>
      <c r="AF1204">
        <v>46137</v>
      </c>
      <c r="AG1204" t="s">
        <v>781</v>
      </c>
      <c r="AH1204">
        <v>6197975</v>
      </c>
      <c r="AI1204">
        <v>46129</v>
      </c>
      <c r="AJ1204">
        <v>46130</v>
      </c>
      <c r="AK1204">
        <v>4704</v>
      </c>
      <c r="AL1204" t="s">
        <v>396</v>
      </c>
      <c r="AM1204" t="s">
        <v>3468</v>
      </c>
      <c r="AN1204">
        <v>46130</v>
      </c>
      <c r="AO1204">
        <v>46130.397905092592</v>
      </c>
      <c r="AP1204" t="s">
        <v>51</v>
      </c>
      <c r="AQ1204">
        <v>3.2110699999999999</v>
      </c>
      <c r="AR1204">
        <v>15104.88</v>
      </c>
      <c r="AS1204" t="s">
        <v>51</v>
      </c>
      <c r="AT1204">
        <v>15104.88</v>
      </c>
      <c r="AU1204" t="s">
        <v>415</v>
      </c>
      <c r="AV1204" t="s">
        <v>416</v>
      </c>
      <c r="AW1204" t="s">
        <v>3469</v>
      </c>
      <c r="AX1204">
        <v>46137</v>
      </c>
      <c r="AY1204">
        <v>46186</v>
      </c>
      <c r="AZ1204" t="s">
        <v>3470</v>
      </c>
      <c r="BA1204" t="s">
        <v>560</v>
      </c>
      <c r="BB1204" t="s">
        <v>3471</v>
      </c>
      <c r="BC1204">
        <v>14</v>
      </c>
      <c r="BD1204" t="s">
        <v>521</v>
      </c>
      <c r="BE1204">
        <v>3.2919999999999998</v>
      </c>
      <c r="BF1204">
        <v>1.792</v>
      </c>
      <c r="BG1204" t="s">
        <v>522</v>
      </c>
      <c r="BH1204">
        <v>595</v>
      </c>
      <c r="BI1204">
        <v>395</v>
      </c>
      <c r="BJ1204">
        <v>145</v>
      </c>
      <c r="BK1204">
        <v>24</v>
      </c>
      <c r="BL1204" t="s">
        <v>521</v>
      </c>
      <c r="BM1204">
        <v>104.008</v>
      </c>
      <c r="BN1204">
        <v>43.008000000000003</v>
      </c>
      <c r="BO1204">
        <v>1456.1120000000001</v>
      </c>
      <c r="BP1204" t="s">
        <v>522</v>
      </c>
      <c r="BQ1204">
        <v>1200</v>
      </c>
      <c r="BR1204">
        <v>800</v>
      </c>
      <c r="BS1204">
        <v>1030</v>
      </c>
      <c r="BT1204">
        <v>14</v>
      </c>
      <c r="BU1204">
        <v>0</v>
      </c>
      <c r="BV1204">
        <v>14</v>
      </c>
      <c r="BW1204">
        <v>336</v>
      </c>
      <c r="BX1204">
        <v>0</v>
      </c>
      <c r="BY1204">
        <v>336</v>
      </c>
      <c r="BZ1204">
        <v>4704</v>
      </c>
      <c r="CA1204">
        <v>0</v>
      </c>
      <c r="CB1204">
        <v>4704</v>
      </c>
      <c r="CC1204">
        <v>602.11199999999997</v>
      </c>
      <c r="CD1204" t="s">
        <v>783</v>
      </c>
      <c r="CE1204" t="s">
        <v>1370</v>
      </c>
      <c r="CG1204" t="s">
        <v>421</v>
      </c>
    </row>
    <row r="1205" spans="2:85" x14ac:dyDescent="0.35">
      <c r="B1205" t="s">
        <v>297</v>
      </c>
      <c r="C1205" t="s">
        <v>2659</v>
      </c>
      <c r="D1205" t="s">
        <v>395</v>
      </c>
      <c r="E1205" t="s">
        <v>395</v>
      </c>
      <c r="F1205" t="s">
        <v>396</v>
      </c>
      <c r="G1205" t="s">
        <v>397</v>
      </c>
      <c r="H1205" t="s">
        <v>398</v>
      </c>
      <c r="I1205" t="s">
        <v>399</v>
      </c>
      <c r="J1205" t="s">
        <v>749</v>
      </c>
      <c r="K1205" t="s">
        <v>786</v>
      </c>
      <c r="L1205" t="s">
        <v>787</v>
      </c>
      <c r="M1205" t="s">
        <v>403</v>
      </c>
      <c r="N1205">
        <v>1</v>
      </c>
      <c r="O1205">
        <v>2</v>
      </c>
      <c r="P1205" t="s">
        <v>796</v>
      </c>
      <c r="Q1205" t="s">
        <v>637</v>
      </c>
      <c r="R1205" t="s">
        <v>790</v>
      </c>
      <c r="S1205" t="s">
        <v>797</v>
      </c>
      <c r="T1205" t="s">
        <v>408</v>
      </c>
      <c r="U1205">
        <v>50950074755</v>
      </c>
      <c r="W1205">
        <v>17280</v>
      </c>
      <c r="X1205" t="s">
        <v>409</v>
      </c>
      <c r="Y1205" t="s">
        <v>410</v>
      </c>
      <c r="Z1205" t="s">
        <v>410</v>
      </c>
      <c r="AA1205" t="s">
        <v>411</v>
      </c>
      <c r="AB1205" t="s">
        <v>769</v>
      </c>
      <c r="AC1205" t="s">
        <v>411</v>
      </c>
      <c r="AD1205">
        <v>46132</v>
      </c>
      <c r="AE1205">
        <v>46174</v>
      </c>
      <c r="AF1205">
        <v>46137</v>
      </c>
      <c r="AG1205" t="s">
        <v>754</v>
      </c>
      <c r="AH1205">
        <v>6197976</v>
      </c>
      <c r="AI1205">
        <v>46129</v>
      </c>
      <c r="AJ1205">
        <v>46130</v>
      </c>
      <c r="AK1205">
        <v>17280</v>
      </c>
      <c r="AL1205" t="s">
        <v>396</v>
      </c>
      <c r="AM1205" t="s">
        <v>3472</v>
      </c>
      <c r="AN1205">
        <v>46130</v>
      </c>
      <c r="AO1205">
        <v>46130.397905092592</v>
      </c>
      <c r="AP1205" t="s">
        <v>51</v>
      </c>
      <c r="AQ1205">
        <v>1.48783</v>
      </c>
      <c r="AR1205">
        <v>25709.7</v>
      </c>
      <c r="AS1205" t="s">
        <v>51</v>
      </c>
      <c r="AT1205">
        <v>25709.7</v>
      </c>
      <c r="AU1205" t="s">
        <v>415</v>
      </c>
      <c r="AV1205" t="s">
        <v>416</v>
      </c>
      <c r="AW1205" t="s">
        <v>3469</v>
      </c>
      <c r="AX1205">
        <v>46137</v>
      </c>
      <c r="AY1205">
        <v>46186</v>
      </c>
      <c r="AZ1205" t="s">
        <v>3470</v>
      </c>
      <c r="BA1205" t="s">
        <v>560</v>
      </c>
      <c r="BB1205" t="s">
        <v>3471</v>
      </c>
      <c r="BC1205">
        <v>72</v>
      </c>
      <c r="BD1205" t="s">
        <v>521</v>
      </c>
      <c r="BE1205">
        <v>2.5280999999999998</v>
      </c>
      <c r="BF1205">
        <v>1.3421000000000001</v>
      </c>
      <c r="BG1205" t="s">
        <v>522</v>
      </c>
      <c r="BH1205">
        <v>495</v>
      </c>
      <c r="BI1205">
        <v>295</v>
      </c>
      <c r="BJ1205">
        <v>180</v>
      </c>
      <c r="BK1205">
        <v>40</v>
      </c>
      <c r="BL1205" t="s">
        <v>521</v>
      </c>
      <c r="BM1205">
        <v>128.124</v>
      </c>
      <c r="BN1205">
        <v>53.683999999999997</v>
      </c>
      <c r="BO1205">
        <v>768.73919999999998</v>
      </c>
      <c r="BP1205" t="s">
        <v>522</v>
      </c>
      <c r="BQ1205">
        <v>1200</v>
      </c>
      <c r="BR1205">
        <v>1000</v>
      </c>
      <c r="BS1205">
        <v>1058</v>
      </c>
      <c r="BT1205">
        <v>6</v>
      </c>
      <c r="BU1205">
        <v>0</v>
      </c>
      <c r="BV1205">
        <v>6</v>
      </c>
      <c r="BW1205">
        <v>240</v>
      </c>
      <c r="BX1205">
        <v>0</v>
      </c>
      <c r="BY1205">
        <v>240</v>
      </c>
      <c r="BZ1205">
        <v>17280</v>
      </c>
      <c r="CA1205">
        <v>0</v>
      </c>
      <c r="CB1205">
        <v>17280</v>
      </c>
      <c r="CC1205">
        <v>322.0992</v>
      </c>
      <c r="CD1205" t="s">
        <v>799</v>
      </c>
      <c r="CE1205" t="s">
        <v>800</v>
      </c>
      <c r="CG1205" t="s">
        <v>421</v>
      </c>
    </row>
    <row r="1206" spans="2:85" x14ac:dyDescent="0.35">
      <c r="B1206" t="s">
        <v>296</v>
      </c>
      <c r="C1206" t="s">
        <v>3365</v>
      </c>
      <c r="D1206" t="s">
        <v>395</v>
      </c>
      <c r="E1206" t="s">
        <v>395</v>
      </c>
      <c r="F1206" t="s">
        <v>396</v>
      </c>
      <c r="G1206" t="s">
        <v>397</v>
      </c>
      <c r="H1206" t="s">
        <v>398</v>
      </c>
      <c r="I1206" t="s">
        <v>399</v>
      </c>
      <c r="J1206" t="s">
        <v>749</v>
      </c>
      <c r="K1206" t="s">
        <v>629</v>
      </c>
      <c r="L1206" t="s">
        <v>787</v>
      </c>
      <c r="M1206" t="s">
        <v>403</v>
      </c>
      <c r="N1206">
        <v>1</v>
      </c>
      <c r="O1206">
        <v>3</v>
      </c>
      <c r="P1206" t="s">
        <v>875</v>
      </c>
      <c r="Q1206" t="s">
        <v>430</v>
      </c>
      <c r="R1206" t="s">
        <v>876</v>
      </c>
      <c r="S1206" t="s">
        <v>877</v>
      </c>
      <c r="T1206" t="s">
        <v>408</v>
      </c>
      <c r="U1206">
        <v>50950078858</v>
      </c>
      <c r="W1206">
        <v>12800</v>
      </c>
      <c r="X1206" t="s">
        <v>409</v>
      </c>
      <c r="Y1206" t="s">
        <v>410</v>
      </c>
      <c r="Z1206" t="s">
        <v>410</v>
      </c>
      <c r="AA1206" t="s">
        <v>411</v>
      </c>
      <c r="AB1206" t="s">
        <v>769</v>
      </c>
      <c r="AC1206" t="s">
        <v>411</v>
      </c>
      <c r="AD1206">
        <v>46132</v>
      </c>
      <c r="AE1206">
        <v>46167</v>
      </c>
      <c r="AF1206">
        <v>46137</v>
      </c>
      <c r="AG1206" t="s">
        <v>754</v>
      </c>
      <c r="AH1206">
        <v>6197977</v>
      </c>
      <c r="AI1206">
        <v>46129</v>
      </c>
      <c r="AJ1206">
        <v>46130</v>
      </c>
      <c r="AK1206">
        <v>12800</v>
      </c>
      <c r="AL1206" t="s">
        <v>396</v>
      </c>
      <c r="AM1206" t="s">
        <v>3473</v>
      </c>
      <c r="AN1206">
        <v>46130</v>
      </c>
      <c r="AO1206">
        <v>46130.397905092592</v>
      </c>
      <c r="AP1206" t="s">
        <v>51</v>
      </c>
      <c r="AQ1206">
        <v>0.12105</v>
      </c>
      <c r="AR1206">
        <v>1549.44</v>
      </c>
      <c r="AS1206" t="s">
        <v>51</v>
      </c>
      <c r="AT1206">
        <v>1549.44</v>
      </c>
      <c r="AU1206" t="s">
        <v>415</v>
      </c>
      <c r="AV1206" t="s">
        <v>416</v>
      </c>
      <c r="AW1206" t="s">
        <v>3469</v>
      </c>
      <c r="AX1206">
        <v>46137</v>
      </c>
      <c r="AY1206">
        <v>46186</v>
      </c>
      <c r="AZ1206" t="s">
        <v>3470</v>
      </c>
      <c r="BA1206" t="s">
        <v>560</v>
      </c>
      <c r="BB1206" t="s">
        <v>3471</v>
      </c>
      <c r="BC1206">
        <v>160</v>
      </c>
      <c r="BD1206" t="s">
        <v>521</v>
      </c>
      <c r="BE1206">
        <v>6.3452000000000002</v>
      </c>
      <c r="BF1206">
        <v>4.7952000000000004</v>
      </c>
      <c r="BG1206" t="s">
        <v>522</v>
      </c>
      <c r="BH1206">
        <v>595</v>
      </c>
      <c r="BI1206">
        <v>495</v>
      </c>
      <c r="BJ1206">
        <v>190</v>
      </c>
      <c r="BK1206">
        <v>20</v>
      </c>
      <c r="BL1206" t="s">
        <v>521</v>
      </c>
      <c r="BM1206">
        <v>153.904</v>
      </c>
      <c r="BN1206">
        <v>95.903999999999996</v>
      </c>
      <c r="BO1206">
        <v>615.61599999999999</v>
      </c>
      <c r="BP1206" t="s">
        <v>522</v>
      </c>
      <c r="BQ1206">
        <v>1200</v>
      </c>
      <c r="BR1206">
        <v>1000</v>
      </c>
      <c r="BS1206">
        <v>1110</v>
      </c>
      <c r="BT1206">
        <v>4</v>
      </c>
      <c r="BU1206">
        <v>0</v>
      </c>
      <c r="BV1206">
        <v>4</v>
      </c>
      <c r="BW1206">
        <v>80</v>
      </c>
      <c r="BX1206">
        <v>0</v>
      </c>
      <c r="BY1206">
        <v>80</v>
      </c>
      <c r="BZ1206">
        <v>12800</v>
      </c>
      <c r="CA1206">
        <v>0</v>
      </c>
      <c r="CB1206">
        <v>12800</v>
      </c>
      <c r="CC1206">
        <v>383.61599999999999</v>
      </c>
      <c r="CD1206" t="s">
        <v>592</v>
      </c>
      <c r="CE1206" t="s">
        <v>879</v>
      </c>
      <c r="CG1206" t="s">
        <v>421</v>
      </c>
    </row>
    <row r="1207" spans="2:85" x14ac:dyDescent="0.35">
      <c r="B1207" t="s">
        <v>296</v>
      </c>
      <c r="C1207" t="s">
        <v>3370</v>
      </c>
      <c r="D1207" t="s">
        <v>395</v>
      </c>
      <c r="E1207" t="s">
        <v>395</v>
      </c>
      <c r="F1207" t="s">
        <v>396</v>
      </c>
      <c r="G1207" t="s">
        <v>397</v>
      </c>
      <c r="H1207" t="s">
        <v>398</v>
      </c>
      <c r="I1207" t="s">
        <v>399</v>
      </c>
      <c r="J1207" t="s">
        <v>749</v>
      </c>
      <c r="K1207" t="s">
        <v>629</v>
      </c>
      <c r="L1207" t="s">
        <v>787</v>
      </c>
      <c r="M1207" t="s">
        <v>403</v>
      </c>
      <c r="N1207">
        <v>1</v>
      </c>
      <c r="O1207">
        <v>4</v>
      </c>
      <c r="P1207" t="s">
        <v>881</v>
      </c>
      <c r="Q1207" t="s">
        <v>645</v>
      </c>
      <c r="R1207" t="s">
        <v>882</v>
      </c>
      <c r="S1207" t="s">
        <v>883</v>
      </c>
      <c r="T1207" t="s">
        <v>408</v>
      </c>
      <c r="U1207">
        <v>50950080026</v>
      </c>
      <c r="W1207">
        <v>6600</v>
      </c>
      <c r="X1207" t="s">
        <v>409</v>
      </c>
      <c r="Y1207" t="s">
        <v>410</v>
      </c>
      <c r="Z1207" t="s">
        <v>410</v>
      </c>
      <c r="AA1207" t="s">
        <v>411</v>
      </c>
      <c r="AB1207" t="s">
        <v>769</v>
      </c>
      <c r="AC1207" t="s">
        <v>411</v>
      </c>
      <c r="AD1207">
        <v>46125</v>
      </c>
      <c r="AE1207">
        <v>46230</v>
      </c>
      <c r="AF1207">
        <v>46137</v>
      </c>
      <c r="AG1207" t="s">
        <v>754</v>
      </c>
      <c r="AH1207">
        <v>6197978</v>
      </c>
      <c r="AI1207">
        <v>46129</v>
      </c>
      <c r="AJ1207">
        <v>46130</v>
      </c>
      <c r="AK1207">
        <v>6600</v>
      </c>
      <c r="AL1207" t="s">
        <v>396</v>
      </c>
      <c r="AM1207" t="s">
        <v>3474</v>
      </c>
      <c r="AN1207">
        <v>46130</v>
      </c>
      <c r="AO1207">
        <v>46130.397905092592</v>
      </c>
      <c r="AP1207" t="s">
        <v>51</v>
      </c>
      <c r="AQ1207">
        <v>0.20003000000000001</v>
      </c>
      <c r="AR1207">
        <v>1320.2</v>
      </c>
      <c r="AS1207" t="s">
        <v>51</v>
      </c>
      <c r="AT1207">
        <v>1320.2</v>
      </c>
      <c r="AU1207" t="s">
        <v>415</v>
      </c>
      <c r="AV1207" t="s">
        <v>416</v>
      </c>
      <c r="AW1207" t="s">
        <v>3469</v>
      </c>
      <c r="AX1207">
        <v>46137</v>
      </c>
      <c r="AY1207">
        <v>46186</v>
      </c>
      <c r="AZ1207" t="s">
        <v>3470</v>
      </c>
      <c r="BA1207" t="s">
        <v>560</v>
      </c>
      <c r="BB1207" t="s">
        <v>3471</v>
      </c>
      <c r="BC1207">
        <v>264</v>
      </c>
      <c r="BD1207" t="s">
        <v>521</v>
      </c>
      <c r="BE1207">
        <v>5.2203999999999997</v>
      </c>
      <c r="BF1207">
        <v>3.8304</v>
      </c>
      <c r="BG1207" t="s">
        <v>522</v>
      </c>
      <c r="BH1207">
        <v>595</v>
      </c>
      <c r="BI1207">
        <v>395</v>
      </c>
      <c r="BJ1207">
        <v>175</v>
      </c>
      <c r="BK1207">
        <v>25</v>
      </c>
      <c r="BL1207" t="s">
        <v>521</v>
      </c>
      <c r="BM1207">
        <v>157.5094</v>
      </c>
      <c r="BN1207">
        <v>95.759399999999999</v>
      </c>
      <c r="BO1207">
        <v>157.5094</v>
      </c>
      <c r="BP1207" t="s">
        <v>522</v>
      </c>
      <c r="BQ1207">
        <v>1200</v>
      </c>
      <c r="BR1207">
        <v>1000</v>
      </c>
      <c r="BS1207">
        <v>1035</v>
      </c>
      <c r="BT1207">
        <v>1</v>
      </c>
      <c r="BU1207">
        <v>0</v>
      </c>
      <c r="BV1207">
        <v>1</v>
      </c>
      <c r="BW1207">
        <v>25</v>
      </c>
      <c r="BX1207">
        <v>0</v>
      </c>
      <c r="BY1207">
        <v>25</v>
      </c>
      <c r="BZ1207">
        <v>6600</v>
      </c>
      <c r="CA1207">
        <v>0</v>
      </c>
      <c r="CB1207">
        <v>6600</v>
      </c>
      <c r="CC1207">
        <v>95.759399999999999</v>
      </c>
      <c r="CD1207" t="s">
        <v>885</v>
      </c>
      <c r="CE1207" t="s">
        <v>886</v>
      </c>
      <c r="CG1207" t="s">
        <v>421</v>
      </c>
    </row>
    <row r="1208" spans="2:85" x14ac:dyDescent="0.35">
      <c r="B1208" t="s">
        <v>299</v>
      </c>
      <c r="C1208" t="s">
        <v>3308</v>
      </c>
      <c r="D1208" t="s">
        <v>965</v>
      </c>
      <c r="E1208" t="s">
        <v>395</v>
      </c>
      <c r="F1208" t="s">
        <v>396</v>
      </c>
      <c r="G1208" t="s">
        <v>397</v>
      </c>
      <c r="H1208" t="s">
        <v>398</v>
      </c>
      <c r="I1208" t="s">
        <v>399</v>
      </c>
      <c r="J1208" t="s">
        <v>749</v>
      </c>
      <c r="K1208" t="s">
        <v>809</v>
      </c>
      <c r="L1208" t="s">
        <v>787</v>
      </c>
      <c r="M1208" t="s">
        <v>403</v>
      </c>
      <c r="N1208">
        <v>1</v>
      </c>
      <c r="O1208">
        <v>6</v>
      </c>
      <c r="P1208" t="s">
        <v>810</v>
      </c>
      <c r="Q1208" t="s">
        <v>405</v>
      </c>
      <c r="R1208" t="s">
        <v>811</v>
      </c>
      <c r="S1208" t="s">
        <v>812</v>
      </c>
      <c r="T1208" t="s">
        <v>408</v>
      </c>
      <c r="U1208">
        <v>50950080295</v>
      </c>
      <c r="W1208">
        <v>480</v>
      </c>
      <c r="X1208" t="s">
        <v>409</v>
      </c>
      <c r="Y1208" t="s">
        <v>410</v>
      </c>
      <c r="Z1208" t="s">
        <v>410</v>
      </c>
      <c r="AA1208" t="s">
        <v>411</v>
      </c>
      <c r="AB1208" t="s">
        <v>769</v>
      </c>
      <c r="AC1208" t="s">
        <v>411</v>
      </c>
      <c r="AD1208">
        <v>46123</v>
      </c>
      <c r="AE1208">
        <v>46132</v>
      </c>
      <c r="AF1208">
        <v>46137</v>
      </c>
      <c r="AG1208" t="s">
        <v>754</v>
      </c>
      <c r="AH1208">
        <v>6197979</v>
      </c>
      <c r="AI1208">
        <v>46129</v>
      </c>
      <c r="AJ1208">
        <v>46130</v>
      </c>
      <c r="AK1208">
        <v>480</v>
      </c>
      <c r="AL1208" t="s">
        <v>396</v>
      </c>
      <c r="AM1208" t="s">
        <v>3475</v>
      </c>
      <c r="AN1208">
        <v>46130</v>
      </c>
      <c r="AO1208">
        <v>46130.397905092592</v>
      </c>
      <c r="AP1208" t="s">
        <v>51</v>
      </c>
      <c r="AQ1208">
        <v>2.0436299999999998</v>
      </c>
      <c r="AR1208">
        <v>980.94</v>
      </c>
      <c r="AS1208" t="s">
        <v>51</v>
      </c>
      <c r="AT1208">
        <v>980.94</v>
      </c>
      <c r="AU1208" t="s">
        <v>415</v>
      </c>
      <c r="AV1208" t="s">
        <v>416</v>
      </c>
      <c r="AW1208" t="s">
        <v>3469</v>
      </c>
      <c r="AX1208">
        <v>46137</v>
      </c>
      <c r="AY1208">
        <v>46186</v>
      </c>
      <c r="AZ1208" t="s">
        <v>3470</v>
      </c>
      <c r="BA1208" t="s">
        <v>560</v>
      </c>
      <c r="BB1208" t="s">
        <v>3471</v>
      </c>
      <c r="BC1208">
        <v>16</v>
      </c>
      <c r="BD1208" t="s">
        <v>521</v>
      </c>
      <c r="BE1208">
        <v>4.9545000000000003</v>
      </c>
      <c r="BF1208">
        <v>3.7555000000000001</v>
      </c>
      <c r="BG1208" t="s">
        <v>522</v>
      </c>
      <c r="BH1208">
        <v>495</v>
      </c>
      <c r="BI1208">
        <v>395</v>
      </c>
      <c r="BJ1208">
        <v>190</v>
      </c>
      <c r="BK1208">
        <v>30</v>
      </c>
      <c r="BL1208" t="s">
        <v>521</v>
      </c>
      <c r="BM1208">
        <v>175.63560000000001</v>
      </c>
      <c r="BN1208">
        <v>112.6656</v>
      </c>
      <c r="BO1208">
        <v>175.63560000000001</v>
      </c>
      <c r="BP1208" t="s">
        <v>522</v>
      </c>
      <c r="BQ1208">
        <v>1200</v>
      </c>
      <c r="BR1208">
        <v>1000</v>
      </c>
      <c r="BS1208">
        <v>1120</v>
      </c>
      <c r="BT1208">
        <v>1</v>
      </c>
      <c r="BU1208">
        <v>0</v>
      </c>
      <c r="BV1208">
        <v>1</v>
      </c>
      <c r="BW1208">
        <v>30</v>
      </c>
      <c r="BX1208">
        <v>0</v>
      </c>
      <c r="BY1208">
        <v>30</v>
      </c>
      <c r="BZ1208">
        <v>480</v>
      </c>
      <c r="CA1208">
        <v>0</v>
      </c>
      <c r="CB1208">
        <v>480</v>
      </c>
      <c r="CC1208">
        <v>112.6656</v>
      </c>
      <c r="CD1208" t="s">
        <v>806</v>
      </c>
      <c r="CE1208" t="s">
        <v>816</v>
      </c>
      <c r="CG1208" t="s">
        <v>421</v>
      </c>
    </row>
    <row r="1209" spans="2:85" x14ac:dyDescent="0.35">
      <c r="B1209" t="s">
        <v>299</v>
      </c>
      <c r="C1209" t="s">
        <v>3428</v>
      </c>
      <c r="D1209" t="s">
        <v>965</v>
      </c>
      <c r="E1209" t="s">
        <v>395</v>
      </c>
      <c r="F1209" t="s">
        <v>396</v>
      </c>
      <c r="G1209" t="s">
        <v>397</v>
      </c>
      <c r="H1209" t="s">
        <v>398</v>
      </c>
      <c r="I1209" t="s">
        <v>399</v>
      </c>
      <c r="J1209" t="s">
        <v>749</v>
      </c>
      <c r="K1209" t="s">
        <v>809</v>
      </c>
      <c r="L1209" t="s">
        <v>787</v>
      </c>
      <c r="M1209" t="s">
        <v>403</v>
      </c>
      <c r="N1209">
        <v>1</v>
      </c>
      <c r="O1209">
        <v>3</v>
      </c>
      <c r="P1209" t="s">
        <v>818</v>
      </c>
      <c r="Q1209" t="s">
        <v>430</v>
      </c>
      <c r="R1209" t="s">
        <v>811</v>
      </c>
      <c r="S1209" t="s">
        <v>819</v>
      </c>
      <c r="T1209" t="s">
        <v>408</v>
      </c>
      <c r="U1209">
        <v>50950081223</v>
      </c>
      <c r="W1209">
        <v>2880</v>
      </c>
      <c r="X1209" t="s">
        <v>409</v>
      </c>
      <c r="Y1209" t="s">
        <v>410</v>
      </c>
      <c r="Z1209" t="s">
        <v>410</v>
      </c>
      <c r="AA1209" t="s">
        <v>411</v>
      </c>
      <c r="AB1209" t="s">
        <v>769</v>
      </c>
      <c r="AC1209" t="s">
        <v>411</v>
      </c>
      <c r="AD1209">
        <v>46123</v>
      </c>
      <c r="AE1209">
        <v>46174</v>
      </c>
      <c r="AF1209">
        <v>46137</v>
      </c>
      <c r="AG1209" t="s">
        <v>754</v>
      </c>
      <c r="AH1209">
        <v>6197980</v>
      </c>
      <c r="AI1209">
        <v>46129</v>
      </c>
      <c r="AJ1209">
        <v>46130</v>
      </c>
      <c r="AK1209">
        <v>2880</v>
      </c>
      <c r="AL1209" t="s">
        <v>396</v>
      </c>
      <c r="AM1209" t="s">
        <v>3476</v>
      </c>
      <c r="AN1209">
        <v>46130</v>
      </c>
      <c r="AO1209">
        <v>46130.397905092592</v>
      </c>
      <c r="AP1209" t="s">
        <v>51</v>
      </c>
      <c r="AQ1209">
        <v>1.27105</v>
      </c>
      <c r="AR1209">
        <v>3660.62</v>
      </c>
      <c r="AS1209" t="s">
        <v>51</v>
      </c>
      <c r="AT1209">
        <v>3660.62</v>
      </c>
      <c r="AU1209" t="s">
        <v>415</v>
      </c>
      <c r="AV1209" t="s">
        <v>416</v>
      </c>
      <c r="AW1209" t="s">
        <v>3469</v>
      </c>
      <c r="AX1209">
        <v>46137</v>
      </c>
      <c r="AY1209">
        <v>46186</v>
      </c>
      <c r="AZ1209" t="s">
        <v>3470</v>
      </c>
      <c r="BA1209" t="s">
        <v>560</v>
      </c>
      <c r="BB1209" t="s">
        <v>3471</v>
      </c>
      <c r="BC1209">
        <v>48</v>
      </c>
      <c r="BD1209" t="s">
        <v>521</v>
      </c>
      <c r="BE1209">
        <v>7.6898999999999997</v>
      </c>
      <c r="BF1209">
        <v>6.2298999999999998</v>
      </c>
      <c r="BG1209" t="s">
        <v>522</v>
      </c>
      <c r="BH1209">
        <v>495</v>
      </c>
      <c r="BI1209">
        <v>395</v>
      </c>
      <c r="BJ1209">
        <v>190</v>
      </c>
      <c r="BK1209">
        <v>30</v>
      </c>
      <c r="BL1209" t="s">
        <v>521</v>
      </c>
      <c r="BM1209">
        <v>257.697</v>
      </c>
      <c r="BN1209">
        <v>186.89699999999999</v>
      </c>
      <c r="BO1209">
        <v>515.39520000000005</v>
      </c>
      <c r="BP1209" t="s">
        <v>522</v>
      </c>
      <c r="BQ1209">
        <v>1200</v>
      </c>
      <c r="BR1209">
        <v>1000</v>
      </c>
      <c r="BS1209">
        <v>1120</v>
      </c>
      <c r="BT1209">
        <v>2</v>
      </c>
      <c r="BU1209">
        <v>0</v>
      </c>
      <c r="BV1209">
        <v>2</v>
      </c>
      <c r="BW1209">
        <v>60</v>
      </c>
      <c r="BX1209">
        <v>0</v>
      </c>
      <c r="BY1209">
        <v>60</v>
      </c>
      <c r="BZ1209">
        <v>2880</v>
      </c>
      <c r="CA1209">
        <v>0</v>
      </c>
      <c r="CB1209">
        <v>2880</v>
      </c>
      <c r="CC1209">
        <v>373.79520000000002</v>
      </c>
      <c r="CD1209" t="s">
        <v>806</v>
      </c>
      <c r="CE1209" t="s">
        <v>821</v>
      </c>
      <c r="CG1209" t="s">
        <v>421</v>
      </c>
    </row>
    <row r="1210" spans="2:85" x14ac:dyDescent="0.35">
      <c r="B1210" t="s">
        <v>296</v>
      </c>
      <c r="C1210" t="s">
        <v>3380</v>
      </c>
      <c r="D1210" t="s">
        <v>395</v>
      </c>
      <c r="E1210" t="s">
        <v>395</v>
      </c>
      <c r="F1210" t="s">
        <v>396</v>
      </c>
      <c r="G1210" t="s">
        <v>397</v>
      </c>
      <c r="H1210" t="s">
        <v>398</v>
      </c>
      <c r="I1210" t="s">
        <v>399</v>
      </c>
      <c r="J1210" t="s">
        <v>749</v>
      </c>
      <c r="K1210" t="s">
        <v>629</v>
      </c>
      <c r="L1210" t="s">
        <v>787</v>
      </c>
      <c r="M1210" t="s">
        <v>403</v>
      </c>
      <c r="N1210">
        <v>1</v>
      </c>
      <c r="O1210">
        <v>2</v>
      </c>
      <c r="P1210" t="s">
        <v>3381</v>
      </c>
      <c r="Q1210" t="s">
        <v>637</v>
      </c>
      <c r="R1210" t="s">
        <v>3382</v>
      </c>
      <c r="S1210" t="s">
        <v>840</v>
      </c>
      <c r="T1210" t="s">
        <v>408</v>
      </c>
      <c r="U1210">
        <v>50950081836</v>
      </c>
      <c r="W1210">
        <v>17280</v>
      </c>
      <c r="X1210" t="s">
        <v>409</v>
      </c>
      <c r="Y1210" t="s">
        <v>410</v>
      </c>
      <c r="Z1210" t="s">
        <v>410</v>
      </c>
      <c r="AA1210" t="s">
        <v>411</v>
      </c>
      <c r="AB1210" t="s">
        <v>769</v>
      </c>
      <c r="AC1210" t="s">
        <v>411</v>
      </c>
      <c r="AD1210">
        <v>46130</v>
      </c>
      <c r="AE1210">
        <v>46188</v>
      </c>
      <c r="AF1210">
        <v>46137</v>
      </c>
      <c r="AG1210" t="s">
        <v>754</v>
      </c>
      <c r="AH1210">
        <v>6197981</v>
      </c>
      <c r="AI1210">
        <v>46129</v>
      </c>
      <c r="AJ1210">
        <v>46130</v>
      </c>
      <c r="AK1210">
        <v>17280</v>
      </c>
      <c r="AL1210" t="s">
        <v>396</v>
      </c>
      <c r="AM1210" t="s">
        <v>3477</v>
      </c>
      <c r="AN1210">
        <v>46130</v>
      </c>
      <c r="AO1210">
        <v>46130.397905092592</v>
      </c>
      <c r="AP1210" t="s">
        <v>51</v>
      </c>
      <c r="AQ1210">
        <v>0.16836000000000001</v>
      </c>
      <c r="AR1210">
        <v>2909.28</v>
      </c>
      <c r="AS1210" t="s">
        <v>51</v>
      </c>
      <c r="AT1210">
        <v>2909.28</v>
      </c>
      <c r="AU1210" t="s">
        <v>415</v>
      </c>
      <c r="AV1210" t="s">
        <v>416</v>
      </c>
      <c r="AW1210" t="s">
        <v>3469</v>
      </c>
      <c r="AX1210">
        <v>46137</v>
      </c>
      <c r="AY1210">
        <v>46186</v>
      </c>
      <c r="AZ1210" t="s">
        <v>3470</v>
      </c>
      <c r="BA1210" t="s">
        <v>560</v>
      </c>
      <c r="BB1210" t="s">
        <v>3471</v>
      </c>
      <c r="BC1210">
        <v>360</v>
      </c>
      <c r="BD1210" t="s">
        <v>521</v>
      </c>
      <c r="BE1210">
        <v>14.6473</v>
      </c>
      <c r="BF1210">
        <v>13.1173</v>
      </c>
      <c r="BG1210" t="s">
        <v>522</v>
      </c>
      <c r="BH1210">
        <v>595</v>
      </c>
      <c r="BI1210">
        <v>495</v>
      </c>
      <c r="BJ1210">
        <v>310</v>
      </c>
      <c r="BK1210">
        <v>12</v>
      </c>
      <c r="BL1210" t="s">
        <v>521</v>
      </c>
      <c r="BM1210">
        <v>202.76759999999999</v>
      </c>
      <c r="BN1210">
        <v>157.4076</v>
      </c>
      <c r="BO1210">
        <v>811.07136000000003</v>
      </c>
      <c r="BP1210" t="s">
        <v>522</v>
      </c>
      <c r="BQ1210">
        <v>1200</v>
      </c>
      <c r="BR1210">
        <v>1000</v>
      </c>
      <c r="BS1210">
        <v>1088</v>
      </c>
      <c r="BT1210">
        <v>4</v>
      </c>
      <c r="BU1210">
        <v>0</v>
      </c>
      <c r="BV1210">
        <v>4</v>
      </c>
      <c r="BW1210">
        <v>48</v>
      </c>
      <c r="BX1210">
        <v>0</v>
      </c>
      <c r="BY1210">
        <v>48</v>
      </c>
      <c r="BZ1210">
        <v>17280</v>
      </c>
      <c r="CA1210">
        <v>0</v>
      </c>
      <c r="CB1210">
        <v>17280</v>
      </c>
      <c r="CC1210">
        <v>629.63135999999997</v>
      </c>
      <c r="CD1210" t="s">
        <v>842</v>
      </c>
      <c r="CE1210" t="s">
        <v>843</v>
      </c>
      <c r="CG1210" t="s">
        <v>421</v>
      </c>
    </row>
    <row r="1211" spans="2:85" x14ac:dyDescent="0.35">
      <c r="B1211" t="s">
        <v>299</v>
      </c>
      <c r="C1211" t="s">
        <v>3478</v>
      </c>
      <c r="D1211" t="s">
        <v>395</v>
      </c>
      <c r="E1211" t="s">
        <v>395</v>
      </c>
      <c r="F1211" t="s">
        <v>396</v>
      </c>
      <c r="G1211" t="s">
        <v>397</v>
      </c>
      <c r="H1211" t="s">
        <v>398</v>
      </c>
      <c r="I1211" t="s">
        <v>399</v>
      </c>
      <c r="J1211" t="s">
        <v>749</v>
      </c>
      <c r="K1211" t="s">
        <v>845</v>
      </c>
      <c r="L1211" t="s">
        <v>787</v>
      </c>
      <c r="M1211" t="s">
        <v>403</v>
      </c>
      <c r="N1211">
        <v>1</v>
      </c>
      <c r="O1211">
        <v>1</v>
      </c>
      <c r="P1211" t="s">
        <v>3479</v>
      </c>
      <c r="Q1211" t="s">
        <v>424</v>
      </c>
      <c r="R1211" t="s">
        <v>847</v>
      </c>
      <c r="S1211" t="s">
        <v>1484</v>
      </c>
      <c r="T1211" t="s">
        <v>408</v>
      </c>
      <c r="U1211">
        <v>50950082068</v>
      </c>
      <c r="W1211">
        <v>2880</v>
      </c>
      <c r="X1211" t="s">
        <v>409</v>
      </c>
      <c r="Y1211" t="s">
        <v>410</v>
      </c>
      <c r="Z1211" t="s">
        <v>410</v>
      </c>
      <c r="AA1211" t="s">
        <v>411</v>
      </c>
      <c r="AB1211" t="s">
        <v>769</v>
      </c>
      <c r="AC1211" t="s">
        <v>411</v>
      </c>
      <c r="AD1211">
        <v>46123</v>
      </c>
      <c r="AE1211">
        <v>46181</v>
      </c>
      <c r="AF1211">
        <v>46137</v>
      </c>
      <c r="AG1211" t="s">
        <v>754</v>
      </c>
      <c r="AH1211">
        <v>6197982</v>
      </c>
      <c r="AI1211">
        <v>46129</v>
      </c>
      <c r="AJ1211">
        <v>46130</v>
      </c>
      <c r="AK1211">
        <v>2880</v>
      </c>
      <c r="AL1211" t="s">
        <v>396</v>
      </c>
      <c r="AM1211" t="s">
        <v>3480</v>
      </c>
      <c r="AN1211">
        <v>46130</v>
      </c>
      <c r="AO1211">
        <v>46130.397905092592</v>
      </c>
      <c r="AP1211" t="s">
        <v>51</v>
      </c>
      <c r="AQ1211">
        <v>0.61573999999999995</v>
      </c>
      <c r="AR1211">
        <v>1773.33</v>
      </c>
      <c r="AS1211" t="s">
        <v>51</v>
      </c>
      <c r="AT1211">
        <v>1773.33</v>
      </c>
      <c r="AU1211" t="s">
        <v>415</v>
      </c>
      <c r="AV1211" t="s">
        <v>416</v>
      </c>
      <c r="AW1211" t="s">
        <v>3469</v>
      </c>
      <c r="AX1211">
        <v>46137</v>
      </c>
      <c r="AY1211">
        <v>46186</v>
      </c>
      <c r="AZ1211" t="s">
        <v>3470</v>
      </c>
      <c r="BA1211" t="s">
        <v>560</v>
      </c>
      <c r="BB1211" t="s">
        <v>3471</v>
      </c>
      <c r="BC1211">
        <v>48</v>
      </c>
      <c r="BD1211" t="s">
        <v>521</v>
      </c>
      <c r="BE1211">
        <v>11.808999999999999</v>
      </c>
      <c r="BF1211">
        <v>10.968999999999999</v>
      </c>
      <c r="BG1211" t="s">
        <v>522</v>
      </c>
      <c r="BH1211">
        <v>395</v>
      </c>
      <c r="BI1211">
        <v>295</v>
      </c>
      <c r="BJ1211">
        <v>240</v>
      </c>
      <c r="BK1211">
        <v>40</v>
      </c>
      <c r="BL1211" t="s">
        <v>521</v>
      </c>
      <c r="BM1211">
        <v>499.36</v>
      </c>
      <c r="BN1211">
        <v>438.76</v>
      </c>
      <c r="BO1211">
        <v>762.5376</v>
      </c>
      <c r="BP1211" t="s">
        <v>522</v>
      </c>
      <c r="BQ1211">
        <v>1200</v>
      </c>
      <c r="BR1211">
        <v>1000</v>
      </c>
      <c r="BS1211">
        <v>1110</v>
      </c>
      <c r="BT1211">
        <v>1</v>
      </c>
      <c r="BU1211">
        <v>1</v>
      </c>
      <c r="BV1211">
        <v>2</v>
      </c>
      <c r="BW1211">
        <v>60</v>
      </c>
      <c r="BX1211">
        <v>0</v>
      </c>
      <c r="BY1211">
        <v>60</v>
      </c>
      <c r="BZ1211">
        <v>1920</v>
      </c>
      <c r="CA1211">
        <v>960</v>
      </c>
      <c r="CB1211">
        <v>2880</v>
      </c>
      <c r="CC1211">
        <v>658.13760000000002</v>
      </c>
      <c r="CD1211" t="s">
        <v>592</v>
      </c>
      <c r="CE1211" t="s">
        <v>3481</v>
      </c>
      <c r="CG1211" t="s">
        <v>421</v>
      </c>
    </row>
    <row r="1212" spans="2:85" x14ac:dyDescent="0.35">
      <c r="B1212" t="s">
        <v>299</v>
      </c>
      <c r="C1212" t="s">
        <v>3019</v>
      </c>
      <c r="D1212" t="s">
        <v>395</v>
      </c>
      <c r="E1212" t="s">
        <v>395</v>
      </c>
      <c r="F1212" t="s">
        <v>396</v>
      </c>
      <c r="G1212" t="s">
        <v>397</v>
      </c>
      <c r="H1212" t="s">
        <v>398</v>
      </c>
      <c r="I1212" t="s">
        <v>399</v>
      </c>
      <c r="J1212" t="s">
        <v>749</v>
      </c>
      <c r="K1212" t="s">
        <v>809</v>
      </c>
      <c r="L1212" t="s">
        <v>787</v>
      </c>
      <c r="M1212" t="s">
        <v>403</v>
      </c>
      <c r="N1212">
        <v>1</v>
      </c>
      <c r="O1212">
        <v>3</v>
      </c>
      <c r="P1212" t="s">
        <v>1138</v>
      </c>
      <c r="Q1212" t="s">
        <v>943</v>
      </c>
      <c r="R1212" t="s">
        <v>811</v>
      </c>
      <c r="S1212" t="s">
        <v>1139</v>
      </c>
      <c r="T1212" t="s">
        <v>408</v>
      </c>
      <c r="U1212">
        <v>50950082100</v>
      </c>
      <c r="W1212">
        <v>960</v>
      </c>
      <c r="X1212" t="s">
        <v>409</v>
      </c>
      <c r="Y1212" t="s">
        <v>410</v>
      </c>
      <c r="Z1212" t="s">
        <v>410</v>
      </c>
      <c r="AA1212" t="s">
        <v>411</v>
      </c>
      <c r="AB1212" t="s">
        <v>769</v>
      </c>
      <c r="AC1212" t="s">
        <v>411</v>
      </c>
      <c r="AD1212">
        <v>46130</v>
      </c>
      <c r="AE1212">
        <v>46188</v>
      </c>
      <c r="AF1212">
        <v>46137</v>
      </c>
      <c r="AG1212" t="s">
        <v>754</v>
      </c>
      <c r="AH1212">
        <v>6197983</v>
      </c>
      <c r="AI1212">
        <v>46129</v>
      </c>
      <c r="AJ1212">
        <v>46130</v>
      </c>
      <c r="AK1212">
        <v>960</v>
      </c>
      <c r="AL1212" t="s">
        <v>396</v>
      </c>
      <c r="AM1212" t="s">
        <v>3482</v>
      </c>
      <c r="AN1212">
        <v>46130</v>
      </c>
      <c r="AO1212">
        <v>46130.397905092592</v>
      </c>
      <c r="AP1212" t="s">
        <v>51</v>
      </c>
      <c r="AQ1212">
        <v>1.5686</v>
      </c>
      <c r="AR1212">
        <v>1505.86</v>
      </c>
      <c r="AS1212" t="s">
        <v>51</v>
      </c>
      <c r="AT1212">
        <v>1505.86</v>
      </c>
      <c r="AU1212" t="s">
        <v>415</v>
      </c>
      <c r="AV1212" t="s">
        <v>416</v>
      </c>
      <c r="AW1212" t="s">
        <v>3469</v>
      </c>
      <c r="AX1212">
        <v>46137</v>
      </c>
      <c r="AY1212">
        <v>46186</v>
      </c>
      <c r="AZ1212" t="s">
        <v>3470</v>
      </c>
      <c r="BA1212" t="s">
        <v>560</v>
      </c>
      <c r="BB1212" t="s">
        <v>3471</v>
      </c>
      <c r="BC1212">
        <v>16</v>
      </c>
      <c r="BD1212" t="s">
        <v>521</v>
      </c>
      <c r="BE1212">
        <v>4.0369000000000002</v>
      </c>
      <c r="BF1212">
        <v>2.8378999999999999</v>
      </c>
      <c r="BG1212" t="s">
        <v>522</v>
      </c>
      <c r="BH1212">
        <v>495</v>
      </c>
      <c r="BI1212">
        <v>395</v>
      </c>
      <c r="BJ1212">
        <v>190</v>
      </c>
      <c r="BK1212">
        <v>30</v>
      </c>
      <c r="BL1212" t="s">
        <v>521</v>
      </c>
      <c r="BM1212">
        <v>148.107</v>
      </c>
      <c r="BN1212">
        <v>85.137</v>
      </c>
      <c r="BO1212">
        <v>296.21136000000001</v>
      </c>
      <c r="BP1212" t="s">
        <v>522</v>
      </c>
      <c r="BQ1212">
        <v>1200</v>
      </c>
      <c r="BR1212">
        <v>1000</v>
      </c>
      <c r="BS1212">
        <v>1120</v>
      </c>
      <c r="BT1212">
        <v>2</v>
      </c>
      <c r="BU1212">
        <v>0</v>
      </c>
      <c r="BV1212">
        <v>2</v>
      </c>
      <c r="BW1212">
        <v>60</v>
      </c>
      <c r="BX1212">
        <v>0</v>
      </c>
      <c r="BY1212">
        <v>60</v>
      </c>
      <c r="BZ1212">
        <v>960</v>
      </c>
      <c r="CA1212">
        <v>0</v>
      </c>
      <c r="CB1212">
        <v>960</v>
      </c>
      <c r="CC1212">
        <v>170.27135999999999</v>
      </c>
      <c r="CD1212" t="s">
        <v>806</v>
      </c>
      <c r="CE1212" t="s">
        <v>816</v>
      </c>
      <c r="CG1212" t="s">
        <v>421</v>
      </c>
    </row>
    <row r="1213" spans="2:85" x14ac:dyDescent="0.35">
      <c r="B1213" t="s">
        <v>299</v>
      </c>
      <c r="C1213" t="s">
        <v>3338</v>
      </c>
      <c r="D1213" t="s">
        <v>965</v>
      </c>
      <c r="E1213" t="s">
        <v>395</v>
      </c>
      <c r="F1213" t="s">
        <v>396</v>
      </c>
      <c r="G1213" t="s">
        <v>397</v>
      </c>
      <c r="H1213" t="s">
        <v>398</v>
      </c>
      <c r="I1213" t="s">
        <v>399</v>
      </c>
      <c r="J1213" t="s">
        <v>749</v>
      </c>
      <c r="K1213" t="s">
        <v>809</v>
      </c>
      <c r="L1213" t="s">
        <v>787</v>
      </c>
      <c r="M1213" t="s">
        <v>403</v>
      </c>
      <c r="N1213">
        <v>1</v>
      </c>
      <c r="O1213">
        <v>4</v>
      </c>
      <c r="P1213" t="s">
        <v>828</v>
      </c>
      <c r="Q1213" t="s">
        <v>587</v>
      </c>
      <c r="R1213" t="s">
        <v>811</v>
      </c>
      <c r="S1213" t="s">
        <v>829</v>
      </c>
      <c r="T1213" t="s">
        <v>408</v>
      </c>
      <c r="U1213">
        <v>50950082101</v>
      </c>
      <c r="W1213">
        <v>1920</v>
      </c>
      <c r="X1213" t="s">
        <v>409</v>
      </c>
      <c r="Y1213" t="s">
        <v>410</v>
      </c>
      <c r="Z1213" t="s">
        <v>410</v>
      </c>
      <c r="AA1213" t="s">
        <v>411</v>
      </c>
      <c r="AB1213" t="s">
        <v>769</v>
      </c>
      <c r="AC1213" t="s">
        <v>411</v>
      </c>
      <c r="AD1213">
        <v>46123</v>
      </c>
      <c r="AE1213">
        <v>46181</v>
      </c>
      <c r="AF1213">
        <v>46137</v>
      </c>
      <c r="AG1213" t="s">
        <v>754</v>
      </c>
      <c r="AH1213">
        <v>6197984</v>
      </c>
      <c r="AI1213">
        <v>46129</v>
      </c>
      <c r="AJ1213">
        <v>46130</v>
      </c>
      <c r="AK1213">
        <v>1920</v>
      </c>
      <c r="AL1213" t="s">
        <v>396</v>
      </c>
      <c r="AM1213" t="s">
        <v>3483</v>
      </c>
      <c r="AN1213">
        <v>46130</v>
      </c>
      <c r="AO1213">
        <v>46130.397905092592</v>
      </c>
      <c r="AP1213" t="s">
        <v>51</v>
      </c>
      <c r="AQ1213">
        <v>1.98325</v>
      </c>
      <c r="AR1213">
        <v>3807.84</v>
      </c>
      <c r="AS1213" t="s">
        <v>51</v>
      </c>
      <c r="AT1213">
        <v>3807.84</v>
      </c>
      <c r="AU1213" t="s">
        <v>415</v>
      </c>
      <c r="AV1213" t="s">
        <v>416</v>
      </c>
      <c r="AW1213" t="s">
        <v>3469</v>
      </c>
      <c r="AX1213">
        <v>46137</v>
      </c>
      <c r="AY1213">
        <v>46186</v>
      </c>
      <c r="AZ1213" t="s">
        <v>3470</v>
      </c>
      <c r="BA1213" t="s">
        <v>560</v>
      </c>
      <c r="BB1213" t="s">
        <v>3471</v>
      </c>
      <c r="BC1213">
        <v>16</v>
      </c>
      <c r="BD1213" t="s">
        <v>521</v>
      </c>
      <c r="BE1213">
        <v>4.9409000000000001</v>
      </c>
      <c r="BF1213">
        <v>3.7418999999999998</v>
      </c>
      <c r="BG1213" t="s">
        <v>522</v>
      </c>
      <c r="BH1213">
        <v>495</v>
      </c>
      <c r="BI1213">
        <v>395</v>
      </c>
      <c r="BJ1213">
        <v>190</v>
      </c>
      <c r="BK1213">
        <v>30</v>
      </c>
      <c r="BL1213" t="s">
        <v>521</v>
      </c>
      <c r="BM1213">
        <v>175.227</v>
      </c>
      <c r="BN1213">
        <v>112.25700000000001</v>
      </c>
      <c r="BO1213">
        <v>700.91039999999998</v>
      </c>
      <c r="BP1213" t="s">
        <v>522</v>
      </c>
      <c r="BQ1213">
        <v>1200</v>
      </c>
      <c r="BR1213">
        <v>1000</v>
      </c>
      <c r="BS1213">
        <v>1120</v>
      </c>
      <c r="BT1213">
        <v>4</v>
      </c>
      <c r="BU1213">
        <v>0</v>
      </c>
      <c r="BV1213">
        <v>4</v>
      </c>
      <c r="BW1213">
        <v>120</v>
      </c>
      <c r="BX1213">
        <v>0</v>
      </c>
      <c r="BY1213">
        <v>120</v>
      </c>
      <c r="BZ1213">
        <v>1920</v>
      </c>
      <c r="CA1213">
        <v>0</v>
      </c>
      <c r="CB1213">
        <v>1920</v>
      </c>
      <c r="CC1213">
        <v>449.03039999999999</v>
      </c>
      <c r="CD1213" t="s">
        <v>806</v>
      </c>
      <c r="CE1213" t="s">
        <v>816</v>
      </c>
      <c r="CG1213" t="s">
        <v>421</v>
      </c>
    </row>
    <row r="1214" spans="2:85" x14ac:dyDescent="0.35">
      <c r="B1214" t="s">
        <v>299</v>
      </c>
      <c r="C1214" t="s">
        <v>3484</v>
      </c>
      <c r="D1214" t="s">
        <v>395</v>
      </c>
      <c r="E1214" t="s">
        <v>395</v>
      </c>
      <c r="F1214" t="s">
        <v>396</v>
      </c>
      <c r="G1214" t="s">
        <v>397</v>
      </c>
      <c r="H1214" t="s">
        <v>398</v>
      </c>
      <c r="I1214" t="s">
        <v>399</v>
      </c>
      <c r="J1214" t="s">
        <v>749</v>
      </c>
      <c r="K1214" t="s">
        <v>629</v>
      </c>
      <c r="L1214" t="s">
        <v>787</v>
      </c>
      <c r="M1214" t="s">
        <v>403</v>
      </c>
      <c r="N1214">
        <v>1</v>
      </c>
      <c r="O1214">
        <v>1</v>
      </c>
      <c r="P1214" t="s">
        <v>3003</v>
      </c>
      <c r="Q1214" t="s">
        <v>430</v>
      </c>
      <c r="R1214" t="s">
        <v>3004</v>
      </c>
      <c r="S1214" t="s">
        <v>2955</v>
      </c>
      <c r="T1214" t="s">
        <v>408</v>
      </c>
      <c r="U1214">
        <v>50950081944</v>
      </c>
      <c r="W1214">
        <v>2640</v>
      </c>
      <c r="X1214" t="s">
        <v>409</v>
      </c>
      <c r="Y1214" t="s">
        <v>410</v>
      </c>
      <c r="Z1214" t="s">
        <v>410</v>
      </c>
      <c r="AA1214" t="s">
        <v>411</v>
      </c>
      <c r="AB1214" t="s">
        <v>769</v>
      </c>
      <c r="AC1214" t="s">
        <v>411</v>
      </c>
      <c r="AD1214">
        <v>46130</v>
      </c>
      <c r="AE1214">
        <v>46188</v>
      </c>
      <c r="AF1214">
        <v>46137</v>
      </c>
      <c r="AG1214" t="s">
        <v>754</v>
      </c>
      <c r="AH1214">
        <v>6197985</v>
      </c>
      <c r="AI1214">
        <v>46129</v>
      </c>
      <c r="AJ1214">
        <v>46130</v>
      </c>
      <c r="AK1214">
        <v>2640</v>
      </c>
      <c r="AL1214" t="s">
        <v>396</v>
      </c>
      <c r="AM1214" t="s">
        <v>3485</v>
      </c>
      <c r="AN1214">
        <v>46130</v>
      </c>
      <c r="AO1214">
        <v>46130.397905092592</v>
      </c>
      <c r="AP1214" t="s">
        <v>51</v>
      </c>
      <c r="AQ1214">
        <v>0.99109999999999998</v>
      </c>
      <c r="AR1214">
        <v>2616.5</v>
      </c>
      <c r="AS1214" t="s">
        <v>51</v>
      </c>
      <c r="AT1214">
        <v>2616.5</v>
      </c>
      <c r="AU1214" t="s">
        <v>415</v>
      </c>
      <c r="AV1214" t="s">
        <v>416</v>
      </c>
      <c r="AW1214" t="s">
        <v>3469</v>
      </c>
      <c r="AX1214">
        <v>46137</v>
      </c>
      <c r="AY1214">
        <v>46186</v>
      </c>
      <c r="AZ1214" t="s">
        <v>3470</v>
      </c>
      <c r="BA1214" t="s">
        <v>560</v>
      </c>
      <c r="BB1214" t="s">
        <v>3471</v>
      </c>
      <c r="BC1214">
        <v>44</v>
      </c>
      <c r="BD1214" t="s">
        <v>521</v>
      </c>
      <c r="BE1214">
        <v>11.8749</v>
      </c>
      <c r="BF1214">
        <v>11.209899999999999</v>
      </c>
      <c r="BG1214" t="s">
        <v>522</v>
      </c>
      <c r="BH1214">
        <v>395</v>
      </c>
      <c r="BI1214">
        <v>295</v>
      </c>
      <c r="BJ1214">
        <v>120</v>
      </c>
      <c r="BK1214">
        <v>70</v>
      </c>
      <c r="BL1214" t="s">
        <v>521</v>
      </c>
      <c r="BM1214">
        <v>739.49279999999999</v>
      </c>
      <c r="BN1214">
        <v>672.59280000000001</v>
      </c>
      <c r="BO1214">
        <v>739.49279999999999</v>
      </c>
      <c r="BP1214" t="s">
        <v>522</v>
      </c>
      <c r="BQ1214">
        <v>1200</v>
      </c>
      <c r="BR1214">
        <v>1000</v>
      </c>
      <c r="BS1214">
        <v>1000</v>
      </c>
      <c r="BT1214">
        <v>0</v>
      </c>
      <c r="BU1214">
        <v>1</v>
      </c>
      <c r="BV1214">
        <v>1</v>
      </c>
      <c r="BW1214">
        <v>60</v>
      </c>
      <c r="BX1214">
        <v>0</v>
      </c>
      <c r="BY1214">
        <v>60</v>
      </c>
      <c r="BZ1214">
        <v>0</v>
      </c>
      <c r="CA1214">
        <v>2640</v>
      </c>
      <c r="CB1214">
        <v>2640</v>
      </c>
      <c r="CC1214">
        <v>672.59280000000001</v>
      </c>
      <c r="CD1214" t="s">
        <v>850</v>
      </c>
      <c r="CE1214" t="s">
        <v>3006</v>
      </c>
      <c r="CG1214" t="s">
        <v>421</v>
      </c>
    </row>
    <row r="1215" spans="2:85" x14ac:dyDescent="0.35">
      <c r="B1215" t="s">
        <v>299</v>
      </c>
      <c r="C1215" t="s">
        <v>2975</v>
      </c>
      <c r="D1215" t="s">
        <v>965</v>
      </c>
      <c r="E1215" t="s">
        <v>395</v>
      </c>
      <c r="F1215" t="s">
        <v>396</v>
      </c>
      <c r="G1215" t="s">
        <v>397</v>
      </c>
      <c r="H1215" t="s">
        <v>398</v>
      </c>
      <c r="I1215" t="s">
        <v>399</v>
      </c>
      <c r="J1215" t="s">
        <v>749</v>
      </c>
      <c r="K1215" t="s">
        <v>809</v>
      </c>
      <c r="L1215" t="s">
        <v>787</v>
      </c>
      <c r="M1215" t="s">
        <v>403</v>
      </c>
      <c r="N1215">
        <v>1</v>
      </c>
      <c r="O1215">
        <v>3</v>
      </c>
      <c r="P1215" t="s">
        <v>1171</v>
      </c>
      <c r="Q1215" t="s">
        <v>424</v>
      </c>
      <c r="R1215" t="s">
        <v>811</v>
      </c>
      <c r="S1215" t="s">
        <v>1172</v>
      </c>
      <c r="T1215" t="s">
        <v>408</v>
      </c>
      <c r="U1215">
        <v>50950082145</v>
      </c>
      <c r="W1215">
        <v>1440</v>
      </c>
      <c r="X1215" t="s">
        <v>409</v>
      </c>
      <c r="Y1215" t="s">
        <v>410</v>
      </c>
      <c r="Z1215" t="s">
        <v>410</v>
      </c>
      <c r="AA1215" t="s">
        <v>411</v>
      </c>
      <c r="AB1215" t="s">
        <v>769</v>
      </c>
      <c r="AC1215" t="s">
        <v>411</v>
      </c>
      <c r="AD1215">
        <v>46109</v>
      </c>
      <c r="AE1215">
        <v>46167</v>
      </c>
      <c r="AF1215">
        <v>46137</v>
      </c>
      <c r="AG1215" t="s">
        <v>754</v>
      </c>
      <c r="AH1215">
        <v>6197986</v>
      </c>
      <c r="AI1215">
        <v>46129</v>
      </c>
      <c r="AJ1215">
        <v>46130</v>
      </c>
      <c r="AK1215">
        <v>1440</v>
      </c>
      <c r="AL1215" t="s">
        <v>396</v>
      </c>
      <c r="AM1215" t="s">
        <v>3486</v>
      </c>
      <c r="AN1215">
        <v>46130</v>
      </c>
      <c r="AO1215">
        <v>46130.397905092592</v>
      </c>
      <c r="AP1215" t="s">
        <v>51</v>
      </c>
      <c r="AQ1215">
        <v>2.47784</v>
      </c>
      <c r="AR1215">
        <v>3568.08</v>
      </c>
      <c r="AS1215" t="s">
        <v>51</v>
      </c>
      <c r="AT1215">
        <v>3568.08</v>
      </c>
      <c r="AU1215" t="s">
        <v>415</v>
      </c>
      <c r="AV1215" t="s">
        <v>416</v>
      </c>
      <c r="AW1215" t="s">
        <v>3469</v>
      </c>
      <c r="AX1215">
        <v>46137</v>
      </c>
      <c r="AY1215">
        <v>46186</v>
      </c>
      <c r="AZ1215" t="s">
        <v>3470</v>
      </c>
      <c r="BA1215" t="s">
        <v>560</v>
      </c>
      <c r="BB1215" t="s">
        <v>3471</v>
      </c>
      <c r="BC1215">
        <v>16</v>
      </c>
      <c r="BD1215" t="s">
        <v>521</v>
      </c>
      <c r="BE1215">
        <v>6.3556999999999997</v>
      </c>
      <c r="BF1215">
        <v>5.1566999999999998</v>
      </c>
      <c r="BG1215" t="s">
        <v>522</v>
      </c>
      <c r="BH1215">
        <v>495</v>
      </c>
      <c r="BI1215">
        <v>395</v>
      </c>
      <c r="BJ1215">
        <v>190</v>
      </c>
      <c r="BK1215">
        <v>30</v>
      </c>
      <c r="BL1215" t="s">
        <v>521</v>
      </c>
      <c r="BM1215">
        <v>217.67099999999999</v>
      </c>
      <c r="BN1215">
        <v>154.70099999999999</v>
      </c>
      <c r="BO1215">
        <v>653.01048000000003</v>
      </c>
      <c r="BP1215" t="s">
        <v>522</v>
      </c>
      <c r="BQ1215">
        <v>1200</v>
      </c>
      <c r="BR1215">
        <v>1000</v>
      </c>
      <c r="BS1215">
        <v>1120</v>
      </c>
      <c r="BT1215">
        <v>3</v>
      </c>
      <c r="BU1215">
        <v>0</v>
      </c>
      <c r="BV1215">
        <v>3</v>
      </c>
      <c r="BW1215">
        <v>90</v>
      </c>
      <c r="BX1215">
        <v>0</v>
      </c>
      <c r="BY1215">
        <v>90</v>
      </c>
      <c r="BZ1215">
        <v>1440</v>
      </c>
      <c r="CA1215">
        <v>0</v>
      </c>
      <c r="CB1215">
        <v>1440</v>
      </c>
      <c r="CC1215">
        <v>464.10048</v>
      </c>
      <c r="CD1215" t="s">
        <v>806</v>
      </c>
      <c r="CE1215" t="s">
        <v>816</v>
      </c>
      <c r="CG1215" t="s">
        <v>421</v>
      </c>
    </row>
    <row r="1216" spans="2:85" x14ac:dyDescent="0.35">
      <c r="B1216" t="s">
        <v>297</v>
      </c>
      <c r="C1216" t="s">
        <v>3487</v>
      </c>
      <c r="D1216" t="s">
        <v>395</v>
      </c>
      <c r="E1216" t="s">
        <v>395</v>
      </c>
      <c r="F1216" t="s">
        <v>396</v>
      </c>
      <c r="G1216" t="s">
        <v>397</v>
      </c>
      <c r="H1216" t="s">
        <v>398</v>
      </c>
      <c r="I1216" t="s">
        <v>399</v>
      </c>
      <c r="J1216" t="s">
        <v>749</v>
      </c>
      <c r="K1216" t="s">
        <v>629</v>
      </c>
      <c r="L1216" t="s">
        <v>787</v>
      </c>
      <c r="M1216" t="s">
        <v>403</v>
      </c>
      <c r="N1216">
        <v>1</v>
      </c>
      <c r="O1216">
        <v>1</v>
      </c>
      <c r="P1216" t="s">
        <v>1149</v>
      </c>
      <c r="Q1216" t="s">
        <v>430</v>
      </c>
      <c r="R1216" t="s">
        <v>1112</v>
      </c>
      <c r="S1216" t="s">
        <v>1113</v>
      </c>
      <c r="T1216" t="s">
        <v>408</v>
      </c>
      <c r="U1216">
        <v>50950082707</v>
      </c>
      <c r="W1216">
        <v>9600</v>
      </c>
      <c r="X1216" t="s">
        <v>409</v>
      </c>
      <c r="Y1216" t="s">
        <v>410</v>
      </c>
      <c r="Z1216" t="s">
        <v>410</v>
      </c>
      <c r="AA1216" t="s">
        <v>411</v>
      </c>
      <c r="AB1216" t="s">
        <v>769</v>
      </c>
      <c r="AC1216" t="s">
        <v>411</v>
      </c>
      <c r="AD1216">
        <v>46132</v>
      </c>
      <c r="AE1216">
        <v>46195</v>
      </c>
      <c r="AF1216">
        <v>46137</v>
      </c>
      <c r="AG1216" t="s">
        <v>754</v>
      </c>
      <c r="AH1216">
        <v>6197987</v>
      </c>
      <c r="AI1216">
        <v>46129</v>
      </c>
      <c r="AJ1216">
        <v>46130</v>
      </c>
      <c r="AK1216">
        <v>9600</v>
      </c>
      <c r="AL1216" t="s">
        <v>396</v>
      </c>
      <c r="AM1216" t="s">
        <v>3488</v>
      </c>
      <c r="AN1216">
        <v>46130</v>
      </c>
      <c r="AO1216">
        <v>46130.397905092592</v>
      </c>
      <c r="AP1216" t="s">
        <v>51</v>
      </c>
      <c r="AQ1216">
        <v>0.13643</v>
      </c>
      <c r="AR1216">
        <v>1309.72</v>
      </c>
      <c r="AS1216" t="s">
        <v>51</v>
      </c>
      <c r="AT1216">
        <v>1309.72</v>
      </c>
      <c r="AU1216" t="s">
        <v>415</v>
      </c>
      <c r="AV1216" t="s">
        <v>416</v>
      </c>
      <c r="AW1216" t="s">
        <v>3469</v>
      </c>
      <c r="AX1216">
        <v>46137</v>
      </c>
      <c r="AY1216">
        <v>46186</v>
      </c>
      <c r="AZ1216" t="s">
        <v>3470</v>
      </c>
      <c r="BA1216" t="s">
        <v>560</v>
      </c>
      <c r="BB1216" t="s">
        <v>3471</v>
      </c>
      <c r="BC1216">
        <v>160</v>
      </c>
      <c r="BD1216" t="s">
        <v>521</v>
      </c>
      <c r="BE1216">
        <v>4.2907000000000002</v>
      </c>
      <c r="BF1216">
        <v>3.3837000000000002</v>
      </c>
      <c r="BG1216" t="s">
        <v>522</v>
      </c>
      <c r="BH1216">
        <v>395</v>
      </c>
      <c r="BI1216">
        <v>295</v>
      </c>
      <c r="BJ1216">
        <v>270</v>
      </c>
      <c r="BK1216">
        <v>30</v>
      </c>
      <c r="BL1216" t="s">
        <v>521</v>
      </c>
      <c r="BM1216">
        <v>155.721</v>
      </c>
      <c r="BN1216">
        <v>101.511</v>
      </c>
      <c r="BO1216">
        <v>311.44080000000002</v>
      </c>
      <c r="BP1216" t="s">
        <v>522</v>
      </c>
      <c r="BQ1216">
        <v>1200</v>
      </c>
      <c r="BR1216">
        <v>1000</v>
      </c>
      <c r="BS1216">
        <v>968</v>
      </c>
      <c r="BT1216">
        <v>2</v>
      </c>
      <c r="BU1216">
        <v>0</v>
      </c>
      <c r="BV1216">
        <v>2</v>
      </c>
      <c r="BW1216">
        <v>60</v>
      </c>
      <c r="BX1216">
        <v>0</v>
      </c>
      <c r="BY1216">
        <v>60</v>
      </c>
      <c r="BZ1216">
        <v>9600</v>
      </c>
      <c r="CA1216">
        <v>0</v>
      </c>
      <c r="CB1216">
        <v>9600</v>
      </c>
      <c r="CC1216">
        <v>203.02080000000001</v>
      </c>
      <c r="CD1216" t="s">
        <v>1151</v>
      </c>
      <c r="CE1216" t="s">
        <v>634</v>
      </c>
      <c r="CG1216" t="s">
        <v>421</v>
      </c>
    </row>
    <row r="1217" spans="2:85" x14ac:dyDescent="0.35">
      <c r="B1217" t="s">
        <v>299</v>
      </c>
      <c r="C1217" t="s">
        <v>3489</v>
      </c>
      <c r="D1217" t="s">
        <v>965</v>
      </c>
      <c r="E1217" t="s">
        <v>395</v>
      </c>
      <c r="F1217" t="s">
        <v>396</v>
      </c>
      <c r="G1217" t="s">
        <v>397</v>
      </c>
      <c r="H1217" t="s">
        <v>398</v>
      </c>
      <c r="I1217" t="s">
        <v>399</v>
      </c>
      <c r="J1217" t="s">
        <v>749</v>
      </c>
      <c r="K1217" t="s">
        <v>809</v>
      </c>
      <c r="L1217" t="s">
        <v>750</v>
      </c>
      <c r="M1217" t="s">
        <v>403</v>
      </c>
      <c r="N1217">
        <v>1</v>
      </c>
      <c r="O1217">
        <v>1</v>
      </c>
      <c r="P1217" t="s">
        <v>1069</v>
      </c>
      <c r="Q1217" t="s">
        <v>424</v>
      </c>
      <c r="R1217" t="s">
        <v>811</v>
      </c>
      <c r="S1217" t="s">
        <v>1070</v>
      </c>
      <c r="T1217" t="s">
        <v>408</v>
      </c>
      <c r="U1217">
        <v>50950082746</v>
      </c>
      <c r="W1217">
        <v>480</v>
      </c>
      <c r="X1217" t="s">
        <v>409</v>
      </c>
      <c r="Y1217" t="s">
        <v>410</v>
      </c>
      <c r="Z1217" t="s">
        <v>410</v>
      </c>
      <c r="AA1217" t="s">
        <v>411</v>
      </c>
      <c r="AB1217" t="s">
        <v>769</v>
      </c>
      <c r="AC1217" t="s">
        <v>411</v>
      </c>
      <c r="AD1217">
        <v>46123</v>
      </c>
      <c r="AE1217">
        <v>46118</v>
      </c>
      <c r="AF1217">
        <v>46137</v>
      </c>
      <c r="AG1217" t="s">
        <v>754</v>
      </c>
      <c r="AH1217">
        <v>6197988</v>
      </c>
      <c r="AI1217">
        <v>46129</v>
      </c>
      <c r="AJ1217">
        <v>46130</v>
      </c>
      <c r="AK1217">
        <v>480</v>
      </c>
      <c r="AL1217" t="s">
        <v>396</v>
      </c>
      <c r="AM1217" t="s">
        <v>3490</v>
      </c>
      <c r="AN1217">
        <v>46130</v>
      </c>
      <c r="AO1217">
        <v>46130.397905092592</v>
      </c>
      <c r="AP1217" t="s">
        <v>51</v>
      </c>
      <c r="AQ1217">
        <v>2.4991699999999999</v>
      </c>
      <c r="AR1217">
        <v>1199.5999999999999</v>
      </c>
      <c r="AS1217" t="s">
        <v>51</v>
      </c>
      <c r="AT1217">
        <v>1199.5999999999999</v>
      </c>
      <c r="AU1217" t="s">
        <v>415</v>
      </c>
      <c r="AV1217" t="s">
        <v>416</v>
      </c>
      <c r="AW1217" t="s">
        <v>3469</v>
      </c>
      <c r="AX1217">
        <v>46137</v>
      </c>
      <c r="AY1217">
        <v>46186</v>
      </c>
      <c r="AZ1217" t="s">
        <v>3470</v>
      </c>
      <c r="BA1217" t="s">
        <v>560</v>
      </c>
      <c r="BB1217" t="s">
        <v>3471</v>
      </c>
      <c r="BC1217">
        <v>16</v>
      </c>
      <c r="BD1217" t="s">
        <v>521</v>
      </c>
      <c r="BE1217">
        <v>6.3334000000000001</v>
      </c>
      <c r="BF1217">
        <v>5.1344000000000003</v>
      </c>
      <c r="BG1217" t="s">
        <v>522</v>
      </c>
      <c r="BH1217">
        <v>495</v>
      </c>
      <c r="BI1217">
        <v>395</v>
      </c>
      <c r="BJ1217">
        <v>190</v>
      </c>
      <c r="BK1217">
        <v>30</v>
      </c>
      <c r="BL1217" t="s">
        <v>521</v>
      </c>
      <c r="BM1217">
        <v>217.00200000000001</v>
      </c>
      <c r="BN1217">
        <v>154.03200000000001</v>
      </c>
      <c r="BO1217">
        <v>217.00200000000001</v>
      </c>
      <c r="BP1217" t="s">
        <v>522</v>
      </c>
      <c r="BQ1217">
        <v>1200</v>
      </c>
      <c r="BR1217">
        <v>1000</v>
      </c>
      <c r="BS1217">
        <v>1120</v>
      </c>
      <c r="BT1217">
        <v>1</v>
      </c>
      <c r="BU1217">
        <v>0</v>
      </c>
      <c r="BV1217">
        <v>1</v>
      </c>
      <c r="BW1217">
        <v>30</v>
      </c>
      <c r="BX1217">
        <v>0</v>
      </c>
      <c r="BY1217">
        <v>30</v>
      </c>
      <c r="BZ1217">
        <v>480</v>
      </c>
      <c r="CA1217">
        <v>0</v>
      </c>
      <c r="CB1217">
        <v>480</v>
      </c>
      <c r="CC1217">
        <v>154.03200000000001</v>
      </c>
      <c r="CD1217" t="s">
        <v>806</v>
      </c>
      <c r="CE1217" t="s">
        <v>816</v>
      </c>
      <c r="CG1217" t="s">
        <v>421</v>
      </c>
    </row>
  </sheetData>
  <conditionalFormatting sqref="CU7:CU65">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56941-1438-40B3-A814-7FEEF2B6F5EF}">
  <dimension ref="B1:CF139"/>
  <sheetViews>
    <sheetView tabSelected="1" topLeftCell="BW1" workbookViewId="0">
      <selection activeCell="CD6" sqref="CD6"/>
    </sheetView>
  </sheetViews>
  <sheetFormatPr defaultRowHeight="14.5" x14ac:dyDescent="0.35"/>
  <cols>
    <col min="4" max="4" width="12.6328125" bestFit="1" customWidth="1"/>
    <col min="6" max="6" width="23.81640625" bestFit="1" customWidth="1"/>
    <col min="55" max="55" width="103.453125" style="36" bestFit="1" customWidth="1"/>
    <col min="67" max="67" width="12.81640625" bestFit="1" customWidth="1"/>
    <col min="73" max="73" width="12.81640625" bestFit="1" customWidth="1"/>
    <col min="74" max="75" width="14.81640625" bestFit="1" customWidth="1"/>
  </cols>
  <sheetData>
    <row r="1" spans="2:84" x14ac:dyDescent="0.35">
      <c r="B1" s="35" cm="1">
        <f t="array" ref="B1:BL1">_xlfn.SEQUENCE(1,63)</f>
        <v>1</v>
      </c>
      <c r="C1" s="35">
        <v>2</v>
      </c>
      <c r="D1" s="35">
        <v>3</v>
      </c>
      <c r="E1" s="35">
        <v>4</v>
      </c>
      <c r="F1" s="35">
        <v>5</v>
      </c>
      <c r="G1" s="35">
        <v>6</v>
      </c>
      <c r="H1" s="35">
        <v>7</v>
      </c>
      <c r="I1" s="35">
        <v>8</v>
      </c>
      <c r="J1" s="35">
        <v>9</v>
      </c>
      <c r="K1" s="35">
        <v>10</v>
      </c>
      <c r="L1" s="35">
        <v>11</v>
      </c>
      <c r="M1" s="35">
        <v>12</v>
      </c>
      <c r="N1" s="35">
        <v>13</v>
      </c>
      <c r="O1" s="35">
        <v>14</v>
      </c>
      <c r="P1" s="35">
        <v>15</v>
      </c>
      <c r="Q1" s="35">
        <v>16</v>
      </c>
      <c r="R1" s="35">
        <v>17</v>
      </c>
      <c r="S1" s="35">
        <v>18</v>
      </c>
      <c r="T1" s="35">
        <v>19</v>
      </c>
      <c r="U1" s="35">
        <v>20</v>
      </c>
      <c r="V1" s="35">
        <v>21</v>
      </c>
      <c r="W1" s="35">
        <v>22</v>
      </c>
      <c r="X1" s="35">
        <v>23</v>
      </c>
      <c r="Y1" s="35">
        <v>24</v>
      </c>
      <c r="Z1" s="35">
        <v>25</v>
      </c>
      <c r="AA1" s="35">
        <v>26</v>
      </c>
      <c r="AB1" s="35">
        <v>27</v>
      </c>
      <c r="AC1" s="35">
        <v>28</v>
      </c>
      <c r="AD1" s="35">
        <v>29</v>
      </c>
      <c r="AE1" s="35">
        <v>30</v>
      </c>
      <c r="AF1" s="35">
        <v>31</v>
      </c>
      <c r="AG1" s="35">
        <v>32</v>
      </c>
      <c r="AH1" s="35">
        <v>33</v>
      </c>
      <c r="AI1" s="35">
        <v>34</v>
      </c>
      <c r="AJ1" s="35">
        <v>35</v>
      </c>
      <c r="AK1" s="35">
        <v>36</v>
      </c>
      <c r="AL1" s="35">
        <v>37</v>
      </c>
      <c r="AM1" s="35">
        <v>38</v>
      </c>
      <c r="AN1" s="35">
        <v>39</v>
      </c>
      <c r="AO1" s="35">
        <v>40</v>
      </c>
      <c r="AP1" s="35">
        <v>41</v>
      </c>
      <c r="AQ1" s="35">
        <v>42</v>
      </c>
      <c r="AR1" s="35">
        <v>43</v>
      </c>
      <c r="AS1" s="35">
        <v>44</v>
      </c>
      <c r="AT1" s="35">
        <v>45</v>
      </c>
      <c r="AU1" s="35">
        <v>46</v>
      </c>
      <c r="AV1" s="35">
        <v>47</v>
      </c>
      <c r="AW1" s="35">
        <v>48</v>
      </c>
      <c r="AX1" s="35">
        <v>49</v>
      </c>
      <c r="AY1" s="35">
        <v>50</v>
      </c>
      <c r="AZ1" s="35">
        <v>51</v>
      </c>
      <c r="BA1" s="35">
        <v>52</v>
      </c>
      <c r="BB1" s="35">
        <v>53</v>
      </c>
      <c r="BC1" s="37">
        <v>54</v>
      </c>
      <c r="BD1" s="35">
        <v>55</v>
      </c>
      <c r="BE1" s="35">
        <v>56</v>
      </c>
      <c r="BF1" s="35">
        <v>57</v>
      </c>
      <c r="BG1" s="35">
        <v>58</v>
      </c>
      <c r="BH1" s="35">
        <v>59</v>
      </c>
      <c r="BI1" s="35">
        <v>60</v>
      </c>
      <c r="BJ1" s="35">
        <v>61</v>
      </c>
      <c r="BK1" s="35">
        <v>62</v>
      </c>
      <c r="BL1" s="35">
        <v>63</v>
      </c>
      <c r="BS1" cm="1">
        <f t="array" ref="BS1:BX1">_xlfn.TOROW(IF($B$2:$BL$2="x",_xlfn.ANCHORARRAY(B1),1/"0"),3)</f>
        <v>1</v>
      </c>
      <c r="BT1">
        <v>2</v>
      </c>
      <c r="BU1">
        <v>3</v>
      </c>
      <c r="BV1">
        <v>4</v>
      </c>
      <c r="BW1">
        <v>51</v>
      </c>
      <c r="BX1">
        <v>54</v>
      </c>
      <c r="BZ1">
        <v>1200</v>
      </c>
    </row>
    <row r="2" spans="2:84" x14ac:dyDescent="0.35">
      <c r="B2" s="35" t="s">
        <v>263</v>
      </c>
      <c r="C2" s="35" t="s">
        <v>263</v>
      </c>
      <c r="D2" s="35" t="s">
        <v>263</v>
      </c>
      <c r="E2" s="35" t="s">
        <v>263</v>
      </c>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t="s">
        <v>263</v>
      </c>
      <c r="BA2" s="35"/>
      <c r="BB2" s="35"/>
      <c r="BC2" s="37" t="s">
        <v>263</v>
      </c>
      <c r="BD2" s="35"/>
      <c r="BE2" s="35"/>
      <c r="BF2" s="35"/>
      <c r="BG2" s="35"/>
      <c r="BH2" s="35"/>
      <c r="BI2" s="35"/>
      <c r="BJ2" s="35"/>
      <c r="BK2" s="35"/>
      <c r="BL2" s="35"/>
      <c r="BS2" t="str" cm="1">
        <f t="array" ref="BS2:BX2">_xlfn.TOROW(IF($B$2:$BL$2="x",$B$5:$BL$5,1/0),3)</f>
        <v>Inbound/Outbound</v>
      </c>
      <c r="BT2" t="str">
        <v>Method</v>
      </c>
      <c r="BU2" t="str">
        <v>Reference</v>
      </c>
      <c r="BV2" t="str">
        <v>BU</v>
      </c>
      <c r="BW2" t="str">
        <v>Peso Bruto (Kgs)</v>
      </c>
      <c r="BX2" t="str">
        <v>No. Parte Prov.</v>
      </c>
      <c r="BZ2" t="s">
        <v>3501</v>
      </c>
    </row>
    <row r="5" spans="2:84" x14ac:dyDescent="0.35">
      <c r="B5" s="22" t="s">
        <v>0</v>
      </c>
      <c r="C5" s="22" t="s">
        <v>1</v>
      </c>
      <c r="D5" s="22" t="s">
        <v>2</v>
      </c>
      <c r="E5" s="22" t="s">
        <v>294</v>
      </c>
      <c r="F5" t="s">
        <v>3508</v>
      </c>
      <c r="G5" t="s">
        <v>3509</v>
      </c>
      <c r="H5" t="s">
        <v>3510</v>
      </c>
      <c r="I5" t="s">
        <v>3511</v>
      </c>
      <c r="J5" t="s">
        <v>3512</v>
      </c>
      <c r="K5" t="s">
        <v>3513</v>
      </c>
      <c r="L5" t="s">
        <v>3514</v>
      </c>
      <c r="M5" t="s">
        <v>3515</v>
      </c>
      <c r="N5" t="s">
        <v>3516</v>
      </c>
      <c r="O5" t="s">
        <v>3517</v>
      </c>
      <c r="P5" t="s">
        <v>3518</v>
      </c>
      <c r="Q5" t="s">
        <v>3519</v>
      </c>
      <c r="R5" t="s">
        <v>3520</v>
      </c>
      <c r="S5" t="s">
        <v>3521</v>
      </c>
      <c r="T5" t="s">
        <v>3522</v>
      </c>
      <c r="U5" t="s">
        <v>3523</v>
      </c>
      <c r="V5" t="s">
        <v>3524</v>
      </c>
      <c r="W5" t="s">
        <v>3525</v>
      </c>
      <c r="X5" t="s">
        <v>3526</v>
      </c>
      <c r="Y5" t="s">
        <v>3527</v>
      </c>
      <c r="Z5" t="s">
        <v>3528</v>
      </c>
      <c r="AA5" t="s">
        <v>3529</v>
      </c>
      <c r="AB5" t="s">
        <v>3530</v>
      </c>
      <c r="AC5" t="s">
        <v>3531</v>
      </c>
      <c r="AD5" t="s">
        <v>3532</v>
      </c>
      <c r="AE5" t="s">
        <v>3533</v>
      </c>
      <c r="AF5" t="s">
        <v>3534</v>
      </c>
      <c r="AG5" t="s">
        <v>3535</v>
      </c>
      <c r="AH5" t="s">
        <v>3536</v>
      </c>
      <c r="AI5" t="s">
        <v>3537</v>
      </c>
      <c r="AJ5" t="s">
        <v>3538</v>
      </c>
      <c r="AK5" t="s">
        <v>3539</v>
      </c>
      <c r="AL5" t="s">
        <v>3540</v>
      </c>
      <c r="AM5" t="s">
        <v>3541</v>
      </c>
      <c r="AN5" t="s">
        <v>3542</v>
      </c>
      <c r="AO5" t="s">
        <v>3543</v>
      </c>
      <c r="AP5" t="s">
        <v>3544</v>
      </c>
      <c r="AQ5" t="s">
        <v>3545</v>
      </c>
      <c r="AR5" t="s">
        <v>3546</v>
      </c>
      <c r="AS5" t="s">
        <v>3547</v>
      </c>
      <c r="AT5" t="s">
        <v>3548</v>
      </c>
      <c r="AU5" t="s">
        <v>3549</v>
      </c>
      <c r="AV5" t="s">
        <v>3550</v>
      </c>
      <c r="AW5" t="s">
        <v>3551</v>
      </c>
      <c r="AX5" t="s">
        <v>3552</v>
      </c>
      <c r="AY5" t="s">
        <v>3553</v>
      </c>
      <c r="AZ5" t="s">
        <v>3554</v>
      </c>
      <c r="BA5" t="s">
        <v>3555</v>
      </c>
      <c r="BB5" t="s">
        <v>3556</v>
      </c>
      <c r="BC5" s="36" t="s">
        <v>3557</v>
      </c>
      <c r="BD5" t="s">
        <v>3558</v>
      </c>
      <c r="BE5" t="s">
        <v>3559</v>
      </c>
      <c r="BF5" t="s">
        <v>3560</v>
      </c>
      <c r="BG5" t="s">
        <v>3561</v>
      </c>
      <c r="BH5" t="s">
        <v>3562</v>
      </c>
      <c r="BI5" t="s">
        <v>3563</v>
      </c>
      <c r="BJ5" t="s">
        <v>3564</v>
      </c>
      <c r="BK5" t="s">
        <v>3565</v>
      </c>
      <c r="BL5" t="s">
        <v>3566</v>
      </c>
      <c r="BO5" t="s">
        <v>4194</v>
      </c>
      <c r="BP5" t="s">
        <v>267</v>
      </c>
      <c r="BS5" t="s">
        <v>0</v>
      </c>
      <c r="BT5" t="s">
        <v>1</v>
      </c>
      <c r="BU5" t="s">
        <v>2</v>
      </c>
      <c r="BV5" t="s">
        <v>294</v>
      </c>
      <c r="BW5" t="s">
        <v>304</v>
      </c>
      <c r="BX5" t="s">
        <v>301</v>
      </c>
      <c r="BY5" t="s">
        <v>4197</v>
      </c>
      <c r="BZ5" t="s">
        <v>30</v>
      </c>
      <c r="CE5" t="s">
        <v>4198</v>
      </c>
    </row>
    <row r="6" spans="2:84" x14ac:dyDescent="0.35">
      <c r="B6" t="s">
        <v>4190</v>
      </c>
      <c r="C6" t="s">
        <v>262</v>
      </c>
      <c r="D6" t="str" cm="1">
        <f t="array" ref="D6">_xlfn.REGEXEXTRACT(F6,"\w?\w-J-\d{4}LI\d{2}")</f>
        <v>RM-J-1325LI26</v>
      </c>
      <c r="E6" t="s">
        <v>299</v>
      </c>
      <c r="F6" t="s">
        <v>3567</v>
      </c>
      <c r="G6" t="s">
        <v>3568</v>
      </c>
      <c r="H6" t="s">
        <v>3569</v>
      </c>
      <c r="I6" t="s">
        <v>3570</v>
      </c>
      <c r="J6" t="s">
        <v>3571</v>
      </c>
      <c r="K6" t="s">
        <v>3570</v>
      </c>
      <c r="T6" t="s">
        <v>3572</v>
      </c>
      <c r="U6" t="s">
        <v>3573</v>
      </c>
      <c r="Y6" t="s">
        <v>3574</v>
      </c>
      <c r="Z6" t="s">
        <v>3575</v>
      </c>
      <c r="AA6" t="s">
        <v>3576</v>
      </c>
      <c r="AB6" t="s">
        <v>3576</v>
      </c>
      <c r="AC6" t="s">
        <v>3575</v>
      </c>
      <c r="AD6" t="s">
        <v>3577</v>
      </c>
      <c r="AE6" t="s">
        <v>3578</v>
      </c>
      <c r="AF6" t="s">
        <v>3579</v>
      </c>
      <c r="AG6" t="s">
        <v>3580</v>
      </c>
      <c r="AH6" t="s">
        <v>3581</v>
      </c>
      <c r="AI6" t="s">
        <v>3582</v>
      </c>
      <c r="AM6" t="s">
        <v>3583</v>
      </c>
      <c r="AN6" t="s">
        <v>3584</v>
      </c>
      <c r="AO6" t="s">
        <v>3585</v>
      </c>
      <c r="AP6" t="s">
        <v>3572</v>
      </c>
      <c r="AQ6" t="s">
        <v>3586</v>
      </c>
      <c r="AR6" t="s">
        <v>3587</v>
      </c>
      <c r="AS6" t="s">
        <v>3588</v>
      </c>
      <c r="AU6" t="s">
        <v>3589</v>
      </c>
      <c r="AV6" t="s">
        <v>3590</v>
      </c>
      <c r="AW6" t="s">
        <v>3591</v>
      </c>
      <c r="AX6" t="s">
        <v>3592</v>
      </c>
      <c r="AZ6">
        <v>79.739999999999995</v>
      </c>
      <c r="BA6">
        <v>175.797</v>
      </c>
      <c r="BB6" t="s">
        <v>3583</v>
      </c>
      <c r="BC6" s="36" t="s">
        <v>3593</v>
      </c>
      <c r="BE6" t="s">
        <v>3594</v>
      </c>
      <c r="BF6" t="s">
        <v>3595</v>
      </c>
      <c r="BG6" t="s">
        <v>3596</v>
      </c>
      <c r="BH6" t="s">
        <v>3597</v>
      </c>
      <c r="BL6" t="s">
        <v>3598</v>
      </c>
      <c r="BO6" t="str" cm="1">
        <f t="array" ref="BO6:BO14">_xlfn._xlws.SORT(_xlfn.UNIQUE(D6:D139))</f>
        <v>AF-J-0908LI26</v>
      </c>
      <c r="BP6" t="e">
        <v>#N/A</v>
      </c>
      <c r="BS6" t="str" cm="1">
        <f t="array" ref="BS6:BX139">_xlfn.LET(_xlpm.list,_xlfn.ANCHORARRAY(BO6),_xlpm.data,_xlfn.CHOOSECOLS($B$5:$BL$139,1,2,3,4,54,51),_xlpm.out,_xlfn.DROP(_xlfn.REDUCE("",_xlfn.SEQUENCE(ROWS(_xlpm.list)),_xlfn.LAMBDA(_xlpm.a,_xlpm.b,_xlfn.VSTACK(_xlpm.a,_xlfn._xlws.FILTER(_xlpm.data,_xlfn.CHOOSECOLS(_xlpm.data,3)=INDEX(_xlpm.list,_xlpm.b),"No data")))),1),_xlpm.out)</f>
        <v>Inbound</v>
      </c>
      <c r="BT6" t="str">
        <v>Land</v>
      </c>
      <c r="BU6" t="str">
        <v>AF-J-0908LI26</v>
      </c>
      <c r="BV6" t="str">
        <v>Machine</v>
      </c>
      <c r="BW6" t="str">
        <v>139313</v>
      </c>
      <c r="BX6">
        <v>181.43700000000001</v>
      </c>
      <c r="BY6" s="38">
        <f>BX6*1/SUMIFS(BX:BX,BU:BU,BU6)</f>
        <v>1</v>
      </c>
      <c r="BZ6" s="21">
        <f>BY6*$BZ$1</f>
        <v>1200</v>
      </c>
      <c r="CC6" t="s">
        <v>299</v>
      </c>
      <c r="CD6" s="21">
        <f t="shared" ref="CD6:CD11" si="0">SUMIFS(BZ:BZ,BV:BV,CC6)</f>
        <v>769.40911583495097</v>
      </c>
      <c r="CE6" s="25">
        <f>CD6/SUM($CD$6:$CD$9)</f>
        <v>0.17730461188315244</v>
      </c>
      <c r="CF6" s="25"/>
    </row>
    <row r="7" spans="2:84" x14ac:dyDescent="0.35">
      <c r="B7" t="s">
        <v>4190</v>
      </c>
      <c r="C7" t="s">
        <v>262</v>
      </c>
      <c r="D7" t="str" cm="1">
        <f t="array" ref="D7">_xlfn.REGEXEXTRACT(F7,"\w?\w-J-\d{4}LI\d{2}")</f>
        <v>RM-J-1325LI26</v>
      </c>
      <c r="E7" t="s">
        <v>299</v>
      </c>
      <c r="F7" t="s">
        <v>3567</v>
      </c>
      <c r="G7" t="s">
        <v>3568</v>
      </c>
      <c r="H7" t="s">
        <v>3569</v>
      </c>
      <c r="I7" t="s">
        <v>3570</v>
      </c>
      <c r="J7" t="s">
        <v>3571</v>
      </c>
      <c r="K7" t="s">
        <v>3570</v>
      </c>
      <c r="T7" t="s">
        <v>3572</v>
      </c>
      <c r="U7" t="s">
        <v>3573</v>
      </c>
      <c r="Y7" t="s">
        <v>3574</v>
      </c>
      <c r="Z7" t="s">
        <v>3575</v>
      </c>
      <c r="AA7" t="s">
        <v>3576</v>
      </c>
      <c r="AB7" t="s">
        <v>3576</v>
      </c>
      <c r="AC7" t="s">
        <v>3575</v>
      </c>
      <c r="AD7" t="s">
        <v>3577</v>
      </c>
      <c r="AE7" t="s">
        <v>3578</v>
      </c>
      <c r="AF7" t="s">
        <v>3599</v>
      </c>
      <c r="AG7" t="s">
        <v>3580</v>
      </c>
      <c r="AH7" t="s">
        <v>3581</v>
      </c>
      <c r="AI7" t="s">
        <v>3582</v>
      </c>
      <c r="AM7" t="s">
        <v>3583</v>
      </c>
      <c r="AN7" t="s">
        <v>3584</v>
      </c>
      <c r="AO7" t="s">
        <v>3600</v>
      </c>
      <c r="AP7" t="s">
        <v>3572</v>
      </c>
      <c r="AQ7" t="s">
        <v>3601</v>
      </c>
      <c r="AR7" t="s">
        <v>3602</v>
      </c>
      <c r="AS7" t="s">
        <v>3588</v>
      </c>
      <c r="AU7" t="s">
        <v>3603</v>
      </c>
      <c r="AV7" t="s">
        <v>3590</v>
      </c>
      <c r="AW7" t="s">
        <v>3591</v>
      </c>
      <c r="AX7" t="s">
        <v>3604</v>
      </c>
      <c r="AZ7">
        <v>79.739999999999995</v>
      </c>
      <c r="BA7">
        <v>175.797</v>
      </c>
      <c r="BB7" t="s">
        <v>3583</v>
      </c>
      <c r="BC7" s="36" t="s">
        <v>3593</v>
      </c>
      <c r="BE7" t="s">
        <v>3594</v>
      </c>
      <c r="BF7" t="s">
        <v>3595</v>
      </c>
      <c r="BG7" t="s">
        <v>3596</v>
      </c>
      <c r="BH7" t="s">
        <v>3597</v>
      </c>
      <c r="BL7" t="s">
        <v>3598</v>
      </c>
      <c r="BO7" t="str">
        <v>M-J-1331LI26</v>
      </c>
      <c r="BP7" t="e">
        <v>#N/A</v>
      </c>
      <c r="BS7" t="str">
        <v>Inbound</v>
      </c>
      <c r="BT7" t="str">
        <v>Land</v>
      </c>
      <c r="BU7" t="str">
        <v>M-J-1331LI26</v>
      </c>
      <c r="BV7" t="str">
        <v>Machine</v>
      </c>
      <c r="BW7" t="str">
        <v>1438-EQH0053</v>
      </c>
      <c r="BX7">
        <v>51.256</v>
      </c>
      <c r="BY7" s="38">
        <f t="shared" ref="BY7:BY70" si="1">BX7*1/SUMIFS(BX:BX,BU:BU,BU7)</f>
        <v>0.5</v>
      </c>
      <c r="BZ7" s="21">
        <f t="shared" ref="BZ7:BZ70" si="2">BY7*$BZ$1</f>
        <v>600</v>
      </c>
      <c r="CC7" t="s">
        <v>295</v>
      </c>
      <c r="CD7" s="21">
        <f>SUMIFS(BZ:BZ,BV:BV,CC7)</f>
        <v>1466.7408183729822</v>
      </c>
      <c r="CE7" s="25">
        <f t="shared" ref="CE7:CE9" si="3">CD7/SUM($CD$6:$CD$9)</f>
        <v>0.33799951960874025</v>
      </c>
      <c r="CF7" s="25"/>
    </row>
    <row r="8" spans="2:84" x14ac:dyDescent="0.35">
      <c r="B8" t="s">
        <v>4190</v>
      </c>
      <c r="C8" t="s">
        <v>262</v>
      </c>
      <c r="D8" t="str" cm="1">
        <f t="array" ref="D8">_xlfn.REGEXEXTRACT(F8,"\w?\w-J-\d{4}LI\d{2}")</f>
        <v>RM-J-1325LI26</v>
      </c>
      <c r="E8" t="s">
        <v>299</v>
      </c>
      <c r="F8" t="s">
        <v>3567</v>
      </c>
      <c r="G8" t="s">
        <v>3568</v>
      </c>
      <c r="H8" t="s">
        <v>3569</v>
      </c>
      <c r="I8" t="s">
        <v>3570</v>
      </c>
      <c r="J8" t="s">
        <v>3571</v>
      </c>
      <c r="K8" t="s">
        <v>3570</v>
      </c>
      <c r="T8" t="s">
        <v>3572</v>
      </c>
      <c r="U8" t="s">
        <v>3573</v>
      </c>
      <c r="Y8" t="s">
        <v>3574</v>
      </c>
      <c r="Z8" t="s">
        <v>3575</v>
      </c>
      <c r="AA8" t="s">
        <v>3576</v>
      </c>
      <c r="AB8" t="s">
        <v>3576</v>
      </c>
      <c r="AC8" t="s">
        <v>3575</v>
      </c>
      <c r="AD8" t="s">
        <v>3577</v>
      </c>
      <c r="AE8" t="s">
        <v>3578</v>
      </c>
      <c r="AF8" t="s">
        <v>3605</v>
      </c>
      <c r="AG8" t="s">
        <v>3580</v>
      </c>
      <c r="AH8" t="s">
        <v>3581</v>
      </c>
      <c r="AI8" t="s">
        <v>3582</v>
      </c>
      <c r="AM8" t="s">
        <v>3583</v>
      </c>
      <c r="AN8" t="s">
        <v>3584</v>
      </c>
      <c r="AO8" t="s">
        <v>3606</v>
      </c>
      <c r="AP8" t="s">
        <v>3572</v>
      </c>
      <c r="AQ8" t="s">
        <v>3607</v>
      </c>
      <c r="AR8" t="s">
        <v>3608</v>
      </c>
      <c r="AS8" t="s">
        <v>3609</v>
      </c>
      <c r="AU8" t="s">
        <v>3610</v>
      </c>
      <c r="AV8" t="s">
        <v>3611</v>
      </c>
      <c r="AW8" t="s">
        <v>3612</v>
      </c>
      <c r="AX8" t="s">
        <v>3613</v>
      </c>
      <c r="AZ8">
        <v>43.091000000000001</v>
      </c>
      <c r="BA8">
        <v>95</v>
      </c>
      <c r="BB8" t="s">
        <v>3583</v>
      </c>
      <c r="BC8" s="36" t="s">
        <v>3614</v>
      </c>
      <c r="BE8" t="s">
        <v>3615</v>
      </c>
      <c r="BF8" t="s">
        <v>3616</v>
      </c>
      <c r="BG8" t="s">
        <v>3617</v>
      </c>
      <c r="BH8" t="s">
        <v>3618</v>
      </c>
      <c r="BL8" t="s">
        <v>3598</v>
      </c>
      <c r="BO8" t="str">
        <v>RM-J-1316LI26</v>
      </c>
      <c r="BP8" t="e">
        <v>#N/A</v>
      </c>
      <c r="BS8" t="str">
        <v>Inbound</v>
      </c>
      <c r="BT8" t="str">
        <v>Land</v>
      </c>
      <c r="BU8" t="str">
        <v>M-J-1331LI26</v>
      </c>
      <c r="BV8" t="str">
        <v>Machine</v>
      </c>
      <c r="BW8" t="str">
        <v>1438-EQH0044</v>
      </c>
      <c r="BX8">
        <v>51.256</v>
      </c>
      <c r="BY8" s="38">
        <f t="shared" si="1"/>
        <v>0.5</v>
      </c>
      <c r="BZ8" s="21">
        <f t="shared" si="2"/>
        <v>600</v>
      </c>
      <c r="CC8" t="s">
        <v>296</v>
      </c>
      <c r="CD8" s="21">
        <f t="shared" si="0"/>
        <v>234.83534681246465</v>
      </c>
      <c r="CE8" s="25">
        <f t="shared" si="3"/>
        <v>5.4116060189701921E-2</v>
      </c>
      <c r="CF8" s="25"/>
    </row>
    <row r="9" spans="2:84" x14ac:dyDescent="0.35">
      <c r="B9" t="s">
        <v>4190</v>
      </c>
      <c r="C9" t="s">
        <v>262</v>
      </c>
      <c r="D9" t="str" cm="1">
        <f t="array" ref="D9">_xlfn.REGEXEXTRACT(F9,"\w?\w-J-\d{4}LI\d{2}")</f>
        <v>RM-J-1325LI26</v>
      </c>
      <c r="E9" t="s">
        <v>296</v>
      </c>
      <c r="F9" t="s">
        <v>3567</v>
      </c>
      <c r="G9" t="s">
        <v>3568</v>
      </c>
      <c r="H9" t="s">
        <v>3569</v>
      </c>
      <c r="I9" t="s">
        <v>3570</v>
      </c>
      <c r="J9" t="s">
        <v>3571</v>
      </c>
      <c r="K9" t="s">
        <v>3570</v>
      </c>
      <c r="T9" t="s">
        <v>3572</v>
      </c>
      <c r="U9" t="s">
        <v>3573</v>
      </c>
      <c r="Y9" t="s">
        <v>3574</v>
      </c>
      <c r="Z9" t="s">
        <v>3575</v>
      </c>
      <c r="AA9" t="s">
        <v>3576</v>
      </c>
      <c r="AB9" t="s">
        <v>3576</v>
      </c>
      <c r="AC9" t="s">
        <v>3575</v>
      </c>
      <c r="AD9" t="s">
        <v>3577</v>
      </c>
      <c r="AE9" t="s">
        <v>3578</v>
      </c>
      <c r="AF9" t="s">
        <v>3619</v>
      </c>
      <c r="AG9" t="s">
        <v>3580</v>
      </c>
      <c r="AH9" t="s">
        <v>3581</v>
      </c>
      <c r="AI9" t="s">
        <v>3582</v>
      </c>
      <c r="AM9" t="s">
        <v>3599</v>
      </c>
      <c r="AN9" t="s">
        <v>3584</v>
      </c>
      <c r="AO9" t="s">
        <v>3620</v>
      </c>
      <c r="AP9" t="s">
        <v>3621</v>
      </c>
      <c r="AQ9" t="s">
        <v>3622</v>
      </c>
      <c r="AR9" t="s">
        <v>3623</v>
      </c>
      <c r="AS9" t="s">
        <v>3624</v>
      </c>
      <c r="AU9" t="s">
        <v>3625</v>
      </c>
      <c r="AV9" t="s">
        <v>3626</v>
      </c>
      <c r="AW9" t="s">
        <v>3627</v>
      </c>
      <c r="AX9" t="s">
        <v>3628</v>
      </c>
      <c r="AZ9">
        <v>9.9789999999999992</v>
      </c>
      <c r="BA9">
        <v>22</v>
      </c>
      <c r="BB9" t="s">
        <v>3583</v>
      </c>
      <c r="BC9" s="36" t="s">
        <v>3630</v>
      </c>
      <c r="BE9" t="s">
        <v>3631</v>
      </c>
      <c r="BF9" t="s">
        <v>3632</v>
      </c>
      <c r="BG9" t="s">
        <v>3617</v>
      </c>
      <c r="BH9" t="s">
        <v>3633</v>
      </c>
      <c r="BL9" t="s">
        <v>3598</v>
      </c>
      <c r="BO9" t="str">
        <v>RM-J-1325LI26</v>
      </c>
      <c r="BP9" t="e">
        <v>#N/A</v>
      </c>
      <c r="BS9" t="str">
        <v>Inbound</v>
      </c>
      <c r="BT9" t="str">
        <v>Land</v>
      </c>
      <c r="BU9" t="str">
        <v>RM-J-1316LI26</v>
      </c>
      <c r="BV9" t="str">
        <v>M46</v>
      </c>
      <c r="BW9" t="str">
        <v>1438-EQM0074</v>
      </c>
      <c r="BX9">
        <v>299.37099999999998</v>
      </c>
      <c r="BY9" s="38">
        <f t="shared" si="1"/>
        <v>9.1079518540006607E-2</v>
      </c>
      <c r="BZ9" s="21">
        <f t="shared" si="2"/>
        <v>109.29542224800792</v>
      </c>
      <c r="CC9" t="s">
        <v>298</v>
      </c>
      <c r="CD9" s="21">
        <f t="shared" si="0"/>
        <v>1868.4907634155361</v>
      </c>
      <c r="CE9" s="25">
        <f t="shared" si="3"/>
        <v>0.43057980831840525</v>
      </c>
      <c r="CF9" s="25"/>
    </row>
    <row r="10" spans="2:84" x14ac:dyDescent="0.35">
      <c r="B10" t="s">
        <v>4190</v>
      </c>
      <c r="C10" t="s">
        <v>262</v>
      </c>
      <c r="D10" t="str" cm="1">
        <f t="array" ref="D10">_xlfn.REGEXEXTRACT(F10,"\w?\w-J-\d{4}LI\d{2}")</f>
        <v>RM-J-1325LI26</v>
      </c>
      <c r="E10" t="s">
        <v>298</v>
      </c>
      <c r="F10" t="s">
        <v>3567</v>
      </c>
      <c r="G10" t="s">
        <v>3568</v>
      </c>
      <c r="H10" t="s">
        <v>3569</v>
      </c>
      <c r="I10" t="s">
        <v>3570</v>
      </c>
      <c r="J10" t="s">
        <v>3571</v>
      </c>
      <c r="K10" t="s">
        <v>3570</v>
      </c>
      <c r="T10" t="s">
        <v>3572</v>
      </c>
      <c r="U10" t="s">
        <v>3573</v>
      </c>
      <c r="Y10" t="s">
        <v>3574</v>
      </c>
      <c r="Z10" t="s">
        <v>3575</v>
      </c>
      <c r="AA10" t="s">
        <v>3576</v>
      </c>
      <c r="AB10" t="s">
        <v>3576</v>
      </c>
      <c r="AC10" t="s">
        <v>3575</v>
      </c>
      <c r="AD10" t="s">
        <v>3577</v>
      </c>
      <c r="AE10" t="s">
        <v>3578</v>
      </c>
      <c r="AF10" t="s">
        <v>3596</v>
      </c>
      <c r="AG10" t="s">
        <v>3580</v>
      </c>
      <c r="AH10" t="s">
        <v>3581</v>
      </c>
      <c r="AI10" t="s">
        <v>3582</v>
      </c>
      <c r="AM10" t="s">
        <v>3583</v>
      </c>
      <c r="AN10" t="s">
        <v>3584</v>
      </c>
      <c r="AO10" t="s">
        <v>3634</v>
      </c>
      <c r="AP10" t="s">
        <v>3572</v>
      </c>
      <c r="AQ10" t="s">
        <v>3635</v>
      </c>
      <c r="AR10" t="s">
        <v>3623</v>
      </c>
      <c r="AS10" t="s">
        <v>3636</v>
      </c>
      <c r="AU10" t="s">
        <v>3637</v>
      </c>
      <c r="AV10" t="s">
        <v>3638</v>
      </c>
      <c r="AW10" t="s">
        <v>3639</v>
      </c>
      <c r="AX10" t="s">
        <v>3640</v>
      </c>
      <c r="AZ10">
        <v>90.718000000000004</v>
      </c>
      <c r="BA10">
        <v>200</v>
      </c>
      <c r="BB10" t="s">
        <v>3583</v>
      </c>
      <c r="BC10" s="36" t="s">
        <v>3641</v>
      </c>
      <c r="BE10" t="s">
        <v>3642</v>
      </c>
      <c r="BF10" t="s">
        <v>3643</v>
      </c>
      <c r="BG10" t="s">
        <v>3644</v>
      </c>
      <c r="BH10" t="s">
        <v>3645</v>
      </c>
      <c r="BL10" t="s">
        <v>3598</v>
      </c>
      <c r="BO10" t="str">
        <v>RM-J-1339LI26</v>
      </c>
      <c r="BP10" t="e">
        <v>#N/A</v>
      </c>
      <c r="BS10" t="str">
        <v>Inbound</v>
      </c>
      <c r="BT10" t="str">
        <v>Land</v>
      </c>
      <c r="BU10" t="str">
        <v>RM-J-1316LI26</v>
      </c>
      <c r="BV10" t="str">
        <v>M46</v>
      </c>
      <c r="BW10" t="str">
        <v>1438-EQM0074</v>
      </c>
      <c r="BX10">
        <v>299.37099999999998</v>
      </c>
      <c r="BY10" s="38">
        <f t="shared" si="1"/>
        <v>9.1079518540006607E-2</v>
      </c>
      <c r="BZ10" s="21">
        <f t="shared" si="2"/>
        <v>109.29542224800792</v>
      </c>
      <c r="CC10" t="s">
        <v>4195</v>
      </c>
      <c r="CD10" s="21">
        <f t="shared" si="0"/>
        <v>4060.5239555640574</v>
      </c>
    </row>
    <row r="11" spans="2:84" x14ac:dyDescent="0.35">
      <c r="B11" t="s">
        <v>4190</v>
      </c>
      <c r="C11" t="s">
        <v>262</v>
      </c>
      <c r="D11" t="str" cm="1">
        <f t="array" ref="D11">_xlfn.REGEXEXTRACT(F11,"\w?\w-J-\d{4}LI\d{2}")</f>
        <v>RM-J-1325LI26</v>
      </c>
      <c r="E11" t="s">
        <v>4195</v>
      </c>
      <c r="F11" t="s">
        <v>3567</v>
      </c>
      <c r="G11" t="s">
        <v>3568</v>
      </c>
      <c r="H11" t="s">
        <v>3569</v>
      </c>
      <c r="I11" t="s">
        <v>3570</v>
      </c>
      <c r="J11" t="s">
        <v>3571</v>
      </c>
      <c r="K11" t="s">
        <v>3570</v>
      </c>
      <c r="T11" t="s">
        <v>3572</v>
      </c>
      <c r="U11" t="s">
        <v>3573</v>
      </c>
      <c r="Y11" t="s">
        <v>3574</v>
      </c>
      <c r="Z11" t="s">
        <v>3575</v>
      </c>
      <c r="AA11" t="s">
        <v>3576</v>
      </c>
      <c r="AB11" t="s">
        <v>3576</v>
      </c>
      <c r="AC11" t="s">
        <v>3575</v>
      </c>
      <c r="AD11" t="s">
        <v>3577</v>
      </c>
      <c r="AE11" t="s">
        <v>3578</v>
      </c>
      <c r="AF11" t="s">
        <v>3646</v>
      </c>
      <c r="AG11" t="s">
        <v>3580</v>
      </c>
      <c r="AH11" t="s">
        <v>3581</v>
      </c>
      <c r="AI11" t="s">
        <v>3582</v>
      </c>
      <c r="AM11" t="s">
        <v>3579</v>
      </c>
      <c r="AN11" t="s">
        <v>3584</v>
      </c>
      <c r="AO11" t="s">
        <v>3647</v>
      </c>
      <c r="AP11" t="s">
        <v>3572</v>
      </c>
      <c r="AQ11" t="s">
        <v>3648</v>
      </c>
      <c r="AR11" t="s">
        <v>3572</v>
      </c>
      <c r="AS11" t="s">
        <v>3649</v>
      </c>
      <c r="AU11" t="s">
        <v>3650</v>
      </c>
      <c r="AV11" t="s">
        <v>3651</v>
      </c>
      <c r="AW11" t="s">
        <v>3652</v>
      </c>
      <c r="AX11" t="s">
        <v>3653</v>
      </c>
      <c r="AZ11">
        <v>181.43700000000001</v>
      </c>
      <c r="BA11">
        <v>400</v>
      </c>
      <c r="BB11" t="s">
        <v>3583</v>
      </c>
      <c r="BC11" s="36" t="s">
        <v>3654</v>
      </c>
      <c r="BD11" t="s">
        <v>3654</v>
      </c>
      <c r="BE11" t="s">
        <v>3655</v>
      </c>
      <c r="BF11" t="s">
        <v>3654</v>
      </c>
      <c r="BG11" t="s">
        <v>3579</v>
      </c>
      <c r="BH11" t="s">
        <v>3656</v>
      </c>
      <c r="BL11" t="s">
        <v>3598</v>
      </c>
      <c r="BO11" t="str">
        <v>RM-J-1342LI26</v>
      </c>
      <c r="BP11" t="e">
        <v>#N/A</v>
      </c>
      <c r="BS11" t="str">
        <v>Inbound</v>
      </c>
      <c r="BT11" t="str">
        <v>Land</v>
      </c>
      <c r="BU11" t="str">
        <v>RM-J-1316LI26</v>
      </c>
      <c r="BV11" t="str">
        <v>M46</v>
      </c>
      <c r="BW11" t="str">
        <v>1438-EQM0074</v>
      </c>
      <c r="BX11">
        <v>299.37099999999998</v>
      </c>
      <c r="BY11" s="38">
        <f t="shared" si="1"/>
        <v>9.1079518540006607E-2</v>
      </c>
      <c r="BZ11" s="21">
        <f t="shared" si="2"/>
        <v>109.29542224800792</v>
      </c>
      <c r="CC11" t="s">
        <v>4196</v>
      </c>
      <c r="CD11" s="21">
        <f t="shared" si="0"/>
        <v>2400</v>
      </c>
    </row>
    <row r="12" spans="2:84" x14ac:dyDescent="0.35">
      <c r="B12" t="s">
        <v>4190</v>
      </c>
      <c r="C12" t="s">
        <v>262</v>
      </c>
      <c r="D12" t="str" cm="1">
        <f t="array" ref="D12">_xlfn.REGEXEXTRACT(F12,"\w?\w-J-\d{4}LI\d{2}")</f>
        <v>RM-J-1325LI26</v>
      </c>
      <c r="E12" t="s">
        <v>4195</v>
      </c>
      <c r="F12" t="s">
        <v>3567</v>
      </c>
      <c r="G12" t="s">
        <v>3568</v>
      </c>
      <c r="H12" t="s">
        <v>3569</v>
      </c>
      <c r="I12" t="s">
        <v>3570</v>
      </c>
      <c r="J12" t="s">
        <v>3571</v>
      </c>
      <c r="K12" t="s">
        <v>3570</v>
      </c>
      <c r="T12" t="s">
        <v>3572</v>
      </c>
      <c r="U12" t="s">
        <v>3573</v>
      </c>
      <c r="Y12" t="s">
        <v>3574</v>
      </c>
      <c r="Z12" t="s">
        <v>3575</v>
      </c>
      <c r="AA12" t="s">
        <v>3576</v>
      </c>
      <c r="AB12" t="s">
        <v>3576</v>
      </c>
      <c r="AC12" t="s">
        <v>3575</v>
      </c>
      <c r="AD12" t="s">
        <v>3577</v>
      </c>
      <c r="AE12" t="s">
        <v>3578</v>
      </c>
      <c r="AF12" t="s">
        <v>3646</v>
      </c>
      <c r="AG12" t="s">
        <v>3580</v>
      </c>
      <c r="AH12" t="s">
        <v>3581</v>
      </c>
      <c r="AI12" t="s">
        <v>3582</v>
      </c>
      <c r="AM12" t="s">
        <v>3579</v>
      </c>
      <c r="AN12" t="s">
        <v>3584</v>
      </c>
      <c r="AO12" t="s">
        <v>3647</v>
      </c>
      <c r="AP12" t="s">
        <v>3572</v>
      </c>
      <c r="AQ12" t="s">
        <v>3648</v>
      </c>
      <c r="AR12" t="s">
        <v>3572</v>
      </c>
      <c r="AS12" t="s">
        <v>3649</v>
      </c>
      <c r="AU12" t="s">
        <v>3650</v>
      </c>
      <c r="AV12" t="s">
        <v>3651</v>
      </c>
      <c r="AW12" t="s">
        <v>3652</v>
      </c>
      <c r="AX12" t="s">
        <v>3653</v>
      </c>
      <c r="AZ12">
        <v>181.43700000000001</v>
      </c>
      <c r="BA12">
        <v>400</v>
      </c>
      <c r="BB12" t="s">
        <v>3599</v>
      </c>
      <c r="BC12" s="36" t="s">
        <v>3657</v>
      </c>
      <c r="BE12" t="s">
        <v>3658</v>
      </c>
      <c r="BF12" t="s">
        <v>3657</v>
      </c>
      <c r="BG12" t="s">
        <v>3659</v>
      </c>
      <c r="BH12" t="s">
        <v>3660</v>
      </c>
      <c r="BL12" t="s">
        <v>3598</v>
      </c>
      <c r="BO12" t="str">
        <v>RM-J-1343LI26</v>
      </c>
      <c r="BP12" t="e">
        <v>#N/A</v>
      </c>
      <c r="BS12" t="str">
        <v>Inbound</v>
      </c>
      <c r="BT12" t="str">
        <v>Land</v>
      </c>
      <c r="BU12" t="str">
        <v>RM-J-1316LI26</v>
      </c>
      <c r="BV12" t="str">
        <v>Miscelaneus</v>
      </c>
      <c r="BW12" t="str">
        <v>TAPA PLASTICA</v>
      </c>
      <c r="BX12">
        <v>749.7</v>
      </c>
      <c r="BY12" s="38">
        <f t="shared" si="1"/>
        <v>0.2280859370127466</v>
      </c>
      <c r="BZ12" s="21">
        <f t="shared" si="2"/>
        <v>273.70312441529592</v>
      </c>
      <c r="CD12" s="31">
        <f>SUM(CD6:CD11)</f>
        <v>10799.999999999993</v>
      </c>
    </row>
    <row r="13" spans="2:84" x14ac:dyDescent="0.35">
      <c r="B13" t="s">
        <v>4190</v>
      </c>
      <c r="C13" t="s">
        <v>262</v>
      </c>
      <c r="D13" t="str" cm="1">
        <f t="array" ref="D13">_xlfn.REGEXEXTRACT(F13,"\w?\w-J-\d{4}LI\d{2}")</f>
        <v>RM-J-1325LI26</v>
      </c>
      <c r="E13" t="s">
        <v>4195</v>
      </c>
      <c r="F13" t="s">
        <v>3567</v>
      </c>
      <c r="G13" t="s">
        <v>3568</v>
      </c>
      <c r="H13" t="s">
        <v>3569</v>
      </c>
      <c r="I13" t="s">
        <v>3570</v>
      </c>
      <c r="J13" t="s">
        <v>3571</v>
      </c>
      <c r="K13" t="s">
        <v>3570</v>
      </c>
      <c r="T13" t="s">
        <v>3572</v>
      </c>
      <c r="U13" t="s">
        <v>3573</v>
      </c>
      <c r="Y13" t="s">
        <v>3574</v>
      </c>
      <c r="Z13" t="s">
        <v>3575</v>
      </c>
      <c r="AA13" t="s">
        <v>3576</v>
      </c>
      <c r="AB13" t="s">
        <v>3576</v>
      </c>
      <c r="AC13" t="s">
        <v>3575</v>
      </c>
      <c r="AD13" t="s">
        <v>3577</v>
      </c>
      <c r="AE13" t="s">
        <v>3578</v>
      </c>
      <c r="AF13" t="s">
        <v>3646</v>
      </c>
      <c r="AG13" t="s">
        <v>3580</v>
      </c>
      <c r="AH13" t="s">
        <v>3581</v>
      </c>
      <c r="AI13" t="s">
        <v>3582</v>
      </c>
      <c r="AM13" t="s">
        <v>3579</v>
      </c>
      <c r="AN13" t="s">
        <v>3584</v>
      </c>
      <c r="AO13" t="s">
        <v>3647</v>
      </c>
      <c r="AP13" t="s">
        <v>3572</v>
      </c>
      <c r="AQ13" t="s">
        <v>3648</v>
      </c>
      <c r="AR13" t="s">
        <v>3572</v>
      </c>
      <c r="AS13" t="s">
        <v>3649</v>
      </c>
      <c r="AU13" t="s">
        <v>3650</v>
      </c>
      <c r="AV13" t="s">
        <v>3651</v>
      </c>
      <c r="AW13" t="s">
        <v>3652</v>
      </c>
      <c r="AX13" t="s">
        <v>3653</v>
      </c>
      <c r="AZ13">
        <v>181.43700000000001</v>
      </c>
      <c r="BA13">
        <v>400</v>
      </c>
      <c r="BB13" t="s">
        <v>3596</v>
      </c>
      <c r="BC13" s="36" t="s">
        <v>3661</v>
      </c>
      <c r="BD13" t="s">
        <v>3654</v>
      </c>
      <c r="BE13" t="s">
        <v>3662</v>
      </c>
      <c r="BF13" t="s">
        <v>3661</v>
      </c>
      <c r="BG13" t="s">
        <v>3579</v>
      </c>
      <c r="BH13" t="s">
        <v>3656</v>
      </c>
      <c r="BL13" t="s">
        <v>3598</v>
      </c>
      <c r="BO13" t="str">
        <v>RM-J-1357LI26</v>
      </c>
      <c r="BP13" t="e">
        <v>#N/A</v>
      </c>
      <c r="BS13" t="str">
        <v>Inbound</v>
      </c>
      <c r="BT13" t="str">
        <v>Land</v>
      </c>
      <c r="BU13" t="str">
        <v>RM-J-1316LI26</v>
      </c>
      <c r="BV13" t="str">
        <v>Miscelaneus</v>
      </c>
      <c r="BW13" t="str">
        <v>CAJAS PLASTICAS</v>
      </c>
      <c r="BX13">
        <v>749.7</v>
      </c>
      <c r="BY13" s="38">
        <f t="shared" si="1"/>
        <v>0.2280859370127466</v>
      </c>
      <c r="BZ13" s="21">
        <f t="shared" si="2"/>
        <v>273.70312441529592</v>
      </c>
    </row>
    <row r="14" spans="2:84" x14ac:dyDescent="0.35">
      <c r="B14" t="s">
        <v>4190</v>
      </c>
      <c r="C14" t="s">
        <v>262</v>
      </c>
      <c r="D14" t="str" cm="1">
        <f t="array" ref="D14">_xlfn.REGEXEXTRACT(F14,"\w?\w-J-\d{4}LI\d{2}")</f>
        <v>RM-J-1325LI26</v>
      </c>
      <c r="E14" t="s">
        <v>299</v>
      </c>
      <c r="F14" t="s">
        <v>3567</v>
      </c>
      <c r="G14" t="s">
        <v>3568</v>
      </c>
      <c r="H14" t="s">
        <v>3569</v>
      </c>
      <c r="I14" t="s">
        <v>3570</v>
      </c>
      <c r="J14" t="s">
        <v>3571</v>
      </c>
      <c r="K14" t="s">
        <v>3570</v>
      </c>
      <c r="T14" t="s">
        <v>3572</v>
      </c>
      <c r="U14" t="s">
        <v>3573</v>
      </c>
      <c r="Y14" t="s">
        <v>3574</v>
      </c>
      <c r="Z14" t="s">
        <v>3575</v>
      </c>
      <c r="AA14" t="s">
        <v>3576</v>
      </c>
      <c r="AB14" t="s">
        <v>3576</v>
      </c>
      <c r="AC14" t="s">
        <v>3575</v>
      </c>
      <c r="AD14" t="s">
        <v>3577</v>
      </c>
      <c r="AE14" t="s">
        <v>3578</v>
      </c>
      <c r="AF14" t="s">
        <v>3663</v>
      </c>
      <c r="AG14" t="s">
        <v>3580</v>
      </c>
      <c r="AH14" t="s">
        <v>3581</v>
      </c>
      <c r="AI14" t="s">
        <v>3582</v>
      </c>
      <c r="AM14" t="s">
        <v>3599</v>
      </c>
      <c r="AN14" t="s">
        <v>3584</v>
      </c>
      <c r="AO14" t="s">
        <v>3664</v>
      </c>
      <c r="AP14" t="s">
        <v>3587</v>
      </c>
      <c r="AQ14" t="s">
        <v>3665</v>
      </c>
      <c r="AR14" t="s">
        <v>3666</v>
      </c>
      <c r="AS14" t="s">
        <v>3667</v>
      </c>
      <c r="AU14" t="s">
        <v>3668</v>
      </c>
      <c r="AV14" t="s">
        <v>3669</v>
      </c>
      <c r="AW14" t="s">
        <v>3670</v>
      </c>
      <c r="AX14" t="s">
        <v>3671</v>
      </c>
      <c r="AZ14">
        <v>14.19</v>
      </c>
      <c r="BA14">
        <v>31.283999999999999</v>
      </c>
      <c r="BB14" t="s">
        <v>3583</v>
      </c>
      <c r="BC14" s="36" t="s">
        <v>3672</v>
      </c>
      <c r="BE14" t="s">
        <v>3673</v>
      </c>
      <c r="BF14" t="s">
        <v>3674</v>
      </c>
      <c r="BG14" t="s">
        <v>3675</v>
      </c>
      <c r="BH14" t="s">
        <v>3676</v>
      </c>
      <c r="BL14" t="s">
        <v>3598</v>
      </c>
      <c r="BO14" t="str">
        <v>RM-J-1359LI26</v>
      </c>
      <c r="BP14" t="e">
        <v>#N/A</v>
      </c>
      <c r="BS14" t="str">
        <v>Inbound</v>
      </c>
      <c r="BT14" t="str">
        <v>Land</v>
      </c>
      <c r="BU14" t="str">
        <v>RM-J-1316LI26</v>
      </c>
      <c r="BV14" t="str">
        <v>Miscelaneus</v>
      </c>
      <c r="BW14" t="str">
        <v>BASE PLASTICA</v>
      </c>
      <c r="BX14">
        <v>749.7</v>
      </c>
      <c r="BY14" s="38">
        <f t="shared" si="1"/>
        <v>0.2280859370127466</v>
      </c>
      <c r="BZ14" s="21">
        <f t="shared" si="2"/>
        <v>273.70312441529592</v>
      </c>
    </row>
    <row r="15" spans="2:84" x14ac:dyDescent="0.35">
      <c r="B15" t="s">
        <v>4190</v>
      </c>
      <c r="C15" t="s">
        <v>262</v>
      </c>
      <c r="D15" t="str" cm="1">
        <f t="array" ref="D15">_xlfn.REGEXEXTRACT(F15,"\w?\w-J-\d{4}LI\d{2}")</f>
        <v>RM-J-1325LI26</v>
      </c>
      <c r="E15" t="s">
        <v>299</v>
      </c>
      <c r="F15" t="s">
        <v>3567</v>
      </c>
      <c r="G15" t="s">
        <v>3568</v>
      </c>
      <c r="H15" t="s">
        <v>3569</v>
      </c>
      <c r="I15" t="s">
        <v>3570</v>
      </c>
      <c r="J15" t="s">
        <v>3571</v>
      </c>
      <c r="K15" t="s">
        <v>3570</v>
      </c>
      <c r="T15" t="s">
        <v>3572</v>
      </c>
      <c r="U15" t="s">
        <v>3573</v>
      </c>
      <c r="Y15" t="s">
        <v>3574</v>
      </c>
      <c r="Z15" t="s">
        <v>3575</v>
      </c>
      <c r="AA15" t="s">
        <v>3576</v>
      </c>
      <c r="AB15" t="s">
        <v>3576</v>
      </c>
      <c r="AC15" t="s">
        <v>3575</v>
      </c>
      <c r="AD15" t="s">
        <v>3577</v>
      </c>
      <c r="AE15" t="s">
        <v>3578</v>
      </c>
      <c r="AF15" t="s">
        <v>3677</v>
      </c>
      <c r="AG15" t="s">
        <v>3580</v>
      </c>
      <c r="AH15" t="s">
        <v>3581</v>
      </c>
      <c r="AI15" t="s">
        <v>3582</v>
      </c>
      <c r="AM15" t="s">
        <v>3599</v>
      </c>
      <c r="AN15" t="s">
        <v>3584</v>
      </c>
      <c r="AO15" t="s">
        <v>3678</v>
      </c>
      <c r="AP15" t="s">
        <v>3587</v>
      </c>
      <c r="AQ15" t="s">
        <v>3679</v>
      </c>
      <c r="AR15" t="s">
        <v>3680</v>
      </c>
      <c r="AS15" t="s">
        <v>3667</v>
      </c>
      <c r="AU15" t="s">
        <v>3681</v>
      </c>
      <c r="AV15" t="s">
        <v>3669</v>
      </c>
      <c r="AW15" t="s">
        <v>3670</v>
      </c>
      <c r="AX15" t="s">
        <v>3682</v>
      </c>
      <c r="AZ15">
        <v>14.19</v>
      </c>
      <c r="BA15">
        <v>31.283999999999999</v>
      </c>
      <c r="BB15" t="s">
        <v>3583</v>
      </c>
      <c r="BC15" s="36" t="s">
        <v>3672</v>
      </c>
      <c r="BE15" t="s">
        <v>3673</v>
      </c>
      <c r="BF15" t="s">
        <v>3674</v>
      </c>
      <c r="BG15" t="s">
        <v>3675</v>
      </c>
      <c r="BH15" t="s">
        <v>3676</v>
      </c>
      <c r="BL15" t="s">
        <v>3598</v>
      </c>
      <c r="BS15" t="str">
        <v>Inbound</v>
      </c>
      <c r="BT15" t="str">
        <v>Land</v>
      </c>
      <c r="BU15" t="str">
        <v>RM-J-1316LI26</v>
      </c>
      <c r="BV15" t="str">
        <v>M46</v>
      </c>
      <c r="BW15" t="str">
        <v>1999-EQH0003</v>
      </c>
      <c r="BX15">
        <v>139.70599999999999</v>
      </c>
      <c r="BY15" s="38">
        <f t="shared" si="1"/>
        <v>4.2503633341740392E-2</v>
      </c>
      <c r="BZ15" s="21">
        <f t="shared" si="2"/>
        <v>51.004360010088469</v>
      </c>
      <c r="CD15" s="25"/>
    </row>
    <row r="16" spans="2:84" x14ac:dyDescent="0.35">
      <c r="B16" t="s">
        <v>4190</v>
      </c>
      <c r="C16" t="s">
        <v>262</v>
      </c>
      <c r="D16" t="str" cm="1">
        <f t="array" ref="D16">_xlfn.REGEXEXTRACT(F16,"\w?\w-J-\d{4}LI\d{2}")</f>
        <v>RM-J-1325LI26</v>
      </c>
      <c r="E16" t="s">
        <v>4195</v>
      </c>
      <c r="F16" t="s">
        <v>3567</v>
      </c>
      <c r="G16" t="s">
        <v>3568</v>
      </c>
      <c r="H16" t="s">
        <v>3569</v>
      </c>
      <c r="I16" t="s">
        <v>3570</v>
      </c>
      <c r="J16" t="s">
        <v>3571</v>
      </c>
      <c r="K16" t="s">
        <v>3570</v>
      </c>
      <c r="T16" t="s">
        <v>3572</v>
      </c>
      <c r="U16" t="s">
        <v>3573</v>
      </c>
      <c r="Y16" t="s">
        <v>3574</v>
      </c>
      <c r="Z16" t="s">
        <v>3575</v>
      </c>
      <c r="AA16" t="s">
        <v>3576</v>
      </c>
      <c r="AB16" t="s">
        <v>3576</v>
      </c>
      <c r="AC16" t="s">
        <v>3575</v>
      </c>
      <c r="AD16" t="s">
        <v>3683</v>
      </c>
      <c r="AE16" t="s">
        <v>3684</v>
      </c>
      <c r="AF16" t="s">
        <v>3583</v>
      </c>
      <c r="AG16" t="s">
        <v>3580</v>
      </c>
      <c r="AH16" t="s">
        <v>3581</v>
      </c>
      <c r="AI16" t="s">
        <v>3582</v>
      </c>
      <c r="AM16" t="s">
        <v>3583</v>
      </c>
      <c r="AN16" t="s">
        <v>3584</v>
      </c>
      <c r="AO16" t="s">
        <v>3685</v>
      </c>
      <c r="AP16" t="s">
        <v>3686</v>
      </c>
      <c r="AQ16" t="s">
        <v>3687</v>
      </c>
      <c r="AR16" t="s">
        <v>3688</v>
      </c>
      <c r="AS16" t="s">
        <v>3689</v>
      </c>
      <c r="AU16" t="s">
        <v>3690</v>
      </c>
      <c r="AV16" t="s">
        <v>3691</v>
      </c>
      <c r="AW16" t="s">
        <v>3692</v>
      </c>
      <c r="AX16" t="s">
        <v>3693</v>
      </c>
      <c r="AZ16">
        <v>1.361</v>
      </c>
      <c r="BA16">
        <v>3</v>
      </c>
      <c r="BB16" t="s">
        <v>3583</v>
      </c>
      <c r="BC16" s="36" t="s">
        <v>3694</v>
      </c>
      <c r="BE16" t="s">
        <v>3695</v>
      </c>
      <c r="BF16" t="s">
        <v>3696</v>
      </c>
      <c r="BG16" t="s">
        <v>3599</v>
      </c>
      <c r="BH16" t="s">
        <v>3697</v>
      </c>
      <c r="BL16" t="s">
        <v>3598</v>
      </c>
      <c r="BS16" t="str">
        <v>Inbound</v>
      </c>
      <c r="BT16" t="str">
        <v>Land</v>
      </c>
      <c r="BU16" t="str">
        <v>RM-J-1325LI26</v>
      </c>
      <c r="BV16" t="str">
        <v>M19</v>
      </c>
      <c r="BW16" t="str">
        <v>0081-1000095</v>
      </c>
      <c r="BX16">
        <v>79.739999999999995</v>
      </c>
      <c r="BY16" s="38">
        <f t="shared" si="1"/>
        <v>9.0890439064423442E-2</v>
      </c>
      <c r="BZ16" s="21">
        <f t="shared" si="2"/>
        <v>109.06852687730813</v>
      </c>
    </row>
    <row r="17" spans="2:78" x14ac:dyDescent="0.35">
      <c r="B17" t="s">
        <v>4190</v>
      </c>
      <c r="C17" t="s">
        <v>262</v>
      </c>
      <c r="D17" t="str" cm="1">
        <f t="array" ref="D17">_xlfn.REGEXEXTRACT(F17,"\w?\w-J-\d{4}LI\d{2}")</f>
        <v>RM-J-1316LI26</v>
      </c>
      <c r="E17" t="s">
        <v>298</v>
      </c>
      <c r="F17" t="s">
        <v>4191</v>
      </c>
      <c r="G17" t="s">
        <v>3698</v>
      </c>
      <c r="H17" t="s">
        <v>3569</v>
      </c>
      <c r="I17" t="s">
        <v>3699</v>
      </c>
      <c r="J17" t="s">
        <v>3700</v>
      </c>
      <c r="K17" t="s">
        <v>3699</v>
      </c>
      <c r="T17" t="s">
        <v>3701</v>
      </c>
      <c r="U17" t="s">
        <v>3573</v>
      </c>
      <c r="Y17" t="s">
        <v>3702</v>
      </c>
      <c r="Z17" t="s">
        <v>3575</v>
      </c>
      <c r="AA17" t="s">
        <v>3576</v>
      </c>
      <c r="AB17" t="s">
        <v>3576</v>
      </c>
      <c r="AC17" t="s">
        <v>3575</v>
      </c>
      <c r="AD17" t="s">
        <v>3577</v>
      </c>
      <c r="AE17" t="s">
        <v>3578</v>
      </c>
      <c r="AF17" t="s">
        <v>3583</v>
      </c>
      <c r="AG17" t="s">
        <v>3580</v>
      </c>
      <c r="AH17" t="s">
        <v>3581</v>
      </c>
      <c r="AI17" t="s">
        <v>3582</v>
      </c>
      <c r="AM17" t="s">
        <v>3596</v>
      </c>
      <c r="AN17" t="s">
        <v>3703</v>
      </c>
      <c r="AO17" t="s">
        <v>3704</v>
      </c>
      <c r="AP17" t="s">
        <v>3701</v>
      </c>
      <c r="AQ17" t="s">
        <v>3705</v>
      </c>
      <c r="AR17" t="s">
        <v>3587</v>
      </c>
      <c r="AS17" t="s">
        <v>3706</v>
      </c>
      <c r="AV17" t="s">
        <v>3638</v>
      </c>
      <c r="AW17" t="s">
        <v>3639</v>
      </c>
      <c r="AZ17">
        <v>299.37099999999998</v>
      </c>
      <c r="BA17">
        <v>660</v>
      </c>
      <c r="BB17" t="s">
        <v>3583</v>
      </c>
      <c r="BC17" s="36" t="s">
        <v>3707</v>
      </c>
      <c r="BE17" t="s">
        <v>3642</v>
      </c>
      <c r="BF17" t="s">
        <v>3643</v>
      </c>
      <c r="BG17" t="s">
        <v>3708</v>
      </c>
      <c r="BH17" t="s">
        <v>3709</v>
      </c>
      <c r="BL17" t="s">
        <v>3598</v>
      </c>
      <c r="BS17" t="str">
        <v>Inbound</v>
      </c>
      <c r="BT17" t="str">
        <v>Land</v>
      </c>
      <c r="BU17" t="str">
        <v>RM-J-1325LI26</v>
      </c>
      <c r="BV17" t="str">
        <v>M19</v>
      </c>
      <c r="BW17" t="str">
        <v>0081-1000095</v>
      </c>
      <c r="BX17">
        <v>79.739999999999995</v>
      </c>
      <c r="BY17" s="38">
        <f t="shared" si="1"/>
        <v>9.0890439064423442E-2</v>
      </c>
      <c r="BZ17" s="21">
        <f t="shared" si="2"/>
        <v>109.06852687730813</v>
      </c>
    </row>
    <row r="18" spans="2:78" x14ac:dyDescent="0.35">
      <c r="B18" t="s">
        <v>4190</v>
      </c>
      <c r="C18" t="s">
        <v>262</v>
      </c>
      <c r="D18" t="str" cm="1">
        <f t="array" ref="D18">_xlfn.REGEXEXTRACT(F18,"\w?\w-J-\d{4}LI\d{2}")</f>
        <v>RM-J-1316LI26</v>
      </c>
      <c r="E18" t="s">
        <v>298</v>
      </c>
      <c r="F18" t="s">
        <v>4191</v>
      </c>
      <c r="G18" t="s">
        <v>3698</v>
      </c>
      <c r="H18" t="s">
        <v>3569</v>
      </c>
      <c r="I18" t="s">
        <v>3699</v>
      </c>
      <c r="J18" t="s">
        <v>3700</v>
      </c>
      <c r="K18" t="s">
        <v>3699</v>
      </c>
      <c r="T18" t="s">
        <v>3701</v>
      </c>
      <c r="U18" t="s">
        <v>3573</v>
      </c>
      <c r="Y18" t="s">
        <v>3702</v>
      </c>
      <c r="Z18" t="s">
        <v>3575</v>
      </c>
      <c r="AA18" t="s">
        <v>3576</v>
      </c>
      <c r="AB18" t="s">
        <v>3576</v>
      </c>
      <c r="AC18" t="s">
        <v>3575</v>
      </c>
      <c r="AD18" t="s">
        <v>3577</v>
      </c>
      <c r="AE18" t="s">
        <v>3578</v>
      </c>
      <c r="AF18" t="s">
        <v>3583</v>
      </c>
      <c r="AG18" t="s">
        <v>3580</v>
      </c>
      <c r="AH18" t="s">
        <v>3581</v>
      </c>
      <c r="AI18" t="s">
        <v>3582</v>
      </c>
      <c r="AM18" t="s">
        <v>3596</v>
      </c>
      <c r="AN18" t="s">
        <v>3703</v>
      </c>
      <c r="AO18" t="s">
        <v>3704</v>
      </c>
      <c r="AP18" t="s">
        <v>3701</v>
      </c>
      <c r="AQ18" t="s">
        <v>3705</v>
      </c>
      <c r="AR18" t="s">
        <v>3587</v>
      </c>
      <c r="AS18" t="s">
        <v>3706</v>
      </c>
      <c r="AV18" t="s">
        <v>3638</v>
      </c>
      <c r="AW18" t="s">
        <v>3639</v>
      </c>
      <c r="AZ18">
        <v>299.37099999999998</v>
      </c>
      <c r="BA18">
        <v>660</v>
      </c>
      <c r="BB18" t="s">
        <v>3599</v>
      </c>
      <c r="BC18" s="36" t="s">
        <v>3707</v>
      </c>
      <c r="BE18" t="s">
        <v>3642</v>
      </c>
      <c r="BF18" t="s">
        <v>3643</v>
      </c>
      <c r="BG18" t="s">
        <v>3708</v>
      </c>
      <c r="BH18" t="s">
        <v>3709</v>
      </c>
      <c r="BL18" t="s">
        <v>3598</v>
      </c>
      <c r="BS18" t="str">
        <v>Inbound</v>
      </c>
      <c r="BT18" t="str">
        <v>Land</v>
      </c>
      <c r="BU18" t="str">
        <v>RM-J-1325LI26</v>
      </c>
      <c r="BV18" t="str">
        <v>M19</v>
      </c>
      <c r="BW18" t="str">
        <v>1616-5TP1037</v>
      </c>
      <c r="BX18">
        <v>43.091000000000001</v>
      </c>
      <c r="BY18" s="38">
        <f t="shared" si="1"/>
        <v>4.9116627912278298E-2</v>
      </c>
      <c r="BZ18" s="21">
        <f t="shared" si="2"/>
        <v>58.939953494733956</v>
      </c>
    </row>
    <row r="19" spans="2:78" x14ac:dyDescent="0.35">
      <c r="B19" t="s">
        <v>4190</v>
      </c>
      <c r="C19" t="s">
        <v>262</v>
      </c>
      <c r="D19" t="str" cm="1">
        <f t="array" ref="D19">_xlfn.REGEXEXTRACT(F19,"\w?\w-J-\d{4}LI\d{2}")</f>
        <v>RM-J-1316LI26</v>
      </c>
      <c r="E19" t="s">
        <v>298</v>
      </c>
      <c r="F19" t="s">
        <v>4191</v>
      </c>
      <c r="G19" t="s">
        <v>3698</v>
      </c>
      <c r="H19" t="s">
        <v>3569</v>
      </c>
      <c r="I19" t="s">
        <v>3699</v>
      </c>
      <c r="J19" t="s">
        <v>3700</v>
      </c>
      <c r="K19" t="s">
        <v>3699</v>
      </c>
      <c r="T19" t="s">
        <v>3701</v>
      </c>
      <c r="U19" t="s">
        <v>3573</v>
      </c>
      <c r="Y19" t="s">
        <v>3702</v>
      </c>
      <c r="Z19" t="s">
        <v>3575</v>
      </c>
      <c r="AA19" t="s">
        <v>3576</v>
      </c>
      <c r="AB19" t="s">
        <v>3576</v>
      </c>
      <c r="AC19" t="s">
        <v>3575</v>
      </c>
      <c r="AD19" t="s">
        <v>3577</v>
      </c>
      <c r="AE19" t="s">
        <v>3578</v>
      </c>
      <c r="AF19" t="s">
        <v>3583</v>
      </c>
      <c r="AG19" t="s">
        <v>3580</v>
      </c>
      <c r="AH19" t="s">
        <v>3581</v>
      </c>
      <c r="AI19" t="s">
        <v>3582</v>
      </c>
      <c r="AM19" t="s">
        <v>3596</v>
      </c>
      <c r="AN19" t="s">
        <v>3703</v>
      </c>
      <c r="AO19" t="s">
        <v>3704</v>
      </c>
      <c r="AP19" t="s">
        <v>3701</v>
      </c>
      <c r="AQ19" t="s">
        <v>3705</v>
      </c>
      <c r="AR19" t="s">
        <v>3587</v>
      </c>
      <c r="AS19" t="s">
        <v>3706</v>
      </c>
      <c r="AV19" t="s">
        <v>3638</v>
      </c>
      <c r="AW19" t="s">
        <v>3639</v>
      </c>
      <c r="AZ19">
        <v>299.37099999999998</v>
      </c>
      <c r="BA19">
        <v>660</v>
      </c>
      <c r="BB19" t="s">
        <v>3596</v>
      </c>
      <c r="BC19" s="36" t="s">
        <v>3707</v>
      </c>
      <c r="BE19" t="s">
        <v>3642</v>
      </c>
      <c r="BF19" t="s">
        <v>3643</v>
      </c>
      <c r="BG19" t="s">
        <v>3708</v>
      </c>
      <c r="BH19" t="s">
        <v>3709</v>
      </c>
      <c r="BL19" t="s">
        <v>3598</v>
      </c>
      <c r="BS19" t="str">
        <v>Inbound</v>
      </c>
      <c r="BT19" t="str">
        <v>Land</v>
      </c>
      <c r="BU19" t="str">
        <v>RM-J-1325LI26</v>
      </c>
      <c r="BV19" t="str">
        <v>M45</v>
      </c>
      <c r="BW19" t="str">
        <v>1428-10C0001</v>
      </c>
      <c r="BX19">
        <v>9.9789999999999992</v>
      </c>
      <c r="BY19" s="38">
        <f t="shared" si="1"/>
        <v>1.137441298499977E-2</v>
      </c>
      <c r="BZ19" s="21">
        <f t="shared" si="2"/>
        <v>13.649295581999723</v>
      </c>
    </row>
    <row r="20" spans="2:78" x14ac:dyDescent="0.35">
      <c r="B20" t="s">
        <v>4190</v>
      </c>
      <c r="C20" t="s">
        <v>262</v>
      </c>
      <c r="D20" t="str" cm="1">
        <f t="array" ref="D20">_xlfn.REGEXEXTRACT(F20,"\w?\w-J-\d{4}LI\d{2}")</f>
        <v>RM-J-1316LI26</v>
      </c>
      <c r="E20" t="s">
        <v>4195</v>
      </c>
      <c r="F20" t="s">
        <v>4191</v>
      </c>
      <c r="G20" t="s">
        <v>3698</v>
      </c>
      <c r="H20" t="s">
        <v>3569</v>
      </c>
      <c r="I20" t="s">
        <v>3699</v>
      </c>
      <c r="J20" t="s">
        <v>3700</v>
      </c>
      <c r="K20" t="s">
        <v>3699</v>
      </c>
      <c r="T20" t="s">
        <v>3701</v>
      </c>
      <c r="U20" t="s">
        <v>3573</v>
      </c>
      <c r="Y20" t="s">
        <v>3702</v>
      </c>
      <c r="Z20" t="s">
        <v>3575</v>
      </c>
      <c r="AA20" t="s">
        <v>3576</v>
      </c>
      <c r="AB20" t="s">
        <v>3576</v>
      </c>
      <c r="AC20" t="s">
        <v>3575</v>
      </c>
      <c r="AD20" t="s">
        <v>3577</v>
      </c>
      <c r="AE20" t="s">
        <v>3578</v>
      </c>
      <c r="AF20" t="s">
        <v>3583</v>
      </c>
      <c r="AG20" t="s">
        <v>3580</v>
      </c>
      <c r="AH20" t="s">
        <v>3581</v>
      </c>
      <c r="AI20" t="s">
        <v>3582</v>
      </c>
      <c r="AM20" t="s">
        <v>3710</v>
      </c>
      <c r="AN20" t="s">
        <v>3703</v>
      </c>
      <c r="AO20" t="s">
        <v>3711</v>
      </c>
      <c r="AP20" t="s">
        <v>3701</v>
      </c>
      <c r="AQ20" t="s">
        <v>3712</v>
      </c>
      <c r="AR20" t="s">
        <v>3701</v>
      </c>
      <c r="AS20" t="s">
        <v>3713</v>
      </c>
      <c r="AV20" t="s">
        <v>3714</v>
      </c>
      <c r="AW20" t="s">
        <v>3715</v>
      </c>
      <c r="AX20" t="s">
        <v>3716</v>
      </c>
      <c r="AZ20">
        <v>749.7</v>
      </c>
      <c r="BA20">
        <v>1652.806</v>
      </c>
      <c r="BB20" t="s">
        <v>3583</v>
      </c>
      <c r="BC20" s="36" t="s">
        <v>3654</v>
      </c>
      <c r="BD20" t="s">
        <v>3654</v>
      </c>
      <c r="BE20" t="s">
        <v>3655</v>
      </c>
      <c r="BF20" t="s">
        <v>3654</v>
      </c>
      <c r="BG20" t="s">
        <v>3710</v>
      </c>
      <c r="BH20" t="s">
        <v>3717</v>
      </c>
      <c r="BL20" t="s">
        <v>3598</v>
      </c>
      <c r="BS20" t="str">
        <v>Inbound</v>
      </c>
      <c r="BT20" t="str">
        <v>Land</v>
      </c>
      <c r="BU20" t="str">
        <v>RM-J-1325LI26</v>
      </c>
      <c r="BV20" t="str">
        <v>M46</v>
      </c>
      <c r="BW20" t="str">
        <v>1438-EQH0055</v>
      </c>
      <c r="BX20">
        <v>90.718000000000004</v>
      </c>
      <c r="BY20" s="38">
        <f t="shared" si="1"/>
        <v>0.10340354716637029</v>
      </c>
      <c r="BZ20" s="21">
        <f t="shared" si="2"/>
        <v>124.08425659964435</v>
      </c>
    </row>
    <row r="21" spans="2:78" x14ac:dyDescent="0.35">
      <c r="B21" t="s">
        <v>4190</v>
      </c>
      <c r="C21" t="s">
        <v>262</v>
      </c>
      <c r="D21" t="str" cm="1">
        <f t="array" ref="D21">_xlfn.REGEXEXTRACT(F21,"\w?\w-J-\d{4}LI\d{2}")</f>
        <v>RM-J-1316LI26</v>
      </c>
      <c r="E21" t="s">
        <v>4195</v>
      </c>
      <c r="F21" t="s">
        <v>4191</v>
      </c>
      <c r="G21" t="s">
        <v>3698</v>
      </c>
      <c r="H21" t="s">
        <v>3569</v>
      </c>
      <c r="I21" t="s">
        <v>3699</v>
      </c>
      <c r="J21" t="s">
        <v>3700</v>
      </c>
      <c r="K21" t="s">
        <v>3699</v>
      </c>
      <c r="T21" t="s">
        <v>3701</v>
      </c>
      <c r="U21" t="s">
        <v>3573</v>
      </c>
      <c r="Y21" t="s">
        <v>3702</v>
      </c>
      <c r="Z21" t="s">
        <v>3575</v>
      </c>
      <c r="AA21" t="s">
        <v>3576</v>
      </c>
      <c r="AB21" t="s">
        <v>3576</v>
      </c>
      <c r="AC21" t="s">
        <v>3575</v>
      </c>
      <c r="AD21" t="s">
        <v>3577</v>
      </c>
      <c r="AE21" t="s">
        <v>3578</v>
      </c>
      <c r="AF21" t="s">
        <v>3583</v>
      </c>
      <c r="AG21" t="s">
        <v>3580</v>
      </c>
      <c r="AH21" t="s">
        <v>3581</v>
      </c>
      <c r="AI21" t="s">
        <v>3582</v>
      </c>
      <c r="AM21" t="s">
        <v>3710</v>
      </c>
      <c r="AN21" t="s">
        <v>3703</v>
      </c>
      <c r="AO21" t="s">
        <v>3711</v>
      </c>
      <c r="AP21" t="s">
        <v>3701</v>
      </c>
      <c r="AQ21" t="s">
        <v>3712</v>
      </c>
      <c r="AR21" t="s">
        <v>3701</v>
      </c>
      <c r="AS21" t="s">
        <v>3713</v>
      </c>
      <c r="AV21" t="s">
        <v>3714</v>
      </c>
      <c r="AW21" t="s">
        <v>3715</v>
      </c>
      <c r="AX21" t="s">
        <v>3716</v>
      </c>
      <c r="AZ21">
        <v>749.7</v>
      </c>
      <c r="BA21">
        <v>1652.806</v>
      </c>
      <c r="BB21" t="s">
        <v>3599</v>
      </c>
      <c r="BC21" s="36" t="s">
        <v>3718</v>
      </c>
      <c r="BE21" t="s">
        <v>3662</v>
      </c>
      <c r="BF21" t="s">
        <v>3719</v>
      </c>
      <c r="BG21" t="s">
        <v>3720</v>
      </c>
      <c r="BH21" t="s">
        <v>3721</v>
      </c>
      <c r="BL21" t="s">
        <v>3598</v>
      </c>
      <c r="BS21" t="str">
        <v>Inbound</v>
      </c>
      <c r="BT21" t="str">
        <v>Land</v>
      </c>
      <c r="BU21" t="str">
        <v>RM-J-1325LI26</v>
      </c>
      <c r="BV21" t="str">
        <v>Miscelaneus</v>
      </c>
      <c r="BW21" t="str">
        <v>TAPA PLASTICA</v>
      </c>
      <c r="BX21">
        <v>181.43700000000001</v>
      </c>
      <c r="BY21" s="38">
        <f t="shared" si="1"/>
        <v>0.20680823416769251</v>
      </c>
      <c r="BZ21" s="21">
        <f t="shared" si="2"/>
        <v>248.169881001231</v>
      </c>
    </row>
    <row r="22" spans="2:78" x14ac:dyDescent="0.35">
      <c r="B22" t="s">
        <v>4190</v>
      </c>
      <c r="C22" t="s">
        <v>262</v>
      </c>
      <c r="D22" t="str" cm="1">
        <f t="array" ref="D22">_xlfn.REGEXEXTRACT(F22,"\w?\w-J-\d{4}LI\d{2}")</f>
        <v>RM-J-1316LI26</v>
      </c>
      <c r="E22" t="s">
        <v>4195</v>
      </c>
      <c r="F22" t="s">
        <v>4191</v>
      </c>
      <c r="G22" t="s">
        <v>3698</v>
      </c>
      <c r="H22" t="s">
        <v>3569</v>
      </c>
      <c r="I22" t="s">
        <v>3699</v>
      </c>
      <c r="J22" t="s">
        <v>3700</v>
      </c>
      <c r="K22" t="s">
        <v>3699</v>
      </c>
      <c r="T22" t="s">
        <v>3701</v>
      </c>
      <c r="U22" t="s">
        <v>3573</v>
      </c>
      <c r="Y22" t="s">
        <v>3702</v>
      </c>
      <c r="Z22" t="s">
        <v>3575</v>
      </c>
      <c r="AA22" t="s">
        <v>3576</v>
      </c>
      <c r="AB22" t="s">
        <v>3576</v>
      </c>
      <c r="AC22" t="s">
        <v>3575</v>
      </c>
      <c r="AD22" t="s">
        <v>3577</v>
      </c>
      <c r="AE22" t="s">
        <v>3578</v>
      </c>
      <c r="AF22" t="s">
        <v>3583</v>
      </c>
      <c r="AG22" t="s">
        <v>3580</v>
      </c>
      <c r="AH22" t="s">
        <v>3581</v>
      </c>
      <c r="AI22" t="s">
        <v>3582</v>
      </c>
      <c r="AM22" t="s">
        <v>3710</v>
      </c>
      <c r="AN22" t="s">
        <v>3703</v>
      </c>
      <c r="AO22" t="s">
        <v>3711</v>
      </c>
      <c r="AP22" t="s">
        <v>3701</v>
      </c>
      <c r="AQ22" t="s">
        <v>3712</v>
      </c>
      <c r="AR22" t="s">
        <v>3701</v>
      </c>
      <c r="AS22" t="s">
        <v>3713</v>
      </c>
      <c r="AV22" t="s">
        <v>3714</v>
      </c>
      <c r="AW22" t="s">
        <v>3715</v>
      </c>
      <c r="AX22" t="s">
        <v>3716</v>
      </c>
      <c r="AZ22">
        <v>749.7</v>
      </c>
      <c r="BA22">
        <v>1652.806</v>
      </c>
      <c r="BB22" t="s">
        <v>3596</v>
      </c>
      <c r="BC22" s="36" t="s">
        <v>3661</v>
      </c>
      <c r="BD22" t="s">
        <v>3654</v>
      </c>
      <c r="BE22" t="s">
        <v>3662</v>
      </c>
      <c r="BF22" t="s">
        <v>3661</v>
      </c>
      <c r="BG22" t="s">
        <v>3710</v>
      </c>
      <c r="BH22" t="s">
        <v>3717</v>
      </c>
      <c r="BL22" t="s">
        <v>3598</v>
      </c>
      <c r="BS22" t="str">
        <v>Inbound</v>
      </c>
      <c r="BT22" t="str">
        <v>Land</v>
      </c>
      <c r="BU22" t="str">
        <v>RM-J-1325LI26</v>
      </c>
      <c r="BV22" t="str">
        <v>Miscelaneus</v>
      </c>
      <c r="BW22" t="str">
        <v>CHAROLA PLASTICA</v>
      </c>
      <c r="BX22">
        <v>181.43700000000001</v>
      </c>
      <c r="BY22" s="38">
        <f t="shared" si="1"/>
        <v>0.20680823416769251</v>
      </c>
      <c r="BZ22" s="21">
        <f t="shared" si="2"/>
        <v>248.169881001231</v>
      </c>
    </row>
    <row r="23" spans="2:78" x14ac:dyDescent="0.35">
      <c r="B23" t="s">
        <v>4190</v>
      </c>
      <c r="C23" t="s">
        <v>262</v>
      </c>
      <c r="D23" t="str" cm="1">
        <f t="array" ref="D23">_xlfn.REGEXEXTRACT(F23,"\w?\w-J-\d{4}LI\d{2}")</f>
        <v>RM-J-1316LI26</v>
      </c>
      <c r="E23" t="s">
        <v>298</v>
      </c>
      <c r="F23" t="s">
        <v>4191</v>
      </c>
      <c r="G23" t="s">
        <v>3698</v>
      </c>
      <c r="H23" t="s">
        <v>3569</v>
      </c>
      <c r="I23" t="s">
        <v>3699</v>
      </c>
      <c r="J23" t="s">
        <v>3700</v>
      </c>
      <c r="K23" t="s">
        <v>3699</v>
      </c>
      <c r="T23" t="s">
        <v>3701</v>
      </c>
      <c r="U23" t="s">
        <v>3573</v>
      </c>
      <c r="Y23" t="s">
        <v>3702</v>
      </c>
      <c r="Z23" t="s">
        <v>3575</v>
      </c>
      <c r="AA23" t="s">
        <v>3576</v>
      </c>
      <c r="AB23" t="s">
        <v>3576</v>
      </c>
      <c r="AC23" t="s">
        <v>3575</v>
      </c>
      <c r="AD23" t="s">
        <v>3577</v>
      </c>
      <c r="AE23" t="s">
        <v>3578</v>
      </c>
      <c r="AF23" t="s">
        <v>3583</v>
      </c>
      <c r="AG23" t="s">
        <v>3580</v>
      </c>
      <c r="AH23" t="s">
        <v>3581</v>
      </c>
      <c r="AI23" t="s">
        <v>3582</v>
      </c>
      <c r="AM23" t="s">
        <v>3583</v>
      </c>
      <c r="AN23" t="s">
        <v>3703</v>
      </c>
      <c r="AO23" t="s">
        <v>3722</v>
      </c>
      <c r="AP23" t="s">
        <v>3701</v>
      </c>
      <c r="AQ23" t="s">
        <v>3723</v>
      </c>
      <c r="AR23" t="s">
        <v>3623</v>
      </c>
      <c r="AS23" t="s">
        <v>3724</v>
      </c>
      <c r="AV23" t="s">
        <v>3725</v>
      </c>
      <c r="AW23" t="s">
        <v>3726</v>
      </c>
      <c r="AX23" t="s">
        <v>3723</v>
      </c>
      <c r="AZ23">
        <v>139.70599999999999</v>
      </c>
      <c r="BA23">
        <v>308</v>
      </c>
      <c r="BB23" t="s">
        <v>3583</v>
      </c>
      <c r="BC23" s="36" t="s">
        <v>3727</v>
      </c>
      <c r="BE23" t="s">
        <v>79</v>
      </c>
      <c r="BF23" t="s">
        <v>3728</v>
      </c>
      <c r="BG23" t="s">
        <v>3729</v>
      </c>
      <c r="BH23" t="s">
        <v>3730</v>
      </c>
      <c r="BL23" t="s">
        <v>3598</v>
      </c>
      <c r="BS23" t="str">
        <v>Inbound</v>
      </c>
      <c r="BT23" t="str">
        <v>Land</v>
      </c>
      <c r="BU23" t="str">
        <v>RM-J-1325LI26</v>
      </c>
      <c r="BV23" t="str">
        <v>Miscelaneus</v>
      </c>
      <c r="BW23" t="str">
        <v>BASE PLASTICA</v>
      </c>
      <c r="BX23">
        <v>181.43700000000001</v>
      </c>
      <c r="BY23" s="38">
        <f t="shared" si="1"/>
        <v>0.20680823416769251</v>
      </c>
      <c r="BZ23" s="21">
        <f t="shared" si="2"/>
        <v>248.169881001231</v>
      </c>
    </row>
    <row r="24" spans="2:78" x14ac:dyDescent="0.35">
      <c r="B24" t="s">
        <v>4190</v>
      </c>
      <c r="C24" t="s">
        <v>262</v>
      </c>
      <c r="D24" t="str" cm="1">
        <f t="array" ref="D24">_xlfn.REGEXEXTRACT(F24,"\w?\w-J-\d{4}LI\d{2}")</f>
        <v>M-J-1331LI26</v>
      </c>
      <c r="E24" t="s">
        <v>4196</v>
      </c>
      <c r="F24" t="s">
        <v>3731</v>
      </c>
      <c r="G24" t="s">
        <v>3732</v>
      </c>
      <c r="H24" t="s">
        <v>3569</v>
      </c>
      <c r="I24" t="s">
        <v>3733</v>
      </c>
      <c r="J24" t="s">
        <v>3734</v>
      </c>
      <c r="K24" t="s">
        <v>3733</v>
      </c>
      <c r="T24" t="s">
        <v>3735</v>
      </c>
      <c r="U24" t="s">
        <v>3573</v>
      </c>
      <c r="Y24" t="s">
        <v>3736</v>
      </c>
      <c r="Z24" t="s">
        <v>3575</v>
      </c>
      <c r="AA24" t="s">
        <v>3576</v>
      </c>
      <c r="AB24" t="s">
        <v>3576</v>
      </c>
      <c r="AC24" t="s">
        <v>3575</v>
      </c>
      <c r="AD24" t="s">
        <v>3737</v>
      </c>
      <c r="AE24" t="s">
        <v>3738</v>
      </c>
      <c r="AF24" t="s">
        <v>3583</v>
      </c>
      <c r="AG24" t="s">
        <v>3580</v>
      </c>
      <c r="AH24" t="s">
        <v>3581</v>
      </c>
      <c r="AI24" t="s">
        <v>3582</v>
      </c>
      <c r="AM24" t="s">
        <v>3583</v>
      </c>
      <c r="AN24" t="s">
        <v>3739</v>
      </c>
      <c r="AO24" t="s">
        <v>3740</v>
      </c>
      <c r="AP24" t="s">
        <v>3735</v>
      </c>
      <c r="AQ24" t="s">
        <v>3741</v>
      </c>
      <c r="AR24" t="s">
        <v>3742</v>
      </c>
      <c r="AS24" t="s">
        <v>3743</v>
      </c>
      <c r="AV24" t="s">
        <v>3638</v>
      </c>
      <c r="AW24" t="s">
        <v>3639</v>
      </c>
      <c r="AX24" t="s">
        <v>3744</v>
      </c>
      <c r="AZ24">
        <v>51.256</v>
      </c>
      <c r="BA24">
        <v>113</v>
      </c>
      <c r="BB24" t="s">
        <v>3583</v>
      </c>
      <c r="BC24" s="36" t="s">
        <v>3745</v>
      </c>
      <c r="BE24" t="s">
        <v>3642</v>
      </c>
      <c r="BF24" t="s">
        <v>3643</v>
      </c>
      <c r="BG24" t="s">
        <v>3746</v>
      </c>
      <c r="BH24" t="s">
        <v>3747</v>
      </c>
      <c r="BL24" t="s">
        <v>3598</v>
      </c>
      <c r="BS24" t="str">
        <v>Inbound</v>
      </c>
      <c r="BT24" t="str">
        <v>Land</v>
      </c>
      <c r="BU24" t="str">
        <v>RM-J-1325LI26</v>
      </c>
      <c r="BV24" t="str">
        <v>M19</v>
      </c>
      <c r="BW24" t="str">
        <v>1204-5YY0012</v>
      </c>
      <c r="BX24">
        <v>14.19</v>
      </c>
      <c r="BY24" s="38">
        <f t="shared" si="1"/>
        <v>1.6174257967446311E-2</v>
      </c>
      <c r="BZ24" s="21">
        <f t="shared" si="2"/>
        <v>19.409109560935573</v>
      </c>
    </row>
    <row r="25" spans="2:78" x14ac:dyDescent="0.35">
      <c r="B25" t="s">
        <v>4190</v>
      </c>
      <c r="C25" t="s">
        <v>262</v>
      </c>
      <c r="D25" t="str" cm="1">
        <f t="array" ref="D25">_xlfn.REGEXEXTRACT(F25,"\w?\w-J-\d{4}LI\d{2}")</f>
        <v>M-J-1331LI26</v>
      </c>
      <c r="E25" t="s">
        <v>4196</v>
      </c>
      <c r="F25" t="s">
        <v>3731</v>
      </c>
      <c r="G25" t="s">
        <v>3732</v>
      </c>
      <c r="H25" t="s">
        <v>3569</v>
      </c>
      <c r="I25" t="s">
        <v>3733</v>
      </c>
      <c r="J25" t="s">
        <v>3734</v>
      </c>
      <c r="K25" t="s">
        <v>3733</v>
      </c>
      <c r="T25" t="s">
        <v>3735</v>
      </c>
      <c r="U25" t="s">
        <v>3573</v>
      </c>
      <c r="Y25" t="s">
        <v>3736</v>
      </c>
      <c r="Z25" t="s">
        <v>3575</v>
      </c>
      <c r="AA25" t="s">
        <v>3576</v>
      </c>
      <c r="AB25" t="s">
        <v>3576</v>
      </c>
      <c r="AC25" t="s">
        <v>3575</v>
      </c>
      <c r="AD25" t="s">
        <v>3737</v>
      </c>
      <c r="AE25" t="s">
        <v>3738</v>
      </c>
      <c r="AF25" t="s">
        <v>3583</v>
      </c>
      <c r="AG25" t="s">
        <v>3580</v>
      </c>
      <c r="AH25" t="s">
        <v>3581</v>
      </c>
      <c r="AI25" t="s">
        <v>3582</v>
      </c>
      <c r="AM25" t="s">
        <v>3583</v>
      </c>
      <c r="AN25" t="s">
        <v>3739</v>
      </c>
      <c r="AO25" t="s">
        <v>3740</v>
      </c>
      <c r="AP25" t="s">
        <v>3735</v>
      </c>
      <c r="AQ25" t="s">
        <v>3741</v>
      </c>
      <c r="AR25" t="s">
        <v>3742</v>
      </c>
      <c r="AS25" t="s">
        <v>3743</v>
      </c>
      <c r="AV25" t="s">
        <v>3638</v>
      </c>
      <c r="AW25" t="s">
        <v>3639</v>
      </c>
      <c r="AX25" t="s">
        <v>3744</v>
      </c>
      <c r="AZ25">
        <v>51.256</v>
      </c>
      <c r="BA25">
        <v>113</v>
      </c>
      <c r="BB25" t="s">
        <v>3599</v>
      </c>
      <c r="BC25" s="36" t="s">
        <v>3748</v>
      </c>
      <c r="BE25" t="s">
        <v>3642</v>
      </c>
      <c r="BF25" t="s">
        <v>3643</v>
      </c>
      <c r="BG25" t="s">
        <v>3746</v>
      </c>
      <c r="BH25" t="s">
        <v>3749</v>
      </c>
      <c r="BL25" t="s">
        <v>3598</v>
      </c>
      <c r="BS25" t="str">
        <v>Inbound</v>
      </c>
      <c r="BT25" t="str">
        <v>Land</v>
      </c>
      <c r="BU25" t="str">
        <v>RM-J-1325LI26</v>
      </c>
      <c r="BV25" t="str">
        <v>M19</v>
      </c>
      <c r="BW25" t="str">
        <v>1204-5YY0012</v>
      </c>
      <c r="BX25">
        <v>14.19</v>
      </c>
      <c r="BY25" s="38">
        <f t="shared" si="1"/>
        <v>1.6174257967446311E-2</v>
      </c>
      <c r="BZ25" s="21">
        <f t="shared" si="2"/>
        <v>19.409109560935573</v>
      </c>
    </row>
    <row r="26" spans="2:78" x14ac:dyDescent="0.35">
      <c r="B26" t="s">
        <v>4190</v>
      </c>
      <c r="C26" t="s">
        <v>262</v>
      </c>
      <c r="D26" t="str" cm="1">
        <f t="array" ref="D26">_xlfn.REGEXEXTRACT(F26,"\w?\w-J-\d{4}LI\d{2}")</f>
        <v>RM-J-1339LI26</v>
      </c>
      <c r="E26" t="s">
        <v>295</v>
      </c>
      <c r="F26" t="s">
        <v>3750</v>
      </c>
      <c r="G26" t="s">
        <v>3751</v>
      </c>
      <c r="H26" t="s">
        <v>3569</v>
      </c>
      <c r="I26" t="s">
        <v>3752</v>
      </c>
      <c r="J26" t="s">
        <v>3753</v>
      </c>
      <c r="K26" t="s">
        <v>3752</v>
      </c>
      <c r="T26" t="s">
        <v>3754</v>
      </c>
      <c r="U26" t="s">
        <v>3573</v>
      </c>
      <c r="Y26" t="s">
        <v>3755</v>
      </c>
      <c r="Z26" t="s">
        <v>3575</v>
      </c>
      <c r="AA26" t="s">
        <v>3576</v>
      </c>
      <c r="AB26" t="s">
        <v>3576</v>
      </c>
      <c r="AC26" t="s">
        <v>3575</v>
      </c>
      <c r="AD26" t="s">
        <v>3737</v>
      </c>
      <c r="AE26" t="s">
        <v>3738</v>
      </c>
      <c r="AF26" t="s">
        <v>3599</v>
      </c>
      <c r="AG26" t="s">
        <v>3580</v>
      </c>
      <c r="AH26" t="s">
        <v>3581</v>
      </c>
      <c r="AI26" t="s">
        <v>3582</v>
      </c>
      <c r="AM26" t="s">
        <v>3583</v>
      </c>
      <c r="AN26" t="s">
        <v>3756</v>
      </c>
      <c r="AO26" t="s">
        <v>3757</v>
      </c>
      <c r="AP26" t="s">
        <v>3742</v>
      </c>
      <c r="AQ26" t="s">
        <v>3758</v>
      </c>
      <c r="AR26" t="s">
        <v>3701</v>
      </c>
      <c r="AS26" t="s">
        <v>3759</v>
      </c>
      <c r="AU26" t="s">
        <v>3760</v>
      </c>
      <c r="AV26" t="s">
        <v>3590</v>
      </c>
      <c r="AW26" t="s">
        <v>3591</v>
      </c>
      <c r="AX26" t="s">
        <v>3761</v>
      </c>
      <c r="AZ26">
        <v>17</v>
      </c>
      <c r="BA26">
        <v>37.478999999999999</v>
      </c>
      <c r="BB26" t="s">
        <v>3583</v>
      </c>
      <c r="BC26" s="36" t="s">
        <v>3762</v>
      </c>
      <c r="BD26" t="s">
        <v>3763</v>
      </c>
      <c r="BE26" t="s">
        <v>3594</v>
      </c>
      <c r="BF26" t="s">
        <v>3595</v>
      </c>
      <c r="BG26" t="s">
        <v>3646</v>
      </c>
      <c r="BH26" t="s">
        <v>3764</v>
      </c>
      <c r="BL26" t="s">
        <v>3598</v>
      </c>
      <c r="BS26" t="str">
        <v>Inbound</v>
      </c>
      <c r="BT26" t="str">
        <v>Land</v>
      </c>
      <c r="BU26" t="str">
        <v>RM-J-1325LI26</v>
      </c>
      <c r="BV26" t="str">
        <v>Miscelaneus</v>
      </c>
      <c r="BW26" t="str">
        <v>32560</v>
      </c>
      <c r="BX26">
        <v>1.361</v>
      </c>
      <c r="BY26" s="38">
        <f t="shared" si="1"/>
        <v>1.5513153695344911E-3</v>
      </c>
      <c r="BZ26" s="21">
        <f t="shared" si="2"/>
        <v>1.8615784434413893</v>
      </c>
    </row>
    <row r="27" spans="2:78" x14ac:dyDescent="0.35">
      <c r="B27" t="s">
        <v>4190</v>
      </c>
      <c r="C27" t="s">
        <v>262</v>
      </c>
      <c r="D27" t="str" cm="1">
        <f t="array" ref="D27">_xlfn.REGEXEXTRACT(F27,"\w?\w-J-\d{4}LI\d{2}")</f>
        <v>RM-J-1339LI26</v>
      </c>
      <c r="E27" t="s">
        <v>299</v>
      </c>
      <c r="F27" t="s">
        <v>3750</v>
      </c>
      <c r="G27" t="s">
        <v>3751</v>
      </c>
      <c r="H27" t="s">
        <v>3569</v>
      </c>
      <c r="I27" t="s">
        <v>3752</v>
      </c>
      <c r="J27" t="s">
        <v>3753</v>
      </c>
      <c r="K27" t="s">
        <v>3752</v>
      </c>
      <c r="T27" t="s">
        <v>3754</v>
      </c>
      <c r="U27" t="s">
        <v>3573</v>
      </c>
      <c r="Y27" t="s">
        <v>3755</v>
      </c>
      <c r="Z27" t="s">
        <v>3575</v>
      </c>
      <c r="AA27" t="s">
        <v>3576</v>
      </c>
      <c r="AB27" t="s">
        <v>3576</v>
      </c>
      <c r="AC27" t="s">
        <v>3575</v>
      </c>
      <c r="AD27" t="s">
        <v>3737</v>
      </c>
      <c r="AE27" t="s">
        <v>3738</v>
      </c>
      <c r="AF27" t="s">
        <v>3599</v>
      </c>
      <c r="AG27" t="s">
        <v>3580</v>
      </c>
      <c r="AH27" t="s">
        <v>3581</v>
      </c>
      <c r="AI27" t="s">
        <v>3582</v>
      </c>
      <c r="AM27" t="s">
        <v>3583</v>
      </c>
      <c r="AN27" t="s">
        <v>3756</v>
      </c>
      <c r="AO27" t="s">
        <v>3757</v>
      </c>
      <c r="AP27" t="s">
        <v>3742</v>
      </c>
      <c r="AQ27" t="s">
        <v>3765</v>
      </c>
      <c r="AR27" t="s">
        <v>3766</v>
      </c>
      <c r="AS27" t="s">
        <v>3767</v>
      </c>
      <c r="AU27" t="s">
        <v>3760</v>
      </c>
      <c r="AV27" t="s">
        <v>3590</v>
      </c>
      <c r="AW27" t="s">
        <v>3591</v>
      </c>
      <c r="AX27" t="s">
        <v>3761</v>
      </c>
      <c r="AZ27">
        <v>106.32</v>
      </c>
      <c r="BA27">
        <v>234.39500000000001</v>
      </c>
      <c r="BB27" t="s">
        <v>3583</v>
      </c>
      <c r="BC27" s="36" t="s">
        <v>3593</v>
      </c>
      <c r="BE27" t="s">
        <v>3594</v>
      </c>
      <c r="BF27" t="s">
        <v>3595</v>
      </c>
      <c r="BG27" t="s">
        <v>3646</v>
      </c>
      <c r="BH27" t="s">
        <v>3768</v>
      </c>
      <c r="BL27" t="s">
        <v>3598</v>
      </c>
      <c r="BS27" t="str">
        <v>Inbound</v>
      </c>
      <c r="BT27" t="str">
        <v>Land</v>
      </c>
      <c r="BU27" t="str">
        <v>RM-J-1339LI26</v>
      </c>
      <c r="BV27" t="str">
        <v>M23</v>
      </c>
      <c r="BW27" t="str">
        <v>0081-1000096</v>
      </c>
      <c r="BX27">
        <v>17</v>
      </c>
      <c r="BY27" s="38">
        <f t="shared" si="1"/>
        <v>1.8544165220221772E-3</v>
      </c>
      <c r="BZ27" s="21">
        <f t="shared" si="2"/>
        <v>2.2252998264266126</v>
      </c>
    </row>
    <row r="28" spans="2:78" x14ac:dyDescent="0.35">
      <c r="B28" t="s">
        <v>4190</v>
      </c>
      <c r="C28" t="s">
        <v>262</v>
      </c>
      <c r="D28" t="str" cm="1">
        <f t="array" ref="D28">_xlfn.REGEXEXTRACT(F28,"\w?\w-J-\d{4}LI\d{2}")</f>
        <v>RM-J-1339LI26</v>
      </c>
      <c r="E28" t="s">
        <v>296</v>
      </c>
      <c r="F28" t="s">
        <v>3750</v>
      </c>
      <c r="G28" t="s">
        <v>3751</v>
      </c>
      <c r="H28" t="s">
        <v>3569</v>
      </c>
      <c r="I28" t="s">
        <v>3752</v>
      </c>
      <c r="J28" t="s">
        <v>3753</v>
      </c>
      <c r="K28" t="s">
        <v>3752</v>
      </c>
      <c r="T28" t="s">
        <v>3754</v>
      </c>
      <c r="U28" t="s">
        <v>3573</v>
      </c>
      <c r="Y28" t="s">
        <v>3755</v>
      </c>
      <c r="Z28" t="s">
        <v>3575</v>
      </c>
      <c r="AA28" t="s">
        <v>3576</v>
      </c>
      <c r="AB28" t="s">
        <v>3576</v>
      </c>
      <c r="AC28" t="s">
        <v>3575</v>
      </c>
      <c r="AD28" t="s">
        <v>3737</v>
      </c>
      <c r="AE28" t="s">
        <v>3738</v>
      </c>
      <c r="AF28" t="s">
        <v>3599</v>
      </c>
      <c r="AG28" t="s">
        <v>3580</v>
      </c>
      <c r="AH28" t="s">
        <v>3581</v>
      </c>
      <c r="AI28" t="s">
        <v>3582</v>
      </c>
      <c r="AM28" t="s">
        <v>3583</v>
      </c>
      <c r="AN28" t="s">
        <v>3756</v>
      </c>
      <c r="AO28" t="s">
        <v>3757</v>
      </c>
      <c r="AP28" t="s">
        <v>3742</v>
      </c>
      <c r="AQ28" t="s">
        <v>3769</v>
      </c>
      <c r="AR28" t="s">
        <v>3766</v>
      </c>
      <c r="AS28" t="s">
        <v>3770</v>
      </c>
      <c r="AU28" t="s">
        <v>3760</v>
      </c>
      <c r="AV28" t="s">
        <v>3590</v>
      </c>
      <c r="AW28" t="s">
        <v>3591</v>
      </c>
      <c r="AX28" t="s">
        <v>3761</v>
      </c>
      <c r="AZ28">
        <v>17</v>
      </c>
      <c r="BA28">
        <v>37.478999999999999</v>
      </c>
      <c r="BB28" t="s">
        <v>3583</v>
      </c>
      <c r="BC28" s="36" t="s">
        <v>3771</v>
      </c>
      <c r="BE28" t="s">
        <v>3594</v>
      </c>
      <c r="BF28" t="s">
        <v>3595</v>
      </c>
      <c r="BG28" t="s">
        <v>3583</v>
      </c>
      <c r="BH28" t="s">
        <v>3772</v>
      </c>
      <c r="BL28" t="s">
        <v>3598</v>
      </c>
      <c r="BS28" t="str">
        <v>Inbound</v>
      </c>
      <c r="BT28" t="str">
        <v>Land</v>
      </c>
      <c r="BU28" t="str">
        <v>RM-J-1339LI26</v>
      </c>
      <c r="BV28" t="str">
        <v>M19</v>
      </c>
      <c r="BW28" t="str">
        <v>0081-1000095</v>
      </c>
      <c r="BX28">
        <v>106.32</v>
      </c>
      <c r="BY28" s="38">
        <f t="shared" si="1"/>
        <v>1.1597739095376345E-2</v>
      </c>
      <c r="BZ28" s="21">
        <f t="shared" si="2"/>
        <v>13.917286914451614</v>
      </c>
    </row>
    <row r="29" spans="2:78" x14ac:dyDescent="0.35">
      <c r="B29" t="s">
        <v>4190</v>
      </c>
      <c r="C29" t="s">
        <v>262</v>
      </c>
      <c r="D29" t="str" cm="1">
        <f t="array" ref="D29">_xlfn.REGEXEXTRACT(F29,"\w?\w-J-\d{4}LI\d{2}")</f>
        <v>RM-J-1339LI26</v>
      </c>
      <c r="E29" t="s">
        <v>299</v>
      </c>
      <c r="F29" t="s">
        <v>3750</v>
      </c>
      <c r="G29" t="s">
        <v>3751</v>
      </c>
      <c r="H29" t="s">
        <v>3569</v>
      </c>
      <c r="I29" t="s">
        <v>3752</v>
      </c>
      <c r="J29" t="s">
        <v>3753</v>
      </c>
      <c r="K29" t="s">
        <v>3752</v>
      </c>
      <c r="T29" t="s">
        <v>3754</v>
      </c>
      <c r="U29" t="s">
        <v>3573</v>
      </c>
      <c r="Y29" t="s">
        <v>3755</v>
      </c>
      <c r="Z29" t="s">
        <v>3575</v>
      </c>
      <c r="AA29" t="s">
        <v>3576</v>
      </c>
      <c r="AB29" t="s">
        <v>3576</v>
      </c>
      <c r="AC29" t="s">
        <v>3575</v>
      </c>
      <c r="AD29" t="s">
        <v>3737</v>
      </c>
      <c r="AE29" t="s">
        <v>3738</v>
      </c>
      <c r="AF29" t="s">
        <v>3773</v>
      </c>
      <c r="AG29" t="s">
        <v>3580</v>
      </c>
      <c r="AH29" t="s">
        <v>3581</v>
      </c>
      <c r="AI29" t="s">
        <v>3582</v>
      </c>
      <c r="AM29" t="s">
        <v>3583</v>
      </c>
      <c r="AN29" t="s">
        <v>3756</v>
      </c>
      <c r="AO29" t="s">
        <v>3774</v>
      </c>
      <c r="AP29" t="s">
        <v>3587</v>
      </c>
      <c r="AQ29" t="s">
        <v>3775</v>
      </c>
      <c r="AR29" t="s">
        <v>3776</v>
      </c>
      <c r="AS29" t="s">
        <v>3777</v>
      </c>
      <c r="AU29" t="s">
        <v>3778</v>
      </c>
      <c r="AV29" t="s">
        <v>3779</v>
      </c>
      <c r="AW29" t="s">
        <v>3780</v>
      </c>
      <c r="AX29" t="s">
        <v>3781</v>
      </c>
      <c r="AZ29">
        <v>100</v>
      </c>
      <c r="BA29">
        <v>220.46199999999999</v>
      </c>
      <c r="BB29" t="s">
        <v>3583</v>
      </c>
      <c r="BC29" s="36" t="s">
        <v>3783</v>
      </c>
      <c r="BD29" t="s">
        <v>3763</v>
      </c>
      <c r="BE29" t="s">
        <v>3784</v>
      </c>
      <c r="BF29" t="s">
        <v>3785</v>
      </c>
      <c r="BG29" t="s">
        <v>3782</v>
      </c>
      <c r="BH29" t="s">
        <v>3786</v>
      </c>
      <c r="BL29" t="s">
        <v>3598</v>
      </c>
      <c r="BS29" t="str">
        <v>Inbound</v>
      </c>
      <c r="BT29" t="str">
        <v>Land</v>
      </c>
      <c r="BU29" t="str">
        <v>RM-J-1339LI26</v>
      </c>
      <c r="BV29" t="str">
        <v>M45</v>
      </c>
      <c r="BW29" t="str">
        <v>0081-1010033</v>
      </c>
      <c r="BX29">
        <v>17</v>
      </c>
      <c r="BY29" s="38">
        <f t="shared" si="1"/>
        <v>1.8544165220221772E-3</v>
      </c>
      <c r="BZ29" s="21">
        <f t="shared" si="2"/>
        <v>2.2252998264266126</v>
      </c>
    </row>
    <row r="30" spans="2:78" x14ac:dyDescent="0.35">
      <c r="B30" t="s">
        <v>4190</v>
      </c>
      <c r="C30" t="s">
        <v>262</v>
      </c>
      <c r="D30" t="str" cm="1">
        <f t="array" ref="D30">_xlfn.REGEXEXTRACT(F30,"\w?\w-J-\d{4}LI\d{2}")</f>
        <v>RM-J-1339LI26</v>
      </c>
      <c r="E30" t="s">
        <v>296</v>
      </c>
      <c r="F30" t="s">
        <v>3750</v>
      </c>
      <c r="G30" t="s">
        <v>3751</v>
      </c>
      <c r="H30" t="s">
        <v>3569</v>
      </c>
      <c r="I30" t="s">
        <v>3752</v>
      </c>
      <c r="J30" t="s">
        <v>3753</v>
      </c>
      <c r="K30" t="s">
        <v>3752</v>
      </c>
      <c r="T30" t="s">
        <v>3754</v>
      </c>
      <c r="U30" t="s">
        <v>3573</v>
      </c>
      <c r="Y30" t="s">
        <v>3755</v>
      </c>
      <c r="Z30" t="s">
        <v>3575</v>
      </c>
      <c r="AA30" t="s">
        <v>3576</v>
      </c>
      <c r="AB30" t="s">
        <v>3576</v>
      </c>
      <c r="AC30" t="s">
        <v>3575</v>
      </c>
      <c r="AD30" t="s">
        <v>3737</v>
      </c>
      <c r="AE30" t="s">
        <v>3738</v>
      </c>
      <c r="AF30" t="s">
        <v>3619</v>
      </c>
      <c r="AG30" t="s">
        <v>3580</v>
      </c>
      <c r="AH30" t="s">
        <v>3581</v>
      </c>
      <c r="AI30" t="s">
        <v>3582</v>
      </c>
      <c r="AM30" t="s">
        <v>3583</v>
      </c>
      <c r="AN30" t="s">
        <v>3756</v>
      </c>
      <c r="AO30" t="s">
        <v>3787</v>
      </c>
      <c r="AP30" t="s">
        <v>3788</v>
      </c>
      <c r="AQ30" t="s">
        <v>3789</v>
      </c>
      <c r="AR30" t="s">
        <v>3686</v>
      </c>
      <c r="AS30" t="s">
        <v>3790</v>
      </c>
      <c r="AU30" t="s">
        <v>3791</v>
      </c>
      <c r="AV30" t="s">
        <v>3792</v>
      </c>
      <c r="AW30" t="s">
        <v>3793</v>
      </c>
      <c r="AX30" t="s">
        <v>3794</v>
      </c>
      <c r="AZ30">
        <v>95.28</v>
      </c>
      <c r="BA30">
        <v>210.05600000000001</v>
      </c>
      <c r="BB30" t="s">
        <v>3583</v>
      </c>
      <c r="BC30" s="36" t="s">
        <v>3795</v>
      </c>
      <c r="BE30" t="s">
        <v>3796</v>
      </c>
      <c r="BF30" t="s">
        <v>3797</v>
      </c>
      <c r="BG30" t="s">
        <v>3663</v>
      </c>
      <c r="BH30" t="s">
        <v>3798</v>
      </c>
      <c r="BL30" t="s">
        <v>3598</v>
      </c>
      <c r="BS30" t="str">
        <v>Inbound</v>
      </c>
      <c r="BT30" t="str">
        <v>Land</v>
      </c>
      <c r="BU30" t="str">
        <v>RM-J-1339LI26</v>
      </c>
      <c r="BV30" t="str">
        <v>M19</v>
      </c>
      <c r="BW30" t="str">
        <v>0081-1000098</v>
      </c>
      <c r="BX30">
        <v>100</v>
      </c>
      <c r="BY30" s="38">
        <f t="shared" si="1"/>
        <v>1.0908332482483395E-2</v>
      </c>
      <c r="BZ30" s="21">
        <f t="shared" si="2"/>
        <v>13.089998978980073</v>
      </c>
    </row>
    <row r="31" spans="2:78" x14ac:dyDescent="0.35">
      <c r="B31" t="s">
        <v>4190</v>
      </c>
      <c r="C31" t="s">
        <v>262</v>
      </c>
      <c r="D31" t="str" cm="1">
        <f t="array" ref="D31">_xlfn.REGEXEXTRACT(F31,"\w?\w-J-\d{4}LI\d{2}")</f>
        <v>RM-J-1339LI26</v>
      </c>
      <c r="E31" t="s">
        <v>298</v>
      </c>
      <c r="F31" t="s">
        <v>3750</v>
      </c>
      <c r="G31" t="s">
        <v>3751</v>
      </c>
      <c r="H31" t="s">
        <v>3569</v>
      </c>
      <c r="I31" t="s">
        <v>3752</v>
      </c>
      <c r="J31" t="s">
        <v>3753</v>
      </c>
      <c r="K31" t="s">
        <v>3752</v>
      </c>
      <c r="T31" t="s">
        <v>3754</v>
      </c>
      <c r="U31" t="s">
        <v>3573</v>
      </c>
      <c r="Y31" t="s">
        <v>3755</v>
      </c>
      <c r="Z31" t="s">
        <v>3575</v>
      </c>
      <c r="AA31" t="s">
        <v>3576</v>
      </c>
      <c r="AB31" t="s">
        <v>3576</v>
      </c>
      <c r="AC31" t="s">
        <v>3575</v>
      </c>
      <c r="AD31" t="s">
        <v>3737</v>
      </c>
      <c r="AE31" t="s">
        <v>3738</v>
      </c>
      <c r="AF31" t="s">
        <v>3605</v>
      </c>
      <c r="AG31" t="s">
        <v>3580</v>
      </c>
      <c r="AH31" t="s">
        <v>3581</v>
      </c>
      <c r="AI31" t="s">
        <v>3582</v>
      </c>
      <c r="AM31" t="s">
        <v>3599</v>
      </c>
      <c r="AN31" t="s">
        <v>3756</v>
      </c>
      <c r="AO31" t="s">
        <v>3799</v>
      </c>
      <c r="AP31" t="s">
        <v>3602</v>
      </c>
      <c r="AQ31" t="s">
        <v>3800</v>
      </c>
      <c r="AR31" t="s">
        <v>3587</v>
      </c>
      <c r="AS31" t="s">
        <v>3801</v>
      </c>
      <c r="AU31" t="s">
        <v>3802</v>
      </c>
      <c r="AV31" t="s">
        <v>3803</v>
      </c>
      <c r="AW31" t="s">
        <v>3804</v>
      </c>
      <c r="AX31" t="s">
        <v>3805</v>
      </c>
      <c r="AZ31">
        <v>2000</v>
      </c>
      <c r="BA31">
        <v>4409.2449999999999</v>
      </c>
      <c r="BB31" t="s">
        <v>3583</v>
      </c>
      <c r="BC31" s="36" t="s">
        <v>3807</v>
      </c>
      <c r="BE31" t="s">
        <v>3808</v>
      </c>
      <c r="BF31" t="s">
        <v>3809</v>
      </c>
      <c r="BG31" t="s">
        <v>3806</v>
      </c>
      <c r="BH31" t="s">
        <v>3810</v>
      </c>
      <c r="BL31" t="s">
        <v>3598</v>
      </c>
      <c r="BS31" t="str">
        <v>Inbound</v>
      </c>
      <c r="BT31" t="str">
        <v>Land</v>
      </c>
      <c r="BU31" t="str">
        <v>RM-J-1339LI26</v>
      </c>
      <c r="BV31" t="str">
        <v>M45</v>
      </c>
      <c r="BW31" t="str">
        <v>RMOLOM350</v>
      </c>
      <c r="BX31">
        <v>95.28</v>
      </c>
      <c r="BY31" s="38">
        <f t="shared" si="1"/>
        <v>1.0393459189310179E-2</v>
      </c>
      <c r="BZ31" s="21">
        <f t="shared" si="2"/>
        <v>12.472151027172215</v>
      </c>
    </row>
    <row r="32" spans="2:78" x14ac:dyDescent="0.35">
      <c r="B32" t="s">
        <v>4190</v>
      </c>
      <c r="C32" t="s">
        <v>262</v>
      </c>
      <c r="D32" t="str" cm="1">
        <f t="array" ref="D32">_xlfn.REGEXEXTRACT(F32,"\w?\w-J-\d{4}LI\d{2}")</f>
        <v>RM-J-1339LI26</v>
      </c>
      <c r="E32" t="s">
        <v>298</v>
      </c>
      <c r="F32" t="s">
        <v>3750</v>
      </c>
      <c r="G32" t="s">
        <v>3751</v>
      </c>
      <c r="H32" t="s">
        <v>3569</v>
      </c>
      <c r="I32" t="s">
        <v>3752</v>
      </c>
      <c r="J32" t="s">
        <v>3753</v>
      </c>
      <c r="K32" t="s">
        <v>3752</v>
      </c>
      <c r="T32" t="s">
        <v>3754</v>
      </c>
      <c r="U32" t="s">
        <v>3573</v>
      </c>
      <c r="Y32" t="s">
        <v>3755</v>
      </c>
      <c r="Z32" t="s">
        <v>3575</v>
      </c>
      <c r="AA32" t="s">
        <v>3576</v>
      </c>
      <c r="AB32" t="s">
        <v>3576</v>
      </c>
      <c r="AC32" t="s">
        <v>3575</v>
      </c>
      <c r="AD32" t="s">
        <v>3737</v>
      </c>
      <c r="AE32" t="s">
        <v>3738</v>
      </c>
      <c r="AF32" t="s">
        <v>3605</v>
      </c>
      <c r="AG32" t="s">
        <v>3580</v>
      </c>
      <c r="AH32" t="s">
        <v>3581</v>
      </c>
      <c r="AI32" t="s">
        <v>3582</v>
      </c>
      <c r="AM32" t="s">
        <v>3599</v>
      </c>
      <c r="AN32" t="s">
        <v>3756</v>
      </c>
      <c r="AO32" t="s">
        <v>3799</v>
      </c>
      <c r="AP32" t="s">
        <v>3602</v>
      </c>
      <c r="AQ32" t="s">
        <v>3811</v>
      </c>
      <c r="AR32" t="s">
        <v>3742</v>
      </c>
      <c r="AS32" t="s">
        <v>3812</v>
      </c>
      <c r="AU32" t="s">
        <v>3802</v>
      </c>
      <c r="AV32" t="s">
        <v>3803</v>
      </c>
      <c r="AW32" t="s">
        <v>3804</v>
      </c>
      <c r="AX32" t="s">
        <v>3805</v>
      </c>
      <c r="AZ32">
        <v>3000</v>
      </c>
      <c r="BA32">
        <v>6613.8680000000004</v>
      </c>
      <c r="BB32" t="s">
        <v>3583</v>
      </c>
      <c r="BC32" s="36" t="s">
        <v>3814</v>
      </c>
      <c r="BE32" t="s">
        <v>3808</v>
      </c>
      <c r="BF32" t="s">
        <v>3809</v>
      </c>
      <c r="BG32" t="s">
        <v>3813</v>
      </c>
      <c r="BH32" t="s">
        <v>3815</v>
      </c>
      <c r="BL32" t="s">
        <v>3598</v>
      </c>
      <c r="BS32" t="str">
        <v>Inbound</v>
      </c>
      <c r="BT32" t="str">
        <v>Land</v>
      </c>
      <c r="BU32" t="str">
        <v>RM-J-1339LI26</v>
      </c>
      <c r="BV32" t="str">
        <v>M46</v>
      </c>
      <c r="BW32" t="str">
        <v>0070-M010001</v>
      </c>
      <c r="BX32">
        <v>2000</v>
      </c>
      <c r="BY32" s="38">
        <f t="shared" si="1"/>
        <v>0.21816664964966789</v>
      </c>
      <c r="BZ32" s="21">
        <f t="shared" si="2"/>
        <v>261.79997957960148</v>
      </c>
    </row>
    <row r="33" spans="2:78" x14ac:dyDescent="0.35">
      <c r="B33" t="s">
        <v>4190</v>
      </c>
      <c r="C33" t="s">
        <v>262</v>
      </c>
      <c r="D33" t="str" cm="1">
        <f t="array" ref="D33">_xlfn.REGEXEXTRACT(F33,"\w?\w-J-\d{4}LI\d{2}")</f>
        <v>RM-J-1339LI26</v>
      </c>
      <c r="E33" t="s">
        <v>299</v>
      </c>
      <c r="F33" t="s">
        <v>3750</v>
      </c>
      <c r="G33" t="s">
        <v>3751</v>
      </c>
      <c r="H33" t="s">
        <v>3569</v>
      </c>
      <c r="I33" t="s">
        <v>3752</v>
      </c>
      <c r="J33" t="s">
        <v>3753</v>
      </c>
      <c r="K33" t="s">
        <v>3752</v>
      </c>
      <c r="T33" t="s">
        <v>3754</v>
      </c>
      <c r="U33" t="s">
        <v>3573</v>
      </c>
      <c r="Y33" t="s">
        <v>3755</v>
      </c>
      <c r="Z33" t="s">
        <v>3575</v>
      </c>
      <c r="AA33" t="s">
        <v>3576</v>
      </c>
      <c r="AB33" t="s">
        <v>3576</v>
      </c>
      <c r="AC33" t="s">
        <v>3575</v>
      </c>
      <c r="AD33" t="s">
        <v>3737</v>
      </c>
      <c r="AE33" t="s">
        <v>3738</v>
      </c>
      <c r="AF33" t="s">
        <v>3816</v>
      </c>
      <c r="AG33" t="s">
        <v>3580</v>
      </c>
      <c r="AH33" t="s">
        <v>3581</v>
      </c>
      <c r="AI33" t="s">
        <v>3582</v>
      </c>
      <c r="AM33" t="s">
        <v>3599</v>
      </c>
      <c r="AN33" t="s">
        <v>3756</v>
      </c>
      <c r="AO33" t="s">
        <v>3817</v>
      </c>
      <c r="AP33" t="s">
        <v>3742</v>
      </c>
      <c r="AQ33" t="s">
        <v>3818</v>
      </c>
      <c r="AR33" t="s">
        <v>3819</v>
      </c>
      <c r="AS33" t="s">
        <v>3667</v>
      </c>
      <c r="AU33" t="s">
        <v>3820</v>
      </c>
      <c r="AV33" t="s">
        <v>3669</v>
      </c>
      <c r="AW33" t="s">
        <v>3670</v>
      </c>
      <c r="AX33" t="s">
        <v>3821</v>
      </c>
      <c r="AZ33">
        <v>14.19</v>
      </c>
      <c r="BA33">
        <v>31.283999999999999</v>
      </c>
      <c r="BB33" t="s">
        <v>3583</v>
      </c>
      <c r="BC33" s="36" t="s">
        <v>3672</v>
      </c>
      <c r="BE33" t="s">
        <v>3673</v>
      </c>
      <c r="BF33" t="s">
        <v>3674</v>
      </c>
      <c r="BG33" t="s">
        <v>3675</v>
      </c>
      <c r="BH33" t="s">
        <v>3676</v>
      </c>
      <c r="BL33" t="s">
        <v>3598</v>
      </c>
      <c r="BS33" t="str">
        <v>Inbound</v>
      </c>
      <c r="BT33" t="str">
        <v>Land</v>
      </c>
      <c r="BU33" t="str">
        <v>RM-J-1339LI26</v>
      </c>
      <c r="BV33" t="str">
        <v>M46</v>
      </c>
      <c r="BW33" t="str">
        <v>0070-1100005-W</v>
      </c>
      <c r="BX33">
        <v>3000</v>
      </c>
      <c r="BY33" s="38">
        <f t="shared" si="1"/>
        <v>0.32724997447450188</v>
      </c>
      <c r="BZ33" s="21">
        <f t="shared" si="2"/>
        <v>392.69996936940225</v>
      </c>
    </row>
    <row r="34" spans="2:78" x14ac:dyDescent="0.35">
      <c r="B34" t="s">
        <v>4190</v>
      </c>
      <c r="C34" t="s">
        <v>262</v>
      </c>
      <c r="D34" t="str" cm="1">
        <f t="array" ref="D34">_xlfn.REGEXEXTRACT(F34,"\w?\w-J-\d{4}LI\d{2}")</f>
        <v>RM-J-1339LI26</v>
      </c>
      <c r="E34" t="s">
        <v>296</v>
      </c>
      <c r="F34" t="s">
        <v>3750</v>
      </c>
      <c r="G34" t="s">
        <v>3751</v>
      </c>
      <c r="H34" t="s">
        <v>3569</v>
      </c>
      <c r="I34" t="s">
        <v>3752</v>
      </c>
      <c r="J34" t="s">
        <v>3753</v>
      </c>
      <c r="K34" t="s">
        <v>3752</v>
      </c>
      <c r="T34" t="s">
        <v>3754</v>
      </c>
      <c r="U34" t="s">
        <v>3573</v>
      </c>
      <c r="Y34" t="s">
        <v>3755</v>
      </c>
      <c r="Z34" t="s">
        <v>3575</v>
      </c>
      <c r="AA34" t="s">
        <v>3576</v>
      </c>
      <c r="AB34" t="s">
        <v>3576</v>
      </c>
      <c r="AC34" t="s">
        <v>3575</v>
      </c>
      <c r="AD34" t="s">
        <v>3737</v>
      </c>
      <c r="AE34" t="s">
        <v>3738</v>
      </c>
      <c r="AF34" t="s">
        <v>3663</v>
      </c>
      <c r="AG34" t="s">
        <v>3580</v>
      </c>
      <c r="AH34" t="s">
        <v>3581</v>
      </c>
      <c r="AI34" t="s">
        <v>3582</v>
      </c>
      <c r="AM34" t="s">
        <v>3596</v>
      </c>
      <c r="AN34" t="s">
        <v>3756</v>
      </c>
      <c r="AO34" t="s">
        <v>3822</v>
      </c>
      <c r="AP34" t="s">
        <v>3735</v>
      </c>
      <c r="AQ34" t="s">
        <v>3823</v>
      </c>
      <c r="AR34" t="s">
        <v>3621</v>
      </c>
      <c r="AS34" t="s">
        <v>3824</v>
      </c>
      <c r="AU34" t="s">
        <v>3825</v>
      </c>
      <c r="AV34" t="s">
        <v>3826</v>
      </c>
      <c r="AW34" t="s">
        <v>3827</v>
      </c>
      <c r="AX34" t="s">
        <v>3828</v>
      </c>
      <c r="AZ34">
        <v>498.952</v>
      </c>
      <c r="BA34">
        <v>1100</v>
      </c>
      <c r="BB34" t="s">
        <v>3583</v>
      </c>
      <c r="BC34" s="36" t="s">
        <v>3829</v>
      </c>
      <c r="BE34" t="s">
        <v>3830</v>
      </c>
      <c r="BF34" t="s">
        <v>3831</v>
      </c>
      <c r="BG34" t="s">
        <v>3832</v>
      </c>
      <c r="BH34" t="s">
        <v>3833</v>
      </c>
      <c r="BL34" t="s">
        <v>3598</v>
      </c>
      <c r="BS34" t="str">
        <v>Inbound</v>
      </c>
      <c r="BT34" t="str">
        <v>Land</v>
      </c>
      <c r="BU34" t="str">
        <v>RM-J-1339LI26</v>
      </c>
      <c r="BV34" t="str">
        <v>M19</v>
      </c>
      <c r="BW34" t="str">
        <v>1204-5YY0012</v>
      </c>
      <c r="BX34">
        <v>14.19</v>
      </c>
      <c r="BY34" s="38">
        <f t="shared" si="1"/>
        <v>1.5478923792643937E-3</v>
      </c>
      <c r="BZ34" s="21">
        <f t="shared" si="2"/>
        <v>1.8574708551172725</v>
      </c>
    </row>
    <row r="35" spans="2:78" x14ac:dyDescent="0.35">
      <c r="B35" t="s">
        <v>4190</v>
      </c>
      <c r="C35" t="s">
        <v>262</v>
      </c>
      <c r="D35" t="str" cm="1">
        <f t="array" ref="D35">_xlfn.REGEXEXTRACT(F35,"\w?\w-J-\d{4}LI\d{2}")</f>
        <v>RM-J-1339LI26</v>
      </c>
      <c r="E35" t="s">
        <v>296</v>
      </c>
      <c r="F35" t="s">
        <v>3750</v>
      </c>
      <c r="G35" t="s">
        <v>3751</v>
      </c>
      <c r="H35" t="s">
        <v>3569</v>
      </c>
      <c r="I35" t="s">
        <v>3752</v>
      </c>
      <c r="J35" t="s">
        <v>3753</v>
      </c>
      <c r="K35" t="s">
        <v>3752</v>
      </c>
      <c r="T35" t="s">
        <v>3754</v>
      </c>
      <c r="U35" t="s">
        <v>3573</v>
      </c>
      <c r="Y35" t="s">
        <v>3755</v>
      </c>
      <c r="Z35" t="s">
        <v>3575</v>
      </c>
      <c r="AA35" t="s">
        <v>3576</v>
      </c>
      <c r="AB35" t="s">
        <v>3576</v>
      </c>
      <c r="AC35" t="s">
        <v>3575</v>
      </c>
      <c r="AD35" t="s">
        <v>3737</v>
      </c>
      <c r="AE35" t="s">
        <v>3738</v>
      </c>
      <c r="AF35" t="s">
        <v>3663</v>
      </c>
      <c r="AG35" t="s">
        <v>3580</v>
      </c>
      <c r="AH35" t="s">
        <v>3581</v>
      </c>
      <c r="AI35" t="s">
        <v>3582</v>
      </c>
      <c r="AM35" t="s">
        <v>3596</v>
      </c>
      <c r="AN35" t="s">
        <v>3756</v>
      </c>
      <c r="AO35" t="s">
        <v>3822</v>
      </c>
      <c r="AP35" t="s">
        <v>3735</v>
      </c>
      <c r="AQ35" t="s">
        <v>3823</v>
      </c>
      <c r="AR35" t="s">
        <v>3621</v>
      </c>
      <c r="AS35" t="s">
        <v>3824</v>
      </c>
      <c r="AU35" t="s">
        <v>3825</v>
      </c>
      <c r="AV35" t="s">
        <v>3826</v>
      </c>
      <c r="AW35" t="s">
        <v>3827</v>
      </c>
      <c r="AX35" t="s">
        <v>3828</v>
      </c>
      <c r="AZ35">
        <v>498.952</v>
      </c>
      <c r="BA35">
        <v>1100</v>
      </c>
      <c r="BB35" t="s">
        <v>3599</v>
      </c>
      <c r="BC35" s="36" t="s">
        <v>3834</v>
      </c>
      <c r="BE35" t="s">
        <v>3830</v>
      </c>
      <c r="BF35" t="s">
        <v>3831</v>
      </c>
      <c r="BG35" t="s">
        <v>3832</v>
      </c>
      <c r="BH35" t="s">
        <v>3833</v>
      </c>
      <c r="BL35" t="s">
        <v>3598</v>
      </c>
      <c r="BS35" t="str">
        <v>Inbound</v>
      </c>
      <c r="BT35" t="str">
        <v>Land</v>
      </c>
      <c r="BU35" t="str">
        <v>RM-J-1339LI26</v>
      </c>
      <c r="BV35" t="str">
        <v>M45</v>
      </c>
      <c r="BW35" t="str">
        <v>0061-V150018-N</v>
      </c>
      <c r="BX35">
        <v>498.952</v>
      </c>
      <c r="BY35" s="38">
        <f t="shared" si="1"/>
        <v>5.4427343088000547E-2</v>
      </c>
      <c r="BZ35" s="21">
        <f t="shared" si="2"/>
        <v>65.312811705600652</v>
      </c>
    </row>
    <row r="36" spans="2:78" x14ac:dyDescent="0.35">
      <c r="B36" t="s">
        <v>4190</v>
      </c>
      <c r="C36" t="s">
        <v>262</v>
      </c>
      <c r="D36" t="str" cm="1">
        <f t="array" ref="D36">_xlfn.REGEXEXTRACT(F36,"\w?\w-J-\d{4}LI\d{2}")</f>
        <v>RM-J-1339LI26</v>
      </c>
      <c r="E36" t="s">
        <v>296</v>
      </c>
      <c r="F36" t="s">
        <v>3750</v>
      </c>
      <c r="G36" t="s">
        <v>3751</v>
      </c>
      <c r="H36" t="s">
        <v>3569</v>
      </c>
      <c r="I36" t="s">
        <v>3752</v>
      </c>
      <c r="J36" t="s">
        <v>3753</v>
      </c>
      <c r="K36" t="s">
        <v>3752</v>
      </c>
      <c r="T36" t="s">
        <v>3754</v>
      </c>
      <c r="U36" t="s">
        <v>3573</v>
      </c>
      <c r="Y36" t="s">
        <v>3755</v>
      </c>
      <c r="Z36" t="s">
        <v>3575</v>
      </c>
      <c r="AA36" t="s">
        <v>3576</v>
      </c>
      <c r="AB36" t="s">
        <v>3576</v>
      </c>
      <c r="AC36" t="s">
        <v>3575</v>
      </c>
      <c r="AD36" t="s">
        <v>3737</v>
      </c>
      <c r="AE36" t="s">
        <v>3738</v>
      </c>
      <c r="AF36" t="s">
        <v>3663</v>
      </c>
      <c r="AG36" t="s">
        <v>3580</v>
      </c>
      <c r="AH36" t="s">
        <v>3581</v>
      </c>
      <c r="AI36" t="s">
        <v>3582</v>
      </c>
      <c r="AM36" t="s">
        <v>3596</v>
      </c>
      <c r="AN36" t="s">
        <v>3756</v>
      </c>
      <c r="AO36" t="s">
        <v>3822</v>
      </c>
      <c r="AP36" t="s">
        <v>3735</v>
      </c>
      <c r="AQ36" t="s">
        <v>3823</v>
      </c>
      <c r="AR36" t="s">
        <v>3621</v>
      </c>
      <c r="AS36" t="s">
        <v>3824</v>
      </c>
      <c r="AU36" t="s">
        <v>3825</v>
      </c>
      <c r="AV36" t="s">
        <v>3826</v>
      </c>
      <c r="AW36" t="s">
        <v>3827</v>
      </c>
      <c r="AX36" t="s">
        <v>3828</v>
      </c>
      <c r="AZ36">
        <v>498.952</v>
      </c>
      <c r="BA36">
        <v>1100</v>
      </c>
      <c r="BB36" t="s">
        <v>3596</v>
      </c>
      <c r="BC36" s="36" t="s">
        <v>3835</v>
      </c>
      <c r="BE36" t="s">
        <v>3830</v>
      </c>
      <c r="BF36" t="s">
        <v>3831</v>
      </c>
      <c r="BG36" t="s">
        <v>3836</v>
      </c>
      <c r="BH36" t="s">
        <v>3837</v>
      </c>
      <c r="BL36" t="s">
        <v>3598</v>
      </c>
      <c r="BS36" t="str">
        <v>Inbound</v>
      </c>
      <c r="BT36" t="str">
        <v>Land</v>
      </c>
      <c r="BU36" t="str">
        <v>RM-J-1339LI26</v>
      </c>
      <c r="BV36" t="str">
        <v>M45</v>
      </c>
      <c r="BW36" t="str">
        <v>0061-V150018-R</v>
      </c>
      <c r="BX36">
        <v>498.952</v>
      </c>
      <c r="BY36" s="38">
        <f t="shared" si="1"/>
        <v>5.4427343088000547E-2</v>
      </c>
      <c r="BZ36" s="21">
        <f t="shared" si="2"/>
        <v>65.312811705600652</v>
      </c>
    </row>
    <row r="37" spans="2:78" x14ac:dyDescent="0.35">
      <c r="B37" t="s">
        <v>4190</v>
      </c>
      <c r="C37" t="s">
        <v>262</v>
      </c>
      <c r="D37" t="str" cm="1">
        <f t="array" ref="D37">_xlfn.REGEXEXTRACT(F37,"\w?\w-J-\d{4}LI\d{2}")</f>
        <v>RM-J-1339LI26</v>
      </c>
      <c r="E37" t="s">
        <v>299</v>
      </c>
      <c r="F37" t="s">
        <v>3750</v>
      </c>
      <c r="G37" t="s">
        <v>3751</v>
      </c>
      <c r="H37" t="s">
        <v>3569</v>
      </c>
      <c r="I37" t="s">
        <v>3752</v>
      </c>
      <c r="J37" t="s">
        <v>3753</v>
      </c>
      <c r="K37" t="s">
        <v>3752</v>
      </c>
      <c r="T37" t="s">
        <v>3754</v>
      </c>
      <c r="U37" t="s">
        <v>3573</v>
      </c>
      <c r="Y37" t="s">
        <v>3755</v>
      </c>
      <c r="Z37" t="s">
        <v>3575</v>
      </c>
      <c r="AA37" t="s">
        <v>3576</v>
      </c>
      <c r="AB37" t="s">
        <v>3576</v>
      </c>
      <c r="AC37" t="s">
        <v>3575</v>
      </c>
      <c r="AD37" t="s">
        <v>3737</v>
      </c>
      <c r="AE37" t="s">
        <v>3738</v>
      </c>
      <c r="AF37" t="s">
        <v>3596</v>
      </c>
      <c r="AG37" t="s">
        <v>3580</v>
      </c>
      <c r="AH37" t="s">
        <v>3581</v>
      </c>
      <c r="AI37" t="s">
        <v>3582</v>
      </c>
      <c r="AM37" t="s">
        <v>3583</v>
      </c>
      <c r="AN37" t="s">
        <v>3756</v>
      </c>
      <c r="AO37" t="s">
        <v>3838</v>
      </c>
      <c r="AP37" t="s">
        <v>3742</v>
      </c>
      <c r="AQ37" t="s">
        <v>3839</v>
      </c>
      <c r="AR37" t="s">
        <v>3840</v>
      </c>
      <c r="AS37" t="s">
        <v>3841</v>
      </c>
      <c r="AU37" t="s">
        <v>3842</v>
      </c>
      <c r="AV37" t="s">
        <v>3843</v>
      </c>
      <c r="AW37" t="s">
        <v>3844</v>
      </c>
      <c r="AX37" t="s">
        <v>3845</v>
      </c>
      <c r="AZ37">
        <v>21.42</v>
      </c>
      <c r="BA37">
        <v>47.222999999999999</v>
      </c>
      <c r="BB37" t="s">
        <v>3583</v>
      </c>
      <c r="BC37" s="36" t="s">
        <v>3846</v>
      </c>
      <c r="BE37" t="s">
        <v>3847</v>
      </c>
      <c r="BF37" t="s">
        <v>3848</v>
      </c>
      <c r="BG37" t="s">
        <v>3836</v>
      </c>
      <c r="BH37" t="s">
        <v>3849</v>
      </c>
      <c r="BL37" t="s">
        <v>3598</v>
      </c>
      <c r="BS37" t="str">
        <v>Inbound</v>
      </c>
      <c r="BT37" t="str">
        <v>Land</v>
      </c>
      <c r="BU37" t="str">
        <v>RM-J-1339LI26</v>
      </c>
      <c r="BV37" t="str">
        <v>M45</v>
      </c>
      <c r="BW37" t="str">
        <v>0061-V150018-W</v>
      </c>
      <c r="BX37">
        <v>498.952</v>
      </c>
      <c r="BY37" s="38">
        <f t="shared" si="1"/>
        <v>5.4427343088000547E-2</v>
      </c>
      <c r="BZ37" s="21">
        <f t="shared" si="2"/>
        <v>65.312811705600652</v>
      </c>
    </row>
    <row r="38" spans="2:78" x14ac:dyDescent="0.35">
      <c r="B38" t="s">
        <v>4190</v>
      </c>
      <c r="C38" t="s">
        <v>262</v>
      </c>
      <c r="D38" t="str" cm="1">
        <f t="array" ref="D38">_xlfn.REGEXEXTRACT(F38,"\w?\w-J-\d{4}LI\d{2}")</f>
        <v>RM-J-1339LI26</v>
      </c>
      <c r="E38" t="s">
        <v>298</v>
      </c>
      <c r="F38" t="s">
        <v>3750</v>
      </c>
      <c r="G38" t="s">
        <v>3751</v>
      </c>
      <c r="H38" t="s">
        <v>3569</v>
      </c>
      <c r="I38" t="s">
        <v>3752</v>
      </c>
      <c r="J38" t="s">
        <v>3753</v>
      </c>
      <c r="K38" t="s">
        <v>3752</v>
      </c>
      <c r="T38" t="s">
        <v>3754</v>
      </c>
      <c r="U38" t="s">
        <v>3573</v>
      </c>
      <c r="Y38" t="s">
        <v>3755</v>
      </c>
      <c r="Z38" t="s">
        <v>3575</v>
      </c>
      <c r="AA38" t="s">
        <v>3576</v>
      </c>
      <c r="AB38" t="s">
        <v>3576</v>
      </c>
      <c r="AC38" t="s">
        <v>3575</v>
      </c>
      <c r="AD38" t="s">
        <v>3737</v>
      </c>
      <c r="AE38" t="s">
        <v>3738</v>
      </c>
      <c r="AF38" t="s">
        <v>3579</v>
      </c>
      <c r="AG38" t="s">
        <v>3580</v>
      </c>
      <c r="AH38" t="s">
        <v>3581</v>
      </c>
      <c r="AI38" t="s">
        <v>3582</v>
      </c>
      <c r="AM38" t="s">
        <v>3583</v>
      </c>
      <c r="AN38" t="s">
        <v>3756</v>
      </c>
      <c r="AO38" t="s">
        <v>3850</v>
      </c>
      <c r="AP38" t="s">
        <v>3735</v>
      </c>
      <c r="AQ38" t="s">
        <v>3851</v>
      </c>
      <c r="AR38" t="s">
        <v>3742</v>
      </c>
      <c r="AS38" t="s">
        <v>3852</v>
      </c>
      <c r="AU38" t="s">
        <v>3853</v>
      </c>
      <c r="AV38" t="s">
        <v>3638</v>
      </c>
      <c r="AW38" t="s">
        <v>3639</v>
      </c>
      <c r="AX38" t="s">
        <v>3854</v>
      </c>
      <c r="AZ38">
        <v>136.078</v>
      </c>
      <c r="BA38">
        <v>300</v>
      </c>
      <c r="BB38" t="s">
        <v>3583</v>
      </c>
      <c r="BC38" s="36" t="s">
        <v>3855</v>
      </c>
      <c r="BE38" t="s">
        <v>3642</v>
      </c>
      <c r="BF38" t="s">
        <v>3856</v>
      </c>
      <c r="BG38" t="s">
        <v>3644</v>
      </c>
      <c r="BH38" t="s">
        <v>3857</v>
      </c>
      <c r="BL38" t="s">
        <v>3598</v>
      </c>
      <c r="BS38" t="str">
        <v>Inbound</v>
      </c>
      <c r="BT38" t="str">
        <v>Land</v>
      </c>
      <c r="BU38" t="str">
        <v>RM-J-1339LI26</v>
      </c>
      <c r="BV38" t="str">
        <v>M19</v>
      </c>
      <c r="BW38" t="str">
        <v>1474-5YY0005</v>
      </c>
      <c r="BX38">
        <v>21.42</v>
      </c>
      <c r="BY38" s="38">
        <f t="shared" si="1"/>
        <v>2.3365648177479433E-3</v>
      </c>
      <c r="BZ38" s="21">
        <f t="shared" si="2"/>
        <v>2.803877781297532</v>
      </c>
    </row>
    <row r="39" spans="2:78" x14ac:dyDescent="0.35">
      <c r="B39" t="s">
        <v>4190</v>
      </c>
      <c r="C39" t="s">
        <v>262</v>
      </c>
      <c r="D39" t="str" cm="1">
        <f t="array" ref="D39">_xlfn.REGEXEXTRACT(F39,"\w?\w-J-\d{4}LI\d{2}")</f>
        <v>RM-J-1339LI26</v>
      </c>
      <c r="E39" t="s">
        <v>4195</v>
      </c>
      <c r="F39" t="s">
        <v>3750</v>
      </c>
      <c r="G39" t="s">
        <v>3751</v>
      </c>
      <c r="H39" t="s">
        <v>3569</v>
      </c>
      <c r="I39" t="s">
        <v>3752</v>
      </c>
      <c r="J39" t="s">
        <v>3753</v>
      </c>
      <c r="K39" t="s">
        <v>3752</v>
      </c>
      <c r="T39" t="s">
        <v>3754</v>
      </c>
      <c r="U39" t="s">
        <v>3573</v>
      </c>
      <c r="Y39" t="s">
        <v>3755</v>
      </c>
      <c r="Z39" t="s">
        <v>3575</v>
      </c>
      <c r="AA39" t="s">
        <v>3576</v>
      </c>
      <c r="AB39" t="s">
        <v>3576</v>
      </c>
      <c r="AC39" t="s">
        <v>3575</v>
      </c>
      <c r="AD39" t="s">
        <v>3737</v>
      </c>
      <c r="AE39" t="s">
        <v>3738</v>
      </c>
      <c r="AF39" t="s">
        <v>3677</v>
      </c>
      <c r="AG39" t="s">
        <v>3580</v>
      </c>
      <c r="AH39" t="s">
        <v>3581</v>
      </c>
      <c r="AI39" t="s">
        <v>3582</v>
      </c>
      <c r="AM39" t="s">
        <v>3858</v>
      </c>
      <c r="AN39" t="s">
        <v>3756</v>
      </c>
      <c r="AO39" t="s">
        <v>3859</v>
      </c>
      <c r="AP39" t="s">
        <v>3735</v>
      </c>
      <c r="AQ39" t="s">
        <v>3860</v>
      </c>
      <c r="AR39" t="s">
        <v>3735</v>
      </c>
      <c r="AS39" t="s">
        <v>3861</v>
      </c>
      <c r="AU39" t="s">
        <v>3862</v>
      </c>
      <c r="AV39" t="s">
        <v>3714</v>
      </c>
      <c r="AW39" t="s">
        <v>3715</v>
      </c>
      <c r="AX39" t="s">
        <v>3863</v>
      </c>
      <c r="AZ39">
        <v>705.6</v>
      </c>
      <c r="BA39">
        <v>1555.5820000000001</v>
      </c>
      <c r="BB39" t="s">
        <v>3583</v>
      </c>
      <c r="BC39" s="36" t="s">
        <v>3654</v>
      </c>
      <c r="BD39" t="s">
        <v>3654</v>
      </c>
      <c r="BE39" t="s">
        <v>3655</v>
      </c>
      <c r="BF39" t="s">
        <v>3654</v>
      </c>
      <c r="BG39" t="s">
        <v>3858</v>
      </c>
      <c r="BH39" t="s">
        <v>3864</v>
      </c>
      <c r="BL39" t="s">
        <v>3598</v>
      </c>
      <c r="BS39" t="str">
        <v>Inbound</v>
      </c>
      <c r="BT39" t="str">
        <v>Land</v>
      </c>
      <c r="BU39" t="str">
        <v>RM-J-1339LI26</v>
      </c>
      <c r="BV39" t="str">
        <v>M46</v>
      </c>
      <c r="BW39" t="str">
        <v>1438-EQH0040</v>
      </c>
      <c r="BX39">
        <v>136.078</v>
      </c>
      <c r="BY39" s="38">
        <f t="shared" si="1"/>
        <v>1.4843840675513755E-2</v>
      </c>
      <c r="BZ39" s="21">
        <f t="shared" si="2"/>
        <v>17.812608810616506</v>
      </c>
    </row>
    <row r="40" spans="2:78" x14ac:dyDescent="0.35">
      <c r="B40" t="s">
        <v>4190</v>
      </c>
      <c r="C40" t="s">
        <v>262</v>
      </c>
      <c r="D40" t="str" cm="1">
        <f t="array" ref="D40">_xlfn.REGEXEXTRACT(F40,"\w?\w-J-\d{4}LI\d{2}")</f>
        <v>RM-J-1339LI26</v>
      </c>
      <c r="E40" t="s">
        <v>4195</v>
      </c>
      <c r="F40" t="s">
        <v>3750</v>
      </c>
      <c r="G40" t="s">
        <v>3751</v>
      </c>
      <c r="H40" t="s">
        <v>3569</v>
      </c>
      <c r="I40" t="s">
        <v>3752</v>
      </c>
      <c r="J40" t="s">
        <v>3753</v>
      </c>
      <c r="K40" t="s">
        <v>3752</v>
      </c>
      <c r="T40" t="s">
        <v>3754</v>
      </c>
      <c r="U40" t="s">
        <v>3573</v>
      </c>
      <c r="Y40" t="s">
        <v>3755</v>
      </c>
      <c r="Z40" t="s">
        <v>3575</v>
      </c>
      <c r="AA40" t="s">
        <v>3576</v>
      </c>
      <c r="AB40" t="s">
        <v>3576</v>
      </c>
      <c r="AC40" t="s">
        <v>3575</v>
      </c>
      <c r="AD40" t="s">
        <v>3737</v>
      </c>
      <c r="AE40" t="s">
        <v>3738</v>
      </c>
      <c r="AF40" t="s">
        <v>3677</v>
      </c>
      <c r="AG40" t="s">
        <v>3580</v>
      </c>
      <c r="AH40" t="s">
        <v>3581</v>
      </c>
      <c r="AI40" t="s">
        <v>3582</v>
      </c>
      <c r="AM40" t="s">
        <v>3858</v>
      </c>
      <c r="AN40" t="s">
        <v>3756</v>
      </c>
      <c r="AO40" t="s">
        <v>3859</v>
      </c>
      <c r="AP40" t="s">
        <v>3735</v>
      </c>
      <c r="AQ40" t="s">
        <v>3860</v>
      </c>
      <c r="AR40" t="s">
        <v>3735</v>
      </c>
      <c r="AS40" t="s">
        <v>3861</v>
      </c>
      <c r="AU40" t="s">
        <v>3862</v>
      </c>
      <c r="AV40" t="s">
        <v>3714</v>
      </c>
      <c r="AW40" t="s">
        <v>3715</v>
      </c>
      <c r="AX40" t="s">
        <v>3863</v>
      </c>
      <c r="AZ40">
        <v>705.6</v>
      </c>
      <c r="BA40">
        <v>1555.5820000000001</v>
      </c>
      <c r="BB40" t="s">
        <v>3599</v>
      </c>
      <c r="BC40" s="36" t="s">
        <v>3718</v>
      </c>
      <c r="BE40" t="s">
        <v>3662</v>
      </c>
      <c r="BF40" t="s">
        <v>3719</v>
      </c>
      <c r="BG40" t="s">
        <v>3865</v>
      </c>
      <c r="BH40" t="s">
        <v>3866</v>
      </c>
      <c r="BL40" t="s">
        <v>3598</v>
      </c>
      <c r="BS40" t="str">
        <v>Inbound</v>
      </c>
      <c r="BT40" t="str">
        <v>Land</v>
      </c>
      <c r="BU40" t="str">
        <v>RM-J-1339LI26</v>
      </c>
      <c r="BV40" t="str">
        <v>Miscelaneus</v>
      </c>
      <c r="BW40" t="str">
        <v>TAPA PLASTICA</v>
      </c>
      <c r="BX40">
        <v>705.6</v>
      </c>
      <c r="BY40" s="38">
        <f t="shared" si="1"/>
        <v>7.696919399640284E-2</v>
      </c>
      <c r="BZ40" s="21">
        <f t="shared" si="2"/>
        <v>92.363032795683409</v>
      </c>
    </row>
    <row r="41" spans="2:78" x14ac:dyDescent="0.35">
      <c r="B41" t="s">
        <v>4190</v>
      </c>
      <c r="C41" t="s">
        <v>262</v>
      </c>
      <c r="D41" t="str" cm="1">
        <f t="array" ref="D41">_xlfn.REGEXEXTRACT(F41,"\w?\w-J-\d{4}LI\d{2}")</f>
        <v>RM-J-1339LI26</v>
      </c>
      <c r="E41" t="s">
        <v>4195</v>
      </c>
      <c r="F41" t="s">
        <v>3750</v>
      </c>
      <c r="G41" t="s">
        <v>3751</v>
      </c>
      <c r="H41" t="s">
        <v>3569</v>
      </c>
      <c r="I41" t="s">
        <v>3752</v>
      </c>
      <c r="J41" t="s">
        <v>3753</v>
      </c>
      <c r="K41" t="s">
        <v>3752</v>
      </c>
      <c r="T41" t="s">
        <v>3754</v>
      </c>
      <c r="U41" t="s">
        <v>3573</v>
      </c>
      <c r="Y41" t="s">
        <v>3755</v>
      </c>
      <c r="Z41" t="s">
        <v>3575</v>
      </c>
      <c r="AA41" t="s">
        <v>3576</v>
      </c>
      <c r="AB41" t="s">
        <v>3576</v>
      </c>
      <c r="AC41" t="s">
        <v>3575</v>
      </c>
      <c r="AD41" t="s">
        <v>3737</v>
      </c>
      <c r="AE41" t="s">
        <v>3738</v>
      </c>
      <c r="AF41" t="s">
        <v>3677</v>
      </c>
      <c r="AG41" t="s">
        <v>3580</v>
      </c>
      <c r="AH41" t="s">
        <v>3581</v>
      </c>
      <c r="AI41" t="s">
        <v>3582</v>
      </c>
      <c r="AM41" t="s">
        <v>3858</v>
      </c>
      <c r="AN41" t="s">
        <v>3756</v>
      </c>
      <c r="AO41" t="s">
        <v>3859</v>
      </c>
      <c r="AP41" t="s">
        <v>3735</v>
      </c>
      <c r="AQ41" t="s">
        <v>3860</v>
      </c>
      <c r="AR41" t="s">
        <v>3735</v>
      </c>
      <c r="AS41" t="s">
        <v>3861</v>
      </c>
      <c r="AU41" t="s">
        <v>3862</v>
      </c>
      <c r="AV41" t="s">
        <v>3714</v>
      </c>
      <c r="AW41" t="s">
        <v>3715</v>
      </c>
      <c r="AX41" t="s">
        <v>3863</v>
      </c>
      <c r="AZ41">
        <v>705.6</v>
      </c>
      <c r="BA41">
        <v>1555.5820000000001</v>
      </c>
      <c r="BB41" t="s">
        <v>3596</v>
      </c>
      <c r="BC41" s="36" t="s">
        <v>3661</v>
      </c>
      <c r="BD41" t="s">
        <v>3654</v>
      </c>
      <c r="BE41" t="s">
        <v>3662</v>
      </c>
      <c r="BF41" t="s">
        <v>3661</v>
      </c>
      <c r="BG41" t="s">
        <v>3858</v>
      </c>
      <c r="BH41" t="s">
        <v>3864</v>
      </c>
      <c r="BL41" t="s">
        <v>3598</v>
      </c>
      <c r="BS41" t="str">
        <v>Inbound</v>
      </c>
      <c r="BT41" t="str">
        <v>Land</v>
      </c>
      <c r="BU41" t="str">
        <v>RM-J-1339LI26</v>
      </c>
      <c r="BV41" t="str">
        <v>Miscelaneus</v>
      </c>
      <c r="BW41" t="str">
        <v>CAJAS PLASTICAS</v>
      </c>
      <c r="BX41">
        <v>705.6</v>
      </c>
      <c r="BY41" s="38">
        <f t="shared" si="1"/>
        <v>7.696919399640284E-2</v>
      </c>
      <c r="BZ41" s="21">
        <f t="shared" si="2"/>
        <v>92.363032795683409</v>
      </c>
    </row>
    <row r="42" spans="2:78" x14ac:dyDescent="0.35">
      <c r="B42" t="s">
        <v>4190</v>
      </c>
      <c r="C42" t="s">
        <v>262</v>
      </c>
      <c r="D42" t="str" cm="1">
        <f t="array" ref="D42">_xlfn.REGEXEXTRACT(F42,"\w?\w-J-\d{4}LI\d{2}")</f>
        <v>RM-J-1339LI26</v>
      </c>
      <c r="E42" t="s">
        <v>298</v>
      </c>
      <c r="F42" t="s">
        <v>3750</v>
      </c>
      <c r="G42" t="s">
        <v>3751</v>
      </c>
      <c r="H42" t="s">
        <v>3569</v>
      </c>
      <c r="I42" t="s">
        <v>3752</v>
      </c>
      <c r="J42" t="s">
        <v>3753</v>
      </c>
      <c r="K42" t="s">
        <v>3752</v>
      </c>
      <c r="T42" t="s">
        <v>3754</v>
      </c>
      <c r="U42" t="s">
        <v>3573</v>
      </c>
      <c r="Y42" t="s">
        <v>3755</v>
      </c>
      <c r="Z42" t="s">
        <v>3575</v>
      </c>
      <c r="AA42" t="s">
        <v>3576</v>
      </c>
      <c r="AB42" t="s">
        <v>3576</v>
      </c>
      <c r="AC42" t="s">
        <v>3575</v>
      </c>
      <c r="AD42" t="s">
        <v>3737</v>
      </c>
      <c r="AE42" t="s">
        <v>3738</v>
      </c>
      <c r="AF42" t="s">
        <v>3646</v>
      </c>
      <c r="AG42" t="s">
        <v>3580</v>
      </c>
      <c r="AH42" t="s">
        <v>3581</v>
      </c>
      <c r="AI42" t="s">
        <v>3582</v>
      </c>
      <c r="AM42" t="s">
        <v>3583</v>
      </c>
      <c r="AN42" t="s">
        <v>3756</v>
      </c>
      <c r="AO42" t="s">
        <v>3867</v>
      </c>
      <c r="AP42" t="s">
        <v>3742</v>
      </c>
      <c r="AQ42" t="s">
        <v>3868</v>
      </c>
      <c r="AR42" t="s">
        <v>3869</v>
      </c>
      <c r="AS42" t="s">
        <v>3724</v>
      </c>
      <c r="AU42" t="s">
        <v>3870</v>
      </c>
      <c r="AV42" t="s">
        <v>3725</v>
      </c>
      <c r="AW42" t="s">
        <v>3726</v>
      </c>
      <c r="AX42" t="s">
        <v>3868</v>
      </c>
      <c r="AZ42">
        <v>30.844000000000001</v>
      </c>
      <c r="BA42">
        <v>68</v>
      </c>
      <c r="BB42" t="s">
        <v>3583</v>
      </c>
      <c r="BC42" s="36" t="s">
        <v>3727</v>
      </c>
      <c r="BE42" t="s">
        <v>79</v>
      </c>
      <c r="BF42" t="s">
        <v>3728</v>
      </c>
      <c r="BG42" t="s">
        <v>3729</v>
      </c>
      <c r="BH42" t="s">
        <v>3730</v>
      </c>
      <c r="BL42" t="s">
        <v>3598</v>
      </c>
      <c r="BS42" t="str">
        <v>Inbound</v>
      </c>
      <c r="BT42" t="str">
        <v>Land</v>
      </c>
      <c r="BU42" t="str">
        <v>RM-J-1339LI26</v>
      </c>
      <c r="BV42" t="str">
        <v>Miscelaneus</v>
      </c>
      <c r="BW42" t="str">
        <v>BASE PLASTICA</v>
      </c>
      <c r="BX42">
        <v>705.6</v>
      </c>
      <c r="BY42" s="38">
        <f t="shared" si="1"/>
        <v>7.696919399640284E-2</v>
      </c>
      <c r="BZ42" s="21">
        <f t="shared" si="2"/>
        <v>92.363032795683409</v>
      </c>
    </row>
    <row r="43" spans="2:78" x14ac:dyDescent="0.35">
      <c r="B43" t="s">
        <v>4190</v>
      </c>
      <c r="C43" t="s">
        <v>262</v>
      </c>
      <c r="D43" t="str" cm="1">
        <f t="array" ref="D43">_xlfn.REGEXEXTRACT(F43,"\w?\w-J-\d{4}LI\d{2}")</f>
        <v>RM-J-1339LI26</v>
      </c>
      <c r="E43" t="s">
        <v>4195</v>
      </c>
      <c r="F43" t="s">
        <v>3750</v>
      </c>
      <c r="G43" t="s">
        <v>3751</v>
      </c>
      <c r="H43" t="s">
        <v>3569</v>
      </c>
      <c r="I43" t="s">
        <v>3752</v>
      </c>
      <c r="J43" t="s">
        <v>3753</v>
      </c>
      <c r="K43" t="s">
        <v>3752</v>
      </c>
      <c r="T43" t="s">
        <v>3754</v>
      </c>
      <c r="U43" t="s">
        <v>3573</v>
      </c>
      <c r="Y43" t="s">
        <v>3755</v>
      </c>
      <c r="Z43" t="s">
        <v>3575</v>
      </c>
      <c r="AA43" t="s">
        <v>3576</v>
      </c>
      <c r="AB43" t="s">
        <v>3576</v>
      </c>
      <c r="AC43" t="s">
        <v>3575</v>
      </c>
      <c r="AD43" t="s">
        <v>3871</v>
      </c>
      <c r="AE43" t="s">
        <v>3872</v>
      </c>
      <c r="AF43" t="s">
        <v>3599</v>
      </c>
      <c r="AG43" t="s">
        <v>3580</v>
      </c>
      <c r="AH43" t="s">
        <v>3581</v>
      </c>
      <c r="AI43" t="s">
        <v>3582</v>
      </c>
      <c r="AM43" t="s">
        <v>3583</v>
      </c>
      <c r="AN43" t="s">
        <v>3756</v>
      </c>
      <c r="AO43" t="s">
        <v>3873</v>
      </c>
      <c r="AP43" t="s">
        <v>3874</v>
      </c>
      <c r="AQ43" t="s">
        <v>3875</v>
      </c>
      <c r="AR43" t="s">
        <v>3874</v>
      </c>
      <c r="AS43" t="s">
        <v>3876</v>
      </c>
      <c r="AV43" t="s">
        <v>3877</v>
      </c>
      <c r="AW43" t="s">
        <v>3878</v>
      </c>
      <c r="AX43" t="s">
        <v>3879</v>
      </c>
      <c r="AZ43">
        <v>3.629</v>
      </c>
      <c r="BA43">
        <v>8</v>
      </c>
      <c r="BB43" t="s">
        <v>3583</v>
      </c>
      <c r="BC43" s="36" t="s">
        <v>3880</v>
      </c>
      <c r="BE43" t="s">
        <v>3881</v>
      </c>
      <c r="BF43" t="s">
        <v>3882</v>
      </c>
      <c r="BG43" t="s">
        <v>3583</v>
      </c>
      <c r="BH43" t="s">
        <v>3883</v>
      </c>
      <c r="BL43" t="s">
        <v>3598</v>
      </c>
      <c r="BS43" t="str">
        <v>Inbound</v>
      </c>
      <c r="BT43" t="str">
        <v>Land</v>
      </c>
      <c r="BU43" t="str">
        <v>RM-J-1339LI26</v>
      </c>
      <c r="BV43" t="str">
        <v>M46</v>
      </c>
      <c r="BW43" t="str">
        <v>1999-EQH0003</v>
      </c>
      <c r="BX43">
        <v>30.844000000000001</v>
      </c>
      <c r="BY43" s="38">
        <f t="shared" si="1"/>
        <v>3.3645660708971786E-3</v>
      </c>
      <c r="BZ43" s="21">
        <f t="shared" si="2"/>
        <v>4.0374792850766141</v>
      </c>
    </row>
    <row r="44" spans="2:78" x14ac:dyDescent="0.35">
      <c r="B44" t="s">
        <v>4190</v>
      </c>
      <c r="C44" t="s">
        <v>262</v>
      </c>
      <c r="D44" t="str" cm="1">
        <f t="array" ref="D44">_xlfn.REGEXEXTRACT(F44,"\w?\w-J-\d{4}LI\d{2}")</f>
        <v>RM-J-1339LI26</v>
      </c>
      <c r="E44" t="s">
        <v>4195</v>
      </c>
      <c r="F44" t="s">
        <v>3750</v>
      </c>
      <c r="G44" t="s">
        <v>3751</v>
      </c>
      <c r="H44" t="s">
        <v>3569</v>
      </c>
      <c r="I44" t="s">
        <v>3752</v>
      </c>
      <c r="J44" t="s">
        <v>3753</v>
      </c>
      <c r="K44" t="s">
        <v>3752</v>
      </c>
      <c r="T44" t="s">
        <v>3754</v>
      </c>
      <c r="U44" t="s">
        <v>3573</v>
      </c>
      <c r="Y44" t="s">
        <v>3755</v>
      </c>
      <c r="Z44" t="s">
        <v>3575</v>
      </c>
      <c r="AA44" t="s">
        <v>3576</v>
      </c>
      <c r="AB44" t="s">
        <v>3576</v>
      </c>
      <c r="AC44" t="s">
        <v>3575</v>
      </c>
      <c r="AD44" t="s">
        <v>3871</v>
      </c>
      <c r="AE44" t="s">
        <v>3872</v>
      </c>
      <c r="AF44" t="s">
        <v>3596</v>
      </c>
      <c r="AG44" t="s">
        <v>3580</v>
      </c>
      <c r="AH44" t="s">
        <v>3581</v>
      </c>
      <c r="AI44" t="s">
        <v>3582</v>
      </c>
      <c r="AM44" t="s">
        <v>3583</v>
      </c>
      <c r="AN44" t="s">
        <v>3756</v>
      </c>
      <c r="AO44" t="s">
        <v>3884</v>
      </c>
      <c r="AP44" t="s">
        <v>3788</v>
      </c>
      <c r="AQ44" t="s">
        <v>3885</v>
      </c>
      <c r="AR44" t="s">
        <v>3886</v>
      </c>
      <c r="AS44" t="s">
        <v>3887</v>
      </c>
      <c r="AV44" t="s">
        <v>3877</v>
      </c>
      <c r="AW44" t="s">
        <v>3878</v>
      </c>
      <c r="AX44" t="s">
        <v>3888</v>
      </c>
      <c r="AZ44">
        <v>3.629</v>
      </c>
      <c r="BA44">
        <v>8</v>
      </c>
      <c r="BB44" t="s">
        <v>3583</v>
      </c>
      <c r="BC44" s="36" t="s">
        <v>3889</v>
      </c>
      <c r="BE44" t="s">
        <v>3890</v>
      </c>
      <c r="BF44" t="s">
        <v>3891</v>
      </c>
      <c r="BG44" t="s">
        <v>3773</v>
      </c>
      <c r="BH44" t="s">
        <v>3892</v>
      </c>
      <c r="BL44" t="s">
        <v>3598</v>
      </c>
      <c r="BS44" t="str">
        <v>Inbound</v>
      </c>
      <c r="BT44" t="str">
        <v>Land</v>
      </c>
      <c r="BU44" t="str">
        <v>RM-J-1339LI26</v>
      </c>
      <c r="BV44" t="str">
        <v>Miscelaneus</v>
      </c>
      <c r="BW44" t="str">
        <v>MBDLT25SF</v>
      </c>
      <c r="BX44">
        <v>3.629</v>
      </c>
      <c r="BY44" s="38">
        <f t="shared" si="1"/>
        <v>3.958633857893224E-4</v>
      </c>
      <c r="BZ44" s="21">
        <f t="shared" si="2"/>
        <v>0.47503606294718687</v>
      </c>
    </row>
    <row r="45" spans="2:78" x14ac:dyDescent="0.35">
      <c r="B45" t="s">
        <v>4190</v>
      </c>
      <c r="C45" t="s">
        <v>262</v>
      </c>
      <c r="D45" t="str" cm="1">
        <f t="array" ref="D45">_xlfn.REGEXEXTRACT(F45,"\w?\w-J-\d{4}LI\d{2}")</f>
        <v>RM-J-1339LI26</v>
      </c>
      <c r="E45" t="s">
        <v>4195</v>
      </c>
      <c r="F45" t="s">
        <v>3750</v>
      </c>
      <c r="G45" t="s">
        <v>3751</v>
      </c>
      <c r="H45" t="s">
        <v>3569</v>
      </c>
      <c r="I45" t="s">
        <v>3752</v>
      </c>
      <c r="J45" t="s">
        <v>3753</v>
      </c>
      <c r="K45" t="s">
        <v>3752</v>
      </c>
      <c r="T45" t="s">
        <v>3754</v>
      </c>
      <c r="U45" t="s">
        <v>3573</v>
      </c>
      <c r="Y45" t="s">
        <v>3755</v>
      </c>
      <c r="Z45" t="s">
        <v>3575</v>
      </c>
      <c r="AA45" t="s">
        <v>3576</v>
      </c>
      <c r="AB45" t="s">
        <v>3576</v>
      </c>
      <c r="AC45" t="s">
        <v>3575</v>
      </c>
      <c r="AD45" t="s">
        <v>3871</v>
      </c>
      <c r="AE45" t="s">
        <v>3872</v>
      </c>
      <c r="AF45" t="s">
        <v>3646</v>
      </c>
      <c r="AG45" t="s">
        <v>3580</v>
      </c>
      <c r="AH45" t="s">
        <v>3581</v>
      </c>
      <c r="AI45" t="s">
        <v>3582</v>
      </c>
      <c r="AM45" t="s">
        <v>3583</v>
      </c>
      <c r="AN45" t="s">
        <v>3756</v>
      </c>
      <c r="AO45" t="s">
        <v>3893</v>
      </c>
      <c r="AP45" t="s">
        <v>3742</v>
      </c>
      <c r="AQ45" t="s">
        <v>3894</v>
      </c>
      <c r="AR45" t="s">
        <v>3587</v>
      </c>
      <c r="AS45" t="s">
        <v>3895</v>
      </c>
      <c r="AV45" t="s">
        <v>3877</v>
      </c>
      <c r="AW45" t="s">
        <v>3878</v>
      </c>
      <c r="AX45" t="s">
        <v>3896</v>
      </c>
      <c r="AZ45">
        <v>3.629</v>
      </c>
      <c r="BA45">
        <v>8</v>
      </c>
      <c r="BB45" t="s">
        <v>3583</v>
      </c>
      <c r="BC45" s="36" t="s">
        <v>3897</v>
      </c>
      <c r="BE45" t="s">
        <v>3898</v>
      </c>
      <c r="BF45" t="s">
        <v>3899</v>
      </c>
      <c r="BG45" t="s">
        <v>3583</v>
      </c>
      <c r="BH45" t="s">
        <v>3900</v>
      </c>
      <c r="BL45" t="s">
        <v>3598</v>
      </c>
      <c r="BS45" t="str">
        <v>Inbound</v>
      </c>
      <c r="BT45" t="str">
        <v>Land</v>
      </c>
      <c r="BU45" t="str">
        <v>RM-J-1339LI26</v>
      </c>
      <c r="BV45" t="str">
        <v>Miscelaneus</v>
      </c>
      <c r="BW45" t="str">
        <v>D02GG40V35</v>
      </c>
      <c r="BX45">
        <v>3.629</v>
      </c>
      <c r="BY45" s="38">
        <f t="shared" si="1"/>
        <v>3.958633857893224E-4</v>
      </c>
      <c r="BZ45" s="21">
        <f t="shared" si="2"/>
        <v>0.47503606294718687</v>
      </c>
    </row>
    <row r="46" spans="2:78" x14ac:dyDescent="0.35">
      <c r="B46" t="s">
        <v>4190</v>
      </c>
      <c r="C46" t="s">
        <v>262</v>
      </c>
      <c r="D46" t="str" cm="1">
        <f t="array" ref="D46">_xlfn.REGEXEXTRACT(F46,"\w?\w-J-\d{4}LI\d{2}")</f>
        <v>RM-J-1339LI26</v>
      </c>
      <c r="E46" t="s">
        <v>4195</v>
      </c>
      <c r="F46" t="s">
        <v>3750</v>
      </c>
      <c r="G46" t="s">
        <v>3751</v>
      </c>
      <c r="H46" t="s">
        <v>3569</v>
      </c>
      <c r="I46" t="s">
        <v>3752</v>
      </c>
      <c r="J46" t="s">
        <v>3753</v>
      </c>
      <c r="K46" t="s">
        <v>3752</v>
      </c>
      <c r="T46" t="s">
        <v>3754</v>
      </c>
      <c r="U46" t="s">
        <v>3573</v>
      </c>
      <c r="Y46" t="s">
        <v>3755</v>
      </c>
      <c r="Z46" t="s">
        <v>3575</v>
      </c>
      <c r="AA46" t="s">
        <v>3576</v>
      </c>
      <c r="AB46" t="s">
        <v>3576</v>
      </c>
      <c r="AC46" t="s">
        <v>3575</v>
      </c>
      <c r="AD46" t="s">
        <v>3871</v>
      </c>
      <c r="AE46" t="s">
        <v>3872</v>
      </c>
      <c r="AF46" t="s">
        <v>3579</v>
      </c>
      <c r="AG46" t="s">
        <v>3580</v>
      </c>
      <c r="AH46" t="s">
        <v>3581</v>
      </c>
      <c r="AI46" t="s">
        <v>3582</v>
      </c>
      <c r="AM46" t="s">
        <v>3583</v>
      </c>
      <c r="AN46" t="s">
        <v>3756</v>
      </c>
      <c r="AO46" t="s">
        <v>3901</v>
      </c>
      <c r="AP46" t="s">
        <v>3742</v>
      </c>
      <c r="AQ46" t="s">
        <v>3902</v>
      </c>
      <c r="AR46" t="s">
        <v>3623</v>
      </c>
      <c r="AS46" t="s">
        <v>3903</v>
      </c>
      <c r="AV46" t="s">
        <v>3877</v>
      </c>
      <c r="AW46" t="s">
        <v>3878</v>
      </c>
      <c r="AX46" t="s">
        <v>3904</v>
      </c>
      <c r="AZ46">
        <v>3.629</v>
      </c>
      <c r="BA46">
        <v>8</v>
      </c>
      <c r="BB46" t="s">
        <v>3583</v>
      </c>
      <c r="BC46" s="36" t="s">
        <v>3905</v>
      </c>
      <c r="BE46" t="s">
        <v>3906</v>
      </c>
      <c r="BF46" t="s">
        <v>3907</v>
      </c>
      <c r="BG46" t="s">
        <v>3583</v>
      </c>
      <c r="BH46" t="s">
        <v>3908</v>
      </c>
      <c r="BL46" t="s">
        <v>3598</v>
      </c>
      <c r="BS46" t="str">
        <v>Inbound</v>
      </c>
      <c r="BT46" t="str">
        <v>Land</v>
      </c>
      <c r="BU46" t="str">
        <v>RM-J-1339LI26</v>
      </c>
      <c r="BV46" t="str">
        <v>Miscelaneus</v>
      </c>
      <c r="BW46" t="str">
        <v>57CM23-BZ</v>
      </c>
      <c r="BX46">
        <v>3.629</v>
      </c>
      <c r="BY46" s="38">
        <f t="shared" si="1"/>
        <v>3.958633857893224E-4</v>
      </c>
      <c r="BZ46" s="21">
        <f t="shared" si="2"/>
        <v>0.47503606294718687</v>
      </c>
    </row>
    <row r="47" spans="2:78" x14ac:dyDescent="0.35">
      <c r="B47" t="s">
        <v>4190</v>
      </c>
      <c r="C47" t="s">
        <v>262</v>
      </c>
      <c r="D47" t="str" cm="1">
        <f t="array" ref="D47">_xlfn.REGEXEXTRACT(F47,"\w?\w-J-\d{4}LI\d{2}")</f>
        <v>RM-J-1339LI26</v>
      </c>
      <c r="E47" t="s">
        <v>4195</v>
      </c>
      <c r="F47" t="s">
        <v>3750</v>
      </c>
      <c r="G47" t="s">
        <v>3751</v>
      </c>
      <c r="H47" t="s">
        <v>3569</v>
      </c>
      <c r="I47" t="s">
        <v>3752</v>
      </c>
      <c r="J47" t="s">
        <v>3753</v>
      </c>
      <c r="K47" t="s">
        <v>3752</v>
      </c>
      <c r="T47" t="s">
        <v>3754</v>
      </c>
      <c r="U47" t="s">
        <v>3573</v>
      </c>
      <c r="Y47" t="s">
        <v>3755</v>
      </c>
      <c r="Z47" t="s">
        <v>3575</v>
      </c>
      <c r="AA47" t="s">
        <v>3576</v>
      </c>
      <c r="AB47" t="s">
        <v>3576</v>
      </c>
      <c r="AC47" t="s">
        <v>3575</v>
      </c>
      <c r="AD47" t="s">
        <v>3871</v>
      </c>
      <c r="AE47" t="s">
        <v>3872</v>
      </c>
      <c r="AF47" t="s">
        <v>3583</v>
      </c>
      <c r="AG47" t="s">
        <v>3580</v>
      </c>
      <c r="AH47" t="s">
        <v>3581</v>
      </c>
      <c r="AI47" t="s">
        <v>3582</v>
      </c>
      <c r="AM47" t="s">
        <v>3583</v>
      </c>
      <c r="AN47" t="s">
        <v>3756</v>
      </c>
      <c r="AO47" t="s">
        <v>3909</v>
      </c>
      <c r="AP47" t="s">
        <v>3735</v>
      </c>
      <c r="AQ47" t="s">
        <v>3910</v>
      </c>
      <c r="AR47" t="s">
        <v>3572</v>
      </c>
      <c r="AS47" t="s">
        <v>3911</v>
      </c>
      <c r="AV47" t="s">
        <v>3912</v>
      </c>
      <c r="AW47" t="s">
        <v>3913</v>
      </c>
      <c r="AX47" t="s">
        <v>3914</v>
      </c>
      <c r="AZ47">
        <v>1</v>
      </c>
      <c r="BA47">
        <v>2.2050000000000001</v>
      </c>
      <c r="BB47" t="s">
        <v>3583</v>
      </c>
      <c r="BC47" s="36" t="s">
        <v>3915</v>
      </c>
      <c r="BE47" t="s">
        <v>3847</v>
      </c>
      <c r="BF47" t="s">
        <v>3916</v>
      </c>
      <c r="BG47" t="s">
        <v>3917</v>
      </c>
      <c r="BH47" t="s">
        <v>3918</v>
      </c>
      <c r="BL47" t="s">
        <v>3598</v>
      </c>
      <c r="BS47" t="str">
        <v>Inbound</v>
      </c>
      <c r="BT47" t="str">
        <v>Land</v>
      </c>
      <c r="BU47" t="str">
        <v>RM-J-1339LI26</v>
      </c>
      <c r="BV47" t="str">
        <v>Miscelaneus</v>
      </c>
      <c r="BW47" t="str">
        <v>AE1/AP-4F</v>
      </c>
      <c r="BX47">
        <v>3.629</v>
      </c>
      <c r="BY47" s="38">
        <f t="shared" si="1"/>
        <v>3.958633857893224E-4</v>
      </c>
      <c r="BZ47" s="21">
        <f t="shared" si="2"/>
        <v>0.47503606294718687</v>
      </c>
    </row>
    <row r="48" spans="2:78" x14ac:dyDescent="0.35">
      <c r="B48" t="s">
        <v>4190</v>
      </c>
      <c r="C48" t="s">
        <v>262</v>
      </c>
      <c r="D48" t="str" cm="1">
        <f t="array" ref="D48">_xlfn.REGEXEXTRACT(F48,"\w?\w-J-\d{4}LI\d{2}")</f>
        <v>RM-J-1342LI26</v>
      </c>
      <c r="E48" t="s">
        <v>4195</v>
      </c>
      <c r="F48" t="s">
        <v>4192</v>
      </c>
      <c r="G48" t="s">
        <v>3919</v>
      </c>
      <c r="H48" t="s">
        <v>3569</v>
      </c>
      <c r="I48" t="s">
        <v>3752</v>
      </c>
      <c r="J48" t="s">
        <v>3753</v>
      </c>
      <c r="K48" t="s">
        <v>3752</v>
      </c>
      <c r="T48" t="s">
        <v>3920</v>
      </c>
      <c r="U48" t="s">
        <v>3573</v>
      </c>
      <c r="Y48" t="s">
        <v>3921</v>
      </c>
      <c r="Z48" t="s">
        <v>3575</v>
      </c>
      <c r="AA48" t="s">
        <v>3576</v>
      </c>
      <c r="AB48" t="s">
        <v>3576</v>
      </c>
      <c r="AC48" t="s">
        <v>3575</v>
      </c>
      <c r="AD48" t="s">
        <v>3922</v>
      </c>
      <c r="AE48" t="s">
        <v>3923</v>
      </c>
      <c r="AF48" t="s">
        <v>3583</v>
      </c>
      <c r="AG48" t="s">
        <v>3580</v>
      </c>
      <c r="AH48" t="s">
        <v>3581</v>
      </c>
      <c r="AI48" t="s">
        <v>3582</v>
      </c>
      <c r="AM48" t="s">
        <v>3924</v>
      </c>
      <c r="AN48" t="s">
        <v>3925</v>
      </c>
      <c r="AO48" t="s">
        <v>3926</v>
      </c>
      <c r="AP48" t="s">
        <v>3686</v>
      </c>
      <c r="AQ48" t="s">
        <v>3927</v>
      </c>
      <c r="AR48" t="s">
        <v>3701</v>
      </c>
      <c r="AS48" t="s">
        <v>3928</v>
      </c>
      <c r="AU48" t="s">
        <v>3929</v>
      </c>
      <c r="AV48" t="s">
        <v>3930</v>
      </c>
      <c r="AW48" t="s">
        <v>3931</v>
      </c>
      <c r="AX48" t="s">
        <v>3932</v>
      </c>
      <c r="AZ48">
        <v>53.524000000000001</v>
      </c>
      <c r="BA48">
        <v>118</v>
      </c>
      <c r="BB48" t="s">
        <v>3583</v>
      </c>
      <c r="BC48" s="36" t="s">
        <v>3933</v>
      </c>
      <c r="BE48" t="s">
        <v>3934</v>
      </c>
      <c r="BF48" t="s">
        <v>3935</v>
      </c>
      <c r="BG48" t="s">
        <v>3579</v>
      </c>
      <c r="BH48" t="s">
        <v>3936</v>
      </c>
      <c r="BL48" t="s">
        <v>3598</v>
      </c>
      <c r="BS48" t="str">
        <v>Inbound</v>
      </c>
      <c r="BT48" t="str">
        <v>Land</v>
      </c>
      <c r="BU48" t="str">
        <v>RM-J-1339LI26</v>
      </c>
      <c r="BV48" t="str">
        <v>Miscelaneus</v>
      </c>
      <c r="BW48" t="str">
        <v>90025K408</v>
      </c>
      <c r="BX48">
        <v>1</v>
      </c>
      <c r="BY48" s="38">
        <f t="shared" si="1"/>
        <v>1.0908332482483395E-4</v>
      </c>
      <c r="BZ48" s="21">
        <f t="shared" si="2"/>
        <v>0.13089998978980075</v>
      </c>
    </row>
    <row r="49" spans="2:78" x14ac:dyDescent="0.35">
      <c r="B49" t="s">
        <v>4190</v>
      </c>
      <c r="C49" t="s">
        <v>262</v>
      </c>
      <c r="D49" t="str" cm="1">
        <f t="array" ref="D49">_xlfn.REGEXEXTRACT(F49,"\w?\w-J-\d{4}LI\d{2}")</f>
        <v>RM-J-1342LI26</v>
      </c>
      <c r="E49" t="s">
        <v>4195</v>
      </c>
      <c r="F49" t="s">
        <v>4192</v>
      </c>
      <c r="G49" t="s">
        <v>3919</v>
      </c>
      <c r="H49" t="s">
        <v>3569</v>
      </c>
      <c r="I49" t="s">
        <v>3752</v>
      </c>
      <c r="J49" t="s">
        <v>3753</v>
      </c>
      <c r="K49" t="s">
        <v>3752</v>
      </c>
      <c r="T49" t="s">
        <v>3920</v>
      </c>
      <c r="U49" t="s">
        <v>3573</v>
      </c>
      <c r="Y49" t="s">
        <v>3921</v>
      </c>
      <c r="Z49" t="s">
        <v>3575</v>
      </c>
      <c r="AA49" t="s">
        <v>3576</v>
      </c>
      <c r="AB49" t="s">
        <v>3576</v>
      </c>
      <c r="AC49" t="s">
        <v>3575</v>
      </c>
      <c r="AD49" t="s">
        <v>3922</v>
      </c>
      <c r="AE49" t="s">
        <v>3923</v>
      </c>
      <c r="AF49" t="s">
        <v>3583</v>
      </c>
      <c r="AG49" t="s">
        <v>3580</v>
      </c>
      <c r="AH49" t="s">
        <v>3581</v>
      </c>
      <c r="AI49" t="s">
        <v>3582</v>
      </c>
      <c r="AM49" t="s">
        <v>3924</v>
      </c>
      <c r="AN49" t="s">
        <v>3925</v>
      </c>
      <c r="AO49" t="s">
        <v>3926</v>
      </c>
      <c r="AP49" t="s">
        <v>3686</v>
      </c>
      <c r="AQ49" t="s">
        <v>3927</v>
      </c>
      <c r="AR49" t="s">
        <v>3701</v>
      </c>
      <c r="AS49" t="s">
        <v>3928</v>
      </c>
      <c r="AU49" t="s">
        <v>3929</v>
      </c>
      <c r="AV49" t="s">
        <v>3930</v>
      </c>
      <c r="AW49" t="s">
        <v>3931</v>
      </c>
      <c r="AX49" t="s">
        <v>3932</v>
      </c>
      <c r="AZ49">
        <v>53.524000000000001</v>
      </c>
      <c r="BA49">
        <v>118</v>
      </c>
      <c r="BB49" t="s">
        <v>3599</v>
      </c>
      <c r="BC49" s="36" t="s">
        <v>3937</v>
      </c>
      <c r="BE49" t="s">
        <v>3938</v>
      </c>
      <c r="BF49" t="s">
        <v>3939</v>
      </c>
      <c r="BG49" t="s">
        <v>3583</v>
      </c>
      <c r="BH49" t="s">
        <v>3940</v>
      </c>
      <c r="BL49" t="s">
        <v>3598</v>
      </c>
      <c r="BS49" t="str">
        <v>Inbound</v>
      </c>
      <c r="BT49" t="str">
        <v>Land</v>
      </c>
      <c r="BU49" t="str">
        <v>RM-J-1342LI26</v>
      </c>
      <c r="BV49" t="str">
        <v>Miscelaneus</v>
      </c>
      <c r="BW49" t="str">
        <v>VILROS RASPBERRY PI 4 8GB BASIC STARTER KIT WITH FAN COOLED HEAVY DUTY ALUMINUM ALLOY CASE (BLACK CA</v>
      </c>
      <c r="BX49">
        <v>53.524000000000001</v>
      </c>
      <c r="BY49" s="38">
        <f t="shared" si="1"/>
        <v>8.3298887439117991E-3</v>
      </c>
      <c r="BZ49" s="21">
        <f t="shared" si="2"/>
        <v>9.9958664926941587</v>
      </c>
    </row>
    <row r="50" spans="2:78" x14ac:dyDescent="0.35">
      <c r="B50" t="s">
        <v>4190</v>
      </c>
      <c r="C50" t="s">
        <v>262</v>
      </c>
      <c r="D50" t="str" cm="1">
        <f t="array" ref="D50">_xlfn.REGEXEXTRACT(F50,"\w?\w-J-\d{4}LI\d{2}")</f>
        <v>RM-J-1342LI26</v>
      </c>
      <c r="E50" t="s">
        <v>4195</v>
      </c>
      <c r="F50" t="s">
        <v>4192</v>
      </c>
      <c r="G50" t="s">
        <v>3919</v>
      </c>
      <c r="H50" t="s">
        <v>3569</v>
      </c>
      <c r="I50" t="s">
        <v>3752</v>
      </c>
      <c r="J50" t="s">
        <v>3753</v>
      </c>
      <c r="K50" t="s">
        <v>3752</v>
      </c>
      <c r="T50" t="s">
        <v>3920</v>
      </c>
      <c r="U50" t="s">
        <v>3573</v>
      </c>
      <c r="Y50" t="s">
        <v>3921</v>
      </c>
      <c r="Z50" t="s">
        <v>3575</v>
      </c>
      <c r="AA50" t="s">
        <v>3576</v>
      </c>
      <c r="AB50" t="s">
        <v>3576</v>
      </c>
      <c r="AC50" t="s">
        <v>3575</v>
      </c>
      <c r="AD50" t="s">
        <v>3922</v>
      </c>
      <c r="AE50" t="s">
        <v>3923</v>
      </c>
      <c r="AF50" t="s">
        <v>3583</v>
      </c>
      <c r="AG50" t="s">
        <v>3580</v>
      </c>
      <c r="AH50" t="s">
        <v>3581</v>
      </c>
      <c r="AI50" t="s">
        <v>3582</v>
      </c>
      <c r="AM50" t="s">
        <v>3924</v>
      </c>
      <c r="AN50" t="s">
        <v>3925</v>
      </c>
      <c r="AO50" t="s">
        <v>3926</v>
      </c>
      <c r="AP50" t="s">
        <v>3686</v>
      </c>
      <c r="AQ50" t="s">
        <v>3927</v>
      </c>
      <c r="AR50" t="s">
        <v>3701</v>
      </c>
      <c r="AS50" t="s">
        <v>3928</v>
      </c>
      <c r="AU50" t="s">
        <v>3929</v>
      </c>
      <c r="AV50" t="s">
        <v>3930</v>
      </c>
      <c r="AW50" t="s">
        <v>3931</v>
      </c>
      <c r="AX50" t="s">
        <v>3932</v>
      </c>
      <c r="AZ50">
        <v>53.524000000000001</v>
      </c>
      <c r="BA50">
        <v>118</v>
      </c>
      <c r="BB50" t="s">
        <v>3596</v>
      </c>
      <c r="BC50" s="36" t="s">
        <v>3941</v>
      </c>
      <c r="BE50" t="s">
        <v>3942</v>
      </c>
      <c r="BF50" t="s">
        <v>3943</v>
      </c>
      <c r="BG50" t="s">
        <v>3646</v>
      </c>
      <c r="BH50" t="s">
        <v>3944</v>
      </c>
      <c r="BL50" t="s">
        <v>3598</v>
      </c>
      <c r="BS50" t="str">
        <v>Inbound</v>
      </c>
      <c r="BT50" t="str">
        <v>Land</v>
      </c>
      <c r="BU50" t="str">
        <v>RM-J-1342LI26</v>
      </c>
      <c r="BV50" t="str">
        <v>Miscelaneus</v>
      </c>
      <c r="BW50" t="str">
        <v>HPMN 24V 10A 240W POWER SUPPLY AC/DC ADAPTER UNIVERSAL REGULATED SWITCHING AC 110-220V TO DC 24 VOLT</v>
      </c>
      <c r="BX50">
        <v>53.524000000000001</v>
      </c>
      <c r="BY50" s="38">
        <f t="shared" si="1"/>
        <v>8.3298887439117991E-3</v>
      </c>
      <c r="BZ50" s="21">
        <f t="shared" si="2"/>
        <v>9.9958664926941587</v>
      </c>
    </row>
    <row r="51" spans="2:78" x14ac:dyDescent="0.35">
      <c r="B51" t="s">
        <v>4190</v>
      </c>
      <c r="C51" t="s">
        <v>262</v>
      </c>
      <c r="D51" t="str" cm="1">
        <f t="array" ref="D51">_xlfn.REGEXEXTRACT(F51,"\w?\w-J-\d{4}LI\d{2}")</f>
        <v>RM-J-1342LI26</v>
      </c>
      <c r="E51" t="s">
        <v>4195</v>
      </c>
      <c r="F51" t="s">
        <v>4192</v>
      </c>
      <c r="G51" t="s">
        <v>3919</v>
      </c>
      <c r="H51" t="s">
        <v>3569</v>
      </c>
      <c r="I51" t="s">
        <v>3752</v>
      </c>
      <c r="J51" t="s">
        <v>3753</v>
      </c>
      <c r="K51" t="s">
        <v>3752</v>
      </c>
      <c r="T51" t="s">
        <v>3920</v>
      </c>
      <c r="U51" t="s">
        <v>3573</v>
      </c>
      <c r="Y51" t="s">
        <v>3921</v>
      </c>
      <c r="Z51" t="s">
        <v>3575</v>
      </c>
      <c r="AA51" t="s">
        <v>3576</v>
      </c>
      <c r="AB51" t="s">
        <v>3576</v>
      </c>
      <c r="AC51" t="s">
        <v>3575</v>
      </c>
      <c r="AD51" t="s">
        <v>3922</v>
      </c>
      <c r="AE51" t="s">
        <v>3923</v>
      </c>
      <c r="AF51" t="s">
        <v>3583</v>
      </c>
      <c r="AG51" t="s">
        <v>3580</v>
      </c>
      <c r="AH51" t="s">
        <v>3581</v>
      </c>
      <c r="AI51" t="s">
        <v>3582</v>
      </c>
      <c r="AM51" t="s">
        <v>3924</v>
      </c>
      <c r="AN51" t="s">
        <v>3925</v>
      </c>
      <c r="AO51" t="s">
        <v>3926</v>
      </c>
      <c r="AP51" t="s">
        <v>3686</v>
      </c>
      <c r="AQ51" t="s">
        <v>3927</v>
      </c>
      <c r="AR51" t="s">
        <v>3701</v>
      </c>
      <c r="AS51" t="s">
        <v>3928</v>
      </c>
      <c r="AU51" t="s">
        <v>3929</v>
      </c>
      <c r="AV51" t="s">
        <v>3930</v>
      </c>
      <c r="AW51" t="s">
        <v>3931</v>
      </c>
      <c r="AX51" t="s">
        <v>3932</v>
      </c>
      <c r="AZ51">
        <v>53.524000000000001</v>
      </c>
      <c r="BA51">
        <v>118</v>
      </c>
      <c r="BB51" t="s">
        <v>3646</v>
      </c>
      <c r="BC51" s="36" t="s">
        <v>3945</v>
      </c>
      <c r="BE51" t="s">
        <v>3946</v>
      </c>
      <c r="BF51" t="s">
        <v>3947</v>
      </c>
      <c r="BG51" t="s">
        <v>3583</v>
      </c>
      <c r="BH51" t="s">
        <v>3948</v>
      </c>
      <c r="BL51" t="s">
        <v>3598</v>
      </c>
      <c r="BS51" t="str">
        <v>Inbound</v>
      </c>
      <c r="BT51" t="str">
        <v>Land</v>
      </c>
      <c r="BU51" t="str">
        <v>RM-J-1342LI26</v>
      </c>
      <c r="BV51" t="str">
        <v>Miscelaneus</v>
      </c>
      <c r="BW51" t="str">
        <v>VILROS RASPBERRY PI 4 COMPLETE STARTER KIT- INCLUDES RASPBERRY PI 4 BOARD, FAN COOLED CASE, 64GB PRE</v>
      </c>
      <c r="BX51">
        <v>53.524000000000001</v>
      </c>
      <c r="BY51" s="38">
        <f t="shared" si="1"/>
        <v>8.3298887439117991E-3</v>
      </c>
      <c r="BZ51" s="21">
        <f t="shared" si="2"/>
        <v>9.9958664926941587</v>
      </c>
    </row>
    <row r="52" spans="2:78" x14ac:dyDescent="0.35">
      <c r="B52" t="s">
        <v>4190</v>
      </c>
      <c r="C52" t="s">
        <v>262</v>
      </c>
      <c r="D52" t="str" cm="1">
        <f t="array" ref="D52">_xlfn.REGEXEXTRACT(F52,"\w?\w-J-\d{4}LI\d{2}")</f>
        <v>RM-J-1342LI26</v>
      </c>
      <c r="E52" t="s">
        <v>4195</v>
      </c>
      <c r="F52" t="s">
        <v>4192</v>
      </c>
      <c r="G52" t="s">
        <v>3919</v>
      </c>
      <c r="H52" t="s">
        <v>3569</v>
      </c>
      <c r="I52" t="s">
        <v>3752</v>
      </c>
      <c r="J52" t="s">
        <v>3753</v>
      </c>
      <c r="K52" t="s">
        <v>3752</v>
      </c>
      <c r="T52" t="s">
        <v>3920</v>
      </c>
      <c r="U52" t="s">
        <v>3573</v>
      </c>
      <c r="Y52" t="s">
        <v>3921</v>
      </c>
      <c r="Z52" t="s">
        <v>3575</v>
      </c>
      <c r="AA52" t="s">
        <v>3576</v>
      </c>
      <c r="AB52" t="s">
        <v>3576</v>
      </c>
      <c r="AC52" t="s">
        <v>3575</v>
      </c>
      <c r="AD52" t="s">
        <v>3922</v>
      </c>
      <c r="AE52" t="s">
        <v>3923</v>
      </c>
      <c r="AF52" t="s">
        <v>3583</v>
      </c>
      <c r="AG52" t="s">
        <v>3580</v>
      </c>
      <c r="AH52" t="s">
        <v>3581</v>
      </c>
      <c r="AI52" t="s">
        <v>3582</v>
      </c>
      <c r="AM52" t="s">
        <v>3924</v>
      </c>
      <c r="AN52" t="s">
        <v>3925</v>
      </c>
      <c r="AO52" t="s">
        <v>3926</v>
      </c>
      <c r="AP52" t="s">
        <v>3686</v>
      </c>
      <c r="AQ52" t="s">
        <v>3927</v>
      </c>
      <c r="AR52" t="s">
        <v>3701</v>
      </c>
      <c r="AS52" t="s">
        <v>3928</v>
      </c>
      <c r="AU52" t="s">
        <v>3929</v>
      </c>
      <c r="AV52" t="s">
        <v>3930</v>
      </c>
      <c r="AW52" t="s">
        <v>3931</v>
      </c>
      <c r="AX52" t="s">
        <v>3932</v>
      </c>
      <c r="AZ52">
        <v>53.524000000000001</v>
      </c>
      <c r="BA52">
        <v>118</v>
      </c>
      <c r="BB52" t="s">
        <v>3579</v>
      </c>
      <c r="BC52" s="36" t="s">
        <v>3949</v>
      </c>
      <c r="BE52" t="s">
        <v>3950</v>
      </c>
      <c r="BF52" t="s">
        <v>3951</v>
      </c>
      <c r="BG52" t="s">
        <v>3583</v>
      </c>
      <c r="BH52" t="s">
        <v>3952</v>
      </c>
      <c r="BL52" t="s">
        <v>3598</v>
      </c>
      <c r="BS52" t="str">
        <v>Inbound</v>
      </c>
      <c r="BT52" t="str">
        <v>Land</v>
      </c>
      <c r="BU52" t="str">
        <v>RM-J-1342LI26</v>
      </c>
      <c r="BV52" t="str">
        <v>Miscelaneus</v>
      </c>
      <c r="BW52" t="str">
        <v>UXCELL 2MM DIA TEMPERATURE SENSOR PROBE TESTER K-TYPE THERMOCOUPLE WIRE CABLE 32M L</v>
      </c>
      <c r="BX52">
        <v>53.524000000000001</v>
      </c>
      <c r="BY52" s="38">
        <f t="shared" si="1"/>
        <v>8.3298887439117991E-3</v>
      </c>
      <c r="BZ52" s="21">
        <f t="shared" si="2"/>
        <v>9.9958664926941587</v>
      </c>
    </row>
    <row r="53" spans="2:78" x14ac:dyDescent="0.35">
      <c r="B53" t="s">
        <v>4190</v>
      </c>
      <c r="C53" t="s">
        <v>262</v>
      </c>
      <c r="D53" t="str" cm="1">
        <f t="array" ref="D53">_xlfn.REGEXEXTRACT(F53,"\w?\w-J-\d{4}LI\d{2}")</f>
        <v>RM-J-1342LI26</v>
      </c>
      <c r="E53" t="s">
        <v>4195</v>
      </c>
      <c r="F53" t="s">
        <v>4192</v>
      </c>
      <c r="G53" t="s">
        <v>3919</v>
      </c>
      <c r="H53" t="s">
        <v>3569</v>
      </c>
      <c r="I53" t="s">
        <v>3752</v>
      </c>
      <c r="J53" t="s">
        <v>3753</v>
      </c>
      <c r="K53" t="s">
        <v>3752</v>
      </c>
      <c r="T53" t="s">
        <v>3920</v>
      </c>
      <c r="U53" t="s">
        <v>3573</v>
      </c>
      <c r="Y53" t="s">
        <v>3921</v>
      </c>
      <c r="Z53" t="s">
        <v>3575</v>
      </c>
      <c r="AA53" t="s">
        <v>3576</v>
      </c>
      <c r="AB53" t="s">
        <v>3576</v>
      </c>
      <c r="AC53" t="s">
        <v>3575</v>
      </c>
      <c r="AD53" t="s">
        <v>3922</v>
      </c>
      <c r="AE53" t="s">
        <v>3923</v>
      </c>
      <c r="AF53" t="s">
        <v>3583</v>
      </c>
      <c r="AG53" t="s">
        <v>3580</v>
      </c>
      <c r="AH53" t="s">
        <v>3581</v>
      </c>
      <c r="AI53" t="s">
        <v>3582</v>
      </c>
      <c r="AM53" t="s">
        <v>3924</v>
      </c>
      <c r="AN53" t="s">
        <v>3925</v>
      </c>
      <c r="AO53" t="s">
        <v>3926</v>
      </c>
      <c r="AP53" t="s">
        <v>3686</v>
      </c>
      <c r="AQ53" t="s">
        <v>3927</v>
      </c>
      <c r="AR53" t="s">
        <v>3701</v>
      </c>
      <c r="AS53" t="s">
        <v>3928</v>
      </c>
      <c r="AU53" t="s">
        <v>3929</v>
      </c>
      <c r="AV53" t="s">
        <v>3930</v>
      </c>
      <c r="AW53" t="s">
        <v>3931</v>
      </c>
      <c r="AX53" t="s">
        <v>3932</v>
      </c>
      <c r="AZ53">
        <v>53.524000000000001</v>
      </c>
      <c r="BA53">
        <v>118</v>
      </c>
      <c r="BB53" t="s">
        <v>3663</v>
      </c>
      <c r="BC53" s="36" t="s">
        <v>3949</v>
      </c>
      <c r="BE53" t="s">
        <v>3950</v>
      </c>
      <c r="BF53" t="s">
        <v>3951</v>
      </c>
      <c r="BG53" t="s">
        <v>3583</v>
      </c>
      <c r="BH53" t="s">
        <v>3952</v>
      </c>
      <c r="BL53" t="s">
        <v>3598</v>
      </c>
      <c r="BS53" t="str">
        <v>Inbound</v>
      </c>
      <c r="BT53" t="str">
        <v>Land</v>
      </c>
      <c r="BU53" t="str">
        <v>RM-J-1342LI26</v>
      </c>
      <c r="BV53" t="str">
        <v>Miscelaneus</v>
      </c>
      <c r="BW53" t="str">
        <v>ARDUCAM MULTI CAMERA ADAPTER MODULE V2.2 FOR RASPBERRY PI 5, 4B, COMPATIBLE WITH RASPERRY PI CAMERA</v>
      </c>
      <c r="BX53">
        <v>53.524000000000001</v>
      </c>
      <c r="BY53" s="38">
        <f t="shared" si="1"/>
        <v>8.3298887439117991E-3</v>
      </c>
      <c r="BZ53" s="21">
        <f t="shared" si="2"/>
        <v>9.9958664926941587</v>
      </c>
    </row>
    <row r="54" spans="2:78" x14ac:dyDescent="0.35">
      <c r="B54" t="s">
        <v>4190</v>
      </c>
      <c r="C54" t="s">
        <v>262</v>
      </c>
      <c r="D54" t="str" cm="1">
        <f t="array" ref="D54">_xlfn.REGEXEXTRACT(F54,"\w?\w-J-\d{4}LI\d{2}")</f>
        <v>RM-J-1342LI26</v>
      </c>
      <c r="E54" t="s">
        <v>4195</v>
      </c>
      <c r="F54" t="s">
        <v>4192</v>
      </c>
      <c r="G54" t="s">
        <v>3919</v>
      </c>
      <c r="H54" t="s">
        <v>3569</v>
      </c>
      <c r="I54" t="s">
        <v>3752</v>
      </c>
      <c r="J54" t="s">
        <v>3753</v>
      </c>
      <c r="K54" t="s">
        <v>3752</v>
      </c>
      <c r="T54" t="s">
        <v>3920</v>
      </c>
      <c r="U54" t="s">
        <v>3573</v>
      </c>
      <c r="Y54" t="s">
        <v>3921</v>
      </c>
      <c r="Z54" t="s">
        <v>3575</v>
      </c>
      <c r="AA54" t="s">
        <v>3576</v>
      </c>
      <c r="AB54" t="s">
        <v>3576</v>
      </c>
      <c r="AC54" t="s">
        <v>3575</v>
      </c>
      <c r="AD54" t="s">
        <v>3922</v>
      </c>
      <c r="AE54" t="s">
        <v>3923</v>
      </c>
      <c r="AF54" t="s">
        <v>3583</v>
      </c>
      <c r="AG54" t="s">
        <v>3580</v>
      </c>
      <c r="AH54" t="s">
        <v>3581</v>
      </c>
      <c r="AI54" t="s">
        <v>3582</v>
      </c>
      <c r="AM54" t="s">
        <v>3924</v>
      </c>
      <c r="AN54" t="s">
        <v>3925</v>
      </c>
      <c r="AO54" t="s">
        <v>3926</v>
      </c>
      <c r="AP54" t="s">
        <v>3686</v>
      </c>
      <c r="AQ54" t="s">
        <v>3927</v>
      </c>
      <c r="AR54" t="s">
        <v>3701</v>
      </c>
      <c r="AS54" t="s">
        <v>3928</v>
      </c>
      <c r="AU54" t="s">
        <v>3929</v>
      </c>
      <c r="AV54" t="s">
        <v>3930</v>
      </c>
      <c r="AW54" t="s">
        <v>3931</v>
      </c>
      <c r="AX54" t="s">
        <v>3932</v>
      </c>
      <c r="AZ54">
        <v>53.524000000000001</v>
      </c>
      <c r="BA54">
        <v>118</v>
      </c>
      <c r="BB54" t="s">
        <v>3677</v>
      </c>
      <c r="BC54" s="36" t="s">
        <v>3953</v>
      </c>
      <c r="BE54" t="s">
        <v>3954</v>
      </c>
      <c r="BF54" t="s">
        <v>3955</v>
      </c>
      <c r="BG54" t="s">
        <v>3583</v>
      </c>
      <c r="BH54" t="s">
        <v>3956</v>
      </c>
      <c r="BL54" t="s">
        <v>3598</v>
      </c>
      <c r="BS54" t="str">
        <v>Inbound</v>
      </c>
      <c r="BT54" t="str">
        <v>Land</v>
      </c>
      <c r="BU54" t="str">
        <v>RM-J-1342LI26</v>
      </c>
      <c r="BV54" t="str">
        <v>Miscelaneus</v>
      </c>
      <c r="BW54" t="str">
        <v>ARDUCAM MULTI CAMERA ADAPTER MODULE V2.2 FOR RASPBERRY PI 5, 4B, COMPATIBLE WITH RASPERRY PI CAMERA</v>
      </c>
      <c r="BX54">
        <v>53.524000000000001</v>
      </c>
      <c r="BY54" s="38">
        <f t="shared" si="1"/>
        <v>8.3298887439117991E-3</v>
      </c>
      <c r="BZ54" s="21">
        <f t="shared" si="2"/>
        <v>9.9958664926941587</v>
      </c>
    </row>
    <row r="55" spans="2:78" x14ac:dyDescent="0.35">
      <c r="B55" t="s">
        <v>4190</v>
      </c>
      <c r="C55" t="s">
        <v>262</v>
      </c>
      <c r="D55" t="str" cm="1">
        <f t="array" ref="D55">_xlfn.REGEXEXTRACT(F55,"\w?\w-J-\d{4}LI\d{2}")</f>
        <v>RM-J-1342LI26</v>
      </c>
      <c r="E55" t="s">
        <v>4195</v>
      </c>
      <c r="F55" t="s">
        <v>4192</v>
      </c>
      <c r="G55" t="s">
        <v>3919</v>
      </c>
      <c r="H55" t="s">
        <v>3569</v>
      </c>
      <c r="I55" t="s">
        <v>3752</v>
      </c>
      <c r="J55" t="s">
        <v>3753</v>
      </c>
      <c r="K55" t="s">
        <v>3752</v>
      </c>
      <c r="T55" t="s">
        <v>3920</v>
      </c>
      <c r="U55" t="s">
        <v>3573</v>
      </c>
      <c r="Y55" t="s">
        <v>3921</v>
      </c>
      <c r="Z55" t="s">
        <v>3575</v>
      </c>
      <c r="AA55" t="s">
        <v>3576</v>
      </c>
      <c r="AB55" t="s">
        <v>3576</v>
      </c>
      <c r="AC55" t="s">
        <v>3575</v>
      </c>
      <c r="AD55" t="s">
        <v>3922</v>
      </c>
      <c r="AE55" t="s">
        <v>3923</v>
      </c>
      <c r="AF55" t="s">
        <v>3583</v>
      </c>
      <c r="AG55" t="s">
        <v>3580</v>
      </c>
      <c r="AH55" t="s">
        <v>3581</v>
      </c>
      <c r="AI55" t="s">
        <v>3582</v>
      </c>
      <c r="AM55" t="s">
        <v>3924</v>
      </c>
      <c r="AN55" t="s">
        <v>3925</v>
      </c>
      <c r="AO55" t="s">
        <v>3926</v>
      </c>
      <c r="AP55" t="s">
        <v>3686</v>
      </c>
      <c r="AQ55" t="s">
        <v>3927</v>
      </c>
      <c r="AR55" t="s">
        <v>3701</v>
      </c>
      <c r="AS55" t="s">
        <v>3928</v>
      </c>
      <c r="AU55" t="s">
        <v>3929</v>
      </c>
      <c r="AV55" t="s">
        <v>3930</v>
      </c>
      <c r="AW55" t="s">
        <v>3931</v>
      </c>
      <c r="AX55" t="s">
        <v>3932</v>
      </c>
      <c r="AZ55">
        <v>53.524000000000001</v>
      </c>
      <c r="BA55">
        <v>118</v>
      </c>
      <c r="BB55" t="s">
        <v>3605</v>
      </c>
      <c r="BC55" s="36" t="s">
        <v>3957</v>
      </c>
      <c r="BE55" t="s">
        <v>3954</v>
      </c>
      <c r="BF55" t="s">
        <v>3955</v>
      </c>
      <c r="BG55" t="s">
        <v>3583</v>
      </c>
      <c r="BH55" t="s">
        <v>3958</v>
      </c>
      <c r="BL55" t="s">
        <v>3598</v>
      </c>
      <c r="BS55" t="str">
        <v>Inbound</v>
      </c>
      <c r="BT55" t="str">
        <v>Land</v>
      </c>
      <c r="BU55" t="str">
        <v>RM-J-1342LI26</v>
      </c>
      <c r="BV55" t="str">
        <v>Miscelaneus</v>
      </c>
      <c r="BW55" t="str">
        <v>ARDUCAM FOR RASPBERRY PI HQ CAMERA MODULE,12.3MP IMX477 RASPBERRY PI CAMERA FOR RASPBERRY PI5/4B/3B+</v>
      </c>
      <c r="BX55">
        <v>53.524000000000001</v>
      </c>
      <c r="BY55" s="38">
        <f t="shared" si="1"/>
        <v>8.3298887439117991E-3</v>
      </c>
      <c r="BZ55" s="21">
        <f t="shared" si="2"/>
        <v>9.9958664926941587</v>
      </c>
    </row>
    <row r="56" spans="2:78" x14ac:dyDescent="0.35">
      <c r="B56" t="s">
        <v>4190</v>
      </c>
      <c r="C56" t="s">
        <v>262</v>
      </c>
      <c r="D56" t="str" cm="1">
        <f t="array" ref="D56">_xlfn.REGEXEXTRACT(F56,"\w?\w-J-\d{4}LI\d{2}")</f>
        <v>RM-J-1342LI26</v>
      </c>
      <c r="E56" t="s">
        <v>4195</v>
      </c>
      <c r="F56" t="s">
        <v>4192</v>
      </c>
      <c r="G56" t="s">
        <v>3919</v>
      </c>
      <c r="H56" t="s">
        <v>3569</v>
      </c>
      <c r="I56" t="s">
        <v>3752</v>
      </c>
      <c r="J56" t="s">
        <v>3753</v>
      </c>
      <c r="K56" t="s">
        <v>3752</v>
      </c>
      <c r="T56" t="s">
        <v>3920</v>
      </c>
      <c r="U56" t="s">
        <v>3573</v>
      </c>
      <c r="Y56" t="s">
        <v>3921</v>
      </c>
      <c r="Z56" t="s">
        <v>3575</v>
      </c>
      <c r="AA56" t="s">
        <v>3576</v>
      </c>
      <c r="AB56" t="s">
        <v>3576</v>
      </c>
      <c r="AC56" t="s">
        <v>3575</v>
      </c>
      <c r="AD56" t="s">
        <v>3922</v>
      </c>
      <c r="AE56" t="s">
        <v>3923</v>
      </c>
      <c r="AF56" t="s">
        <v>3583</v>
      </c>
      <c r="AG56" t="s">
        <v>3580</v>
      </c>
      <c r="AH56" t="s">
        <v>3581</v>
      </c>
      <c r="AI56" t="s">
        <v>3582</v>
      </c>
      <c r="AM56" t="s">
        <v>3924</v>
      </c>
      <c r="AN56" t="s">
        <v>3925</v>
      </c>
      <c r="AO56" t="s">
        <v>3926</v>
      </c>
      <c r="AP56" t="s">
        <v>3686</v>
      </c>
      <c r="AQ56" t="s">
        <v>3927</v>
      </c>
      <c r="AR56" t="s">
        <v>3701</v>
      </c>
      <c r="AS56" t="s">
        <v>3928</v>
      </c>
      <c r="AU56" t="s">
        <v>3929</v>
      </c>
      <c r="AV56" t="s">
        <v>3930</v>
      </c>
      <c r="AW56" t="s">
        <v>3931</v>
      </c>
      <c r="AX56" t="s">
        <v>3932</v>
      </c>
      <c r="AZ56">
        <v>53.524000000000001</v>
      </c>
      <c r="BA56">
        <v>118</v>
      </c>
      <c r="BB56" t="s">
        <v>3619</v>
      </c>
      <c r="BC56" s="36" t="s">
        <v>3957</v>
      </c>
      <c r="BE56" t="s">
        <v>3954</v>
      </c>
      <c r="BF56" t="s">
        <v>3955</v>
      </c>
      <c r="BG56" t="s">
        <v>3583</v>
      </c>
      <c r="BH56" t="s">
        <v>3958</v>
      </c>
      <c r="BL56" t="s">
        <v>3598</v>
      </c>
      <c r="BS56" t="str">
        <v>Inbound</v>
      </c>
      <c r="BT56" t="str">
        <v>Land</v>
      </c>
      <c r="BU56" t="str">
        <v>RM-J-1342LI26</v>
      </c>
      <c r="BV56" t="str">
        <v>Miscelaneus</v>
      </c>
      <c r="BW56" t="str">
        <v>ARDUCAM 2.8-12MM VARIFOCAL C-MOUNT LENS FOR RASPBERRY PI HQ CAMERA, WITH C-CS ADAPTER, INDUSTRIAL TE</v>
      </c>
      <c r="BX56">
        <v>53.524000000000001</v>
      </c>
      <c r="BY56" s="38">
        <f t="shared" si="1"/>
        <v>8.3298887439117991E-3</v>
      </c>
      <c r="BZ56" s="21">
        <f t="shared" si="2"/>
        <v>9.9958664926941587</v>
      </c>
    </row>
    <row r="57" spans="2:78" x14ac:dyDescent="0.35">
      <c r="B57" t="s">
        <v>4190</v>
      </c>
      <c r="C57" t="s">
        <v>262</v>
      </c>
      <c r="D57" t="str" cm="1">
        <f t="array" ref="D57">_xlfn.REGEXEXTRACT(F57,"\w?\w-J-\d{4}LI\d{2}")</f>
        <v>RM-J-1342LI26</v>
      </c>
      <c r="E57" t="s">
        <v>4195</v>
      </c>
      <c r="F57" t="s">
        <v>4192</v>
      </c>
      <c r="G57" t="s">
        <v>3919</v>
      </c>
      <c r="H57" t="s">
        <v>3569</v>
      </c>
      <c r="I57" t="s">
        <v>3752</v>
      </c>
      <c r="J57" t="s">
        <v>3753</v>
      </c>
      <c r="K57" t="s">
        <v>3752</v>
      </c>
      <c r="T57" t="s">
        <v>3920</v>
      </c>
      <c r="U57" t="s">
        <v>3573</v>
      </c>
      <c r="Y57" t="s">
        <v>3921</v>
      </c>
      <c r="Z57" t="s">
        <v>3575</v>
      </c>
      <c r="AA57" t="s">
        <v>3576</v>
      </c>
      <c r="AB57" t="s">
        <v>3576</v>
      </c>
      <c r="AC57" t="s">
        <v>3575</v>
      </c>
      <c r="AD57" t="s">
        <v>3922</v>
      </c>
      <c r="AE57" t="s">
        <v>3923</v>
      </c>
      <c r="AF57" t="s">
        <v>3583</v>
      </c>
      <c r="AG57" t="s">
        <v>3580</v>
      </c>
      <c r="AH57" t="s">
        <v>3581</v>
      </c>
      <c r="AI57" t="s">
        <v>3582</v>
      </c>
      <c r="AM57" t="s">
        <v>3924</v>
      </c>
      <c r="AN57" t="s">
        <v>3925</v>
      </c>
      <c r="AO57" t="s">
        <v>3926</v>
      </c>
      <c r="AP57" t="s">
        <v>3686</v>
      </c>
      <c r="AQ57" t="s">
        <v>3927</v>
      </c>
      <c r="AR57" t="s">
        <v>3701</v>
      </c>
      <c r="AS57" t="s">
        <v>3928</v>
      </c>
      <c r="AU57" t="s">
        <v>3929</v>
      </c>
      <c r="AV57" t="s">
        <v>3930</v>
      </c>
      <c r="AW57" t="s">
        <v>3931</v>
      </c>
      <c r="AX57" t="s">
        <v>3932</v>
      </c>
      <c r="AZ57">
        <v>53.524000000000001</v>
      </c>
      <c r="BA57">
        <v>118</v>
      </c>
      <c r="BB57" t="s">
        <v>3773</v>
      </c>
      <c r="BC57" s="36" t="s">
        <v>3959</v>
      </c>
      <c r="BE57" t="s">
        <v>3954</v>
      </c>
      <c r="BF57" t="s">
        <v>3955</v>
      </c>
      <c r="BG57" t="s">
        <v>3583</v>
      </c>
      <c r="BH57" t="s">
        <v>3960</v>
      </c>
      <c r="BL57" t="s">
        <v>3598</v>
      </c>
      <c r="BS57" t="str">
        <v>Inbound</v>
      </c>
      <c r="BT57" t="str">
        <v>Land</v>
      </c>
      <c r="BU57" t="str">
        <v>RM-J-1342LI26</v>
      </c>
      <c r="BV57" t="str">
        <v>Miscelaneus</v>
      </c>
      <c r="BW57" t="str">
        <v>ARDUCAM 2.8-12MM VARIFOCAL C-MOUNT LENS FOR RASPBERRY PI HQ CAMERA, WITH C-CS ADAPTER, INDUSTRIAL TE</v>
      </c>
      <c r="BX57">
        <v>53.524000000000001</v>
      </c>
      <c r="BY57" s="38">
        <f t="shared" si="1"/>
        <v>8.3298887439117991E-3</v>
      </c>
      <c r="BZ57" s="21">
        <f t="shared" si="2"/>
        <v>9.9958664926941587</v>
      </c>
    </row>
    <row r="58" spans="2:78" x14ac:dyDescent="0.35">
      <c r="B58" t="s">
        <v>4190</v>
      </c>
      <c r="C58" t="s">
        <v>262</v>
      </c>
      <c r="D58" t="str" cm="1">
        <f t="array" ref="D58">_xlfn.REGEXEXTRACT(F58,"\w?\w-J-\d{4}LI\d{2}")</f>
        <v>RM-J-1342LI26</v>
      </c>
      <c r="E58" t="s">
        <v>4195</v>
      </c>
      <c r="F58" t="s">
        <v>4192</v>
      </c>
      <c r="G58" t="s">
        <v>3919</v>
      </c>
      <c r="H58" t="s">
        <v>3569</v>
      </c>
      <c r="I58" t="s">
        <v>3752</v>
      </c>
      <c r="J58" t="s">
        <v>3753</v>
      </c>
      <c r="K58" t="s">
        <v>3752</v>
      </c>
      <c r="T58" t="s">
        <v>3920</v>
      </c>
      <c r="U58" t="s">
        <v>3573</v>
      </c>
      <c r="Y58" t="s">
        <v>3921</v>
      </c>
      <c r="Z58" t="s">
        <v>3575</v>
      </c>
      <c r="AA58" t="s">
        <v>3576</v>
      </c>
      <c r="AB58" t="s">
        <v>3576</v>
      </c>
      <c r="AC58" t="s">
        <v>3575</v>
      </c>
      <c r="AD58" t="s">
        <v>3922</v>
      </c>
      <c r="AE58" t="s">
        <v>3923</v>
      </c>
      <c r="AF58" t="s">
        <v>3583</v>
      </c>
      <c r="AG58" t="s">
        <v>3580</v>
      </c>
      <c r="AH58" t="s">
        <v>3581</v>
      </c>
      <c r="AI58" t="s">
        <v>3582</v>
      </c>
      <c r="AM58" t="s">
        <v>3924</v>
      </c>
      <c r="AN58" t="s">
        <v>3925</v>
      </c>
      <c r="AO58" t="s">
        <v>3926</v>
      </c>
      <c r="AP58" t="s">
        <v>3686</v>
      </c>
      <c r="AQ58" t="s">
        <v>3927</v>
      </c>
      <c r="AR58" t="s">
        <v>3701</v>
      </c>
      <c r="AS58" t="s">
        <v>3928</v>
      </c>
      <c r="AU58" t="s">
        <v>3929</v>
      </c>
      <c r="AV58" t="s">
        <v>3930</v>
      </c>
      <c r="AW58" t="s">
        <v>3931</v>
      </c>
      <c r="AX58" t="s">
        <v>3932</v>
      </c>
      <c r="AZ58">
        <v>53.524000000000001</v>
      </c>
      <c r="BA58">
        <v>118</v>
      </c>
      <c r="BB58" t="s">
        <v>3816</v>
      </c>
      <c r="BC58" s="36" t="s">
        <v>3959</v>
      </c>
      <c r="BE58" t="s">
        <v>3954</v>
      </c>
      <c r="BF58" t="s">
        <v>3955</v>
      </c>
      <c r="BG58" t="s">
        <v>3599</v>
      </c>
      <c r="BH58" t="s">
        <v>3961</v>
      </c>
      <c r="BL58" t="s">
        <v>3598</v>
      </c>
      <c r="BS58" t="str">
        <v>Inbound</v>
      </c>
      <c r="BT58" t="str">
        <v>Land</v>
      </c>
      <c r="BU58" t="str">
        <v>RM-J-1342LI26</v>
      </c>
      <c r="BV58" t="str">
        <v>Miscelaneus</v>
      </c>
      <c r="BW58" t="str">
        <v>ARDUCAM IMX477 PI HQ CAMERA FOR RASPBERRY PI 5, COMES WITH A 1/2.3 6MM FOCAL LENGTH CS LENS, WIDELY</v>
      </c>
      <c r="BX58">
        <v>53.524000000000001</v>
      </c>
      <c r="BY58" s="38">
        <f t="shared" si="1"/>
        <v>8.3298887439117991E-3</v>
      </c>
      <c r="BZ58" s="21">
        <f t="shared" si="2"/>
        <v>9.9958664926941587</v>
      </c>
    </row>
    <row r="59" spans="2:78" x14ac:dyDescent="0.35">
      <c r="B59" t="s">
        <v>4190</v>
      </c>
      <c r="C59" t="s">
        <v>262</v>
      </c>
      <c r="D59" t="str" cm="1">
        <f t="array" ref="D59">_xlfn.REGEXEXTRACT(F59,"\w?\w-J-\d{4}LI\d{2}")</f>
        <v>RM-J-1342LI26</v>
      </c>
      <c r="E59" t="s">
        <v>4195</v>
      </c>
      <c r="F59" t="s">
        <v>4192</v>
      </c>
      <c r="G59" t="s">
        <v>3919</v>
      </c>
      <c r="H59" t="s">
        <v>3569</v>
      </c>
      <c r="I59" t="s">
        <v>3752</v>
      </c>
      <c r="J59" t="s">
        <v>3753</v>
      </c>
      <c r="K59" t="s">
        <v>3752</v>
      </c>
      <c r="T59" t="s">
        <v>3920</v>
      </c>
      <c r="U59" t="s">
        <v>3573</v>
      </c>
      <c r="Y59" t="s">
        <v>3921</v>
      </c>
      <c r="Z59" t="s">
        <v>3575</v>
      </c>
      <c r="AA59" t="s">
        <v>3576</v>
      </c>
      <c r="AB59" t="s">
        <v>3576</v>
      </c>
      <c r="AC59" t="s">
        <v>3575</v>
      </c>
      <c r="AD59" t="s">
        <v>3922</v>
      </c>
      <c r="AE59" t="s">
        <v>3923</v>
      </c>
      <c r="AF59" t="s">
        <v>3583</v>
      </c>
      <c r="AG59" t="s">
        <v>3580</v>
      </c>
      <c r="AH59" t="s">
        <v>3581</v>
      </c>
      <c r="AI59" t="s">
        <v>3582</v>
      </c>
      <c r="AM59" t="s">
        <v>3924</v>
      </c>
      <c r="AN59" t="s">
        <v>3925</v>
      </c>
      <c r="AO59" t="s">
        <v>3926</v>
      </c>
      <c r="AP59" t="s">
        <v>3686</v>
      </c>
      <c r="AQ59" t="s">
        <v>3927</v>
      </c>
      <c r="AR59" t="s">
        <v>3701</v>
      </c>
      <c r="AS59" t="s">
        <v>3928</v>
      </c>
      <c r="AU59" t="s">
        <v>3929</v>
      </c>
      <c r="AV59" t="s">
        <v>3930</v>
      </c>
      <c r="AW59" t="s">
        <v>3931</v>
      </c>
      <c r="AX59" t="s">
        <v>3932</v>
      </c>
      <c r="AZ59">
        <v>53.524000000000001</v>
      </c>
      <c r="BA59">
        <v>118</v>
      </c>
      <c r="BB59" t="s">
        <v>3962</v>
      </c>
      <c r="BC59" s="36" t="s">
        <v>3959</v>
      </c>
      <c r="BE59" t="s">
        <v>3954</v>
      </c>
      <c r="BF59" t="s">
        <v>3955</v>
      </c>
      <c r="BG59" t="s">
        <v>3646</v>
      </c>
      <c r="BH59" t="s">
        <v>3963</v>
      </c>
      <c r="BL59" t="s">
        <v>3598</v>
      </c>
      <c r="BS59" t="str">
        <v>Inbound</v>
      </c>
      <c r="BT59" t="str">
        <v>Land</v>
      </c>
      <c r="BU59" t="str">
        <v>RM-J-1342LI26</v>
      </c>
      <c r="BV59" t="str">
        <v>Miscelaneus</v>
      </c>
      <c r="BW59" t="str">
        <v>ARDUCAM IMX477 PI HQ CAMERA FOR RASPBERRY PI 5, COMES WITH A 1/2.3 6MM FOCAL LENGTH CS LENS, WIDELY</v>
      </c>
      <c r="BX59">
        <v>53.524000000000001</v>
      </c>
      <c r="BY59" s="38">
        <f t="shared" si="1"/>
        <v>8.3298887439117991E-3</v>
      </c>
      <c r="BZ59" s="21">
        <f t="shared" si="2"/>
        <v>9.9958664926941587</v>
      </c>
    </row>
    <row r="60" spans="2:78" x14ac:dyDescent="0.35">
      <c r="B60" t="s">
        <v>4190</v>
      </c>
      <c r="C60" t="s">
        <v>262</v>
      </c>
      <c r="D60" t="str" cm="1">
        <f t="array" ref="D60">_xlfn.REGEXEXTRACT(F60,"\w?\w-J-\d{4}LI\d{2}")</f>
        <v>RM-J-1342LI26</v>
      </c>
      <c r="E60" t="s">
        <v>4195</v>
      </c>
      <c r="F60" t="s">
        <v>4192</v>
      </c>
      <c r="G60" t="s">
        <v>3919</v>
      </c>
      <c r="H60" t="s">
        <v>3569</v>
      </c>
      <c r="I60" t="s">
        <v>3752</v>
      </c>
      <c r="J60" t="s">
        <v>3753</v>
      </c>
      <c r="K60" t="s">
        <v>3752</v>
      </c>
      <c r="T60" t="s">
        <v>3920</v>
      </c>
      <c r="U60" t="s">
        <v>3573</v>
      </c>
      <c r="Y60" t="s">
        <v>3921</v>
      </c>
      <c r="Z60" t="s">
        <v>3575</v>
      </c>
      <c r="AA60" t="s">
        <v>3576</v>
      </c>
      <c r="AB60" t="s">
        <v>3576</v>
      </c>
      <c r="AC60" t="s">
        <v>3575</v>
      </c>
      <c r="AD60" t="s">
        <v>3922</v>
      </c>
      <c r="AE60" t="s">
        <v>3923</v>
      </c>
      <c r="AF60" t="s">
        <v>3583</v>
      </c>
      <c r="AG60" t="s">
        <v>3580</v>
      </c>
      <c r="AH60" t="s">
        <v>3581</v>
      </c>
      <c r="AI60" t="s">
        <v>3582</v>
      </c>
      <c r="AM60" t="s">
        <v>3924</v>
      </c>
      <c r="AN60" t="s">
        <v>3925</v>
      </c>
      <c r="AO60" t="s">
        <v>3926</v>
      </c>
      <c r="AP60" t="s">
        <v>3686</v>
      </c>
      <c r="AQ60" t="s">
        <v>3927</v>
      </c>
      <c r="AR60" t="s">
        <v>3701</v>
      </c>
      <c r="AS60" t="s">
        <v>3928</v>
      </c>
      <c r="AU60" t="s">
        <v>3929</v>
      </c>
      <c r="AV60" t="s">
        <v>3930</v>
      </c>
      <c r="AW60" t="s">
        <v>3931</v>
      </c>
      <c r="AX60" t="s">
        <v>3932</v>
      </c>
      <c r="AZ60">
        <v>53.524000000000001</v>
      </c>
      <c r="BA60">
        <v>118</v>
      </c>
      <c r="BB60" t="s">
        <v>3964</v>
      </c>
      <c r="BC60" s="36" t="s">
        <v>3965</v>
      </c>
      <c r="BE60" t="s">
        <v>3966</v>
      </c>
      <c r="BF60" t="s">
        <v>3967</v>
      </c>
      <c r="BG60" t="s">
        <v>3583</v>
      </c>
      <c r="BH60" t="s">
        <v>3968</v>
      </c>
      <c r="BL60" t="s">
        <v>3598</v>
      </c>
      <c r="BS60" t="str">
        <v>Inbound</v>
      </c>
      <c r="BT60" t="str">
        <v>Land</v>
      </c>
      <c r="BU60" t="str">
        <v>RM-J-1342LI26</v>
      </c>
      <c r="BV60" t="str">
        <v>Miscelaneus</v>
      </c>
      <c r="BW60" t="str">
        <v>ARDUCAM IMX477 PI HQ CAMERA FOR RASPBERRY PI 5, COMES WITH A 1/2.3 6MM FOCAL LENGTH CS LENS, WIDELY</v>
      </c>
      <c r="BX60">
        <v>53.524000000000001</v>
      </c>
      <c r="BY60" s="38">
        <f t="shared" si="1"/>
        <v>8.3298887439117991E-3</v>
      </c>
      <c r="BZ60" s="21">
        <f t="shared" si="2"/>
        <v>9.9958664926941587</v>
      </c>
    </row>
    <row r="61" spans="2:78" x14ac:dyDescent="0.35">
      <c r="B61" t="s">
        <v>4190</v>
      </c>
      <c r="C61" t="s">
        <v>262</v>
      </c>
      <c r="D61" t="str" cm="1">
        <f t="array" ref="D61">_xlfn.REGEXEXTRACT(F61,"\w?\w-J-\d{4}LI\d{2}")</f>
        <v>RM-J-1342LI26</v>
      </c>
      <c r="E61" t="s">
        <v>4195</v>
      </c>
      <c r="F61" t="s">
        <v>4192</v>
      </c>
      <c r="G61" t="s">
        <v>3919</v>
      </c>
      <c r="H61" t="s">
        <v>3569</v>
      </c>
      <c r="I61" t="s">
        <v>3752</v>
      </c>
      <c r="J61" t="s">
        <v>3753</v>
      </c>
      <c r="K61" t="s">
        <v>3752</v>
      </c>
      <c r="T61" t="s">
        <v>3920</v>
      </c>
      <c r="U61" t="s">
        <v>3573</v>
      </c>
      <c r="Y61" t="s">
        <v>3921</v>
      </c>
      <c r="Z61" t="s">
        <v>3575</v>
      </c>
      <c r="AA61" t="s">
        <v>3576</v>
      </c>
      <c r="AB61" t="s">
        <v>3576</v>
      </c>
      <c r="AC61" t="s">
        <v>3575</v>
      </c>
      <c r="AD61" t="s">
        <v>3922</v>
      </c>
      <c r="AE61" t="s">
        <v>3923</v>
      </c>
      <c r="AF61" t="s">
        <v>3583</v>
      </c>
      <c r="AG61" t="s">
        <v>3580</v>
      </c>
      <c r="AH61" t="s">
        <v>3581</v>
      </c>
      <c r="AI61" t="s">
        <v>3582</v>
      </c>
      <c r="AM61" t="s">
        <v>3924</v>
      </c>
      <c r="AN61" t="s">
        <v>3925</v>
      </c>
      <c r="AO61" t="s">
        <v>3926</v>
      </c>
      <c r="AP61" t="s">
        <v>3686</v>
      </c>
      <c r="AQ61" t="s">
        <v>3927</v>
      </c>
      <c r="AR61" t="s">
        <v>3701</v>
      </c>
      <c r="AS61" t="s">
        <v>3928</v>
      </c>
      <c r="AU61" t="s">
        <v>3929</v>
      </c>
      <c r="AV61" t="s">
        <v>3930</v>
      </c>
      <c r="AW61" t="s">
        <v>3931</v>
      </c>
      <c r="AX61" t="s">
        <v>3932</v>
      </c>
      <c r="AZ61">
        <v>53.524000000000001</v>
      </c>
      <c r="BA61">
        <v>118</v>
      </c>
      <c r="BB61" t="s">
        <v>3969</v>
      </c>
      <c r="BC61" s="36" t="s">
        <v>3970</v>
      </c>
      <c r="BE61" t="s">
        <v>3971</v>
      </c>
      <c r="BF61" t="s">
        <v>3972</v>
      </c>
      <c r="BG61" t="s">
        <v>3583</v>
      </c>
      <c r="BH61" t="s">
        <v>3973</v>
      </c>
      <c r="BL61" t="s">
        <v>3598</v>
      </c>
      <c r="BS61" t="str">
        <v>Inbound</v>
      </c>
      <c r="BT61" t="str">
        <v>Land</v>
      </c>
      <c r="BU61" t="str">
        <v>RM-J-1342LI26</v>
      </c>
      <c r="BV61" t="str">
        <v>Miscelaneus</v>
      </c>
      <c r="BW61" t="str">
        <v>3PCS 15 PIN 30CM 50CM 100CM FFC RIBBON FLEXIBLE FLAT CABLE FOR CAMERA PI CAMERA CABLE LONG EXTENSION</v>
      </c>
      <c r="BX61">
        <v>53.524000000000001</v>
      </c>
      <c r="BY61" s="38">
        <f t="shared" si="1"/>
        <v>8.3298887439117991E-3</v>
      </c>
      <c r="BZ61" s="21">
        <f t="shared" si="2"/>
        <v>9.9958664926941587</v>
      </c>
    </row>
    <row r="62" spans="2:78" x14ac:dyDescent="0.35">
      <c r="B62" t="s">
        <v>4190</v>
      </c>
      <c r="C62" t="s">
        <v>262</v>
      </c>
      <c r="D62" t="str" cm="1">
        <f t="array" ref="D62">_xlfn.REGEXEXTRACT(F62,"\w?\w-J-\d{4}LI\d{2}")</f>
        <v>RM-J-1342LI26</v>
      </c>
      <c r="E62" t="s">
        <v>4195</v>
      </c>
      <c r="F62" t="s">
        <v>4192</v>
      </c>
      <c r="G62" t="s">
        <v>3919</v>
      </c>
      <c r="H62" t="s">
        <v>3569</v>
      </c>
      <c r="I62" t="s">
        <v>3752</v>
      </c>
      <c r="J62" t="s">
        <v>3753</v>
      </c>
      <c r="K62" t="s">
        <v>3752</v>
      </c>
      <c r="T62" t="s">
        <v>3920</v>
      </c>
      <c r="U62" t="s">
        <v>3573</v>
      </c>
      <c r="Y62" t="s">
        <v>3921</v>
      </c>
      <c r="Z62" t="s">
        <v>3575</v>
      </c>
      <c r="AA62" t="s">
        <v>3576</v>
      </c>
      <c r="AB62" t="s">
        <v>3576</v>
      </c>
      <c r="AC62" t="s">
        <v>3575</v>
      </c>
      <c r="AD62" t="s">
        <v>3922</v>
      </c>
      <c r="AE62" t="s">
        <v>3923</v>
      </c>
      <c r="AF62" t="s">
        <v>3583</v>
      </c>
      <c r="AG62" t="s">
        <v>3580</v>
      </c>
      <c r="AH62" t="s">
        <v>3581</v>
      </c>
      <c r="AI62" t="s">
        <v>3582</v>
      </c>
      <c r="AM62" t="s">
        <v>3924</v>
      </c>
      <c r="AN62" t="s">
        <v>3925</v>
      </c>
      <c r="AO62" t="s">
        <v>3926</v>
      </c>
      <c r="AP62" t="s">
        <v>3686</v>
      </c>
      <c r="AQ62" t="s">
        <v>3927</v>
      </c>
      <c r="AR62" t="s">
        <v>3701</v>
      </c>
      <c r="AS62" t="s">
        <v>3928</v>
      </c>
      <c r="AU62" t="s">
        <v>3929</v>
      </c>
      <c r="AV62" t="s">
        <v>3930</v>
      </c>
      <c r="AW62" t="s">
        <v>3931</v>
      </c>
      <c r="AX62" t="s">
        <v>3932</v>
      </c>
      <c r="AZ62">
        <v>53.524000000000001</v>
      </c>
      <c r="BA62">
        <v>118</v>
      </c>
      <c r="BB62" t="s">
        <v>3974</v>
      </c>
      <c r="BC62" s="36" t="s">
        <v>3970</v>
      </c>
      <c r="BE62" t="s">
        <v>3971</v>
      </c>
      <c r="BF62" t="s">
        <v>3972</v>
      </c>
      <c r="BG62" t="s">
        <v>3677</v>
      </c>
      <c r="BH62" t="s">
        <v>3975</v>
      </c>
      <c r="BL62" t="s">
        <v>3598</v>
      </c>
      <c r="BS62" t="str">
        <v>Inbound</v>
      </c>
      <c r="BT62" t="str">
        <v>Land</v>
      </c>
      <c r="BU62" t="str">
        <v>RM-J-1342LI26</v>
      </c>
      <c r="BV62" t="str">
        <v>Miscelaneus</v>
      </c>
      <c r="BW62" t="str">
        <v>SEEED STUDIO CORAL USB ACCELERATOR ACCELERATOR COPROCESSOR FOR RASPBERRY PI AND OTHER EMBEDDED SINGL</v>
      </c>
      <c r="BX62">
        <v>53.524000000000001</v>
      </c>
      <c r="BY62" s="38">
        <f t="shared" si="1"/>
        <v>8.3298887439117991E-3</v>
      </c>
      <c r="BZ62" s="21">
        <f t="shared" si="2"/>
        <v>9.9958664926941587</v>
      </c>
    </row>
    <row r="63" spans="2:78" x14ac:dyDescent="0.35">
      <c r="B63" t="s">
        <v>4190</v>
      </c>
      <c r="C63" t="s">
        <v>262</v>
      </c>
      <c r="D63" t="str" cm="1">
        <f t="array" ref="D63">_xlfn.REGEXEXTRACT(F63,"\w?\w-J-\d{4}LI\d{2}")</f>
        <v>RM-J-1342LI26</v>
      </c>
      <c r="E63" t="s">
        <v>4195</v>
      </c>
      <c r="F63" t="s">
        <v>4192</v>
      </c>
      <c r="G63" t="s">
        <v>3919</v>
      </c>
      <c r="H63" t="s">
        <v>3569</v>
      </c>
      <c r="I63" t="s">
        <v>3752</v>
      </c>
      <c r="J63" t="s">
        <v>3753</v>
      </c>
      <c r="K63" t="s">
        <v>3752</v>
      </c>
      <c r="T63" t="s">
        <v>3920</v>
      </c>
      <c r="U63" t="s">
        <v>3573</v>
      </c>
      <c r="Y63" t="s">
        <v>3921</v>
      </c>
      <c r="Z63" t="s">
        <v>3575</v>
      </c>
      <c r="AA63" t="s">
        <v>3576</v>
      </c>
      <c r="AB63" t="s">
        <v>3576</v>
      </c>
      <c r="AC63" t="s">
        <v>3575</v>
      </c>
      <c r="AD63" t="s">
        <v>3922</v>
      </c>
      <c r="AE63" t="s">
        <v>3923</v>
      </c>
      <c r="AF63" t="s">
        <v>3583</v>
      </c>
      <c r="AG63" t="s">
        <v>3580</v>
      </c>
      <c r="AH63" t="s">
        <v>3581</v>
      </c>
      <c r="AI63" t="s">
        <v>3582</v>
      </c>
      <c r="AM63" t="s">
        <v>3924</v>
      </c>
      <c r="AN63" t="s">
        <v>3925</v>
      </c>
      <c r="AO63" t="s">
        <v>3926</v>
      </c>
      <c r="AP63" t="s">
        <v>3686</v>
      </c>
      <c r="AQ63" t="s">
        <v>3927</v>
      </c>
      <c r="AR63" t="s">
        <v>3701</v>
      </c>
      <c r="AS63" t="s">
        <v>3928</v>
      </c>
      <c r="AU63" t="s">
        <v>3929</v>
      </c>
      <c r="AV63" t="s">
        <v>3930</v>
      </c>
      <c r="AW63" t="s">
        <v>3931</v>
      </c>
      <c r="AX63" t="s">
        <v>3932</v>
      </c>
      <c r="AZ63">
        <v>53.524000000000001</v>
      </c>
      <c r="BA63">
        <v>118</v>
      </c>
      <c r="BB63" t="s">
        <v>3858</v>
      </c>
      <c r="BC63" s="36" t="s">
        <v>3976</v>
      </c>
      <c r="BE63" t="s">
        <v>3977</v>
      </c>
      <c r="BF63" t="s">
        <v>3978</v>
      </c>
      <c r="BG63" t="s">
        <v>3583</v>
      </c>
      <c r="BH63" t="s">
        <v>3979</v>
      </c>
      <c r="BL63" t="s">
        <v>3598</v>
      </c>
      <c r="BS63" t="str">
        <v>Inbound</v>
      </c>
      <c r="BT63" t="str">
        <v>Land</v>
      </c>
      <c r="BU63" t="str">
        <v>RM-J-1342LI26</v>
      </c>
      <c r="BV63" t="str">
        <v>Miscelaneus</v>
      </c>
      <c r="BW63" t="str">
        <v>SEEED STUDIO CORAL USB ACCELERATOR ACCELERATOR COPROCESSOR FOR RASPBERRY PI AND OTHER EMBEDDED SINGL</v>
      </c>
      <c r="BX63">
        <v>53.524000000000001</v>
      </c>
      <c r="BY63" s="38">
        <f t="shared" si="1"/>
        <v>8.3298887439117991E-3</v>
      </c>
      <c r="BZ63" s="21">
        <f t="shared" si="2"/>
        <v>9.9958664926941587</v>
      </c>
    </row>
    <row r="64" spans="2:78" x14ac:dyDescent="0.35">
      <c r="B64" t="s">
        <v>4190</v>
      </c>
      <c r="C64" t="s">
        <v>262</v>
      </c>
      <c r="D64" t="str" cm="1">
        <f t="array" ref="D64">_xlfn.REGEXEXTRACT(F64,"\w?\w-J-\d{4}LI\d{2}")</f>
        <v>RM-J-1342LI26</v>
      </c>
      <c r="E64" t="s">
        <v>4195</v>
      </c>
      <c r="F64" t="s">
        <v>4192</v>
      </c>
      <c r="G64" t="s">
        <v>3919</v>
      </c>
      <c r="H64" t="s">
        <v>3569</v>
      </c>
      <c r="I64" t="s">
        <v>3752</v>
      </c>
      <c r="J64" t="s">
        <v>3753</v>
      </c>
      <c r="K64" t="s">
        <v>3752</v>
      </c>
      <c r="T64" t="s">
        <v>3920</v>
      </c>
      <c r="U64" t="s">
        <v>3573</v>
      </c>
      <c r="Y64" t="s">
        <v>3921</v>
      </c>
      <c r="Z64" t="s">
        <v>3575</v>
      </c>
      <c r="AA64" t="s">
        <v>3576</v>
      </c>
      <c r="AB64" t="s">
        <v>3576</v>
      </c>
      <c r="AC64" t="s">
        <v>3575</v>
      </c>
      <c r="AD64" t="s">
        <v>3922</v>
      </c>
      <c r="AE64" t="s">
        <v>3923</v>
      </c>
      <c r="AF64" t="s">
        <v>3583</v>
      </c>
      <c r="AG64" t="s">
        <v>3580</v>
      </c>
      <c r="AH64" t="s">
        <v>3581</v>
      </c>
      <c r="AI64" t="s">
        <v>3582</v>
      </c>
      <c r="AM64" t="s">
        <v>3924</v>
      </c>
      <c r="AN64" t="s">
        <v>3925</v>
      </c>
      <c r="AO64" t="s">
        <v>3926</v>
      </c>
      <c r="AP64" t="s">
        <v>3686</v>
      </c>
      <c r="AQ64" t="s">
        <v>3927</v>
      </c>
      <c r="AR64" t="s">
        <v>3701</v>
      </c>
      <c r="AS64" t="s">
        <v>3928</v>
      </c>
      <c r="AU64" t="s">
        <v>3929</v>
      </c>
      <c r="AV64" t="s">
        <v>3930</v>
      </c>
      <c r="AW64" t="s">
        <v>3931</v>
      </c>
      <c r="AX64" t="s">
        <v>3932</v>
      </c>
      <c r="AZ64">
        <v>53.524000000000001</v>
      </c>
      <c r="BA64">
        <v>118</v>
      </c>
      <c r="BB64" t="s">
        <v>3710</v>
      </c>
      <c r="BC64" s="36" t="s">
        <v>3980</v>
      </c>
      <c r="BE64" t="s">
        <v>3977</v>
      </c>
      <c r="BF64" t="s">
        <v>3978</v>
      </c>
      <c r="BG64" t="s">
        <v>3583</v>
      </c>
      <c r="BH64" t="s">
        <v>3981</v>
      </c>
      <c r="BL64" t="s">
        <v>3598</v>
      </c>
      <c r="BS64" t="str">
        <v>Inbound</v>
      </c>
      <c r="BT64" t="str">
        <v>Land</v>
      </c>
      <c r="BU64" t="str">
        <v>RM-J-1342LI26</v>
      </c>
      <c r="BV64" t="str">
        <v>Miscelaneus</v>
      </c>
      <c r="BW64" t="str">
        <v>ZOWIETEK 5-50MM 12MP C-MOUNT LOW DISTORTION ZOOM LENS, WITH C-CS ADAPTER, FOR ZOWIECAM POV CS/C MOUN</v>
      </c>
      <c r="BX64">
        <v>53.524000000000001</v>
      </c>
      <c r="BY64" s="38">
        <f t="shared" si="1"/>
        <v>8.3298887439117991E-3</v>
      </c>
      <c r="BZ64" s="21">
        <f t="shared" si="2"/>
        <v>9.9958664926941587</v>
      </c>
    </row>
    <row r="65" spans="2:78" x14ac:dyDescent="0.35">
      <c r="B65" t="s">
        <v>4190</v>
      </c>
      <c r="C65" t="s">
        <v>262</v>
      </c>
      <c r="D65" t="str" cm="1">
        <f t="array" ref="D65">_xlfn.REGEXEXTRACT(F65,"\w?\w-J-\d{4}LI\d{2}")</f>
        <v>RM-J-1342LI26</v>
      </c>
      <c r="E65" t="s">
        <v>4195</v>
      </c>
      <c r="F65" t="s">
        <v>4192</v>
      </c>
      <c r="G65" t="s">
        <v>3919</v>
      </c>
      <c r="H65" t="s">
        <v>3569</v>
      </c>
      <c r="I65" t="s">
        <v>3752</v>
      </c>
      <c r="J65" t="s">
        <v>3753</v>
      </c>
      <c r="K65" t="s">
        <v>3752</v>
      </c>
      <c r="T65" t="s">
        <v>3920</v>
      </c>
      <c r="U65" t="s">
        <v>3573</v>
      </c>
      <c r="Y65" t="s">
        <v>3921</v>
      </c>
      <c r="Z65" t="s">
        <v>3575</v>
      </c>
      <c r="AA65" t="s">
        <v>3576</v>
      </c>
      <c r="AB65" t="s">
        <v>3576</v>
      </c>
      <c r="AC65" t="s">
        <v>3575</v>
      </c>
      <c r="AD65" t="s">
        <v>3922</v>
      </c>
      <c r="AE65" t="s">
        <v>3923</v>
      </c>
      <c r="AF65" t="s">
        <v>3583</v>
      </c>
      <c r="AG65" t="s">
        <v>3580</v>
      </c>
      <c r="AH65" t="s">
        <v>3581</v>
      </c>
      <c r="AI65" t="s">
        <v>3582</v>
      </c>
      <c r="AM65" t="s">
        <v>3924</v>
      </c>
      <c r="AN65" t="s">
        <v>3925</v>
      </c>
      <c r="AO65" t="s">
        <v>3926</v>
      </c>
      <c r="AP65" t="s">
        <v>3686</v>
      </c>
      <c r="AQ65" t="s">
        <v>3982</v>
      </c>
      <c r="AR65" t="s">
        <v>3983</v>
      </c>
      <c r="AS65" t="s">
        <v>3984</v>
      </c>
      <c r="AU65" t="s">
        <v>3929</v>
      </c>
      <c r="AV65" t="s">
        <v>3930</v>
      </c>
      <c r="AW65" t="s">
        <v>3931</v>
      </c>
      <c r="AX65" t="s">
        <v>3932</v>
      </c>
      <c r="AZ65">
        <v>53.524000000000001</v>
      </c>
      <c r="BA65">
        <v>118</v>
      </c>
      <c r="BB65" t="s">
        <v>3583</v>
      </c>
      <c r="BC65" s="36" t="s">
        <v>3945</v>
      </c>
      <c r="BE65" t="s">
        <v>3946</v>
      </c>
      <c r="BF65" t="s">
        <v>3947</v>
      </c>
      <c r="BG65" t="s">
        <v>3583</v>
      </c>
      <c r="BH65" t="s">
        <v>3948</v>
      </c>
      <c r="BL65" t="s">
        <v>3598</v>
      </c>
      <c r="BS65" t="str">
        <v>Inbound</v>
      </c>
      <c r="BT65" t="str">
        <v>Land</v>
      </c>
      <c r="BU65" t="str">
        <v>RM-J-1342LI26</v>
      </c>
      <c r="BV65" t="str">
        <v>Miscelaneus</v>
      </c>
      <c r="BW65" t="str">
        <v>ARDUCAM M12 LENS SET FOR USB CAMERA(1/2.7 1/2.8 1/2.9), TELEPHOTO, MACRO, WIDE ANGLE, FISHEYE LENS K</v>
      </c>
      <c r="BX65">
        <v>53.524000000000001</v>
      </c>
      <c r="BY65" s="38">
        <f t="shared" si="1"/>
        <v>8.3298887439117991E-3</v>
      </c>
      <c r="BZ65" s="21">
        <f t="shared" si="2"/>
        <v>9.9958664926941587</v>
      </c>
    </row>
    <row r="66" spans="2:78" x14ac:dyDescent="0.35">
      <c r="B66" t="s">
        <v>4190</v>
      </c>
      <c r="C66" t="s">
        <v>262</v>
      </c>
      <c r="D66" t="str" cm="1">
        <f t="array" ref="D66">_xlfn.REGEXEXTRACT(F66,"\w?\w-J-\d{4}LI\d{2}")</f>
        <v>RM-J-1342LI26</v>
      </c>
      <c r="E66" t="s">
        <v>4195</v>
      </c>
      <c r="F66" t="s">
        <v>4192</v>
      </c>
      <c r="G66" t="s">
        <v>3919</v>
      </c>
      <c r="H66" t="s">
        <v>3569</v>
      </c>
      <c r="I66" t="s">
        <v>3752</v>
      </c>
      <c r="J66" t="s">
        <v>3753</v>
      </c>
      <c r="K66" t="s">
        <v>3752</v>
      </c>
      <c r="T66" t="s">
        <v>3920</v>
      </c>
      <c r="U66" t="s">
        <v>3573</v>
      </c>
      <c r="Y66" t="s">
        <v>3921</v>
      </c>
      <c r="Z66" t="s">
        <v>3575</v>
      </c>
      <c r="AA66" t="s">
        <v>3576</v>
      </c>
      <c r="AB66" t="s">
        <v>3576</v>
      </c>
      <c r="AC66" t="s">
        <v>3575</v>
      </c>
      <c r="AD66" t="s">
        <v>3922</v>
      </c>
      <c r="AE66" t="s">
        <v>3923</v>
      </c>
      <c r="AF66" t="s">
        <v>3583</v>
      </c>
      <c r="AG66" t="s">
        <v>3580</v>
      </c>
      <c r="AH66" t="s">
        <v>3581</v>
      </c>
      <c r="AI66" t="s">
        <v>3582</v>
      </c>
      <c r="AM66" t="s">
        <v>3924</v>
      </c>
      <c r="AN66" t="s">
        <v>3925</v>
      </c>
      <c r="AO66" t="s">
        <v>3926</v>
      </c>
      <c r="AP66" t="s">
        <v>3686</v>
      </c>
      <c r="AQ66" t="s">
        <v>3982</v>
      </c>
      <c r="AR66" t="s">
        <v>3983</v>
      </c>
      <c r="AS66" t="s">
        <v>3984</v>
      </c>
      <c r="AU66" t="s">
        <v>3929</v>
      </c>
      <c r="AV66" t="s">
        <v>3930</v>
      </c>
      <c r="AW66" t="s">
        <v>3931</v>
      </c>
      <c r="AX66" t="s">
        <v>3932</v>
      </c>
      <c r="AZ66">
        <v>53.524000000000001</v>
      </c>
      <c r="BA66">
        <v>118</v>
      </c>
      <c r="BB66" t="s">
        <v>3599</v>
      </c>
      <c r="BC66" s="36" t="s">
        <v>3985</v>
      </c>
      <c r="BE66" t="s">
        <v>3966</v>
      </c>
      <c r="BF66" t="s">
        <v>3986</v>
      </c>
      <c r="BG66" t="s">
        <v>3583</v>
      </c>
      <c r="BH66" t="s">
        <v>3987</v>
      </c>
      <c r="BL66" t="s">
        <v>3598</v>
      </c>
      <c r="BS66" t="str">
        <v>Inbound</v>
      </c>
      <c r="BT66" t="str">
        <v>Land</v>
      </c>
      <c r="BU66" t="str">
        <v>RM-J-1342LI26</v>
      </c>
      <c r="BV66" t="str">
        <v>Miscelaneus</v>
      </c>
      <c r="BW66" t="str">
        <v>UXCELL 2MM DIA TEMPERATURE SENSOR PROBE TESTER K-TYPE THERMOCOUPLE WIRE CABLE 32M L</v>
      </c>
      <c r="BX66">
        <v>53.524000000000001</v>
      </c>
      <c r="BY66" s="38">
        <f t="shared" si="1"/>
        <v>8.3298887439117991E-3</v>
      </c>
      <c r="BZ66" s="21">
        <f t="shared" si="2"/>
        <v>9.9958664926941587</v>
      </c>
    </row>
    <row r="67" spans="2:78" x14ac:dyDescent="0.35">
      <c r="B67" t="s">
        <v>4190</v>
      </c>
      <c r="C67" t="s">
        <v>262</v>
      </c>
      <c r="D67" t="str" cm="1">
        <f t="array" ref="D67">_xlfn.REGEXEXTRACT(F67,"\w?\w-J-\d{4}LI\d{2}")</f>
        <v>RM-J-1342LI26</v>
      </c>
      <c r="E67" t="s">
        <v>4195</v>
      </c>
      <c r="F67" t="s">
        <v>4192</v>
      </c>
      <c r="G67" t="s">
        <v>3919</v>
      </c>
      <c r="H67" t="s">
        <v>3569</v>
      </c>
      <c r="I67" t="s">
        <v>3752</v>
      </c>
      <c r="J67" t="s">
        <v>3753</v>
      </c>
      <c r="K67" t="s">
        <v>3752</v>
      </c>
      <c r="T67" t="s">
        <v>3920</v>
      </c>
      <c r="U67" t="s">
        <v>3573</v>
      </c>
      <c r="Y67" t="s">
        <v>3921</v>
      </c>
      <c r="Z67" t="s">
        <v>3575</v>
      </c>
      <c r="AA67" t="s">
        <v>3576</v>
      </c>
      <c r="AB67" t="s">
        <v>3576</v>
      </c>
      <c r="AC67" t="s">
        <v>3575</v>
      </c>
      <c r="AD67" t="s">
        <v>3922</v>
      </c>
      <c r="AE67" t="s">
        <v>3923</v>
      </c>
      <c r="AF67" t="s">
        <v>3583</v>
      </c>
      <c r="AG67" t="s">
        <v>3580</v>
      </c>
      <c r="AH67" t="s">
        <v>3581</v>
      </c>
      <c r="AI67" t="s">
        <v>3582</v>
      </c>
      <c r="AM67" t="s">
        <v>3924</v>
      </c>
      <c r="AN67" t="s">
        <v>3925</v>
      </c>
      <c r="AO67" t="s">
        <v>3926</v>
      </c>
      <c r="AP67" t="s">
        <v>3686</v>
      </c>
      <c r="AQ67" t="s">
        <v>3982</v>
      </c>
      <c r="AR67" t="s">
        <v>3983</v>
      </c>
      <c r="AS67" t="s">
        <v>3984</v>
      </c>
      <c r="AU67" t="s">
        <v>3929</v>
      </c>
      <c r="AV67" t="s">
        <v>3930</v>
      </c>
      <c r="AW67" t="s">
        <v>3931</v>
      </c>
      <c r="AX67" t="s">
        <v>3932</v>
      </c>
      <c r="AZ67">
        <v>53.524000000000001</v>
      </c>
      <c r="BA67">
        <v>118</v>
      </c>
      <c r="BB67" t="s">
        <v>3596</v>
      </c>
      <c r="BC67" s="36" t="s">
        <v>3953</v>
      </c>
      <c r="BE67" t="s">
        <v>3954</v>
      </c>
      <c r="BF67" t="s">
        <v>3955</v>
      </c>
      <c r="BG67" t="s">
        <v>3599</v>
      </c>
      <c r="BH67" t="s">
        <v>3988</v>
      </c>
      <c r="BL67" t="s">
        <v>3598</v>
      </c>
      <c r="BS67" t="str">
        <v>Inbound</v>
      </c>
      <c r="BT67" t="str">
        <v>Land</v>
      </c>
      <c r="BU67" t="str">
        <v>RM-J-1342LI26</v>
      </c>
      <c r="BV67" t="str">
        <v>Miscelaneus</v>
      </c>
      <c r="BW67" t="str">
        <v>FFR-FLAT6.6</v>
      </c>
      <c r="BX67">
        <v>53.524000000000001</v>
      </c>
      <c r="BY67" s="38">
        <f t="shared" si="1"/>
        <v>8.3298887439117991E-3</v>
      </c>
      <c r="BZ67" s="21">
        <f t="shared" si="2"/>
        <v>9.9958664926941587</v>
      </c>
    </row>
    <row r="68" spans="2:78" x14ac:dyDescent="0.35">
      <c r="B68" t="s">
        <v>4190</v>
      </c>
      <c r="C68" t="s">
        <v>262</v>
      </c>
      <c r="D68" t="str" cm="1">
        <f t="array" ref="D68">_xlfn.REGEXEXTRACT(F68,"\w?\w-J-\d{4}LI\d{2}")</f>
        <v>RM-J-1342LI26</v>
      </c>
      <c r="E68" t="s">
        <v>4195</v>
      </c>
      <c r="F68" t="s">
        <v>4192</v>
      </c>
      <c r="G68" t="s">
        <v>3919</v>
      </c>
      <c r="H68" t="s">
        <v>3569</v>
      </c>
      <c r="I68" t="s">
        <v>3752</v>
      </c>
      <c r="J68" t="s">
        <v>3753</v>
      </c>
      <c r="K68" t="s">
        <v>3752</v>
      </c>
      <c r="T68" t="s">
        <v>3920</v>
      </c>
      <c r="U68" t="s">
        <v>3573</v>
      </c>
      <c r="Y68" t="s">
        <v>3921</v>
      </c>
      <c r="Z68" t="s">
        <v>3575</v>
      </c>
      <c r="AA68" t="s">
        <v>3576</v>
      </c>
      <c r="AB68" t="s">
        <v>3576</v>
      </c>
      <c r="AC68" t="s">
        <v>3575</v>
      </c>
      <c r="AD68" t="s">
        <v>3922</v>
      </c>
      <c r="AE68" t="s">
        <v>3923</v>
      </c>
      <c r="AF68" t="s">
        <v>3583</v>
      </c>
      <c r="AG68" t="s">
        <v>3580</v>
      </c>
      <c r="AH68" t="s">
        <v>3581</v>
      </c>
      <c r="AI68" t="s">
        <v>3582</v>
      </c>
      <c r="AM68" t="s">
        <v>3924</v>
      </c>
      <c r="AN68" t="s">
        <v>3925</v>
      </c>
      <c r="AO68" t="s">
        <v>3926</v>
      </c>
      <c r="AP68" t="s">
        <v>3686</v>
      </c>
      <c r="AQ68" t="s">
        <v>3982</v>
      </c>
      <c r="AR68" t="s">
        <v>3983</v>
      </c>
      <c r="AS68" t="s">
        <v>3984</v>
      </c>
      <c r="AU68" t="s">
        <v>3929</v>
      </c>
      <c r="AV68" t="s">
        <v>3930</v>
      </c>
      <c r="AW68" t="s">
        <v>3931</v>
      </c>
      <c r="AX68" t="s">
        <v>3932</v>
      </c>
      <c r="AZ68">
        <v>53.524000000000001</v>
      </c>
      <c r="BA68">
        <v>118</v>
      </c>
      <c r="BB68" t="s">
        <v>3646</v>
      </c>
      <c r="BC68" s="36" t="s">
        <v>3959</v>
      </c>
      <c r="BE68" t="s">
        <v>3954</v>
      </c>
      <c r="BF68" t="s">
        <v>3955</v>
      </c>
      <c r="BG68" t="s">
        <v>3599</v>
      </c>
      <c r="BH68" t="s">
        <v>3961</v>
      </c>
      <c r="BL68" t="s">
        <v>3598</v>
      </c>
      <c r="BS68" t="str">
        <v>Inbound</v>
      </c>
      <c r="BT68" t="str">
        <v>Land</v>
      </c>
      <c r="BU68" t="str">
        <v>RM-J-1342LI26</v>
      </c>
      <c r="BV68" t="str">
        <v>Miscelaneus</v>
      </c>
      <c r="BW68" t="str">
        <v>ARDUCAM FOR RASPBERRY PI HQ CAMERA MODULE,12.3MP IMX477 RASPBERRY PI CAMERA FOR RASPBERRY PI5/4B/3B+</v>
      </c>
      <c r="BX68">
        <v>53.524000000000001</v>
      </c>
      <c r="BY68" s="38">
        <f t="shared" si="1"/>
        <v>8.3298887439117991E-3</v>
      </c>
      <c r="BZ68" s="21">
        <f t="shared" si="2"/>
        <v>9.9958664926941587</v>
      </c>
    </row>
    <row r="69" spans="2:78" x14ac:dyDescent="0.35">
      <c r="B69" t="s">
        <v>4190</v>
      </c>
      <c r="C69" t="s">
        <v>262</v>
      </c>
      <c r="D69" t="str" cm="1">
        <f t="array" ref="D69">_xlfn.REGEXEXTRACT(F69,"\w?\w-J-\d{4}LI\d{2}")</f>
        <v>RM-J-1342LI26</v>
      </c>
      <c r="E69" t="s">
        <v>4195</v>
      </c>
      <c r="F69" t="s">
        <v>4192</v>
      </c>
      <c r="G69" t="s">
        <v>3919</v>
      </c>
      <c r="H69" t="s">
        <v>3569</v>
      </c>
      <c r="I69" t="s">
        <v>3752</v>
      </c>
      <c r="J69" t="s">
        <v>3753</v>
      </c>
      <c r="K69" t="s">
        <v>3752</v>
      </c>
      <c r="T69" t="s">
        <v>3920</v>
      </c>
      <c r="U69" t="s">
        <v>3573</v>
      </c>
      <c r="Y69" t="s">
        <v>3921</v>
      </c>
      <c r="Z69" t="s">
        <v>3575</v>
      </c>
      <c r="AA69" t="s">
        <v>3576</v>
      </c>
      <c r="AB69" t="s">
        <v>3576</v>
      </c>
      <c r="AC69" t="s">
        <v>3575</v>
      </c>
      <c r="AD69" t="s">
        <v>3922</v>
      </c>
      <c r="AE69" t="s">
        <v>3923</v>
      </c>
      <c r="AF69" t="s">
        <v>3583</v>
      </c>
      <c r="AG69" t="s">
        <v>3580</v>
      </c>
      <c r="AH69" t="s">
        <v>3581</v>
      </c>
      <c r="AI69" t="s">
        <v>3582</v>
      </c>
      <c r="AM69" t="s">
        <v>3924</v>
      </c>
      <c r="AN69" t="s">
        <v>3925</v>
      </c>
      <c r="AO69" t="s">
        <v>3926</v>
      </c>
      <c r="AP69" t="s">
        <v>3686</v>
      </c>
      <c r="AQ69" t="s">
        <v>3982</v>
      </c>
      <c r="AR69" t="s">
        <v>3983</v>
      </c>
      <c r="AS69" t="s">
        <v>3984</v>
      </c>
      <c r="AU69" t="s">
        <v>3929</v>
      </c>
      <c r="AV69" t="s">
        <v>3930</v>
      </c>
      <c r="AW69" t="s">
        <v>3931</v>
      </c>
      <c r="AX69" t="s">
        <v>3932</v>
      </c>
      <c r="AZ69">
        <v>53.524000000000001</v>
      </c>
      <c r="BA69">
        <v>118</v>
      </c>
      <c r="BB69" t="s">
        <v>3579</v>
      </c>
      <c r="BC69" s="36" t="s">
        <v>3970</v>
      </c>
      <c r="BE69" t="s">
        <v>3971</v>
      </c>
      <c r="BF69" t="s">
        <v>3972</v>
      </c>
      <c r="BG69" t="s">
        <v>3583</v>
      </c>
      <c r="BH69" t="s">
        <v>3973</v>
      </c>
      <c r="BL69" t="s">
        <v>3598</v>
      </c>
      <c r="BS69" t="str">
        <v>Inbound</v>
      </c>
      <c r="BT69" t="str">
        <v>Land</v>
      </c>
      <c r="BU69" t="str">
        <v>RM-J-1342LI26</v>
      </c>
      <c r="BV69" t="str">
        <v>Miscelaneus</v>
      </c>
      <c r="BW69" t="str">
        <v>ARDUCAM IMX477 PI HQ CAMERA FOR RASPBERRY PI 5, COMES WITH A 1/2.3 6MM FOCAL LENGTH CS LENS, WIDELY</v>
      </c>
      <c r="BX69">
        <v>53.524000000000001</v>
      </c>
      <c r="BY69" s="38">
        <f t="shared" si="1"/>
        <v>8.3298887439117991E-3</v>
      </c>
      <c r="BZ69" s="21">
        <f t="shared" si="2"/>
        <v>9.9958664926941587</v>
      </c>
    </row>
    <row r="70" spans="2:78" x14ac:dyDescent="0.35">
      <c r="B70" t="s">
        <v>4190</v>
      </c>
      <c r="C70" t="s">
        <v>262</v>
      </c>
      <c r="D70" t="str" cm="1">
        <f t="array" ref="D70">_xlfn.REGEXEXTRACT(F70,"\w?\w-J-\d{4}LI\d{2}")</f>
        <v>RM-J-1342LI26</v>
      </c>
      <c r="E70" t="s">
        <v>4195</v>
      </c>
      <c r="F70" t="s">
        <v>4192</v>
      </c>
      <c r="G70" t="s">
        <v>3919</v>
      </c>
      <c r="H70" t="s">
        <v>3569</v>
      </c>
      <c r="I70" t="s">
        <v>3752</v>
      </c>
      <c r="J70" t="s">
        <v>3753</v>
      </c>
      <c r="K70" t="s">
        <v>3752</v>
      </c>
      <c r="T70" t="s">
        <v>3920</v>
      </c>
      <c r="U70" t="s">
        <v>3573</v>
      </c>
      <c r="Y70" t="s">
        <v>3921</v>
      </c>
      <c r="Z70" t="s">
        <v>3575</v>
      </c>
      <c r="AA70" t="s">
        <v>3576</v>
      </c>
      <c r="AB70" t="s">
        <v>3576</v>
      </c>
      <c r="AC70" t="s">
        <v>3575</v>
      </c>
      <c r="AD70" t="s">
        <v>3922</v>
      </c>
      <c r="AE70" t="s">
        <v>3923</v>
      </c>
      <c r="AF70" t="s">
        <v>3583</v>
      </c>
      <c r="AG70" t="s">
        <v>3580</v>
      </c>
      <c r="AH70" t="s">
        <v>3581</v>
      </c>
      <c r="AI70" t="s">
        <v>3582</v>
      </c>
      <c r="AM70" t="s">
        <v>3924</v>
      </c>
      <c r="AN70" t="s">
        <v>3925</v>
      </c>
      <c r="AO70" t="s">
        <v>3926</v>
      </c>
      <c r="AP70" t="s">
        <v>3686</v>
      </c>
      <c r="AQ70" t="s">
        <v>3989</v>
      </c>
      <c r="AR70" t="s">
        <v>3990</v>
      </c>
      <c r="AS70" t="s">
        <v>3991</v>
      </c>
      <c r="AU70" t="s">
        <v>3929</v>
      </c>
      <c r="AV70" t="s">
        <v>3930</v>
      </c>
      <c r="AW70" t="s">
        <v>3931</v>
      </c>
      <c r="AX70" t="s">
        <v>3932</v>
      </c>
      <c r="AZ70">
        <v>53.524000000000001</v>
      </c>
      <c r="BA70">
        <v>118</v>
      </c>
      <c r="BB70" t="s">
        <v>3583</v>
      </c>
      <c r="BC70" s="36" t="s">
        <v>3941</v>
      </c>
      <c r="BE70" t="s">
        <v>3942</v>
      </c>
      <c r="BF70" t="s">
        <v>3943</v>
      </c>
      <c r="BG70" t="s">
        <v>3583</v>
      </c>
      <c r="BH70" t="s">
        <v>3992</v>
      </c>
      <c r="BL70" t="s">
        <v>3598</v>
      </c>
      <c r="BS70" t="str">
        <v>Inbound</v>
      </c>
      <c r="BT70" t="str">
        <v>Land</v>
      </c>
      <c r="BU70" t="str">
        <v>RM-J-1342LI26</v>
      </c>
      <c r="BV70" t="str">
        <v>Miscelaneus</v>
      </c>
      <c r="BW70" t="str">
        <v>SEEED STUDIO CORAL USB ACCELERATOR ACCELERATOR COPROCESSOR FOR RASPBERRY PI AND OTHER EMBEDDED SINGL</v>
      </c>
      <c r="BX70">
        <v>53.524000000000001</v>
      </c>
      <c r="BY70" s="38">
        <f t="shared" si="1"/>
        <v>8.3298887439117991E-3</v>
      </c>
      <c r="BZ70" s="21">
        <f t="shared" si="2"/>
        <v>9.9958664926941587</v>
      </c>
    </row>
    <row r="71" spans="2:78" x14ac:dyDescent="0.35">
      <c r="B71" t="s">
        <v>4190</v>
      </c>
      <c r="C71" t="s">
        <v>262</v>
      </c>
      <c r="D71" t="str" cm="1">
        <f t="array" ref="D71">_xlfn.REGEXEXTRACT(F71,"\w?\w-J-\d{4}LI\d{2}")</f>
        <v>RM-J-1342LI26</v>
      </c>
      <c r="E71" t="s">
        <v>4195</v>
      </c>
      <c r="F71" t="s">
        <v>4192</v>
      </c>
      <c r="G71" t="s">
        <v>3919</v>
      </c>
      <c r="H71" t="s">
        <v>3569</v>
      </c>
      <c r="I71" t="s">
        <v>3752</v>
      </c>
      <c r="J71" t="s">
        <v>3753</v>
      </c>
      <c r="K71" t="s">
        <v>3752</v>
      </c>
      <c r="T71" t="s">
        <v>3920</v>
      </c>
      <c r="U71" t="s">
        <v>3573</v>
      </c>
      <c r="Y71" t="s">
        <v>3921</v>
      </c>
      <c r="Z71" t="s">
        <v>3575</v>
      </c>
      <c r="AA71" t="s">
        <v>3576</v>
      </c>
      <c r="AB71" t="s">
        <v>3576</v>
      </c>
      <c r="AC71" t="s">
        <v>3575</v>
      </c>
      <c r="AD71" t="s">
        <v>3922</v>
      </c>
      <c r="AE71" t="s">
        <v>3923</v>
      </c>
      <c r="AF71" t="s">
        <v>3583</v>
      </c>
      <c r="AG71" t="s">
        <v>3580</v>
      </c>
      <c r="AH71" t="s">
        <v>3581</v>
      </c>
      <c r="AI71" t="s">
        <v>3582</v>
      </c>
      <c r="AM71" t="s">
        <v>3924</v>
      </c>
      <c r="AN71" t="s">
        <v>3925</v>
      </c>
      <c r="AO71" t="s">
        <v>3926</v>
      </c>
      <c r="AP71" t="s">
        <v>3686</v>
      </c>
      <c r="AQ71" t="s">
        <v>3989</v>
      </c>
      <c r="AR71" t="s">
        <v>3990</v>
      </c>
      <c r="AS71" t="s">
        <v>3991</v>
      </c>
      <c r="AU71" t="s">
        <v>3929</v>
      </c>
      <c r="AV71" t="s">
        <v>3930</v>
      </c>
      <c r="AW71" t="s">
        <v>3931</v>
      </c>
      <c r="AX71" t="s">
        <v>3932</v>
      </c>
      <c r="AZ71">
        <v>53.524000000000001</v>
      </c>
      <c r="BA71">
        <v>118</v>
      </c>
      <c r="BB71" t="s">
        <v>3599</v>
      </c>
      <c r="BC71" s="36" t="s">
        <v>3945</v>
      </c>
      <c r="BE71" t="s">
        <v>3946</v>
      </c>
      <c r="BF71" t="s">
        <v>3947</v>
      </c>
      <c r="BG71" t="s">
        <v>3583</v>
      </c>
      <c r="BH71" t="s">
        <v>3948</v>
      </c>
      <c r="BL71" t="s">
        <v>3598</v>
      </c>
      <c r="BS71" t="str">
        <v>Inbound</v>
      </c>
      <c r="BT71" t="str">
        <v>Land</v>
      </c>
      <c r="BU71" t="str">
        <v>RM-J-1342LI26</v>
      </c>
      <c r="BV71" t="str">
        <v>Miscelaneus</v>
      </c>
      <c r="BW71" t="str">
        <v>VILROS RASPBERRY PI 4 COMPLETE STARTER KIT- INCLUDES RASPBERRY PI 4 BOARD, FAN COOLED CASE, 64GB PRE</v>
      </c>
      <c r="BX71">
        <v>53.524000000000001</v>
      </c>
      <c r="BY71" s="38">
        <f t="shared" ref="BY71:BY134" si="4">BX71*1/SUMIFS(BX:BX,BU:BU,BU71)</f>
        <v>8.3298887439117991E-3</v>
      </c>
      <c r="BZ71" s="21">
        <f t="shared" ref="BZ71:BZ134" si="5">BY71*$BZ$1</f>
        <v>9.9958664926941587</v>
      </c>
    </row>
    <row r="72" spans="2:78" x14ac:dyDescent="0.35">
      <c r="B72" t="s">
        <v>4190</v>
      </c>
      <c r="C72" t="s">
        <v>262</v>
      </c>
      <c r="D72" t="str" cm="1">
        <f t="array" ref="D72">_xlfn.REGEXEXTRACT(F72,"\w?\w-J-\d{4}LI\d{2}")</f>
        <v>RM-J-1342LI26</v>
      </c>
      <c r="E72" t="s">
        <v>4195</v>
      </c>
      <c r="F72" t="s">
        <v>4192</v>
      </c>
      <c r="G72" t="s">
        <v>3919</v>
      </c>
      <c r="H72" t="s">
        <v>3569</v>
      </c>
      <c r="I72" t="s">
        <v>3752</v>
      </c>
      <c r="J72" t="s">
        <v>3753</v>
      </c>
      <c r="K72" t="s">
        <v>3752</v>
      </c>
      <c r="T72" t="s">
        <v>3920</v>
      </c>
      <c r="U72" t="s">
        <v>3573</v>
      </c>
      <c r="Y72" t="s">
        <v>3921</v>
      </c>
      <c r="Z72" t="s">
        <v>3575</v>
      </c>
      <c r="AA72" t="s">
        <v>3576</v>
      </c>
      <c r="AB72" t="s">
        <v>3576</v>
      </c>
      <c r="AC72" t="s">
        <v>3575</v>
      </c>
      <c r="AD72" t="s">
        <v>3922</v>
      </c>
      <c r="AE72" t="s">
        <v>3923</v>
      </c>
      <c r="AF72" t="s">
        <v>3583</v>
      </c>
      <c r="AG72" t="s">
        <v>3580</v>
      </c>
      <c r="AH72" t="s">
        <v>3581</v>
      </c>
      <c r="AI72" t="s">
        <v>3582</v>
      </c>
      <c r="AM72" t="s">
        <v>3924</v>
      </c>
      <c r="AN72" t="s">
        <v>3925</v>
      </c>
      <c r="AO72" t="s">
        <v>3926</v>
      </c>
      <c r="AP72" t="s">
        <v>3686</v>
      </c>
      <c r="AQ72" t="s">
        <v>3989</v>
      </c>
      <c r="AR72" t="s">
        <v>3990</v>
      </c>
      <c r="AS72" t="s">
        <v>3991</v>
      </c>
      <c r="AU72" t="s">
        <v>3929</v>
      </c>
      <c r="AV72" t="s">
        <v>3930</v>
      </c>
      <c r="AW72" t="s">
        <v>3931</v>
      </c>
      <c r="AX72" t="s">
        <v>3932</v>
      </c>
      <c r="AZ72">
        <v>53.524000000000001</v>
      </c>
      <c r="BA72">
        <v>118</v>
      </c>
      <c r="BB72" t="s">
        <v>3596</v>
      </c>
      <c r="BC72" s="36" t="s">
        <v>3945</v>
      </c>
      <c r="BE72" t="s">
        <v>3946</v>
      </c>
      <c r="BF72" t="s">
        <v>3947</v>
      </c>
      <c r="BG72" t="s">
        <v>3583</v>
      </c>
      <c r="BH72" t="s">
        <v>3948</v>
      </c>
      <c r="BL72" t="s">
        <v>3598</v>
      </c>
      <c r="BS72" t="str">
        <v>Inbound</v>
      </c>
      <c r="BT72" t="str">
        <v>Land</v>
      </c>
      <c r="BU72" t="str">
        <v>RM-J-1342LI26</v>
      </c>
      <c r="BV72" t="str">
        <v>Miscelaneus</v>
      </c>
      <c r="BW72" t="str">
        <v>UXCELL 2MM DIA TEMPERATURE SENSOR PROBE TESTER K-TYPE THERMOCOUPLE WIRE CABLE 32M L</v>
      </c>
      <c r="BX72">
        <v>53.524000000000001</v>
      </c>
      <c r="BY72" s="38">
        <f t="shared" si="4"/>
        <v>8.3298887439117991E-3</v>
      </c>
      <c r="BZ72" s="21">
        <f t="shared" si="5"/>
        <v>9.9958664926941587</v>
      </c>
    </row>
    <row r="73" spans="2:78" x14ac:dyDescent="0.35">
      <c r="B73" t="s">
        <v>4190</v>
      </c>
      <c r="C73" t="s">
        <v>262</v>
      </c>
      <c r="D73" t="str" cm="1">
        <f t="array" ref="D73">_xlfn.REGEXEXTRACT(F73,"\w?\w-J-\d{4}LI\d{2}")</f>
        <v>RM-J-1342LI26</v>
      </c>
      <c r="E73" t="s">
        <v>4195</v>
      </c>
      <c r="F73" t="s">
        <v>4192</v>
      </c>
      <c r="G73" t="s">
        <v>3919</v>
      </c>
      <c r="H73" t="s">
        <v>3569</v>
      </c>
      <c r="I73" t="s">
        <v>3752</v>
      </c>
      <c r="J73" t="s">
        <v>3753</v>
      </c>
      <c r="K73" t="s">
        <v>3752</v>
      </c>
      <c r="T73" t="s">
        <v>3920</v>
      </c>
      <c r="U73" t="s">
        <v>3573</v>
      </c>
      <c r="Y73" t="s">
        <v>3921</v>
      </c>
      <c r="Z73" t="s">
        <v>3575</v>
      </c>
      <c r="AA73" t="s">
        <v>3576</v>
      </c>
      <c r="AB73" t="s">
        <v>3576</v>
      </c>
      <c r="AC73" t="s">
        <v>3575</v>
      </c>
      <c r="AD73" t="s">
        <v>3922</v>
      </c>
      <c r="AE73" t="s">
        <v>3923</v>
      </c>
      <c r="AF73" t="s">
        <v>3583</v>
      </c>
      <c r="AG73" t="s">
        <v>3580</v>
      </c>
      <c r="AH73" t="s">
        <v>3581</v>
      </c>
      <c r="AI73" t="s">
        <v>3582</v>
      </c>
      <c r="AM73" t="s">
        <v>3924</v>
      </c>
      <c r="AN73" t="s">
        <v>3925</v>
      </c>
      <c r="AO73" t="s">
        <v>3926</v>
      </c>
      <c r="AP73" t="s">
        <v>3686</v>
      </c>
      <c r="AQ73" t="s">
        <v>3989</v>
      </c>
      <c r="AR73" t="s">
        <v>3990</v>
      </c>
      <c r="AS73" t="s">
        <v>3991</v>
      </c>
      <c r="AU73" t="s">
        <v>3929</v>
      </c>
      <c r="AV73" t="s">
        <v>3930</v>
      </c>
      <c r="AW73" t="s">
        <v>3931</v>
      </c>
      <c r="AX73" t="s">
        <v>3932</v>
      </c>
      <c r="AZ73">
        <v>53.524000000000001</v>
      </c>
      <c r="BA73">
        <v>118</v>
      </c>
      <c r="BB73" t="s">
        <v>3646</v>
      </c>
      <c r="BC73" s="36" t="s">
        <v>3985</v>
      </c>
      <c r="BE73" t="s">
        <v>3966</v>
      </c>
      <c r="BF73" t="s">
        <v>3986</v>
      </c>
      <c r="BG73" t="s">
        <v>3583</v>
      </c>
      <c r="BH73" t="s">
        <v>3987</v>
      </c>
      <c r="BL73" t="s">
        <v>3598</v>
      </c>
      <c r="BS73" t="str">
        <v>Inbound</v>
      </c>
      <c r="BT73" t="str">
        <v>Land</v>
      </c>
      <c r="BU73" t="str">
        <v>RM-J-1342LI26</v>
      </c>
      <c r="BV73" t="str">
        <v>Miscelaneus</v>
      </c>
      <c r="BW73" t="str">
        <v>UXCELL 2MM DIA TEMPERATURE SENSOR PROBE TESTER K-TYPE THERMOCOUPLE WIRE CABLE 32M L</v>
      </c>
      <c r="BX73">
        <v>53.524000000000001</v>
      </c>
      <c r="BY73" s="38">
        <f t="shared" si="4"/>
        <v>8.3298887439117991E-3</v>
      </c>
      <c r="BZ73" s="21">
        <f t="shared" si="5"/>
        <v>9.9958664926941587</v>
      </c>
    </row>
    <row r="74" spans="2:78" x14ac:dyDescent="0.35">
      <c r="B74" t="s">
        <v>4190</v>
      </c>
      <c r="C74" t="s">
        <v>262</v>
      </c>
      <c r="D74" t="str" cm="1">
        <f t="array" ref="D74">_xlfn.REGEXEXTRACT(F74,"\w?\w-J-\d{4}LI\d{2}")</f>
        <v>RM-J-1342LI26</v>
      </c>
      <c r="E74" t="s">
        <v>4195</v>
      </c>
      <c r="F74" t="s">
        <v>4192</v>
      </c>
      <c r="G74" t="s">
        <v>3919</v>
      </c>
      <c r="H74" t="s">
        <v>3569</v>
      </c>
      <c r="I74" t="s">
        <v>3752</v>
      </c>
      <c r="J74" t="s">
        <v>3753</v>
      </c>
      <c r="K74" t="s">
        <v>3752</v>
      </c>
      <c r="T74" t="s">
        <v>3920</v>
      </c>
      <c r="U74" t="s">
        <v>3573</v>
      </c>
      <c r="Y74" t="s">
        <v>3921</v>
      </c>
      <c r="Z74" t="s">
        <v>3575</v>
      </c>
      <c r="AA74" t="s">
        <v>3576</v>
      </c>
      <c r="AB74" t="s">
        <v>3576</v>
      </c>
      <c r="AC74" t="s">
        <v>3575</v>
      </c>
      <c r="AD74" t="s">
        <v>3922</v>
      </c>
      <c r="AE74" t="s">
        <v>3923</v>
      </c>
      <c r="AF74" t="s">
        <v>3583</v>
      </c>
      <c r="AG74" t="s">
        <v>3580</v>
      </c>
      <c r="AH74" t="s">
        <v>3581</v>
      </c>
      <c r="AI74" t="s">
        <v>3582</v>
      </c>
      <c r="AM74" t="s">
        <v>3924</v>
      </c>
      <c r="AN74" t="s">
        <v>3925</v>
      </c>
      <c r="AO74" t="s">
        <v>3926</v>
      </c>
      <c r="AP74" t="s">
        <v>3686</v>
      </c>
      <c r="AQ74" t="s">
        <v>3989</v>
      </c>
      <c r="AR74" t="s">
        <v>3990</v>
      </c>
      <c r="AS74" t="s">
        <v>3991</v>
      </c>
      <c r="AU74" t="s">
        <v>3929</v>
      </c>
      <c r="AV74" t="s">
        <v>3930</v>
      </c>
      <c r="AW74" t="s">
        <v>3931</v>
      </c>
      <c r="AX74" t="s">
        <v>3932</v>
      </c>
      <c r="AZ74">
        <v>53.524000000000001</v>
      </c>
      <c r="BA74">
        <v>118</v>
      </c>
      <c r="BB74" t="s">
        <v>3579</v>
      </c>
      <c r="BC74" s="36" t="s">
        <v>3985</v>
      </c>
      <c r="BE74" t="s">
        <v>3966</v>
      </c>
      <c r="BF74" t="s">
        <v>3986</v>
      </c>
      <c r="BG74" t="s">
        <v>3599</v>
      </c>
      <c r="BH74" t="s">
        <v>3993</v>
      </c>
      <c r="BL74" t="s">
        <v>3598</v>
      </c>
      <c r="BS74" t="str">
        <v>Inbound</v>
      </c>
      <c r="BT74" t="str">
        <v>Land</v>
      </c>
      <c r="BU74" t="str">
        <v>RM-J-1342LI26</v>
      </c>
      <c r="BV74" t="str">
        <v>Miscelaneus</v>
      </c>
      <c r="BW74" t="str">
        <v>FFR-FLAT6.6</v>
      </c>
      <c r="BX74">
        <v>53.524000000000001</v>
      </c>
      <c r="BY74" s="38">
        <f t="shared" si="4"/>
        <v>8.3298887439117991E-3</v>
      </c>
      <c r="BZ74" s="21">
        <f t="shared" si="5"/>
        <v>9.9958664926941587</v>
      </c>
    </row>
    <row r="75" spans="2:78" x14ac:dyDescent="0.35">
      <c r="B75" t="s">
        <v>4190</v>
      </c>
      <c r="C75" t="s">
        <v>262</v>
      </c>
      <c r="D75" t="str" cm="1">
        <f t="array" ref="D75">_xlfn.REGEXEXTRACT(F75,"\w?\w-J-\d{4}LI\d{2}")</f>
        <v>RM-J-1342LI26</v>
      </c>
      <c r="E75" t="s">
        <v>4195</v>
      </c>
      <c r="F75" t="s">
        <v>4192</v>
      </c>
      <c r="G75" t="s">
        <v>3919</v>
      </c>
      <c r="H75" t="s">
        <v>3569</v>
      </c>
      <c r="I75" t="s">
        <v>3752</v>
      </c>
      <c r="J75" t="s">
        <v>3753</v>
      </c>
      <c r="K75" t="s">
        <v>3752</v>
      </c>
      <c r="T75" t="s">
        <v>3920</v>
      </c>
      <c r="U75" t="s">
        <v>3573</v>
      </c>
      <c r="Y75" t="s">
        <v>3921</v>
      </c>
      <c r="Z75" t="s">
        <v>3575</v>
      </c>
      <c r="AA75" t="s">
        <v>3576</v>
      </c>
      <c r="AB75" t="s">
        <v>3576</v>
      </c>
      <c r="AC75" t="s">
        <v>3575</v>
      </c>
      <c r="AD75" t="s">
        <v>3922</v>
      </c>
      <c r="AE75" t="s">
        <v>3923</v>
      </c>
      <c r="AF75" t="s">
        <v>3583</v>
      </c>
      <c r="AG75" t="s">
        <v>3580</v>
      </c>
      <c r="AH75" t="s">
        <v>3581</v>
      </c>
      <c r="AI75" t="s">
        <v>3582</v>
      </c>
      <c r="AM75" t="s">
        <v>3924</v>
      </c>
      <c r="AN75" t="s">
        <v>3925</v>
      </c>
      <c r="AO75" t="s">
        <v>3926</v>
      </c>
      <c r="AP75" t="s">
        <v>3686</v>
      </c>
      <c r="AQ75" t="s">
        <v>3989</v>
      </c>
      <c r="AR75" t="s">
        <v>3990</v>
      </c>
      <c r="AS75" t="s">
        <v>3991</v>
      </c>
      <c r="AU75" t="s">
        <v>3929</v>
      </c>
      <c r="AV75" t="s">
        <v>3930</v>
      </c>
      <c r="AW75" t="s">
        <v>3931</v>
      </c>
      <c r="AX75" t="s">
        <v>3932</v>
      </c>
      <c r="AZ75">
        <v>53.524000000000001</v>
      </c>
      <c r="BA75">
        <v>118</v>
      </c>
      <c r="BB75" t="s">
        <v>3663</v>
      </c>
      <c r="BC75" s="36" t="s">
        <v>3985</v>
      </c>
      <c r="BE75" t="s">
        <v>3966</v>
      </c>
      <c r="BF75" t="s">
        <v>3986</v>
      </c>
      <c r="BG75" t="s">
        <v>3579</v>
      </c>
      <c r="BH75" t="s">
        <v>3994</v>
      </c>
      <c r="BL75" t="s">
        <v>3598</v>
      </c>
      <c r="BS75" t="str">
        <v>Inbound</v>
      </c>
      <c r="BT75" t="str">
        <v>Land</v>
      </c>
      <c r="BU75" t="str">
        <v>RM-J-1342LI26</v>
      </c>
      <c r="BV75" t="str">
        <v>Miscelaneus</v>
      </c>
      <c r="BW75" t="str">
        <v>FFR-FLAT6.6</v>
      </c>
      <c r="BX75">
        <v>53.524000000000001</v>
      </c>
      <c r="BY75" s="38">
        <f t="shared" si="4"/>
        <v>8.3298887439117991E-3</v>
      </c>
      <c r="BZ75" s="21">
        <f t="shared" si="5"/>
        <v>9.9958664926941587</v>
      </c>
    </row>
    <row r="76" spans="2:78" x14ac:dyDescent="0.35">
      <c r="B76" t="s">
        <v>4190</v>
      </c>
      <c r="C76" t="s">
        <v>262</v>
      </c>
      <c r="D76" t="str" cm="1">
        <f t="array" ref="D76">_xlfn.REGEXEXTRACT(F76,"\w?\w-J-\d{4}LI\d{2}")</f>
        <v>RM-J-1342LI26</v>
      </c>
      <c r="E76" t="s">
        <v>4195</v>
      </c>
      <c r="F76" t="s">
        <v>4192</v>
      </c>
      <c r="G76" t="s">
        <v>3919</v>
      </c>
      <c r="H76" t="s">
        <v>3569</v>
      </c>
      <c r="I76" t="s">
        <v>3752</v>
      </c>
      <c r="J76" t="s">
        <v>3753</v>
      </c>
      <c r="K76" t="s">
        <v>3752</v>
      </c>
      <c r="T76" t="s">
        <v>3920</v>
      </c>
      <c r="U76" t="s">
        <v>3573</v>
      </c>
      <c r="Y76" t="s">
        <v>3921</v>
      </c>
      <c r="Z76" t="s">
        <v>3575</v>
      </c>
      <c r="AA76" t="s">
        <v>3576</v>
      </c>
      <c r="AB76" t="s">
        <v>3576</v>
      </c>
      <c r="AC76" t="s">
        <v>3575</v>
      </c>
      <c r="AD76" t="s">
        <v>3922</v>
      </c>
      <c r="AE76" t="s">
        <v>3923</v>
      </c>
      <c r="AF76" t="s">
        <v>3583</v>
      </c>
      <c r="AG76" t="s">
        <v>3580</v>
      </c>
      <c r="AH76" t="s">
        <v>3581</v>
      </c>
      <c r="AI76" t="s">
        <v>3582</v>
      </c>
      <c r="AM76" t="s">
        <v>3924</v>
      </c>
      <c r="AN76" t="s">
        <v>3925</v>
      </c>
      <c r="AO76" t="s">
        <v>3926</v>
      </c>
      <c r="AP76" t="s">
        <v>3686</v>
      </c>
      <c r="AQ76" t="s">
        <v>3989</v>
      </c>
      <c r="AR76" t="s">
        <v>3990</v>
      </c>
      <c r="AS76" t="s">
        <v>3991</v>
      </c>
      <c r="AU76" t="s">
        <v>3929</v>
      </c>
      <c r="AV76" t="s">
        <v>3930</v>
      </c>
      <c r="AW76" t="s">
        <v>3931</v>
      </c>
      <c r="AX76" t="s">
        <v>3932</v>
      </c>
      <c r="AZ76">
        <v>53.524000000000001</v>
      </c>
      <c r="BA76">
        <v>118</v>
      </c>
      <c r="BB76" t="s">
        <v>3677</v>
      </c>
      <c r="BC76" s="36" t="s">
        <v>3985</v>
      </c>
      <c r="BE76" t="s">
        <v>3966</v>
      </c>
      <c r="BF76" t="s">
        <v>3986</v>
      </c>
      <c r="BG76" t="s">
        <v>3663</v>
      </c>
      <c r="BH76" t="s">
        <v>3995</v>
      </c>
      <c r="BL76" t="s">
        <v>3598</v>
      </c>
      <c r="BS76" t="str">
        <v>Inbound</v>
      </c>
      <c r="BT76" t="str">
        <v>Land</v>
      </c>
      <c r="BU76" t="str">
        <v>RM-J-1342LI26</v>
      </c>
      <c r="BV76" t="str">
        <v>Miscelaneus</v>
      </c>
      <c r="BW76" t="str">
        <v>FFR-FLAT6.6</v>
      </c>
      <c r="BX76">
        <v>53.524000000000001</v>
      </c>
      <c r="BY76" s="38">
        <f t="shared" si="4"/>
        <v>8.3298887439117991E-3</v>
      </c>
      <c r="BZ76" s="21">
        <f t="shared" si="5"/>
        <v>9.9958664926941587</v>
      </c>
    </row>
    <row r="77" spans="2:78" x14ac:dyDescent="0.35">
      <c r="B77" t="s">
        <v>4190</v>
      </c>
      <c r="C77" t="s">
        <v>262</v>
      </c>
      <c r="D77" t="str" cm="1">
        <f t="array" ref="D77">_xlfn.REGEXEXTRACT(F77,"\w?\w-J-\d{4}LI\d{2}")</f>
        <v>RM-J-1342LI26</v>
      </c>
      <c r="E77" t="s">
        <v>4195</v>
      </c>
      <c r="F77" t="s">
        <v>4192</v>
      </c>
      <c r="G77" t="s">
        <v>3919</v>
      </c>
      <c r="H77" t="s">
        <v>3569</v>
      </c>
      <c r="I77" t="s">
        <v>3752</v>
      </c>
      <c r="J77" t="s">
        <v>3753</v>
      </c>
      <c r="K77" t="s">
        <v>3752</v>
      </c>
      <c r="T77" t="s">
        <v>3920</v>
      </c>
      <c r="U77" t="s">
        <v>3573</v>
      </c>
      <c r="Y77" t="s">
        <v>3921</v>
      </c>
      <c r="Z77" t="s">
        <v>3575</v>
      </c>
      <c r="AA77" t="s">
        <v>3576</v>
      </c>
      <c r="AB77" t="s">
        <v>3576</v>
      </c>
      <c r="AC77" t="s">
        <v>3575</v>
      </c>
      <c r="AD77" t="s">
        <v>3922</v>
      </c>
      <c r="AE77" t="s">
        <v>3923</v>
      </c>
      <c r="AF77" t="s">
        <v>3583</v>
      </c>
      <c r="AG77" t="s">
        <v>3580</v>
      </c>
      <c r="AH77" t="s">
        <v>3581</v>
      </c>
      <c r="AI77" t="s">
        <v>3582</v>
      </c>
      <c r="AM77" t="s">
        <v>3924</v>
      </c>
      <c r="AN77" t="s">
        <v>3925</v>
      </c>
      <c r="AO77" t="s">
        <v>3926</v>
      </c>
      <c r="AP77" t="s">
        <v>3686</v>
      </c>
      <c r="AQ77" t="s">
        <v>3989</v>
      </c>
      <c r="AR77" t="s">
        <v>3990</v>
      </c>
      <c r="AS77" t="s">
        <v>3991</v>
      </c>
      <c r="AU77" t="s">
        <v>3929</v>
      </c>
      <c r="AV77" t="s">
        <v>3930</v>
      </c>
      <c r="AW77" t="s">
        <v>3931</v>
      </c>
      <c r="AX77" t="s">
        <v>3932</v>
      </c>
      <c r="AZ77">
        <v>53.524000000000001</v>
      </c>
      <c r="BA77">
        <v>118</v>
      </c>
      <c r="BB77" t="s">
        <v>3605</v>
      </c>
      <c r="BC77" s="36" t="s">
        <v>3949</v>
      </c>
      <c r="BE77" t="s">
        <v>3950</v>
      </c>
      <c r="BF77" t="s">
        <v>3951</v>
      </c>
      <c r="BG77" t="s">
        <v>3583</v>
      </c>
      <c r="BH77" t="s">
        <v>3952</v>
      </c>
      <c r="BL77" t="s">
        <v>3598</v>
      </c>
      <c r="BS77" t="str">
        <v>Inbound</v>
      </c>
      <c r="BT77" t="str">
        <v>Land</v>
      </c>
      <c r="BU77" t="str">
        <v>RM-J-1342LI26</v>
      </c>
      <c r="BV77" t="str">
        <v>Miscelaneus</v>
      </c>
      <c r="BW77" t="str">
        <v>FFR-FLAT6.6</v>
      </c>
      <c r="BX77">
        <v>53.524000000000001</v>
      </c>
      <c r="BY77" s="38">
        <f t="shared" si="4"/>
        <v>8.3298887439117991E-3</v>
      </c>
      <c r="BZ77" s="21">
        <f t="shared" si="5"/>
        <v>9.9958664926941587</v>
      </c>
    </row>
    <row r="78" spans="2:78" x14ac:dyDescent="0.35">
      <c r="B78" t="s">
        <v>4190</v>
      </c>
      <c r="C78" t="s">
        <v>262</v>
      </c>
      <c r="D78" t="str" cm="1">
        <f t="array" ref="D78">_xlfn.REGEXEXTRACT(F78,"\w?\w-J-\d{4}LI\d{2}")</f>
        <v>RM-J-1342LI26</v>
      </c>
      <c r="E78" t="s">
        <v>4195</v>
      </c>
      <c r="F78" t="s">
        <v>4192</v>
      </c>
      <c r="G78" t="s">
        <v>3919</v>
      </c>
      <c r="H78" t="s">
        <v>3569</v>
      </c>
      <c r="I78" t="s">
        <v>3752</v>
      </c>
      <c r="J78" t="s">
        <v>3753</v>
      </c>
      <c r="K78" t="s">
        <v>3752</v>
      </c>
      <c r="T78" t="s">
        <v>3920</v>
      </c>
      <c r="U78" t="s">
        <v>3573</v>
      </c>
      <c r="Y78" t="s">
        <v>3921</v>
      </c>
      <c r="Z78" t="s">
        <v>3575</v>
      </c>
      <c r="AA78" t="s">
        <v>3576</v>
      </c>
      <c r="AB78" t="s">
        <v>3576</v>
      </c>
      <c r="AC78" t="s">
        <v>3575</v>
      </c>
      <c r="AD78" t="s">
        <v>3922</v>
      </c>
      <c r="AE78" t="s">
        <v>3923</v>
      </c>
      <c r="AF78" t="s">
        <v>3583</v>
      </c>
      <c r="AG78" t="s">
        <v>3580</v>
      </c>
      <c r="AH78" t="s">
        <v>3581</v>
      </c>
      <c r="AI78" t="s">
        <v>3582</v>
      </c>
      <c r="AM78" t="s">
        <v>3924</v>
      </c>
      <c r="AN78" t="s">
        <v>3925</v>
      </c>
      <c r="AO78" t="s">
        <v>3926</v>
      </c>
      <c r="AP78" t="s">
        <v>3686</v>
      </c>
      <c r="AQ78" t="s">
        <v>3989</v>
      </c>
      <c r="AR78" t="s">
        <v>3990</v>
      </c>
      <c r="AS78" t="s">
        <v>3991</v>
      </c>
      <c r="AU78" t="s">
        <v>3929</v>
      </c>
      <c r="AV78" t="s">
        <v>3930</v>
      </c>
      <c r="AW78" t="s">
        <v>3931</v>
      </c>
      <c r="AX78" t="s">
        <v>3932</v>
      </c>
      <c r="AZ78">
        <v>53.524000000000001</v>
      </c>
      <c r="BA78">
        <v>118</v>
      </c>
      <c r="BB78" t="s">
        <v>3619</v>
      </c>
      <c r="BC78" s="36" t="s">
        <v>3949</v>
      </c>
      <c r="BE78" t="s">
        <v>3950</v>
      </c>
      <c r="BF78" t="s">
        <v>3951</v>
      </c>
      <c r="BG78" t="s">
        <v>3605</v>
      </c>
      <c r="BH78" t="s">
        <v>3996</v>
      </c>
      <c r="BL78" t="s">
        <v>3598</v>
      </c>
      <c r="BS78" t="str">
        <v>Inbound</v>
      </c>
      <c r="BT78" t="str">
        <v>Land</v>
      </c>
      <c r="BU78" t="str">
        <v>RM-J-1342LI26</v>
      </c>
      <c r="BV78" t="str">
        <v>Miscelaneus</v>
      </c>
      <c r="BW78" t="str">
        <v>ARDUCAM MULTI CAMERA ADAPTER MODULE V2.2 FOR RASPBERRY PI 5, 4B, COMPATIBLE WITH RASPERRY PI CAMERA</v>
      </c>
      <c r="BX78">
        <v>53.524000000000001</v>
      </c>
      <c r="BY78" s="38">
        <f t="shared" si="4"/>
        <v>8.3298887439117991E-3</v>
      </c>
      <c r="BZ78" s="21">
        <f t="shared" si="5"/>
        <v>9.9958664926941587</v>
      </c>
    </row>
    <row r="79" spans="2:78" x14ac:dyDescent="0.35">
      <c r="B79" t="s">
        <v>4190</v>
      </c>
      <c r="C79" t="s">
        <v>262</v>
      </c>
      <c r="D79" t="str" cm="1">
        <f t="array" ref="D79">_xlfn.REGEXEXTRACT(F79,"\w?\w-J-\d{4}LI\d{2}")</f>
        <v>RM-J-1342LI26</v>
      </c>
      <c r="E79" t="s">
        <v>4195</v>
      </c>
      <c r="F79" t="s">
        <v>4192</v>
      </c>
      <c r="G79" t="s">
        <v>3919</v>
      </c>
      <c r="H79" t="s">
        <v>3569</v>
      </c>
      <c r="I79" t="s">
        <v>3752</v>
      </c>
      <c r="J79" t="s">
        <v>3753</v>
      </c>
      <c r="K79" t="s">
        <v>3752</v>
      </c>
      <c r="T79" t="s">
        <v>3920</v>
      </c>
      <c r="U79" t="s">
        <v>3573</v>
      </c>
      <c r="Y79" t="s">
        <v>3921</v>
      </c>
      <c r="Z79" t="s">
        <v>3575</v>
      </c>
      <c r="AA79" t="s">
        <v>3576</v>
      </c>
      <c r="AB79" t="s">
        <v>3576</v>
      </c>
      <c r="AC79" t="s">
        <v>3575</v>
      </c>
      <c r="AD79" t="s">
        <v>3922</v>
      </c>
      <c r="AE79" t="s">
        <v>3923</v>
      </c>
      <c r="AF79" t="s">
        <v>3583</v>
      </c>
      <c r="AG79" t="s">
        <v>3580</v>
      </c>
      <c r="AH79" t="s">
        <v>3581</v>
      </c>
      <c r="AI79" t="s">
        <v>3582</v>
      </c>
      <c r="AM79" t="s">
        <v>3924</v>
      </c>
      <c r="AN79" t="s">
        <v>3925</v>
      </c>
      <c r="AO79" t="s">
        <v>3926</v>
      </c>
      <c r="AP79" t="s">
        <v>3686</v>
      </c>
      <c r="AQ79" t="s">
        <v>3989</v>
      </c>
      <c r="AR79" t="s">
        <v>3990</v>
      </c>
      <c r="AS79" t="s">
        <v>3991</v>
      </c>
      <c r="AU79" t="s">
        <v>3929</v>
      </c>
      <c r="AV79" t="s">
        <v>3930</v>
      </c>
      <c r="AW79" t="s">
        <v>3931</v>
      </c>
      <c r="AX79" t="s">
        <v>3932</v>
      </c>
      <c r="AZ79">
        <v>53.524000000000001</v>
      </c>
      <c r="BA79">
        <v>118</v>
      </c>
      <c r="BB79" t="s">
        <v>3773</v>
      </c>
      <c r="BC79" s="36" t="s">
        <v>3997</v>
      </c>
      <c r="BE79" t="s">
        <v>3977</v>
      </c>
      <c r="BF79" t="s">
        <v>3998</v>
      </c>
      <c r="BG79" t="s">
        <v>3619</v>
      </c>
      <c r="BH79" t="s">
        <v>3999</v>
      </c>
      <c r="BL79" t="s">
        <v>3598</v>
      </c>
      <c r="BS79" t="str">
        <v>Inbound</v>
      </c>
      <c r="BT79" t="str">
        <v>Land</v>
      </c>
      <c r="BU79" t="str">
        <v>RM-J-1342LI26</v>
      </c>
      <c r="BV79" t="str">
        <v>Miscelaneus</v>
      </c>
      <c r="BW79" t="str">
        <v>ARDUCAM MULTI CAMERA ADAPTER MODULE V2.2 FOR RASPBERRY PI 5, 4B, COMPATIBLE WITH RASPERRY PI CAMERA</v>
      </c>
      <c r="BX79">
        <v>53.524000000000001</v>
      </c>
      <c r="BY79" s="38">
        <f t="shared" si="4"/>
        <v>8.3298887439117991E-3</v>
      </c>
      <c r="BZ79" s="21">
        <f t="shared" si="5"/>
        <v>9.9958664926941587</v>
      </c>
    </row>
    <row r="80" spans="2:78" x14ac:dyDescent="0.35">
      <c r="B80" t="s">
        <v>4190</v>
      </c>
      <c r="C80" t="s">
        <v>262</v>
      </c>
      <c r="D80" t="str" cm="1">
        <f t="array" ref="D80">_xlfn.REGEXEXTRACT(F80,"\w?\w-J-\d{4}LI\d{2}")</f>
        <v>RM-J-1342LI26</v>
      </c>
      <c r="E80" t="s">
        <v>4195</v>
      </c>
      <c r="F80" t="s">
        <v>4192</v>
      </c>
      <c r="G80" t="s">
        <v>3919</v>
      </c>
      <c r="H80" t="s">
        <v>3569</v>
      </c>
      <c r="I80" t="s">
        <v>3752</v>
      </c>
      <c r="J80" t="s">
        <v>3753</v>
      </c>
      <c r="K80" t="s">
        <v>3752</v>
      </c>
      <c r="T80" t="s">
        <v>3920</v>
      </c>
      <c r="U80" t="s">
        <v>3573</v>
      </c>
      <c r="Y80" t="s">
        <v>3921</v>
      </c>
      <c r="Z80" t="s">
        <v>3575</v>
      </c>
      <c r="AA80" t="s">
        <v>3576</v>
      </c>
      <c r="AB80" t="s">
        <v>3576</v>
      </c>
      <c r="AC80" t="s">
        <v>3575</v>
      </c>
      <c r="AD80" t="s">
        <v>3922</v>
      </c>
      <c r="AE80" t="s">
        <v>3923</v>
      </c>
      <c r="AF80" t="s">
        <v>3583</v>
      </c>
      <c r="AG80" t="s">
        <v>3580</v>
      </c>
      <c r="AH80" t="s">
        <v>3581</v>
      </c>
      <c r="AI80" t="s">
        <v>3582</v>
      </c>
      <c r="AM80" t="s">
        <v>3924</v>
      </c>
      <c r="AN80" t="s">
        <v>3925</v>
      </c>
      <c r="AO80" t="s">
        <v>3926</v>
      </c>
      <c r="AP80" t="s">
        <v>3686</v>
      </c>
      <c r="AQ80" t="s">
        <v>3989</v>
      </c>
      <c r="AR80" t="s">
        <v>3990</v>
      </c>
      <c r="AS80" t="s">
        <v>3991</v>
      </c>
      <c r="AU80" t="s">
        <v>3929</v>
      </c>
      <c r="AV80" t="s">
        <v>3930</v>
      </c>
      <c r="AW80" t="s">
        <v>3931</v>
      </c>
      <c r="AX80" t="s">
        <v>3932</v>
      </c>
      <c r="AZ80">
        <v>53.524000000000001</v>
      </c>
      <c r="BA80">
        <v>118</v>
      </c>
      <c r="BB80" t="s">
        <v>3816</v>
      </c>
      <c r="BC80" s="36" t="s">
        <v>3953</v>
      </c>
      <c r="BE80" t="s">
        <v>3954</v>
      </c>
      <c r="BF80" t="s">
        <v>3955</v>
      </c>
      <c r="BG80" t="s">
        <v>3599</v>
      </c>
      <c r="BH80" t="s">
        <v>3988</v>
      </c>
      <c r="BL80" t="s">
        <v>3598</v>
      </c>
      <c r="BS80" t="str">
        <v>Inbound</v>
      </c>
      <c r="BT80" t="str">
        <v>Land</v>
      </c>
      <c r="BU80" t="str">
        <v>RM-J-1342LI26</v>
      </c>
      <c r="BV80" t="str">
        <v>Miscelaneus</v>
      </c>
      <c r="BW80" t="str">
        <v>ARDU6-25</v>
      </c>
      <c r="BX80">
        <v>53.524000000000001</v>
      </c>
      <c r="BY80" s="38">
        <f t="shared" si="4"/>
        <v>8.3298887439117991E-3</v>
      </c>
      <c r="BZ80" s="21">
        <f t="shared" si="5"/>
        <v>9.9958664926941587</v>
      </c>
    </row>
    <row r="81" spans="2:78" x14ac:dyDescent="0.35">
      <c r="B81" t="s">
        <v>4190</v>
      </c>
      <c r="C81" t="s">
        <v>262</v>
      </c>
      <c r="D81" t="str" cm="1">
        <f t="array" ref="D81">_xlfn.REGEXEXTRACT(F81,"\w?\w-J-\d{4}LI\d{2}")</f>
        <v>RM-J-1342LI26</v>
      </c>
      <c r="E81" t="s">
        <v>4195</v>
      </c>
      <c r="F81" t="s">
        <v>4192</v>
      </c>
      <c r="G81" t="s">
        <v>3919</v>
      </c>
      <c r="H81" t="s">
        <v>3569</v>
      </c>
      <c r="I81" t="s">
        <v>3752</v>
      </c>
      <c r="J81" t="s">
        <v>3753</v>
      </c>
      <c r="K81" t="s">
        <v>3752</v>
      </c>
      <c r="T81" t="s">
        <v>3920</v>
      </c>
      <c r="U81" t="s">
        <v>3573</v>
      </c>
      <c r="Y81" t="s">
        <v>3921</v>
      </c>
      <c r="Z81" t="s">
        <v>3575</v>
      </c>
      <c r="AA81" t="s">
        <v>3576</v>
      </c>
      <c r="AB81" t="s">
        <v>3576</v>
      </c>
      <c r="AC81" t="s">
        <v>3575</v>
      </c>
      <c r="AD81" t="s">
        <v>3922</v>
      </c>
      <c r="AE81" t="s">
        <v>3923</v>
      </c>
      <c r="AF81" t="s">
        <v>3583</v>
      </c>
      <c r="AG81" t="s">
        <v>3580</v>
      </c>
      <c r="AH81" t="s">
        <v>3581</v>
      </c>
      <c r="AI81" t="s">
        <v>3582</v>
      </c>
      <c r="AM81" t="s">
        <v>3924</v>
      </c>
      <c r="AN81" t="s">
        <v>3925</v>
      </c>
      <c r="AO81" t="s">
        <v>3926</v>
      </c>
      <c r="AP81" t="s">
        <v>3686</v>
      </c>
      <c r="AQ81" t="s">
        <v>3989</v>
      </c>
      <c r="AR81" t="s">
        <v>3990</v>
      </c>
      <c r="AS81" t="s">
        <v>3991</v>
      </c>
      <c r="AU81" t="s">
        <v>3929</v>
      </c>
      <c r="AV81" t="s">
        <v>3930</v>
      </c>
      <c r="AW81" t="s">
        <v>3931</v>
      </c>
      <c r="AX81" t="s">
        <v>3932</v>
      </c>
      <c r="AZ81">
        <v>53.524000000000001</v>
      </c>
      <c r="BA81">
        <v>118</v>
      </c>
      <c r="BB81" t="s">
        <v>3962</v>
      </c>
      <c r="BC81" s="36" t="s">
        <v>3953</v>
      </c>
      <c r="BE81" t="s">
        <v>3954</v>
      </c>
      <c r="BF81" t="s">
        <v>3955</v>
      </c>
      <c r="BG81" t="s">
        <v>3599</v>
      </c>
      <c r="BH81" t="s">
        <v>3988</v>
      </c>
      <c r="BL81" t="s">
        <v>3598</v>
      </c>
      <c r="BS81" t="str">
        <v>Inbound</v>
      </c>
      <c r="BT81" t="str">
        <v>Land</v>
      </c>
      <c r="BU81" t="str">
        <v>RM-J-1342LI26</v>
      </c>
      <c r="BV81" t="str">
        <v>Miscelaneus</v>
      </c>
      <c r="BW81" t="str">
        <v>ARDUCAM FOR RASPBERRY PI HQ CAMERA MODULE,12.3MP IMX477 RASPBERRY PI CAMERA FOR RASPBERRY PI5/4B/3B+</v>
      </c>
      <c r="BX81">
        <v>53.524000000000001</v>
      </c>
      <c r="BY81" s="38">
        <f t="shared" si="4"/>
        <v>8.3298887439117991E-3</v>
      </c>
      <c r="BZ81" s="21">
        <f t="shared" si="5"/>
        <v>9.9958664926941587</v>
      </c>
    </row>
    <row r="82" spans="2:78" x14ac:dyDescent="0.35">
      <c r="B82" t="s">
        <v>4190</v>
      </c>
      <c r="C82" t="s">
        <v>262</v>
      </c>
      <c r="D82" t="str" cm="1">
        <f t="array" ref="D82">_xlfn.REGEXEXTRACT(F82,"\w?\w-J-\d{4}LI\d{2}")</f>
        <v>RM-J-1342LI26</v>
      </c>
      <c r="E82" t="s">
        <v>4195</v>
      </c>
      <c r="F82" t="s">
        <v>4192</v>
      </c>
      <c r="G82" t="s">
        <v>3919</v>
      </c>
      <c r="H82" t="s">
        <v>3569</v>
      </c>
      <c r="I82" t="s">
        <v>3752</v>
      </c>
      <c r="J82" t="s">
        <v>3753</v>
      </c>
      <c r="K82" t="s">
        <v>3752</v>
      </c>
      <c r="T82" t="s">
        <v>3920</v>
      </c>
      <c r="U82" t="s">
        <v>3573</v>
      </c>
      <c r="Y82" t="s">
        <v>3921</v>
      </c>
      <c r="Z82" t="s">
        <v>3575</v>
      </c>
      <c r="AA82" t="s">
        <v>3576</v>
      </c>
      <c r="AB82" t="s">
        <v>3576</v>
      </c>
      <c r="AC82" t="s">
        <v>3575</v>
      </c>
      <c r="AD82" t="s">
        <v>3922</v>
      </c>
      <c r="AE82" t="s">
        <v>3923</v>
      </c>
      <c r="AF82" t="s">
        <v>3583</v>
      </c>
      <c r="AG82" t="s">
        <v>3580</v>
      </c>
      <c r="AH82" t="s">
        <v>3581</v>
      </c>
      <c r="AI82" t="s">
        <v>3582</v>
      </c>
      <c r="AM82" t="s">
        <v>3924</v>
      </c>
      <c r="AN82" t="s">
        <v>3925</v>
      </c>
      <c r="AO82" t="s">
        <v>3926</v>
      </c>
      <c r="AP82" t="s">
        <v>3686</v>
      </c>
      <c r="AQ82" t="s">
        <v>3989</v>
      </c>
      <c r="AR82" t="s">
        <v>3990</v>
      </c>
      <c r="AS82" t="s">
        <v>3991</v>
      </c>
      <c r="AU82" t="s">
        <v>3929</v>
      </c>
      <c r="AV82" t="s">
        <v>3930</v>
      </c>
      <c r="AW82" t="s">
        <v>3931</v>
      </c>
      <c r="AX82" t="s">
        <v>3932</v>
      </c>
      <c r="AZ82">
        <v>53.524000000000001</v>
      </c>
      <c r="BA82">
        <v>118</v>
      </c>
      <c r="BB82" t="s">
        <v>3964</v>
      </c>
      <c r="BC82" s="36" t="s">
        <v>3953</v>
      </c>
      <c r="BE82" t="s">
        <v>3954</v>
      </c>
      <c r="BF82" t="s">
        <v>3955</v>
      </c>
      <c r="BG82" t="s">
        <v>3619</v>
      </c>
      <c r="BH82" t="s">
        <v>4000</v>
      </c>
      <c r="BL82" t="s">
        <v>3598</v>
      </c>
      <c r="BS82" t="str">
        <v>Inbound</v>
      </c>
      <c r="BT82" t="str">
        <v>Land</v>
      </c>
      <c r="BU82" t="str">
        <v>RM-J-1342LI26</v>
      </c>
      <c r="BV82" t="str">
        <v>Miscelaneus</v>
      </c>
      <c r="BW82" t="str">
        <v>ARDUCAM FOR RASPBERRY PI HQ CAMERA MODULE,12.3MP IMX477 RASPBERRY PI CAMERA FOR RASPBERRY PI5/4B/3B+</v>
      </c>
      <c r="BX82">
        <v>53.524000000000001</v>
      </c>
      <c r="BY82" s="38">
        <f t="shared" si="4"/>
        <v>8.3298887439117991E-3</v>
      </c>
      <c r="BZ82" s="21">
        <f t="shared" si="5"/>
        <v>9.9958664926941587</v>
      </c>
    </row>
    <row r="83" spans="2:78" x14ac:dyDescent="0.35">
      <c r="B83" t="s">
        <v>4190</v>
      </c>
      <c r="C83" t="s">
        <v>262</v>
      </c>
      <c r="D83" t="str" cm="1">
        <f t="array" ref="D83">_xlfn.REGEXEXTRACT(F83,"\w?\w-J-\d{4}LI\d{2}")</f>
        <v>RM-J-1342LI26</v>
      </c>
      <c r="E83" t="s">
        <v>4195</v>
      </c>
      <c r="F83" t="s">
        <v>4192</v>
      </c>
      <c r="G83" t="s">
        <v>3919</v>
      </c>
      <c r="H83" t="s">
        <v>3569</v>
      </c>
      <c r="I83" t="s">
        <v>3752</v>
      </c>
      <c r="J83" t="s">
        <v>3753</v>
      </c>
      <c r="K83" t="s">
        <v>3752</v>
      </c>
      <c r="T83" t="s">
        <v>3920</v>
      </c>
      <c r="U83" t="s">
        <v>3573</v>
      </c>
      <c r="Y83" t="s">
        <v>3921</v>
      </c>
      <c r="Z83" t="s">
        <v>3575</v>
      </c>
      <c r="AA83" t="s">
        <v>3576</v>
      </c>
      <c r="AB83" t="s">
        <v>3576</v>
      </c>
      <c r="AC83" t="s">
        <v>3575</v>
      </c>
      <c r="AD83" t="s">
        <v>3922</v>
      </c>
      <c r="AE83" t="s">
        <v>3923</v>
      </c>
      <c r="AF83" t="s">
        <v>3583</v>
      </c>
      <c r="AG83" t="s">
        <v>3580</v>
      </c>
      <c r="AH83" t="s">
        <v>3581</v>
      </c>
      <c r="AI83" t="s">
        <v>3582</v>
      </c>
      <c r="AM83" t="s">
        <v>3924</v>
      </c>
      <c r="AN83" t="s">
        <v>3925</v>
      </c>
      <c r="AO83" t="s">
        <v>3926</v>
      </c>
      <c r="AP83" t="s">
        <v>3686</v>
      </c>
      <c r="AQ83" t="s">
        <v>3989</v>
      </c>
      <c r="AR83" t="s">
        <v>3990</v>
      </c>
      <c r="AS83" t="s">
        <v>3991</v>
      </c>
      <c r="AU83" t="s">
        <v>3929</v>
      </c>
      <c r="AV83" t="s">
        <v>3930</v>
      </c>
      <c r="AW83" t="s">
        <v>3931</v>
      </c>
      <c r="AX83" t="s">
        <v>3932</v>
      </c>
      <c r="AZ83">
        <v>53.524000000000001</v>
      </c>
      <c r="BA83">
        <v>118</v>
      </c>
      <c r="BB83" t="s">
        <v>3969</v>
      </c>
      <c r="BC83" s="36" t="s">
        <v>3953</v>
      </c>
      <c r="BE83" t="s">
        <v>3954</v>
      </c>
      <c r="BF83" t="s">
        <v>3955</v>
      </c>
      <c r="BG83" t="s">
        <v>3583</v>
      </c>
      <c r="BH83" t="s">
        <v>3956</v>
      </c>
      <c r="BL83" t="s">
        <v>3598</v>
      </c>
      <c r="BS83" t="str">
        <v>Inbound</v>
      </c>
      <c r="BT83" t="str">
        <v>Land</v>
      </c>
      <c r="BU83" t="str">
        <v>RM-J-1342LI26</v>
      </c>
      <c r="BV83" t="str">
        <v>Miscelaneus</v>
      </c>
      <c r="BW83" t="str">
        <v>ARDUCAM FOR RASPBERRY PI HQ CAMERA MODULE,12.3MP IMX477 RASPBERRY PI CAMERA FOR RASPBERRY PI5/4B/3B+</v>
      </c>
      <c r="BX83">
        <v>53.524000000000001</v>
      </c>
      <c r="BY83" s="38">
        <f t="shared" si="4"/>
        <v>8.3298887439117991E-3</v>
      </c>
      <c r="BZ83" s="21">
        <f t="shared" si="5"/>
        <v>9.9958664926941587</v>
      </c>
    </row>
    <row r="84" spans="2:78" x14ac:dyDescent="0.35">
      <c r="B84" t="s">
        <v>4190</v>
      </c>
      <c r="C84" t="s">
        <v>262</v>
      </c>
      <c r="D84" t="str" cm="1">
        <f t="array" ref="D84">_xlfn.REGEXEXTRACT(F84,"\w?\w-J-\d{4}LI\d{2}")</f>
        <v>RM-J-1342LI26</v>
      </c>
      <c r="E84" t="s">
        <v>4195</v>
      </c>
      <c r="F84" t="s">
        <v>4192</v>
      </c>
      <c r="G84" t="s">
        <v>3919</v>
      </c>
      <c r="H84" t="s">
        <v>3569</v>
      </c>
      <c r="I84" t="s">
        <v>3752</v>
      </c>
      <c r="J84" t="s">
        <v>3753</v>
      </c>
      <c r="K84" t="s">
        <v>3752</v>
      </c>
      <c r="T84" t="s">
        <v>3920</v>
      </c>
      <c r="U84" t="s">
        <v>3573</v>
      </c>
      <c r="Y84" t="s">
        <v>3921</v>
      </c>
      <c r="Z84" t="s">
        <v>3575</v>
      </c>
      <c r="AA84" t="s">
        <v>3576</v>
      </c>
      <c r="AB84" t="s">
        <v>3576</v>
      </c>
      <c r="AC84" t="s">
        <v>3575</v>
      </c>
      <c r="AD84" t="s">
        <v>3922</v>
      </c>
      <c r="AE84" t="s">
        <v>3923</v>
      </c>
      <c r="AF84" t="s">
        <v>3583</v>
      </c>
      <c r="AG84" t="s">
        <v>3580</v>
      </c>
      <c r="AH84" t="s">
        <v>3581</v>
      </c>
      <c r="AI84" t="s">
        <v>3582</v>
      </c>
      <c r="AM84" t="s">
        <v>3924</v>
      </c>
      <c r="AN84" t="s">
        <v>3925</v>
      </c>
      <c r="AO84" t="s">
        <v>3926</v>
      </c>
      <c r="AP84" t="s">
        <v>3686</v>
      </c>
      <c r="AQ84" t="s">
        <v>3989</v>
      </c>
      <c r="AR84" t="s">
        <v>3990</v>
      </c>
      <c r="AS84" t="s">
        <v>3991</v>
      </c>
      <c r="AU84" t="s">
        <v>3929</v>
      </c>
      <c r="AV84" t="s">
        <v>3930</v>
      </c>
      <c r="AW84" t="s">
        <v>3931</v>
      </c>
      <c r="AX84" t="s">
        <v>3932</v>
      </c>
      <c r="AZ84">
        <v>53.524000000000001</v>
      </c>
      <c r="BA84">
        <v>118</v>
      </c>
      <c r="BB84" t="s">
        <v>3974</v>
      </c>
      <c r="BC84" s="36" t="s">
        <v>3953</v>
      </c>
      <c r="BE84" t="s">
        <v>3954</v>
      </c>
      <c r="BF84" t="s">
        <v>3955</v>
      </c>
      <c r="BG84" t="s">
        <v>3599</v>
      </c>
      <c r="BH84" t="s">
        <v>3988</v>
      </c>
      <c r="BL84" t="s">
        <v>3598</v>
      </c>
      <c r="BS84" t="str">
        <v>Inbound</v>
      </c>
      <c r="BT84" t="str">
        <v>Land</v>
      </c>
      <c r="BU84" t="str">
        <v>RM-J-1342LI26</v>
      </c>
      <c r="BV84" t="str">
        <v>Miscelaneus</v>
      </c>
      <c r="BW84" t="str">
        <v>ARDUCAM FOR RASPBERRY PI HQ CAMERA MODULE,12.3MP IMX477 RASPBERRY PI CAMERA FOR RASPBERRY PI5/4B/3B+</v>
      </c>
      <c r="BX84">
        <v>53.524000000000001</v>
      </c>
      <c r="BY84" s="38">
        <f t="shared" si="4"/>
        <v>8.3298887439117991E-3</v>
      </c>
      <c r="BZ84" s="21">
        <f t="shared" si="5"/>
        <v>9.9958664926941587</v>
      </c>
    </row>
    <row r="85" spans="2:78" x14ac:dyDescent="0.35">
      <c r="B85" t="s">
        <v>4190</v>
      </c>
      <c r="C85" t="s">
        <v>262</v>
      </c>
      <c r="D85" t="str" cm="1">
        <f t="array" ref="D85">_xlfn.REGEXEXTRACT(F85,"\w?\w-J-\d{4}LI\d{2}")</f>
        <v>RM-J-1342LI26</v>
      </c>
      <c r="E85" t="s">
        <v>4195</v>
      </c>
      <c r="F85" t="s">
        <v>4192</v>
      </c>
      <c r="G85" t="s">
        <v>3919</v>
      </c>
      <c r="H85" t="s">
        <v>3569</v>
      </c>
      <c r="I85" t="s">
        <v>3752</v>
      </c>
      <c r="J85" t="s">
        <v>3753</v>
      </c>
      <c r="K85" t="s">
        <v>3752</v>
      </c>
      <c r="T85" t="s">
        <v>3920</v>
      </c>
      <c r="U85" t="s">
        <v>3573</v>
      </c>
      <c r="Y85" t="s">
        <v>3921</v>
      </c>
      <c r="Z85" t="s">
        <v>3575</v>
      </c>
      <c r="AA85" t="s">
        <v>3576</v>
      </c>
      <c r="AB85" t="s">
        <v>3576</v>
      </c>
      <c r="AC85" t="s">
        <v>3575</v>
      </c>
      <c r="AD85" t="s">
        <v>3922</v>
      </c>
      <c r="AE85" t="s">
        <v>3923</v>
      </c>
      <c r="AF85" t="s">
        <v>3583</v>
      </c>
      <c r="AG85" t="s">
        <v>3580</v>
      </c>
      <c r="AH85" t="s">
        <v>3581</v>
      </c>
      <c r="AI85" t="s">
        <v>3582</v>
      </c>
      <c r="AM85" t="s">
        <v>3924</v>
      </c>
      <c r="AN85" t="s">
        <v>3925</v>
      </c>
      <c r="AO85" t="s">
        <v>3926</v>
      </c>
      <c r="AP85" t="s">
        <v>3686</v>
      </c>
      <c r="AQ85" t="s">
        <v>3989</v>
      </c>
      <c r="AR85" t="s">
        <v>3990</v>
      </c>
      <c r="AS85" t="s">
        <v>3991</v>
      </c>
      <c r="AU85" t="s">
        <v>3929</v>
      </c>
      <c r="AV85" t="s">
        <v>3930</v>
      </c>
      <c r="AW85" t="s">
        <v>3931</v>
      </c>
      <c r="AX85" t="s">
        <v>3932</v>
      </c>
      <c r="AZ85">
        <v>53.524000000000001</v>
      </c>
      <c r="BA85">
        <v>118</v>
      </c>
      <c r="BB85" t="s">
        <v>3858</v>
      </c>
      <c r="BC85" s="36" t="s">
        <v>3953</v>
      </c>
      <c r="BE85" t="s">
        <v>3954</v>
      </c>
      <c r="BF85" t="s">
        <v>3955</v>
      </c>
      <c r="BG85" t="s">
        <v>3596</v>
      </c>
      <c r="BH85" t="s">
        <v>4001</v>
      </c>
      <c r="BL85" t="s">
        <v>3598</v>
      </c>
      <c r="BS85" t="str">
        <v>Inbound</v>
      </c>
      <c r="BT85" t="str">
        <v>Land</v>
      </c>
      <c r="BU85" t="str">
        <v>RM-J-1342LI26</v>
      </c>
      <c r="BV85" t="str">
        <v>Miscelaneus</v>
      </c>
      <c r="BW85" t="str">
        <v>ARDUCAM FOR RASPBERRY PI HQ CAMERA MODULE,12.3MP IMX477 RASPBERRY PI CAMERA FOR RASPBERRY PI5/4B/3B+</v>
      </c>
      <c r="BX85">
        <v>53.524000000000001</v>
      </c>
      <c r="BY85" s="38">
        <f t="shared" si="4"/>
        <v>8.3298887439117991E-3</v>
      </c>
      <c r="BZ85" s="21">
        <f t="shared" si="5"/>
        <v>9.9958664926941587</v>
      </c>
    </row>
    <row r="86" spans="2:78" x14ac:dyDescent="0.35">
      <c r="B86" t="s">
        <v>4190</v>
      </c>
      <c r="C86" t="s">
        <v>262</v>
      </c>
      <c r="D86" t="str" cm="1">
        <f t="array" ref="D86">_xlfn.REGEXEXTRACT(F86,"\w?\w-J-\d{4}LI\d{2}")</f>
        <v>RM-J-1342LI26</v>
      </c>
      <c r="E86" t="s">
        <v>4195</v>
      </c>
      <c r="F86" t="s">
        <v>4192</v>
      </c>
      <c r="G86" t="s">
        <v>3919</v>
      </c>
      <c r="H86" t="s">
        <v>3569</v>
      </c>
      <c r="I86" t="s">
        <v>3752</v>
      </c>
      <c r="J86" t="s">
        <v>3753</v>
      </c>
      <c r="K86" t="s">
        <v>3752</v>
      </c>
      <c r="T86" t="s">
        <v>3920</v>
      </c>
      <c r="U86" t="s">
        <v>3573</v>
      </c>
      <c r="Y86" t="s">
        <v>3921</v>
      </c>
      <c r="Z86" t="s">
        <v>3575</v>
      </c>
      <c r="AA86" t="s">
        <v>3576</v>
      </c>
      <c r="AB86" t="s">
        <v>3576</v>
      </c>
      <c r="AC86" t="s">
        <v>3575</v>
      </c>
      <c r="AD86" t="s">
        <v>3922</v>
      </c>
      <c r="AE86" t="s">
        <v>3923</v>
      </c>
      <c r="AF86" t="s">
        <v>3583</v>
      </c>
      <c r="AG86" t="s">
        <v>3580</v>
      </c>
      <c r="AH86" t="s">
        <v>3581</v>
      </c>
      <c r="AI86" t="s">
        <v>3582</v>
      </c>
      <c r="AM86" t="s">
        <v>3924</v>
      </c>
      <c r="AN86" t="s">
        <v>3925</v>
      </c>
      <c r="AO86" t="s">
        <v>3926</v>
      </c>
      <c r="AP86" t="s">
        <v>3686</v>
      </c>
      <c r="AQ86" t="s">
        <v>3989</v>
      </c>
      <c r="AR86" t="s">
        <v>3990</v>
      </c>
      <c r="AS86" t="s">
        <v>3991</v>
      </c>
      <c r="AU86" t="s">
        <v>3929</v>
      </c>
      <c r="AV86" t="s">
        <v>3930</v>
      </c>
      <c r="AW86" t="s">
        <v>3931</v>
      </c>
      <c r="AX86" t="s">
        <v>3932</v>
      </c>
      <c r="AZ86">
        <v>53.524000000000001</v>
      </c>
      <c r="BA86">
        <v>118</v>
      </c>
      <c r="BB86" t="s">
        <v>3710</v>
      </c>
      <c r="BC86" s="36" t="s">
        <v>3953</v>
      </c>
      <c r="BE86" t="s">
        <v>3954</v>
      </c>
      <c r="BF86" t="s">
        <v>3955</v>
      </c>
      <c r="BG86" t="s">
        <v>3663</v>
      </c>
      <c r="BH86" t="s">
        <v>4002</v>
      </c>
      <c r="BL86" t="s">
        <v>3598</v>
      </c>
      <c r="BS86" t="str">
        <v>Inbound</v>
      </c>
      <c r="BT86" t="str">
        <v>Land</v>
      </c>
      <c r="BU86" t="str">
        <v>RM-J-1342LI26</v>
      </c>
      <c r="BV86" t="str">
        <v>Miscelaneus</v>
      </c>
      <c r="BW86" t="str">
        <v>ARDUCAM FOR RASPBERRY PI HQ CAMERA MODULE,12.3MP IMX477 RASPBERRY PI CAMERA FOR RASPBERRY PI5/4B/3B+</v>
      </c>
      <c r="BX86">
        <v>53.524000000000001</v>
      </c>
      <c r="BY86" s="38">
        <f t="shared" si="4"/>
        <v>8.3298887439117991E-3</v>
      </c>
      <c r="BZ86" s="21">
        <f t="shared" si="5"/>
        <v>9.9958664926941587</v>
      </c>
    </row>
    <row r="87" spans="2:78" x14ac:dyDescent="0.35">
      <c r="B87" t="s">
        <v>4190</v>
      </c>
      <c r="C87" t="s">
        <v>262</v>
      </c>
      <c r="D87" t="str" cm="1">
        <f t="array" ref="D87">_xlfn.REGEXEXTRACT(F87,"\w?\w-J-\d{4}LI\d{2}")</f>
        <v>RM-J-1342LI26</v>
      </c>
      <c r="E87" t="s">
        <v>4195</v>
      </c>
      <c r="F87" t="s">
        <v>4192</v>
      </c>
      <c r="G87" t="s">
        <v>3919</v>
      </c>
      <c r="H87" t="s">
        <v>3569</v>
      </c>
      <c r="I87" t="s">
        <v>3752</v>
      </c>
      <c r="J87" t="s">
        <v>3753</v>
      </c>
      <c r="K87" t="s">
        <v>3752</v>
      </c>
      <c r="T87" t="s">
        <v>3920</v>
      </c>
      <c r="U87" t="s">
        <v>3573</v>
      </c>
      <c r="Y87" t="s">
        <v>3921</v>
      </c>
      <c r="Z87" t="s">
        <v>3575</v>
      </c>
      <c r="AA87" t="s">
        <v>3576</v>
      </c>
      <c r="AB87" t="s">
        <v>3576</v>
      </c>
      <c r="AC87" t="s">
        <v>3575</v>
      </c>
      <c r="AD87" t="s">
        <v>3922</v>
      </c>
      <c r="AE87" t="s">
        <v>3923</v>
      </c>
      <c r="AF87" t="s">
        <v>3583</v>
      </c>
      <c r="AG87" t="s">
        <v>3580</v>
      </c>
      <c r="AH87" t="s">
        <v>3581</v>
      </c>
      <c r="AI87" t="s">
        <v>3582</v>
      </c>
      <c r="AM87" t="s">
        <v>3924</v>
      </c>
      <c r="AN87" t="s">
        <v>3925</v>
      </c>
      <c r="AO87" t="s">
        <v>3926</v>
      </c>
      <c r="AP87" t="s">
        <v>3686</v>
      </c>
      <c r="AQ87" t="s">
        <v>3989</v>
      </c>
      <c r="AR87" t="s">
        <v>3990</v>
      </c>
      <c r="AS87" t="s">
        <v>3991</v>
      </c>
      <c r="AU87" t="s">
        <v>3929</v>
      </c>
      <c r="AV87" t="s">
        <v>3930</v>
      </c>
      <c r="AW87" t="s">
        <v>3931</v>
      </c>
      <c r="AX87" t="s">
        <v>3932</v>
      </c>
      <c r="AZ87">
        <v>53.524000000000001</v>
      </c>
      <c r="BA87">
        <v>118</v>
      </c>
      <c r="BB87" t="s">
        <v>4003</v>
      </c>
      <c r="BC87" s="36" t="s">
        <v>3957</v>
      </c>
      <c r="BE87" t="s">
        <v>3954</v>
      </c>
      <c r="BF87" t="s">
        <v>3955</v>
      </c>
      <c r="BG87" t="s">
        <v>3583</v>
      </c>
      <c r="BH87" t="s">
        <v>3958</v>
      </c>
      <c r="BL87" t="s">
        <v>3598</v>
      </c>
      <c r="BS87" t="str">
        <v>Inbound</v>
      </c>
      <c r="BT87" t="str">
        <v>Land</v>
      </c>
      <c r="BU87" t="str">
        <v>RM-J-1342LI26</v>
      </c>
      <c r="BV87" t="str">
        <v>Miscelaneus</v>
      </c>
      <c r="BW87" t="str">
        <v>ARDUCAM FOR RASPBERRY PI HQ CAMERA MODULE,12.3MP IMX477 RASPBERRY PI CAMERA FOR RASPBERRY PI5/4B/3B+</v>
      </c>
      <c r="BX87">
        <v>53.524000000000001</v>
      </c>
      <c r="BY87" s="38">
        <f t="shared" si="4"/>
        <v>8.3298887439117991E-3</v>
      </c>
      <c r="BZ87" s="21">
        <f t="shared" si="5"/>
        <v>9.9958664926941587</v>
      </c>
    </row>
    <row r="88" spans="2:78" x14ac:dyDescent="0.35">
      <c r="B88" t="s">
        <v>4190</v>
      </c>
      <c r="C88" t="s">
        <v>262</v>
      </c>
      <c r="D88" t="str" cm="1">
        <f t="array" ref="D88">_xlfn.REGEXEXTRACT(F88,"\w?\w-J-\d{4}LI\d{2}")</f>
        <v>RM-J-1342LI26</v>
      </c>
      <c r="E88" t="s">
        <v>4195</v>
      </c>
      <c r="F88" t="s">
        <v>4192</v>
      </c>
      <c r="G88" t="s">
        <v>3919</v>
      </c>
      <c r="H88" t="s">
        <v>3569</v>
      </c>
      <c r="I88" t="s">
        <v>3752</v>
      </c>
      <c r="J88" t="s">
        <v>3753</v>
      </c>
      <c r="K88" t="s">
        <v>3752</v>
      </c>
      <c r="T88" t="s">
        <v>3920</v>
      </c>
      <c r="U88" t="s">
        <v>3573</v>
      </c>
      <c r="Y88" t="s">
        <v>3921</v>
      </c>
      <c r="Z88" t="s">
        <v>3575</v>
      </c>
      <c r="AA88" t="s">
        <v>3576</v>
      </c>
      <c r="AB88" t="s">
        <v>3576</v>
      </c>
      <c r="AC88" t="s">
        <v>3575</v>
      </c>
      <c r="AD88" t="s">
        <v>3922</v>
      </c>
      <c r="AE88" t="s">
        <v>3923</v>
      </c>
      <c r="AF88" t="s">
        <v>3583</v>
      </c>
      <c r="AG88" t="s">
        <v>3580</v>
      </c>
      <c r="AH88" t="s">
        <v>3581</v>
      </c>
      <c r="AI88" t="s">
        <v>3582</v>
      </c>
      <c r="AM88" t="s">
        <v>3924</v>
      </c>
      <c r="AN88" t="s">
        <v>3925</v>
      </c>
      <c r="AO88" t="s">
        <v>3926</v>
      </c>
      <c r="AP88" t="s">
        <v>3686</v>
      </c>
      <c r="AQ88" t="s">
        <v>3989</v>
      </c>
      <c r="AR88" t="s">
        <v>3990</v>
      </c>
      <c r="AS88" t="s">
        <v>3991</v>
      </c>
      <c r="AU88" t="s">
        <v>3929</v>
      </c>
      <c r="AV88" t="s">
        <v>3930</v>
      </c>
      <c r="AW88" t="s">
        <v>3931</v>
      </c>
      <c r="AX88" t="s">
        <v>3932</v>
      </c>
      <c r="AZ88">
        <v>53.524000000000001</v>
      </c>
      <c r="BA88">
        <v>118</v>
      </c>
      <c r="BB88" t="s">
        <v>4004</v>
      </c>
      <c r="BC88" s="36" t="s">
        <v>3957</v>
      </c>
      <c r="BE88" t="s">
        <v>3954</v>
      </c>
      <c r="BF88" t="s">
        <v>3955</v>
      </c>
      <c r="BG88" t="s">
        <v>3596</v>
      </c>
      <c r="BH88" t="s">
        <v>4005</v>
      </c>
      <c r="BL88" t="s">
        <v>3598</v>
      </c>
      <c r="BS88" t="str">
        <v>Inbound</v>
      </c>
      <c r="BT88" t="str">
        <v>Land</v>
      </c>
      <c r="BU88" t="str">
        <v>RM-J-1342LI26</v>
      </c>
      <c r="BV88" t="str">
        <v>Miscelaneus</v>
      </c>
      <c r="BW88" t="str">
        <v>ARDUCAM 2.8-12MM VARIFOCAL C-MOUNT LENS FOR RASPBERRY PI HQ CAMERA, WITH C-CS ADAPTER, INDUSTRIAL TE</v>
      </c>
      <c r="BX88">
        <v>53.524000000000001</v>
      </c>
      <c r="BY88" s="38">
        <f t="shared" si="4"/>
        <v>8.3298887439117991E-3</v>
      </c>
      <c r="BZ88" s="21">
        <f t="shared" si="5"/>
        <v>9.9958664926941587</v>
      </c>
    </row>
    <row r="89" spans="2:78" x14ac:dyDescent="0.35">
      <c r="B89" t="s">
        <v>4190</v>
      </c>
      <c r="C89" t="s">
        <v>262</v>
      </c>
      <c r="D89" t="str" cm="1">
        <f t="array" ref="D89">_xlfn.REGEXEXTRACT(F89,"\w?\w-J-\d{4}LI\d{2}")</f>
        <v>RM-J-1342LI26</v>
      </c>
      <c r="E89" t="s">
        <v>4195</v>
      </c>
      <c r="F89" t="s">
        <v>4192</v>
      </c>
      <c r="G89" t="s">
        <v>3919</v>
      </c>
      <c r="H89" t="s">
        <v>3569</v>
      </c>
      <c r="I89" t="s">
        <v>3752</v>
      </c>
      <c r="J89" t="s">
        <v>3753</v>
      </c>
      <c r="K89" t="s">
        <v>3752</v>
      </c>
      <c r="T89" t="s">
        <v>3920</v>
      </c>
      <c r="U89" t="s">
        <v>3573</v>
      </c>
      <c r="Y89" t="s">
        <v>3921</v>
      </c>
      <c r="Z89" t="s">
        <v>3575</v>
      </c>
      <c r="AA89" t="s">
        <v>3576</v>
      </c>
      <c r="AB89" t="s">
        <v>3576</v>
      </c>
      <c r="AC89" t="s">
        <v>3575</v>
      </c>
      <c r="AD89" t="s">
        <v>3922</v>
      </c>
      <c r="AE89" t="s">
        <v>3923</v>
      </c>
      <c r="AF89" t="s">
        <v>3583</v>
      </c>
      <c r="AG89" t="s">
        <v>3580</v>
      </c>
      <c r="AH89" t="s">
        <v>3581</v>
      </c>
      <c r="AI89" t="s">
        <v>3582</v>
      </c>
      <c r="AM89" t="s">
        <v>3924</v>
      </c>
      <c r="AN89" t="s">
        <v>3925</v>
      </c>
      <c r="AO89" t="s">
        <v>3926</v>
      </c>
      <c r="AP89" t="s">
        <v>3686</v>
      </c>
      <c r="AQ89" t="s">
        <v>3989</v>
      </c>
      <c r="AR89" t="s">
        <v>3990</v>
      </c>
      <c r="AS89" t="s">
        <v>3991</v>
      </c>
      <c r="AU89" t="s">
        <v>3929</v>
      </c>
      <c r="AV89" t="s">
        <v>3930</v>
      </c>
      <c r="AW89" t="s">
        <v>3931</v>
      </c>
      <c r="AX89" t="s">
        <v>3932</v>
      </c>
      <c r="AZ89">
        <v>53.524000000000001</v>
      </c>
      <c r="BA89">
        <v>118</v>
      </c>
      <c r="BB89" t="s">
        <v>4006</v>
      </c>
      <c r="BC89" s="36" t="s">
        <v>3957</v>
      </c>
      <c r="BE89" t="s">
        <v>3954</v>
      </c>
      <c r="BF89" t="s">
        <v>3955</v>
      </c>
      <c r="BG89" t="s">
        <v>3596</v>
      </c>
      <c r="BH89" t="s">
        <v>4005</v>
      </c>
      <c r="BL89" t="s">
        <v>3598</v>
      </c>
      <c r="BS89" t="str">
        <v>Inbound</v>
      </c>
      <c r="BT89" t="str">
        <v>Land</v>
      </c>
      <c r="BU89" t="str">
        <v>RM-J-1342LI26</v>
      </c>
      <c r="BV89" t="str">
        <v>Miscelaneus</v>
      </c>
      <c r="BW89" t="str">
        <v>ARDUCAM 2.8-12MM VARIFOCAL C-MOUNT LENS FOR RASPBERRY PI HQ CAMERA, WITH C-CS ADAPTER, INDUSTRIAL TE</v>
      </c>
      <c r="BX89">
        <v>53.524000000000001</v>
      </c>
      <c r="BY89" s="38">
        <f t="shared" si="4"/>
        <v>8.3298887439117991E-3</v>
      </c>
      <c r="BZ89" s="21">
        <f t="shared" si="5"/>
        <v>9.9958664926941587</v>
      </c>
    </row>
    <row r="90" spans="2:78" x14ac:dyDescent="0.35">
      <c r="B90" t="s">
        <v>4190</v>
      </c>
      <c r="C90" t="s">
        <v>262</v>
      </c>
      <c r="D90" t="str" cm="1">
        <f t="array" ref="D90">_xlfn.REGEXEXTRACT(F90,"\w?\w-J-\d{4}LI\d{2}")</f>
        <v>RM-J-1342LI26</v>
      </c>
      <c r="E90" t="s">
        <v>4195</v>
      </c>
      <c r="F90" t="s">
        <v>4192</v>
      </c>
      <c r="G90" t="s">
        <v>3919</v>
      </c>
      <c r="H90" t="s">
        <v>3569</v>
      </c>
      <c r="I90" t="s">
        <v>3752</v>
      </c>
      <c r="J90" t="s">
        <v>3753</v>
      </c>
      <c r="K90" t="s">
        <v>3752</v>
      </c>
      <c r="T90" t="s">
        <v>3920</v>
      </c>
      <c r="U90" t="s">
        <v>3573</v>
      </c>
      <c r="Y90" t="s">
        <v>3921</v>
      </c>
      <c r="Z90" t="s">
        <v>3575</v>
      </c>
      <c r="AA90" t="s">
        <v>3576</v>
      </c>
      <c r="AB90" t="s">
        <v>3576</v>
      </c>
      <c r="AC90" t="s">
        <v>3575</v>
      </c>
      <c r="AD90" t="s">
        <v>3922</v>
      </c>
      <c r="AE90" t="s">
        <v>3923</v>
      </c>
      <c r="AF90" t="s">
        <v>3583</v>
      </c>
      <c r="AG90" t="s">
        <v>3580</v>
      </c>
      <c r="AH90" t="s">
        <v>3581</v>
      </c>
      <c r="AI90" t="s">
        <v>3582</v>
      </c>
      <c r="AM90" t="s">
        <v>3924</v>
      </c>
      <c r="AN90" t="s">
        <v>3925</v>
      </c>
      <c r="AO90" t="s">
        <v>3926</v>
      </c>
      <c r="AP90" t="s">
        <v>3686</v>
      </c>
      <c r="AQ90" t="s">
        <v>3989</v>
      </c>
      <c r="AR90" t="s">
        <v>3990</v>
      </c>
      <c r="AS90" t="s">
        <v>3991</v>
      </c>
      <c r="AU90" t="s">
        <v>3929</v>
      </c>
      <c r="AV90" t="s">
        <v>3930</v>
      </c>
      <c r="AW90" t="s">
        <v>3931</v>
      </c>
      <c r="AX90" t="s">
        <v>3932</v>
      </c>
      <c r="AZ90">
        <v>53.524000000000001</v>
      </c>
      <c r="BA90">
        <v>118</v>
      </c>
      <c r="BB90" t="s">
        <v>4007</v>
      </c>
      <c r="BC90" s="36" t="s">
        <v>3959</v>
      </c>
      <c r="BE90" t="s">
        <v>3954</v>
      </c>
      <c r="BF90" t="s">
        <v>3955</v>
      </c>
      <c r="BG90" t="s">
        <v>3646</v>
      </c>
      <c r="BH90" t="s">
        <v>3963</v>
      </c>
      <c r="BL90" t="s">
        <v>3598</v>
      </c>
      <c r="BS90" t="str">
        <v>Inbound</v>
      </c>
      <c r="BT90" t="str">
        <v>Land</v>
      </c>
      <c r="BU90" t="str">
        <v>RM-J-1342LI26</v>
      </c>
      <c r="BV90" t="str">
        <v>Miscelaneus</v>
      </c>
      <c r="BW90" t="str">
        <v>ARDUCAM 2.8-12MM VARIFOCAL C-MOUNT LENS FOR RASPBERRY PI HQ CAMERA, WITH C-CS ADAPTER, INDUSTRIAL TE</v>
      </c>
      <c r="BX90">
        <v>53.524000000000001</v>
      </c>
      <c r="BY90" s="38">
        <f t="shared" si="4"/>
        <v>8.3298887439117991E-3</v>
      </c>
      <c r="BZ90" s="21">
        <f t="shared" si="5"/>
        <v>9.9958664926941587</v>
      </c>
    </row>
    <row r="91" spans="2:78" x14ac:dyDescent="0.35">
      <c r="B91" t="s">
        <v>4190</v>
      </c>
      <c r="C91" t="s">
        <v>262</v>
      </c>
      <c r="D91" t="str" cm="1">
        <f t="array" ref="D91">_xlfn.REGEXEXTRACT(F91,"\w?\w-J-\d{4}LI\d{2}")</f>
        <v>RM-J-1342LI26</v>
      </c>
      <c r="E91" t="s">
        <v>4195</v>
      </c>
      <c r="F91" t="s">
        <v>4192</v>
      </c>
      <c r="G91" t="s">
        <v>3919</v>
      </c>
      <c r="H91" t="s">
        <v>3569</v>
      </c>
      <c r="I91" t="s">
        <v>3752</v>
      </c>
      <c r="J91" t="s">
        <v>3753</v>
      </c>
      <c r="K91" t="s">
        <v>3752</v>
      </c>
      <c r="T91" t="s">
        <v>3920</v>
      </c>
      <c r="U91" t="s">
        <v>3573</v>
      </c>
      <c r="Y91" t="s">
        <v>3921</v>
      </c>
      <c r="Z91" t="s">
        <v>3575</v>
      </c>
      <c r="AA91" t="s">
        <v>3576</v>
      </c>
      <c r="AB91" t="s">
        <v>3576</v>
      </c>
      <c r="AC91" t="s">
        <v>3575</v>
      </c>
      <c r="AD91" t="s">
        <v>3922</v>
      </c>
      <c r="AE91" t="s">
        <v>3923</v>
      </c>
      <c r="AF91" t="s">
        <v>3583</v>
      </c>
      <c r="AG91" t="s">
        <v>3580</v>
      </c>
      <c r="AH91" t="s">
        <v>3581</v>
      </c>
      <c r="AI91" t="s">
        <v>3582</v>
      </c>
      <c r="AM91" t="s">
        <v>3924</v>
      </c>
      <c r="AN91" t="s">
        <v>3925</v>
      </c>
      <c r="AO91" t="s">
        <v>3926</v>
      </c>
      <c r="AP91" t="s">
        <v>3686</v>
      </c>
      <c r="AQ91" t="s">
        <v>3989</v>
      </c>
      <c r="AR91" t="s">
        <v>3990</v>
      </c>
      <c r="AS91" t="s">
        <v>3991</v>
      </c>
      <c r="AU91" t="s">
        <v>3929</v>
      </c>
      <c r="AV91" t="s">
        <v>3930</v>
      </c>
      <c r="AW91" t="s">
        <v>3931</v>
      </c>
      <c r="AX91" t="s">
        <v>3932</v>
      </c>
      <c r="AZ91">
        <v>53.524000000000001</v>
      </c>
      <c r="BA91">
        <v>118</v>
      </c>
      <c r="BB91" t="s">
        <v>3629</v>
      </c>
      <c r="BC91" s="36" t="s">
        <v>3965</v>
      </c>
      <c r="BE91" t="s">
        <v>3966</v>
      </c>
      <c r="BF91" t="s">
        <v>3967</v>
      </c>
      <c r="BG91" t="s">
        <v>3605</v>
      </c>
      <c r="BH91" t="s">
        <v>4008</v>
      </c>
      <c r="BL91" t="s">
        <v>3598</v>
      </c>
      <c r="BS91" t="str">
        <v>Inbound</v>
      </c>
      <c r="BT91" t="str">
        <v>Land</v>
      </c>
      <c r="BU91" t="str">
        <v>RM-J-1342LI26</v>
      </c>
      <c r="BV91" t="str">
        <v>Miscelaneus</v>
      </c>
      <c r="BW91" t="str">
        <v>ARDUCAM IMX477 PI HQ CAMERA FOR RASPBERRY PI 5, COMES WITH A 1/2.3 6MM FOCAL LENGTH CS LENS, WIDELY</v>
      </c>
      <c r="BX91">
        <v>53.524000000000001</v>
      </c>
      <c r="BY91" s="38">
        <f t="shared" si="4"/>
        <v>8.3298887439117991E-3</v>
      </c>
      <c r="BZ91" s="21">
        <f t="shared" si="5"/>
        <v>9.9958664926941587</v>
      </c>
    </row>
    <row r="92" spans="2:78" x14ac:dyDescent="0.35">
      <c r="B92" t="s">
        <v>4190</v>
      </c>
      <c r="C92" t="s">
        <v>262</v>
      </c>
      <c r="D92" t="str" cm="1">
        <f t="array" ref="D92">_xlfn.REGEXEXTRACT(F92,"\w?\w-J-\d{4}LI\d{2}")</f>
        <v>RM-J-1342LI26</v>
      </c>
      <c r="E92" t="s">
        <v>4195</v>
      </c>
      <c r="F92" t="s">
        <v>4192</v>
      </c>
      <c r="G92" t="s">
        <v>3919</v>
      </c>
      <c r="H92" t="s">
        <v>3569</v>
      </c>
      <c r="I92" t="s">
        <v>3752</v>
      </c>
      <c r="J92" t="s">
        <v>3753</v>
      </c>
      <c r="K92" t="s">
        <v>3752</v>
      </c>
      <c r="T92" t="s">
        <v>3920</v>
      </c>
      <c r="U92" t="s">
        <v>3573</v>
      </c>
      <c r="Y92" t="s">
        <v>3921</v>
      </c>
      <c r="Z92" t="s">
        <v>3575</v>
      </c>
      <c r="AA92" t="s">
        <v>3576</v>
      </c>
      <c r="AB92" t="s">
        <v>3576</v>
      </c>
      <c r="AC92" t="s">
        <v>3575</v>
      </c>
      <c r="AD92" t="s">
        <v>3922</v>
      </c>
      <c r="AE92" t="s">
        <v>3923</v>
      </c>
      <c r="AF92" t="s">
        <v>3583</v>
      </c>
      <c r="AG92" t="s">
        <v>3580</v>
      </c>
      <c r="AH92" t="s">
        <v>3581</v>
      </c>
      <c r="AI92" t="s">
        <v>3582</v>
      </c>
      <c r="AM92" t="s">
        <v>3924</v>
      </c>
      <c r="AN92" t="s">
        <v>3925</v>
      </c>
      <c r="AO92" t="s">
        <v>3926</v>
      </c>
      <c r="AP92" t="s">
        <v>3686</v>
      </c>
      <c r="AQ92" t="s">
        <v>3989</v>
      </c>
      <c r="AR92" t="s">
        <v>3990</v>
      </c>
      <c r="AS92" t="s">
        <v>3991</v>
      </c>
      <c r="AU92" t="s">
        <v>3929</v>
      </c>
      <c r="AV92" t="s">
        <v>3930</v>
      </c>
      <c r="AW92" t="s">
        <v>3931</v>
      </c>
      <c r="AX92" t="s">
        <v>3932</v>
      </c>
      <c r="AZ92">
        <v>53.524000000000001</v>
      </c>
      <c r="BA92">
        <v>118</v>
      </c>
      <c r="BB92" t="s">
        <v>4009</v>
      </c>
      <c r="BC92" s="36" t="s">
        <v>4010</v>
      </c>
      <c r="BE92" t="s">
        <v>3977</v>
      </c>
      <c r="BF92" t="s">
        <v>3978</v>
      </c>
      <c r="BG92" t="s">
        <v>3583</v>
      </c>
      <c r="BH92" t="s">
        <v>4011</v>
      </c>
      <c r="BL92" t="s">
        <v>3598</v>
      </c>
      <c r="BS92" t="str">
        <v>Inbound</v>
      </c>
      <c r="BT92" t="str">
        <v>Land</v>
      </c>
      <c r="BU92" t="str">
        <v>RM-J-1342LI26</v>
      </c>
      <c r="BV92" t="str">
        <v>Miscelaneus</v>
      </c>
      <c r="BW92" t="str">
        <v>3PCS 15 PIN 30CM 50CM 100CM FFC RIBBON FLEXIBLE FLAT CABLE FOR CAMERA PI CAMERA CABLE LONG EXTENSION</v>
      </c>
      <c r="BX92">
        <v>53.524000000000001</v>
      </c>
      <c r="BY92" s="38">
        <f t="shared" si="4"/>
        <v>8.3298887439117991E-3</v>
      </c>
      <c r="BZ92" s="21">
        <f t="shared" si="5"/>
        <v>9.9958664926941587</v>
      </c>
    </row>
    <row r="93" spans="2:78" x14ac:dyDescent="0.35">
      <c r="B93" t="s">
        <v>4190</v>
      </c>
      <c r="C93" t="s">
        <v>262</v>
      </c>
      <c r="D93" t="str" cm="1">
        <f t="array" ref="D93">_xlfn.REGEXEXTRACT(F93,"\w?\w-J-\d{4}LI\d{2}")</f>
        <v>RM-J-1342LI26</v>
      </c>
      <c r="E93" t="s">
        <v>4195</v>
      </c>
      <c r="F93" t="s">
        <v>4192</v>
      </c>
      <c r="G93" t="s">
        <v>3919</v>
      </c>
      <c r="H93" t="s">
        <v>3569</v>
      </c>
      <c r="I93" t="s">
        <v>3752</v>
      </c>
      <c r="J93" t="s">
        <v>3753</v>
      </c>
      <c r="K93" t="s">
        <v>3752</v>
      </c>
      <c r="T93" t="s">
        <v>3920</v>
      </c>
      <c r="U93" t="s">
        <v>3573</v>
      </c>
      <c r="Y93" t="s">
        <v>3921</v>
      </c>
      <c r="Z93" t="s">
        <v>3575</v>
      </c>
      <c r="AA93" t="s">
        <v>3576</v>
      </c>
      <c r="AB93" t="s">
        <v>3576</v>
      </c>
      <c r="AC93" t="s">
        <v>3575</v>
      </c>
      <c r="AD93" t="s">
        <v>3922</v>
      </c>
      <c r="AE93" t="s">
        <v>3923</v>
      </c>
      <c r="AF93" t="s">
        <v>3583</v>
      </c>
      <c r="AG93" t="s">
        <v>3580</v>
      </c>
      <c r="AH93" t="s">
        <v>3581</v>
      </c>
      <c r="AI93" t="s">
        <v>3582</v>
      </c>
      <c r="AM93" t="s">
        <v>3924</v>
      </c>
      <c r="AN93" t="s">
        <v>3925</v>
      </c>
      <c r="AO93" t="s">
        <v>3926</v>
      </c>
      <c r="AP93" t="s">
        <v>3686</v>
      </c>
      <c r="AQ93" t="s">
        <v>3989</v>
      </c>
      <c r="AR93" t="s">
        <v>3990</v>
      </c>
      <c r="AS93" t="s">
        <v>3991</v>
      </c>
      <c r="AU93" t="s">
        <v>3929</v>
      </c>
      <c r="AV93" t="s">
        <v>3930</v>
      </c>
      <c r="AW93" t="s">
        <v>3931</v>
      </c>
      <c r="AX93" t="s">
        <v>3932</v>
      </c>
      <c r="AZ93">
        <v>53.524000000000001</v>
      </c>
      <c r="BA93">
        <v>118</v>
      </c>
      <c r="BB93" t="s">
        <v>4012</v>
      </c>
      <c r="BC93" s="36" t="s">
        <v>3976</v>
      </c>
      <c r="BE93" t="s">
        <v>3977</v>
      </c>
      <c r="BF93" t="s">
        <v>3978</v>
      </c>
      <c r="BG93" t="s">
        <v>3646</v>
      </c>
      <c r="BH93" t="s">
        <v>4013</v>
      </c>
      <c r="BL93" t="s">
        <v>3598</v>
      </c>
      <c r="BS93" t="str">
        <v>Inbound</v>
      </c>
      <c r="BT93" t="str">
        <v>Land</v>
      </c>
      <c r="BU93" t="str">
        <v>RM-J-1342LI26</v>
      </c>
      <c r="BV93" t="str">
        <v>Miscelaneus</v>
      </c>
      <c r="BW93" t="str">
        <v>MOKOSE 5-12MM CCTV CAMERA LENS 6MP PIXELS 1/1.8 ZOOM C-MOUNT INDUSTRIAL CAMERA MANUAL LENS LOW DISTO</v>
      </c>
      <c r="BX93">
        <v>53.524000000000001</v>
      </c>
      <c r="BY93" s="38">
        <f t="shared" si="4"/>
        <v>8.3298887439117991E-3</v>
      </c>
      <c r="BZ93" s="21">
        <f t="shared" si="5"/>
        <v>9.9958664926941587</v>
      </c>
    </row>
    <row r="94" spans="2:78" x14ac:dyDescent="0.35">
      <c r="B94" t="s">
        <v>4190</v>
      </c>
      <c r="C94" t="s">
        <v>262</v>
      </c>
      <c r="D94" t="str" cm="1">
        <f t="array" ref="D94">_xlfn.REGEXEXTRACT(F94,"\w?\w-J-\d{4}LI\d{2}")</f>
        <v>RM-J-1342LI26</v>
      </c>
      <c r="E94" t="s">
        <v>4195</v>
      </c>
      <c r="F94" t="s">
        <v>4192</v>
      </c>
      <c r="G94" t="s">
        <v>3919</v>
      </c>
      <c r="H94" t="s">
        <v>3569</v>
      </c>
      <c r="I94" t="s">
        <v>3752</v>
      </c>
      <c r="J94" t="s">
        <v>3753</v>
      </c>
      <c r="K94" t="s">
        <v>3752</v>
      </c>
      <c r="T94" t="s">
        <v>3920</v>
      </c>
      <c r="U94" t="s">
        <v>3573</v>
      </c>
      <c r="Y94" t="s">
        <v>3921</v>
      </c>
      <c r="Z94" t="s">
        <v>3575</v>
      </c>
      <c r="AA94" t="s">
        <v>3576</v>
      </c>
      <c r="AB94" t="s">
        <v>3576</v>
      </c>
      <c r="AC94" t="s">
        <v>3575</v>
      </c>
      <c r="AD94" t="s">
        <v>3922</v>
      </c>
      <c r="AE94" t="s">
        <v>3923</v>
      </c>
      <c r="AF94" t="s">
        <v>3583</v>
      </c>
      <c r="AG94" t="s">
        <v>3580</v>
      </c>
      <c r="AH94" t="s">
        <v>3581</v>
      </c>
      <c r="AI94" t="s">
        <v>3582</v>
      </c>
      <c r="AM94" t="s">
        <v>3924</v>
      </c>
      <c r="AN94" t="s">
        <v>3925</v>
      </c>
      <c r="AO94" t="s">
        <v>3926</v>
      </c>
      <c r="AP94" t="s">
        <v>3686</v>
      </c>
      <c r="AQ94" t="s">
        <v>3989</v>
      </c>
      <c r="AR94" t="s">
        <v>3990</v>
      </c>
      <c r="AS94" t="s">
        <v>3991</v>
      </c>
      <c r="AU94" t="s">
        <v>3929</v>
      </c>
      <c r="AV94" t="s">
        <v>3930</v>
      </c>
      <c r="AW94" t="s">
        <v>3931</v>
      </c>
      <c r="AX94" t="s">
        <v>3932</v>
      </c>
      <c r="AZ94">
        <v>53.524000000000001</v>
      </c>
      <c r="BA94">
        <v>118</v>
      </c>
      <c r="BB94" t="s">
        <v>3656</v>
      </c>
      <c r="BC94" s="36" t="s">
        <v>3980</v>
      </c>
      <c r="BE94" t="s">
        <v>3977</v>
      </c>
      <c r="BF94" t="s">
        <v>3978</v>
      </c>
      <c r="BG94" t="s">
        <v>3583</v>
      </c>
      <c r="BH94" t="s">
        <v>3981</v>
      </c>
      <c r="BL94" t="s">
        <v>3598</v>
      </c>
      <c r="BS94" t="str">
        <v>Inbound</v>
      </c>
      <c r="BT94" t="str">
        <v>Land</v>
      </c>
      <c r="BU94" t="str">
        <v>RM-J-1342LI26</v>
      </c>
      <c r="BV94" t="str">
        <v>Miscelaneus</v>
      </c>
      <c r="BW94" t="str">
        <v>ZOWIETEK 5-50MM 12MP C-MOUNT LOW DISTORTION ZOOM LENS, WITH C-CS ADAPTER, FOR ZOWIECAM POV CS/C MOUN</v>
      </c>
      <c r="BX94">
        <v>53.524000000000001</v>
      </c>
      <c r="BY94" s="38">
        <f t="shared" si="4"/>
        <v>8.3298887439117991E-3</v>
      </c>
      <c r="BZ94" s="21">
        <f t="shared" si="5"/>
        <v>9.9958664926941587</v>
      </c>
    </row>
    <row r="95" spans="2:78" x14ac:dyDescent="0.35">
      <c r="B95" t="s">
        <v>4190</v>
      </c>
      <c r="C95" t="s">
        <v>262</v>
      </c>
      <c r="D95" t="str" cm="1">
        <f t="array" ref="D95">_xlfn.REGEXEXTRACT(F95,"\w?\w-J-\d{4}LI\d{2}")</f>
        <v>RM-J-1342LI26</v>
      </c>
      <c r="E95" t="s">
        <v>4195</v>
      </c>
      <c r="F95" t="s">
        <v>4192</v>
      </c>
      <c r="G95" t="s">
        <v>3919</v>
      </c>
      <c r="H95" t="s">
        <v>3569</v>
      </c>
      <c r="I95" t="s">
        <v>3752</v>
      </c>
      <c r="J95" t="s">
        <v>3753</v>
      </c>
      <c r="K95" t="s">
        <v>3752</v>
      </c>
      <c r="T95" t="s">
        <v>3920</v>
      </c>
      <c r="U95" t="s">
        <v>3573</v>
      </c>
      <c r="Y95" t="s">
        <v>3921</v>
      </c>
      <c r="Z95" t="s">
        <v>3575</v>
      </c>
      <c r="AA95" t="s">
        <v>3576</v>
      </c>
      <c r="AB95" t="s">
        <v>3576</v>
      </c>
      <c r="AC95" t="s">
        <v>3575</v>
      </c>
      <c r="AD95" t="s">
        <v>3922</v>
      </c>
      <c r="AE95" t="s">
        <v>3923</v>
      </c>
      <c r="AF95" t="s">
        <v>3583</v>
      </c>
      <c r="AG95" t="s">
        <v>3580</v>
      </c>
      <c r="AH95" t="s">
        <v>3581</v>
      </c>
      <c r="AI95" t="s">
        <v>3582</v>
      </c>
      <c r="AM95" t="s">
        <v>3924</v>
      </c>
      <c r="AN95" t="s">
        <v>3925</v>
      </c>
      <c r="AO95" t="s">
        <v>3926</v>
      </c>
      <c r="AP95" t="s">
        <v>3686</v>
      </c>
      <c r="AQ95" t="s">
        <v>3989</v>
      </c>
      <c r="AR95" t="s">
        <v>3990</v>
      </c>
      <c r="AS95" t="s">
        <v>3991</v>
      </c>
      <c r="AU95" t="s">
        <v>3929</v>
      </c>
      <c r="AV95" t="s">
        <v>3930</v>
      </c>
      <c r="AW95" t="s">
        <v>3931</v>
      </c>
      <c r="AX95" t="s">
        <v>3932</v>
      </c>
      <c r="AZ95">
        <v>53.524000000000001</v>
      </c>
      <c r="BA95">
        <v>118</v>
      </c>
      <c r="BB95" t="s">
        <v>4014</v>
      </c>
      <c r="BC95" s="36" t="s">
        <v>3980</v>
      </c>
      <c r="BE95" t="s">
        <v>3977</v>
      </c>
      <c r="BF95" t="s">
        <v>3978</v>
      </c>
      <c r="BG95" t="s">
        <v>3583</v>
      </c>
      <c r="BH95" t="s">
        <v>3981</v>
      </c>
      <c r="BL95" t="s">
        <v>3598</v>
      </c>
      <c r="BS95" t="str">
        <v>Inbound</v>
      </c>
      <c r="BT95" t="str">
        <v>Land</v>
      </c>
      <c r="BU95" t="str">
        <v>RM-J-1342LI26</v>
      </c>
      <c r="BV95" t="str">
        <v>Miscelaneus</v>
      </c>
      <c r="BW95" t="str">
        <v>ARDUCAM M12 LENS SET FOR USB CAMERA(1/2.7 1/2.8 1/2.9), TELEPHOTO, MACRO, WIDE ANGLE, FISHEYE LENS K</v>
      </c>
      <c r="BX95">
        <v>53.524000000000001</v>
      </c>
      <c r="BY95" s="38">
        <f t="shared" si="4"/>
        <v>8.3298887439117991E-3</v>
      </c>
      <c r="BZ95" s="21">
        <f t="shared" si="5"/>
        <v>9.9958664926941587</v>
      </c>
    </row>
    <row r="96" spans="2:78" x14ac:dyDescent="0.35">
      <c r="B96" t="s">
        <v>4190</v>
      </c>
      <c r="C96" t="s">
        <v>262</v>
      </c>
      <c r="D96" t="str" cm="1">
        <f t="array" ref="D96">_xlfn.REGEXEXTRACT(F96,"\w?\w-J-\d{4}LI\d{2}")</f>
        <v>RM-J-1342LI26</v>
      </c>
      <c r="E96" t="s">
        <v>4195</v>
      </c>
      <c r="F96" t="s">
        <v>4192</v>
      </c>
      <c r="G96" t="s">
        <v>3919</v>
      </c>
      <c r="H96" t="s">
        <v>3569</v>
      </c>
      <c r="I96" t="s">
        <v>3752</v>
      </c>
      <c r="J96" t="s">
        <v>3753</v>
      </c>
      <c r="K96" t="s">
        <v>3752</v>
      </c>
      <c r="T96" t="s">
        <v>3920</v>
      </c>
      <c r="U96" t="s">
        <v>3573</v>
      </c>
      <c r="Y96" t="s">
        <v>3921</v>
      </c>
      <c r="Z96" t="s">
        <v>3575</v>
      </c>
      <c r="AA96" t="s">
        <v>3576</v>
      </c>
      <c r="AB96" t="s">
        <v>3576</v>
      </c>
      <c r="AC96" t="s">
        <v>3575</v>
      </c>
      <c r="AD96" t="s">
        <v>3922</v>
      </c>
      <c r="AE96" t="s">
        <v>3923</v>
      </c>
      <c r="AF96" t="s">
        <v>3583</v>
      </c>
      <c r="AG96" t="s">
        <v>3580</v>
      </c>
      <c r="AH96" t="s">
        <v>3581</v>
      </c>
      <c r="AI96" t="s">
        <v>3582</v>
      </c>
      <c r="AM96" t="s">
        <v>3924</v>
      </c>
      <c r="AN96" t="s">
        <v>3925</v>
      </c>
      <c r="AO96" t="s">
        <v>3926</v>
      </c>
      <c r="AP96" t="s">
        <v>3686</v>
      </c>
      <c r="AQ96" t="s">
        <v>4015</v>
      </c>
      <c r="AR96" t="s">
        <v>4016</v>
      </c>
      <c r="AS96" t="s">
        <v>4017</v>
      </c>
      <c r="AU96" t="s">
        <v>3929</v>
      </c>
      <c r="AV96" t="s">
        <v>3930</v>
      </c>
      <c r="AW96" t="s">
        <v>3931</v>
      </c>
      <c r="AX96" t="s">
        <v>3932</v>
      </c>
      <c r="AZ96">
        <v>53.524000000000001</v>
      </c>
      <c r="BA96">
        <v>118</v>
      </c>
      <c r="BB96" t="s">
        <v>3583</v>
      </c>
      <c r="BC96" s="36" t="s">
        <v>4018</v>
      </c>
      <c r="BE96" t="s">
        <v>3977</v>
      </c>
      <c r="BF96" t="s">
        <v>4019</v>
      </c>
      <c r="BG96" t="s">
        <v>3663</v>
      </c>
      <c r="BH96" t="s">
        <v>4020</v>
      </c>
      <c r="BL96" t="s">
        <v>3598</v>
      </c>
      <c r="BS96" t="str">
        <v>Inbound</v>
      </c>
      <c r="BT96" t="str">
        <v>Land</v>
      </c>
      <c r="BU96" t="str">
        <v>RM-J-1342LI26</v>
      </c>
      <c r="BV96" t="str">
        <v>Miscelaneus</v>
      </c>
      <c r="BW96" t="str">
        <v>ARDUCAM M12 LENS SET FOR USB CAMERA(1/2.7 1/2.8 1/2.9), TELEPHOTO, MACRO, WIDE ANGLE, FISHEYE LENS K</v>
      </c>
      <c r="BX96">
        <v>53.524000000000001</v>
      </c>
      <c r="BY96" s="38">
        <f t="shared" si="4"/>
        <v>8.3298887439117991E-3</v>
      </c>
      <c r="BZ96" s="21">
        <f t="shared" si="5"/>
        <v>9.9958664926941587</v>
      </c>
    </row>
    <row r="97" spans="2:78" x14ac:dyDescent="0.35">
      <c r="B97" t="s">
        <v>4190</v>
      </c>
      <c r="C97" t="s">
        <v>262</v>
      </c>
      <c r="D97" t="str" cm="1">
        <f t="array" ref="D97">_xlfn.REGEXEXTRACT(F97,"\w?\w-J-\d{4}LI\d{2}")</f>
        <v>RM-J-1342LI26</v>
      </c>
      <c r="E97" t="s">
        <v>4195</v>
      </c>
      <c r="F97" t="s">
        <v>4192</v>
      </c>
      <c r="G97" t="s">
        <v>3919</v>
      </c>
      <c r="H97" t="s">
        <v>3569</v>
      </c>
      <c r="I97" t="s">
        <v>3752</v>
      </c>
      <c r="J97" t="s">
        <v>3753</v>
      </c>
      <c r="K97" t="s">
        <v>3752</v>
      </c>
      <c r="T97" t="s">
        <v>3920</v>
      </c>
      <c r="U97" t="s">
        <v>3573</v>
      </c>
      <c r="Y97" t="s">
        <v>3921</v>
      </c>
      <c r="Z97" t="s">
        <v>3575</v>
      </c>
      <c r="AA97" t="s">
        <v>3576</v>
      </c>
      <c r="AB97" t="s">
        <v>3576</v>
      </c>
      <c r="AC97" t="s">
        <v>3575</v>
      </c>
      <c r="AD97" t="s">
        <v>3922</v>
      </c>
      <c r="AE97" t="s">
        <v>3923</v>
      </c>
      <c r="AF97" t="s">
        <v>3583</v>
      </c>
      <c r="AG97" t="s">
        <v>3580</v>
      </c>
      <c r="AH97" t="s">
        <v>3581</v>
      </c>
      <c r="AI97" t="s">
        <v>3582</v>
      </c>
      <c r="AM97" t="s">
        <v>3924</v>
      </c>
      <c r="AN97" t="s">
        <v>3925</v>
      </c>
      <c r="AO97" t="s">
        <v>3926</v>
      </c>
      <c r="AP97" t="s">
        <v>3686</v>
      </c>
      <c r="AQ97" t="s">
        <v>4015</v>
      </c>
      <c r="AR97" t="s">
        <v>4016</v>
      </c>
      <c r="AS97" t="s">
        <v>4017</v>
      </c>
      <c r="AU97" t="s">
        <v>3929</v>
      </c>
      <c r="AV97" t="s">
        <v>3930</v>
      </c>
      <c r="AW97" t="s">
        <v>3931</v>
      </c>
      <c r="AX97" t="s">
        <v>3932</v>
      </c>
      <c r="AZ97">
        <v>53.524000000000001</v>
      </c>
      <c r="BA97">
        <v>118</v>
      </c>
      <c r="BB97" t="s">
        <v>3599</v>
      </c>
      <c r="BC97" s="36" t="s">
        <v>3933</v>
      </c>
      <c r="BE97" t="s">
        <v>3934</v>
      </c>
      <c r="BF97" t="s">
        <v>3935</v>
      </c>
      <c r="BG97" t="s">
        <v>3583</v>
      </c>
      <c r="BH97" t="s">
        <v>4021</v>
      </c>
      <c r="BL97" t="s">
        <v>3598</v>
      </c>
      <c r="BS97" t="str">
        <v>Inbound</v>
      </c>
      <c r="BT97" t="str">
        <v>Land</v>
      </c>
      <c r="BU97" t="str">
        <v>RM-J-1342LI26</v>
      </c>
      <c r="BV97" t="str">
        <v>Miscelaneus</v>
      </c>
      <c r="BW97" t="str">
        <v>ARDU-CS.6-25</v>
      </c>
      <c r="BX97">
        <v>53.524000000000001</v>
      </c>
      <c r="BY97" s="38">
        <f t="shared" si="4"/>
        <v>8.3298887439117991E-3</v>
      </c>
      <c r="BZ97" s="21">
        <f t="shared" si="5"/>
        <v>9.9958664926941587</v>
      </c>
    </row>
    <row r="98" spans="2:78" x14ac:dyDescent="0.35">
      <c r="B98" t="s">
        <v>4190</v>
      </c>
      <c r="C98" t="s">
        <v>262</v>
      </c>
      <c r="D98" t="str" cm="1">
        <f t="array" ref="D98">_xlfn.REGEXEXTRACT(F98,"\w?\w-J-\d{4}LI\d{2}")</f>
        <v>RM-J-1342LI26</v>
      </c>
      <c r="E98" t="s">
        <v>4195</v>
      </c>
      <c r="F98" t="s">
        <v>4192</v>
      </c>
      <c r="G98" t="s">
        <v>3919</v>
      </c>
      <c r="H98" t="s">
        <v>3569</v>
      </c>
      <c r="I98" t="s">
        <v>3752</v>
      </c>
      <c r="J98" t="s">
        <v>3753</v>
      </c>
      <c r="K98" t="s">
        <v>3752</v>
      </c>
      <c r="T98" t="s">
        <v>3920</v>
      </c>
      <c r="U98" t="s">
        <v>3573</v>
      </c>
      <c r="Y98" t="s">
        <v>3921</v>
      </c>
      <c r="Z98" t="s">
        <v>3575</v>
      </c>
      <c r="AA98" t="s">
        <v>3576</v>
      </c>
      <c r="AB98" t="s">
        <v>3576</v>
      </c>
      <c r="AC98" t="s">
        <v>3575</v>
      </c>
      <c r="AD98" t="s">
        <v>3922</v>
      </c>
      <c r="AE98" t="s">
        <v>3923</v>
      </c>
      <c r="AF98" t="s">
        <v>3583</v>
      </c>
      <c r="AG98" t="s">
        <v>3580</v>
      </c>
      <c r="AH98" t="s">
        <v>3581</v>
      </c>
      <c r="AI98" t="s">
        <v>3582</v>
      </c>
      <c r="AM98" t="s">
        <v>3924</v>
      </c>
      <c r="AN98" t="s">
        <v>3925</v>
      </c>
      <c r="AO98" t="s">
        <v>3926</v>
      </c>
      <c r="AP98" t="s">
        <v>3686</v>
      </c>
      <c r="AQ98" t="s">
        <v>4015</v>
      </c>
      <c r="AR98" t="s">
        <v>4016</v>
      </c>
      <c r="AS98" t="s">
        <v>4017</v>
      </c>
      <c r="AU98" t="s">
        <v>3929</v>
      </c>
      <c r="AV98" t="s">
        <v>3930</v>
      </c>
      <c r="AW98" t="s">
        <v>3931</v>
      </c>
      <c r="AX98" t="s">
        <v>3932</v>
      </c>
      <c r="AZ98">
        <v>53.524000000000001</v>
      </c>
      <c r="BA98">
        <v>118</v>
      </c>
      <c r="BB98" t="s">
        <v>3596</v>
      </c>
      <c r="BC98" s="36" t="s">
        <v>3937</v>
      </c>
      <c r="BE98" t="s">
        <v>3938</v>
      </c>
      <c r="BF98" t="s">
        <v>3939</v>
      </c>
      <c r="BG98" t="s">
        <v>3619</v>
      </c>
      <c r="BH98" t="s">
        <v>4022</v>
      </c>
      <c r="BL98" t="s">
        <v>3598</v>
      </c>
      <c r="BS98" t="str">
        <v>Inbound</v>
      </c>
      <c r="BT98" t="str">
        <v>Land</v>
      </c>
      <c r="BU98" t="str">
        <v>RM-J-1342LI26</v>
      </c>
      <c r="BV98" t="str">
        <v>Miscelaneus</v>
      </c>
      <c r="BW98" t="str">
        <v>VILROS RASPBERRY PI 4 8GB BASIC STARTER KIT WITH FAN COOLED HEAVY DUTY ALUMINUM ALLOY CASE (BLACK CA</v>
      </c>
      <c r="BX98">
        <v>53.524000000000001</v>
      </c>
      <c r="BY98" s="38">
        <f t="shared" si="4"/>
        <v>8.3298887439117991E-3</v>
      </c>
      <c r="BZ98" s="21">
        <f t="shared" si="5"/>
        <v>9.9958664926941587</v>
      </c>
    </row>
    <row r="99" spans="2:78" x14ac:dyDescent="0.35">
      <c r="B99" t="s">
        <v>4190</v>
      </c>
      <c r="C99" t="s">
        <v>262</v>
      </c>
      <c r="D99" t="str" cm="1">
        <f t="array" ref="D99">_xlfn.REGEXEXTRACT(F99,"\w?\w-J-\d{4}LI\d{2}")</f>
        <v>RM-J-1342LI26</v>
      </c>
      <c r="E99" t="s">
        <v>4195</v>
      </c>
      <c r="F99" t="s">
        <v>4192</v>
      </c>
      <c r="G99" t="s">
        <v>3919</v>
      </c>
      <c r="H99" t="s">
        <v>3569</v>
      </c>
      <c r="I99" t="s">
        <v>3752</v>
      </c>
      <c r="J99" t="s">
        <v>3753</v>
      </c>
      <c r="K99" t="s">
        <v>3752</v>
      </c>
      <c r="T99" t="s">
        <v>3920</v>
      </c>
      <c r="U99" t="s">
        <v>3573</v>
      </c>
      <c r="Y99" t="s">
        <v>3921</v>
      </c>
      <c r="Z99" t="s">
        <v>3575</v>
      </c>
      <c r="AA99" t="s">
        <v>3576</v>
      </c>
      <c r="AB99" t="s">
        <v>3576</v>
      </c>
      <c r="AC99" t="s">
        <v>3575</v>
      </c>
      <c r="AD99" t="s">
        <v>3922</v>
      </c>
      <c r="AE99" t="s">
        <v>3923</v>
      </c>
      <c r="AF99" t="s">
        <v>3583</v>
      </c>
      <c r="AG99" t="s">
        <v>3580</v>
      </c>
      <c r="AH99" t="s">
        <v>3581</v>
      </c>
      <c r="AI99" t="s">
        <v>3582</v>
      </c>
      <c r="AM99" t="s">
        <v>3924</v>
      </c>
      <c r="AN99" t="s">
        <v>3925</v>
      </c>
      <c r="AO99" t="s">
        <v>3926</v>
      </c>
      <c r="AP99" t="s">
        <v>3686</v>
      </c>
      <c r="AQ99" t="s">
        <v>4015</v>
      </c>
      <c r="AR99" t="s">
        <v>4016</v>
      </c>
      <c r="AS99" t="s">
        <v>4017</v>
      </c>
      <c r="AU99" t="s">
        <v>3929</v>
      </c>
      <c r="AV99" t="s">
        <v>3930</v>
      </c>
      <c r="AW99" t="s">
        <v>3931</v>
      </c>
      <c r="AX99" t="s">
        <v>3932</v>
      </c>
      <c r="AZ99">
        <v>53.524000000000001</v>
      </c>
      <c r="BA99">
        <v>118</v>
      </c>
      <c r="BB99" t="s">
        <v>3646</v>
      </c>
      <c r="BC99" s="36" t="s">
        <v>4023</v>
      </c>
      <c r="BE99" t="s">
        <v>4024</v>
      </c>
      <c r="BF99" t="s">
        <v>4025</v>
      </c>
      <c r="BG99" t="s">
        <v>3773</v>
      </c>
      <c r="BH99" t="s">
        <v>4026</v>
      </c>
      <c r="BL99" t="s">
        <v>3598</v>
      </c>
      <c r="BS99" t="str">
        <v>Inbound</v>
      </c>
      <c r="BT99" t="str">
        <v>Land</v>
      </c>
      <c r="BU99" t="str">
        <v>RM-J-1342LI26</v>
      </c>
      <c r="BV99" t="str">
        <v>Miscelaneus</v>
      </c>
      <c r="BW99" t="str">
        <v>HPMN 24V 10A 240W POWER SUPPLY AC/DC ADAPTER UNIVERSAL REGULATED SWITCHING AC 110-220V TO DC 24 VOLT</v>
      </c>
      <c r="BX99">
        <v>53.524000000000001</v>
      </c>
      <c r="BY99" s="38">
        <f t="shared" si="4"/>
        <v>8.3298887439117991E-3</v>
      </c>
      <c r="BZ99" s="21">
        <f t="shared" si="5"/>
        <v>9.9958664926941587</v>
      </c>
    </row>
    <row r="100" spans="2:78" x14ac:dyDescent="0.35">
      <c r="B100" t="s">
        <v>4190</v>
      </c>
      <c r="C100" t="s">
        <v>262</v>
      </c>
      <c r="D100" t="str" cm="1">
        <f t="array" ref="D100">_xlfn.REGEXEXTRACT(F100,"\w?\w-J-\d{4}LI\d{2}")</f>
        <v>RM-J-1342LI26</v>
      </c>
      <c r="E100" t="s">
        <v>4195</v>
      </c>
      <c r="F100" t="s">
        <v>4192</v>
      </c>
      <c r="G100" t="s">
        <v>3919</v>
      </c>
      <c r="H100" t="s">
        <v>3569</v>
      </c>
      <c r="I100" t="s">
        <v>3752</v>
      </c>
      <c r="J100" t="s">
        <v>3753</v>
      </c>
      <c r="K100" t="s">
        <v>3752</v>
      </c>
      <c r="T100" t="s">
        <v>3920</v>
      </c>
      <c r="U100" t="s">
        <v>3573</v>
      </c>
      <c r="Y100" t="s">
        <v>3921</v>
      </c>
      <c r="Z100" t="s">
        <v>3575</v>
      </c>
      <c r="AA100" t="s">
        <v>3576</v>
      </c>
      <c r="AB100" t="s">
        <v>3576</v>
      </c>
      <c r="AC100" t="s">
        <v>3575</v>
      </c>
      <c r="AD100" t="s">
        <v>3922</v>
      </c>
      <c r="AE100" t="s">
        <v>3923</v>
      </c>
      <c r="AF100" t="s">
        <v>3583</v>
      </c>
      <c r="AG100" t="s">
        <v>3580</v>
      </c>
      <c r="AH100" t="s">
        <v>3581</v>
      </c>
      <c r="AI100" t="s">
        <v>3582</v>
      </c>
      <c r="AM100" t="s">
        <v>3924</v>
      </c>
      <c r="AN100" t="s">
        <v>3925</v>
      </c>
      <c r="AO100" t="s">
        <v>3926</v>
      </c>
      <c r="AP100" t="s">
        <v>3686</v>
      </c>
      <c r="AQ100" t="s">
        <v>4015</v>
      </c>
      <c r="AR100" t="s">
        <v>4016</v>
      </c>
      <c r="AS100" t="s">
        <v>4017</v>
      </c>
      <c r="AU100" t="s">
        <v>3929</v>
      </c>
      <c r="AV100" t="s">
        <v>3930</v>
      </c>
      <c r="AW100" t="s">
        <v>3931</v>
      </c>
      <c r="AX100" t="s">
        <v>3932</v>
      </c>
      <c r="AZ100">
        <v>53.524000000000001</v>
      </c>
      <c r="BA100">
        <v>118</v>
      </c>
      <c r="BB100" t="s">
        <v>3579</v>
      </c>
      <c r="BC100" s="36" t="s">
        <v>3985</v>
      </c>
      <c r="BE100" t="s">
        <v>3966</v>
      </c>
      <c r="BF100" t="s">
        <v>3986</v>
      </c>
      <c r="BG100" t="s">
        <v>3599</v>
      </c>
      <c r="BH100" t="s">
        <v>3993</v>
      </c>
      <c r="BL100" t="s">
        <v>3598</v>
      </c>
      <c r="BS100" t="str">
        <v>Inbound</v>
      </c>
      <c r="BT100" t="str">
        <v>Land</v>
      </c>
      <c r="BU100" t="str">
        <v>RM-J-1342LI26</v>
      </c>
      <c r="BV100" t="str">
        <v>Miscelaneus</v>
      </c>
      <c r="BW100" t="str">
        <v>GEEEKPI 7-INCH SCREEN FOR RASPBERRY PI, 1024X600 IPS LCD DISPLAY, HDMI PORTABLE MONITOR FOR PI 5/4B/</v>
      </c>
      <c r="BX100">
        <v>53.524000000000001</v>
      </c>
      <c r="BY100" s="38">
        <f t="shared" si="4"/>
        <v>8.3298887439117991E-3</v>
      </c>
      <c r="BZ100" s="21">
        <f t="shared" si="5"/>
        <v>9.9958664926941587</v>
      </c>
    </row>
    <row r="101" spans="2:78" x14ac:dyDescent="0.35">
      <c r="B101" t="s">
        <v>4190</v>
      </c>
      <c r="C101" t="s">
        <v>262</v>
      </c>
      <c r="D101" t="str" cm="1">
        <f t="array" ref="D101">_xlfn.REGEXEXTRACT(F101,"\w?\w-J-\d{4}LI\d{2}")</f>
        <v>RM-J-1342LI26</v>
      </c>
      <c r="E101" t="s">
        <v>4195</v>
      </c>
      <c r="F101" t="s">
        <v>4192</v>
      </c>
      <c r="G101" t="s">
        <v>3919</v>
      </c>
      <c r="H101" t="s">
        <v>3569</v>
      </c>
      <c r="I101" t="s">
        <v>3752</v>
      </c>
      <c r="J101" t="s">
        <v>3753</v>
      </c>
      <c r="K101" t="s">
        <v>3752</v>
      </c>
      <c r="T101" t="s">
        <v>3920</v>
      </c>
      <c r="U101" t="s">
        <v>3573</v>
      </c>
      <c r="Y101" t="s">
        <v>3921</v>
      </c>
      <c r="Z101" t="s">
        <v>3575</v>
      </c>
      <c r="AA101" t="s">
        <v>3576</v>
      </c>
      <c r="AB101" t="s">
        <v>3576</v>
      </c>
      <c r="AC101" t="s">
        <v>3575</v>
      </c>
      <c r="AD101" t="s">
        <v>3922</v>
      </c>
      <c r="AE101" t="s">
        <v>3923</v>
      </c>
      <c r="AF101" t="s">
        <v>3583</v>
      </c>
      <c r="AG101" t="s">
        <v>3580</v>
      </c>
      <c r="AH101" t="s">
        <v>3581</v>
      </c>
      <c r="AI101" t="s">
        <v>3582</v>
      </c>
      <c r="AM101" t="s">
        <v>3924</v>
      </c>
      <c r="AN101" t="s">
        <v>3925</v>
      </c>
      <c r="AO101" t="s">
        <v>3926</v>
      </c>
      <c r="AP101" t="s">
        <v>3686</v>
      </c>
      <c r="AQ101" t="s">
        <v>4015</v>
      </c>
      <c r="AR101" t="s">
        <v>4016</v>
      </c>
      <c r="AS101" t="s">
        <v>4017</v>
      </c>
      <c r="AU101" t="s">
        <v>3929</v>
      </c>
      <c r="AV101" t="s">
        <v>3930</v>
      </c>
      <c r="AW101" t="s">
        <v>3931</v>
      </c>
      <c r="AX101" t="s">
        <v>3932</v>
      </c>
      <c r="AZ101">
        <v>53.524000000000001</v>
      </c>
      <c r="BA101">
        <v>118</v>
      </c>
      <c r="BB101" t="s">
        <v>3663</v>
      </c>
      <c r="BC101" s="36" t="s">
        <v>3985</v>
      </c>
      <c r="BE101" t="s">
        <v>3966</v>
      </c>
      <c r="BF101" t="s">
        <v>3986</v>
      </c>
      <c r="BG101" t="s">
        <v>3599</v>
      </c>
      <c r="BH101" t="s">
        <v>3993</v>
      </c>
      <c r="BL101" t="s">
        <v>3598</v>
      </c>
      <c r="BS101" t="str">
        <v>Inbound</v>
      </c>
      <c r="BT101" t="str">
        <v>Land</v>
      </c>
      <c r="BU101" t="str">
        <v>RM-J-1342LI26</v>
      </c>
      <c r="BV101" t="str">
        <v>Miscelaneus</v>
      </c>
      <c r="BW101" t="str">
        <v>FFR-FLAT6.6</v>
      </c>
      <c r="BX101">
        <v>53.524000000000001</v>
      </c>
      <c r="BY101" s="38">
        <f t="shared" si="4"/>
        <v>8.3298887439117991E-3</v>
      </c>
      <c r="BZ101" s="21">
        <f t="shared" si="5"/>
        <v>9.9958664926941587</v>
      </c>
    </row>
    <row r="102" spans="2:78" x14ac:dyDescent="0.35">
      <c r="B102" t="s">
        <v>4190</v>
      </c>
      <c r="C102" t="s">
        <v>262</v>
      </c>
      <c r="D102" t="str" cm="1">
        <f t="array" ref="D102">_xlfn.REGEXEXTRACT(F102,"\w?\w-J-\d{4}LI\d{2}")</f>
        <v>RM-J-1342LI26</v>
      </c>
      <c r="E102" t="s">
        <v>4195</v>
      </c>
      <c r="F102" t="s">
        <v>4192</v>
      </c>
      <c r="G102" t="s">
        <v>3919</v>
      </c>
      <c r="H102" t="s">
        <v>3569</v>
      </c>
      <c r="I102" t="s">
        <v>3752</v>
      </c>
      <c r="J102" t="s">
        <v>3753</v>
      </c>
      <c r="K102" t="s">
        <v>3752</v>
      </c>
      <c r="T102" t="s">
        <v>3920</v>
      </c>
      <c r="U102" t="s">
        <v>3573</v>
      </c>
      <c r="Y102" t="s">
        <v>3921</v>
      </c>
      <c r="Z102" t="s">
        <v>3575</v>
      </c>
      <c r="AA102" t="s">
        <v>3576</v>
      </c>
      <c r="AB102" t="s">
        <v>3576</v>
      </c>
      <c r="AC102" t="s">
        <v>3575</v>
      </c>
      <c r="AD102" t="s">
        <v>3922</v>
      </c>
      <c r="AE102" t="s">
        <v>3923</v>
      </c>
      <c r="AF102" t="s">
        <v>3583</v>
      </c>
      <c r="AG102" t="s">
        <v>3580</v>
      </c>
      <c r="AH102" t="s">
        <v>3581</v>
      </c>
      <c r="AI102" t="s">
        <v>3582</v>
      </c>
      <c r="AM102" t="s">
        <v>3924</v>
      </c>
      <c r="AN102" t="s">
        <v>3925</v>
      </c>
      <c r="AO102" t="s">
        <v>3926</v>
      </c>
      <c r="AP102" t="s">
        <v>3686</v>
      </c>
      <c r="AQ102" t="s">
        <v>4015</v>
      </c>
      <c r="AR102" t="s">
        <v>4016</v>
      </c>
      <c r="AS102" t="s">
        <v>4017</v>
      </c>
      <c r="AU102" t="s">
        <v>3929</v>
      </c>
      <c r="AV102" t="s">
        <v>3930</v>
      </c>
      <c r="AW102" t="s">
        <v>3931</v>
      </c>
      <c r="AX102" t="s">
        <v>3932</v>
      </c>
      <c r="AZ102">
        <v>53.524000000000001</v>
      </c>
      <c r="BA102">
        <v>118</v>
      </c>
      <c r="BB102" t="s">
        <v>3677</v>
      </c>
      <c r="BC102" s="36" t="s">
        <v>3997</v>
      </c>
      <c r="BE102" t="s">
        <v>3977</v>
      </c>
      <c r="BF102" t="s">
        <v>3998</v>
      </c>
      <c r="BG102" t="s">
        <v>3583</v>
      </c>
      <c r="BH102" t="s">
        <v>4027</v>
      </c>
      <c r="BL102" t="s">
        <v>3598</v>
      </c>
      <c r="BS102" t="str">
        <v>Inbound</v>
      </c>
      <c r="BT102" t="str">
        <v>Land</v>
      </c>
      <c r="BU102" t="str">
        <v>RM-J-1342LI26</v>
      </c>
      <c r="BV102" t="str">
        <v>Miscelaneus</v>
      </c>
      <c r="BW102" t="str">
        <v>FFR-FLAT6.6</v>
      </c>
      <c r="BX102">
        <v>53.524000000000001</v>
      </c>
      <c r="BY102" s="38">
        <f t="shared" si="4"/>
        <v>8.3298887439117991E-3</v>
      </c>
      <c r="BZ102" s="21">
        <f t="shared" si="5"/>
        <v>9.9958664926941587</v>
      </c>
    </row>
    <row r="103" spans="2:78" x14ac:dyDescent="0.35">
      <c r="B103" t="s">
        <v>4190</v>
      </c>
      <c r="C103" t="s">
        <v>262</v>
      </c>
      <c r="D103" t="str" cm="1">
        <f t="array" ref="D103">_xlfn.REGEXEXTRACT(F103,"\w?\w-J-\d{4}LI\d{2}")</f>
        <v>RM-J-1342LI26</v>
      </c>
      <c r="E103" t="s">
        <v>4195</v>
      </c>
      <c r="F103" t="s">
        <v>4192</v>
      </c>
      <c r="G103" t="s">
        <v>3919</v>
      </c>
      <c r="H103" t="s">
        <v>3569</v>
      </c>
      <c r="I103" t="s">
        <v>3752</v>
      </c>
      <c r="J103" t="s">
        <v>3753</v>
      </c>
      <c r="K103" t="s">
        <v>3752</v>
      </c>
      <c r="T103" t="s">
        <v>3920</v>
      </c>
      <c r="U103" t="s">
        <v>3573</v>
      </c>
      <c r="Y103" t="s">
        <v>3921</v>
      </c>
      <c r="Z103" t="s">
        <v>3575</v>
      </c>
      <c r="AA103" t="s">
        <v>3576</v>
      </c>
      <c r="AB103" t="s">
        <v>3576</v>
      </c>
      <c r="AC103" t="s">
        <v>3575</v>
      </c>
      <c r="AD103" t="s">
        <v>3922</v>
      </c>
      <c r="AE103" t="s">
        <v>3923</v>
      </c>
      <c r="AF103" t="s">
        <v>3583</v>
      </c>
      <c r="AG103" t="s">
        <v>3580</v>
      </c>
      <c r="AH103" t="s">
        <v>3581</v>
      </c>
      <c r="AI103" t="s">
        <v>3582</v>
      </c>
      <c r="AM103" t="s">
        <v>3924</v>
      </c>
      <c r="AN103" t="s">
        <v>3925</v>
      </c>
      <c r="AO103" t="s">
        <v>3926</v>
      </c>
      <c r="AP103" t="s">
        <v>3686</v>
      </c>
      <c r="AQ103" t="s">
        <v>4015</v>
      </c>
      <c r="AR103" t="s">
        <v>4016</v>
      </c>
      <c r="AS103" t="s">
        <v>4017</v>
      </c>
      <c r="AU103" t="s">
        <v>3929</v>
      </c>
      <c r="AV103" t="s">
        <v>3930</v>
      </c>
      <c r="AW103" t="s">
        <v>3931</v>
      </c>
      <c r="AX103" t="s">
        <v>3932</v>
      </c>
      <c r="AZ103">
        <v>53.524000000000001</v>
      </c>
      <c r="BA103">
        <v>118</v>
      </c>
      <c r="BB103" t="s">
        <v>3605</v>
      </c>
      <c r="BC103" s="36" t="s">
        <v>3953</v>
      </c>
      <c r="BE103" t="s">
        <v>3954</v>
      </c>
      <c r="BF103" t="s">
        <v>3955</v>
      </c>
      <c r="BG103" t="s">
        <v>3583</v>
      </c>
      <c r="BH103" t="s">
        <v>3956</v>
      </c>
      <c r="BL103" t="s">
        <v>3598</v>
      </c>
      <c r="BS103" t="str">
        <v>Inbound</v>
      </c>
      <c r="BT103" t="str">
        <v>Land</v>
      </c>
      <c r="BU103" t="str">
        <v>RM-J-1342LI26</v>
      </c>
      <c r="BV103" t="str">
        <v>Miscelaneus</v>
      </c>
      <c r="BW103" t="str">
        <v>ARDU6-25</v>
      </c>
      <c r="BX103">
        <v>53.524000000000001</v>
      </c>
      <c r="BY103" s="38">
        <f t="shared" si="4"/>
        <v>8.3298887439117991E-3</v>
      </c>
      <c r="BZ103" s="21">
        <f t="shared" si="5"/>
        <v>9.9958664926941587</v>
      </c>
    </row>
    <row r="104" spans="2:78" x14ac:dyDescent="0.35">
      <c r="B104" t="s">
        <v>4190</v>
      </c>
      <c r="C104" t="s">
        <v>262</v>
      </c>
      <c r="D104" t="str" cm="1">
        <f t="array" ref="D104">_xlfn.REGEXEXTRACT(F104,"\w?\w-J-\d{4}LI\d{2}")</f>
        <v>RM-J-1342LI26</v>
      </c>
      <c r="E104" t="s">
        <v>4195</v>
      </c>
      <c r="F104" t="s">
        <v>4192</v>
      </c>
      <c r="G104" t="s">
        <v>3919</v>
      </c>
      <c r="H104" t="s">
        <v>3569</v>
      </c>
      <c r="I104" t="s">
        <v>3752</v>
      </c>
      <c r="J104" t="s">
        <v>3753</v>
      </c>
      <c r="K104" t="s">
        <v>3752</v>
      </c>
      <c r="T104" t="s">
        <v>3920</v>
      </c>
      <c r="U104" t="s">
        <v>3573</v>
      </c>
      <c r="Y104" t="s">
        <v>3921</v>
      </c>
      <c r="Z104" t="s">
        <v>3575</v>
      </c>
      <c r="AA104" t="s">
        <v>3576</v>
      </c>
      <c r="AB104" t="s">
        <v>3576</v>
      </c>
      <c r="AC104" t="s">
        <v>3575</v>
      </c>
      <c r="AD104" t="s">
        <v>3922</v>
      </c>
      <c r="AE104" t="s">
        <v>3923</v>
      </c>
      <c r="AF104" t="s">
        <v>3583</v>
      </c>
      <c r="AG104" t="s">
        <v>3580</v>
      </c>
      <c r="AH104" t="s">
        <v>3581</v>
      </c>
      <c r="AI104" t="s">
        <v>3582</v>
      </c>
      <c r="AM104" t="s">
        <v>3924</v>
      </c>
      <c r="AN104" t="s">
        <v>3925</v>
      </c>
      <c r="AO104" t="s">
        <v>3926</v>
      </c>
      <c r="AP104" t="s">
        <v>3686</v>
      </c>
      <c r="AQ104" t="s">
        <v>4015</v>
      </c>
      <c r="AR104" t="s">
        <v>4016</v>
      </c>
      <c r="AS104" t="s">
        <v>4017</v>
      </c>
      <c r="AU104" t="s">
        <v>3929</v>
      </c>
      <c r="AV104" t="s">
        <v>3930</v>
      </c>
      <c r="AW104" t="s">
        <v>3931</v>
      </c>
      <c r="AX104" t="s">
        <v>3932</v>
      </c>
      <c r="AZ104">
        <v>53.524000000000001</v>
      </c>
      <c r="BA104">
        <v>118</v>
      </c>
      <c r="BB104" t="s">
        <v>3619</v>
      </c>
      <c r="BC104" s="36" t="s">
        <v>3957</v>
      </c>
      <c r="BE104" t="s">
        <v>3954</v>
      </c>
      <c r="BF104" t="s">
        <v>3955</v>
      </c>
      <c r="BG104" t="s">
        <v>3583</v>
      </c>
      <c r="BH104" t="s">
        <v>3958</v>
      </c>
      <c r="BL104" t="s">
        <v>3598</v>
      </c>
      <c r="BS104" t="str">
        <v>Inbound</v>
      </c>
      <c r="BT104" t="str">
        <v>Land</v>
      </c>
      <c r="BU104" t="str">
        <v>RM-J-1342LI26</v>
      </c>
      <c r="BV104" t="str">
        <v>Miscelaneus</v>
      </c>
      <c r="BW104" t="str">
        <v>ARDUCAM FOR RASPBERRY PI HQ CAMERA MODULE,12.3MP IMX477 RASPBERRY PI CAMERA FOR RASPBERRY PI5/4B/3B+</v>
      </c>
      <c r="BX104">
        <v>53.524000000000001</v>
      </c>
      <c r="BY104" s="38">
        <f t="shared" si="4"/>
        <v>8.3298887439117991E-3</v>
      </c>
      <c r="BZ104" s="21">
        <f t="shared" si="5"/>
        <v>9.9958664926941587</v>
      </c>
    </row>
    <row r="105" spans="2:78" x14ac:dyDescent="0.35">
      <c r="B105" t="s">
        <v>4190</v>
      </c>
      <c r="C105" t="s">
        <v>262</v>
      </c>
      <c r="D105" t="str" cm="1">
        <f t="array" ref="D105">_xlfn.REGEXEXTRACT(F105,"\w?\w-J-\d{4}LI\d{2}")</f>
        <v>RM-J-1342LI26</v>
      </c>
      <c r="E105" t="s">
        <v>4195</v>
      </c>
      <c r="F105" t="s">
        <v>4192</v>
      </c>
      <c r="G105" t="s">
        <v>3919</v>
      </c>
      <c r="H105" t="s">
        <v>3569</v>
      </c>
      <c r="I105" t="s">
        <v>3752</v>
      </c>
      <c r="J105" t="s">
        <v>3753</v>
      </c>
      <c r="K105" t="s">
        <v>3752</v>
      </c>
      <c r="T105" t="s">
        <v>3920</v>
      </c>
      <c r="U105" t="s">
        <v>3573</v>
      </c>
      <c r="Y105" t="s">
        <v>3921</v>
      </c>
      <c r="Z105" t="s">
        <v>3575</v>
      </c>
      <c r="AA105" t="s">
        <v>3576</v>
      </c>
      <c r="AB105" t="s">
        <v>3576</v>
      </c>
      <c r="AC105" t="s">
        <v>3575</v>
      </c>
      <c r="AD105" t="s">
        <v>3922</v>
      </c>
      <c r="AE105" t="s">
        <v>3923</v>
      </c>
      <c r="AF105" t="s">
        <v>3583</v>
      </c>
      <c r="AG105" t="s">
        <v>3580</v>
      </c>
      <c r="AH105" t="s">
        <v>3581</v>
      </c>
      <c r="AI105" t="s">
        <v>3582</v>
      </c>
      <c r="AM105" t="s">
        <v>3924</v>
      </c>
      <c r="AN105" t="s">
        <v>3925</v>
      </c>
      <c r="AO105" t="s">
        <v>3926</v>
      </c>
      <c r="AP105" t="s">
        <v>3686</v>
      </c>
      <c r="AQ105" t="s">
        <v>4015</v>
      </c>
      <c r="AR105" t="s">
        <v>4016</v>
      </c>
      <c r="AS105" t="s">
        <v>4017</v>
      </c>
      <c r="AU105" t="s">
        <v>3929</v>
      </c>
      <c r="AV105" t="s">
        <v>3930</v>
      </c>
      <c r="AW105" t="s">
        <v>3931</v>
      </c>
      <c r="AX105" t="s">
        <v>3932</v>
      </c>
      <c r="AZ105">
        <v>53.524000000000001</v>
      </c>
      <c r="BA105">
        <v>118</v>
      </c>
      <c r="BB105" t="s">
        <v>3773</v>
      </c>
      <c r="BC105" s="36" t="s">
        <v>3959</v>
      </c>
      <c r="BE105" t="s">
        <v>3954</v>
      </c>
      <c r="BF105" t="s">
        <v>3955</v>
      </c>
      <c r="BG105" t="s">
        <v>3599</v>
      </c>
      <c r="BH105" t="s">
        <v>3961</v>
      </c>
      <c r="BL105" t="s">
        <v>3598</v>
      </c>
      <c r="BS105" t="str">
        <v>Inbound</v>
      </c>
      <c r="BT105" t="str">
        <v>Land</v>
      </c>
      <c r="BU105" t="str">
        <v>RM-J-1342LI26</v>
      </c>
      <c r="BV105" t="str">
        <v>Miscelaneus</v>
      </c>
      <c r="BW105" t="str">
        <v>ARDUCAM 2.8-12MM VARIFOCAL C-MOUNT LENS FOR RASPBERRY PI HQ CAMERA, WITH C-CS ADAPTER, INDUSTRIAL TE</v>
      </c>
      <c r="BX105">
        <v>53.524000000000001</v>
      </c>
      <c r="BY105" s="38">
        <f t="shared" si="4"/>
        <v>8.3298887439117991E-3</v>
      </c>
      <c r="BZ105" s="21">
        <f t="shared" si="5"/>
        <v>9.9958664926941587</v>
      </c>
    </row>
    <row r="106" spans="2:78" x14ac:dyDescent="0.35">
      <c r="B106" t="s">
        <v>4190</v>
      </c>
      <c r="C106" t="s">
        <v>262</v>
      </c>
      <c r="D106" t="str" cm="1">
        <f t="array" ref="D106">_xlfn.REGEXEXTRACT(F106,"\w?\w-J-\d{4}LI\d{2}")</f>
        <v>RM-J-1342LI26</v>
      </c>
      <c r="E106" t="s">
        <v>4195</v>
      </c>
      <c r="F106" t="s">
        <v>4192</v>
      </c>
      <c r="G106" t="s">
        <v>3919</v>
      </c>
      <c r="H106" t="s">
        <v>3569</v>
      </c>
      <c r="I106" t="s">
        <v>3752</v>
      </c>
      <c r="J106" t="s">
        <v>3753</v>
      </c>
      <c r="K106" t="s">
        <v>3752</v>
      </c>
      <c r="T106" t="s">
        <v>3920</v>
      </c>
      <c r="U106" t="s">
        <v>3573</v>
      </c>
      <c r="Y106" t="s">
        <v>3921</v>
      </c>
      <c r="Z106" t="s">
        <v>3575</v>
      </c>
      <c r="AA106" t="s">
        <v>3576</v>
      </c>
      <c r="AB106" t="s">
        <v>3576</v>
      </c>
      <c r="AC106" t="s">
        <v>3575</v>
      </c>
      <c r="AD106" t="s">
        <v>3922</v>
      </c>
      <c r="AE106" t="s">
        <v>3923</v>
      </c>
      <c r="AF106" t="s">
        <v>3583</v>
      </c>
      <c r="AG106" t="s">
        <v>3580</v>
      </c>
      <c r="AH106" t="s">
        <v>3581</v>
      </c>
      <c r="AI106" t="s">
        <v>3582</v>
      </c>
      <c r="AM106" t="s">
        <v>3924</v>
      </c>
      <c r="AN106" t="s">
        <v>3925</v>
      </c>
      <c r="AO106" t="s">
        <v>3926</v>
      </c>
      <c r="AP106" t="s">
        <v>3686</v>
      </c>
      <c r="AQ106" t="s">
        <v>4015</v>
      </c>
      <c r="AR106" t="s">
        <v>4016</v>
      </c>
      <c r="AS106" t="s">
        <v>4017</v>
      </c>
      <c r="AU106" t="s">
        <v>3929</v>
      </c>
      <c r="AV106" t="s">
        <v>3930</v>
      </c>
      <c r="AW106" t="s">
        <v>3931</v>
      </c>
      <c r="AX106" t="s">
        <v>3932</v>
      </c>
      <c r="AZ106">
        <v>53.524000000000001</v>
      </c>
      <c r="BA106">
        <v>118</v>
      </c>
      <c r="BB106" t="s">
        <v>3816</v>
      </c>
      <c r="BC106" s="36" t="s">
        <v>3965</v>
      </c>
      <c r="BE106" t="s">
        <v>3966</v>
      </c>
      <c r="BF106" t="s">
        <v>3967</v>
      </c>
      <c r="BG106" t="s">
        <v>3583</v>
      </c>
      <c r="BH106" t="s">
        <v>3968</v>
      </c>
      <c r="BL106" t="s">
        <v>3598</v>
      </c>
      <c r="BS106" t="str">
        <v>Inbound</v>
      </c>
      <c r="BT106" t="str">
        <v>Land</v>
      </c>
      <c r="BU106" t="str">
        <v>RM-J-1342LI26</v>
      </c>
      <c r="BV106" t="str">
        <v>Miscelaneus</v>
      </c>
      <c r="BW106" t="str">
        <v>ARDUCAM IMX477 PI HQ CAMERA FOR RASPBERRY PI 5, COMES WITH A 1/2.3 6MM FOCAL LENGTH CS LENS, WIDELY</v>
      </c>
      <c r="BX106">
        <v>53.524000000000001</v>
      </c>
      <c r="BY106" s="38">
        <f t="shared" si="4"/>
        <v>8.3298887439117991E-3</v>
      </c>
      <c r="BZ106" s="21">
        <f t="shared" si="5"/>
        <v>9.9958664926941587</v>
      </c>
    </row>
    <row r="107" spans="2:78" x14ac:dyDescent="0.35">
      <c r="B107" t="s">
        <v>4190</v>
      </c>
      <c r="C107" t="s">
        <v>262</v>
      </c>
      <c r="D107" t="str" cm="1">
        <f t="array" ref="D107">_xlfn.REGEXEXTRACT(F107,"\w?\w-J-\d{4}LI\d{2}")</f>
        <v>RM-J-1342LI26</v>
      </c>
      <c r="E107" t="s">
        <v>4195</v>
      </c>
      <c r="F107" t="s">
        <v>4192</v>
      </c>
      <c r="G107" t="s">
        <v>3919</v>
      </c>
      <c r="H107" t="s">
        <v>3569</v>
      </c>
      <c r="I107" t="s">
        <v>3752</v>
      </c>
      <c r="J107" t="s">
        <v>3753</v>
      </c>
      <c r="K107" t="s">
        <v>3752</v>
      </c>
      <c r="T107" t="s">
        <v>3920</v>
      </c>
      <c r="U107" t="s">
        <v>3573</v>
      </c>
      <c r="Y107" t="s">
        <v>3921</v>
      </c>
      <c r="Z107" t="s">
        <v>3575</v>
      </c>
      <c r="AA107" t="s">
        <v>3576</v>
      </c>
      <c r="AB107" t="s">
        <v>3576</v>
      </c>
      <c r="AC107" t="s">
        <v>3575</v>
      </c>
      <c r="AD107" t="s">
        <v>3922</v>
      </c>
      <c r="AE107" t="s">
        <v>3923</v>
      </c>
      <c r="AF107" t="s">
        <v>3583</v>
      </c>
      <c r="AG107" t="s">
        <v>3580</v>
      </c>
      <c r="AH107" t="s">
        <v>3581</v>
      </c>
      <c r="AI107" t="s">
        <v>3582</v>
      </c>
      <c r="AM107" t="s">
        <v>3924</v>
      </c>
      <c r="AN107" t="s">
        <v>3925</v>
      </c>
      <c r="AO107" t="s">
        <v>3926</v>
      </c>
      <c r="AP107" t="s">
        <v>3686</v>
      </c>
      <c r="AQ107" t="s">
        <v>4015</v>
      </c>
      <c r="AR107" t="s">
        <v>4016</v>
      </c>
      <c r="AS107" t="s">
        <v>4017</v>
      </c>
      <c r="AU107" t="s">
        <v>3929</v>
      </c>
      <c r="AV107" t="s">
        <v>3930</v>
      </c>
      <c r="AW107" t="s">
        <v>3931</v>
      </c>
      <c r="AX107" t="s">
        <v>3932</v>
      </c>
      <c r="AZ107">
        <v>53.524000000000001</v>
      </c>
      <c r="BA107">
        <v>118</v>
      </c>
      <c r="BB107" t="s">
        <v>3962</v>
      </c>
      <c r="BC107" s="36" t="s">
        <v>3970</v>
      </c>
      <c r="BE107" t="s">
        <v>3971</v>
      </c>
      <c r="BF107" t="s">
        <v>3972</v>
      </c>
      <c r="BG107" t="s">
        <v>3599</v>
      </c>
      <c r="BH107" t="s">
        <v>4028</v>
      </c>
      <c r="BL107" t="s">
        <v>3598</v>
      </c>
      <c r="BS107" t="str">
        <v>Inbound</v>
      </c>
      <c r="BT107" t="str">
        <v>Land</v>
      </c>
      <c r="BU107" t="str">
        <v>RM-J-1342LI26</v>
      </c>
      <c r="BV107" t="str">
        <v>Miscelaneus</v>
      </c>
      <c r="BW107" t="str">
        <v>3PCS 15 PIN 30CM 50CM 100CM FFC RIBBON FLEXIBLE FLAT CABLE FOR CAMERA PI CAMERA CABLE LONG EXTENSION</v>
      </c>
      <c r="BX107">
        <v>53.524000000000001</v>
      </c>
      <c r="BY107" s="38">
        <f t="shared" si="4"/>
        <v>8.3298887439117991E-3</v>
      </c>
      <c r="BZ107" s="21">
        <f t="shared" si="5"/>
        <v>9.9958664926941587</v>
      </c>
    </row>
    <row r="108" spans="2:78" x14ac:dyDescent="0.35">
      <c r="B108" t="s">
        <v>4190</v>
      </c>
      <c r="C108" t="s">
        <v>262</v>
      </c>
      <c r="D108" t="str" cm="1">
        <f t="array" ref="D108">_xlfn.REGEXEXTRACT(F108,"\w?\w-J-\d{4}LI\d{2}")</f>
        <v>RM-J-1342LI26</v>
      </c>
      <c r="E108" t="s">
        <v>4195</v>
      </c>
      <c r="F108" t="s">
        <v>4192</v>
      </c>
      <c r="G108" t="s">
        <v>3919</v>
      </c>
      <c r="H108" t="s">
        <v>3569</v>
      </c>
      <c r="I108" t="s">
        <v>3752</v>
      </c>
      <c r="J108" t="s">
        <v>3753</v>
      </c>
      <c r="K108" t="s">
        <v>3752</v>
      </c>
      <c r="T108" t="s">
        <v>3920</v>
      </c>
      <c r="U108" t="s">
        <v>3573</v>
      </c>
      <c r="Y108" t="s">
        <v>3921</v>
      </c>
      <c r="Z108" t="s">
        <v>3575</v>
      </c>
      <c r="AA108" t="s">
        <v>3576</v>
      </c>
      <c r="AB108" t="s">
        <v>3576</v>
      </c>
      <c r="AC108" t="s">
        <v>3575</v>
      </c>
      <c r="AD108" t="s">
        <v>3922</v>
      </c>
      <c r="AE108" t="s">
        <v>3923</v>
      </c>
      <c r="AF108" t="s">
        <v>3583</v>
      </c>
      <c r="AG108" t="s">
        <v>3580</v>
      </c>
      <c r="AH108" t="s">
        <v>3581</v>
      </c>
      <c r="AI108" t="s">
        <v>3582</v>
      </c>
      <c r="AM108" t="s">
        <v>3924</v>
      </c>
      <c r="AN108" t="s">
        <v>3925</v>
      </c>
      <c r="AO108" t="s">
        <v>3926</v>
      </c>
      <c r="AP108" t="s">
        <v>3686</v>
      </c>
      <c r="AQ108" t="s">
        <v>4029</v>
      </c>
      <c r="AR108" t="s">
        <v>4030</v>
      </c>
      <c r="AS108" t="s">
        <v>4031</v>
      </c>
      <c r="AU108" t="s">
        <v>3929</v>
      </c>
      <c r="AV108" t="s">
        <v>3930</v>
      </c>
      <c r="AW108" t="s">
        <v>3931</v>
      </c>
      <c r="AX108" t="s">
        <v>3932</v>
      </c>
      <c r="AZ108">
        <v>53.524000000000001</v>
      </c>
      <c r="BA108">
        <v>118</v>
      </c>
      <c r="BB108" t="s">
        <v>3583</v>
      </c>
      <c r="BC108" s="36" t="s">
        <v>4023</v>
      </c>
      <c r="BE108" t="s">
        <v>4024</v>
      </c>
      <c r="BF108" t="s">
        <v>4025</v>
      </c>
      <c r="BG108" t="s">
        <v>3583</v>
      </c>
      <c r="BH108" t="s">
        <v>4032</v>
      </c>
      <c r="BL108" t="s">
        <v>3598</v>
      </c>
      <c r="BS108" t="str">
        <v>Inbound</v>
      </c>
      <c r="BT108" t="str">
        <v>Land</v>
      </c>
      <c r="BU108" t="str">
        <v>RM-J-1342LI26</v>
      </c>
      <c r="BV108" t="str">
        <v>Miscelaneus</v>
      </c>
      <c r="BW108" t="str">
        <v>SEEED STUDIO CORAL USB ACCELERATOR ACCELERATOR COPROCESSOR FOR RASPBERRY PI AND OTHER EMBEDDED SINGL</v>
      </c>
      <c r="BX108">
        <v>53.524000000000001</v>
      </c>
      <c r="BY108" s="38">
        <f t="shared" si="4"/>
        <v>8.3298887439117991E-3</v>
      </c>
      <c r="BZ108" s="21">
        <f t="shared" si="5"/>
        <v>9.9958664926941587</v>
      </c>
    </row>
    <row r="109" spans="2:78" x14ac:dyDescent="0.35">
      <c r="B109" t="s">
        <v>4190</v>
      </c>
      <c r="C109" t="s">
        <v>262</v>
      </c>
      <c r="D109" t="str" cm="1">
        <f t="array" ref="D109">_xlfn.REGEXEXTRACT(F109,"\w?\w-J-\d{4}LI\d{2}")</f>
        <v>RM-J-1342LI26</v>
      </c>
      <c r="E109" t="s">
        <v>4195</v>
      </c>
      <c r="F109" t="s">
        <v>4192</v>
      </c>
      <c r="G109" t="s">
        <v>3919</v>
      </c>
      <c r="H109" t="s">
        <v>3569</v>
      </c>
      <c r="I109" t="s">
        <v>3752</v>
      </c>
      <c r="J109" t="s">
        <v>3753</v>
      </c>
      <c r="K109" t="s">
        <v>3752</v>
      </c>
      <c r="T109" t="s">
        <v>3920</v>
      </c>
      <c r="U109" t="s">
        <v>3573</v>
      </c>
      <c r="Y109" t="s">
        <v>3921</v>
      </c>
      <c r="Z109" t="s">
        <v>3575</v>
      </c>
      <c r="AA109" t="s">
        <v>3576</v>
      </c>
      <c r="AB109" t="s">
        <v>3576</v>
      </c>
      <c r="AC109" t="s">
        <v>3575</v>
      </c>
      <c r="AD109" t="s">
        <v>3922</v>
      </c>
      <c r="AE109" t="s">
        <v>3923</v>
      </c>
      <c r="AF109" t="s">
        <v>3583</v>
      </c>
      <c r="AG109" t="s">
        <v>3580</v>
      </c>
      <c r="AH109" t="s">
        <v>3581</v>
      </c>
      <c r="AI109" t="s">
        <v>3582</v>
      </c>
      <c r="AM109" t="s">
        <v>3924</v>
      </c>
      <c r="AN109" t="s">
        <v>3925</v>
      </c>
      <c r="AO109" t="s">
        <v>3926</v>
      </c>
      <c r="AP109" t="s">
        <v>3686</v>
      </c>
      <c r="AQ109" t="s">
        <v>4029</v>
      </c>
      <c r="AR109" t="s">
        <v>4030</v>
      </c>
      <c r="AS109" t="s">
        <v>4031</v>
      </c>
      <c r="AU109" t="s">
        <v>3929</v>
      </c>
      <c r="AV109" t="s">
        <v>3930</v>
      </c>
      <c r="AW109" t="s">
        <v>3931</v>
      </c>
      <c r="AX109" t="s">
        <v>3932</v>
      </c>
      <c r="AZ109">
        <v>53.524000000000001</v>
      </c>
      <c r="BA109">
        <v>118</v>
      </c>
      <c r="BB109" t="s">
        <v>3599</v>
      </c>
      <c r="BC109" s="36" t="s">
        <v>3985</v>
      </c>
      <c r="BE109" t="s">
        <v>3966</v>
      </c>
      <c r="BF109" t="s">
        <v>3986</v>
      </c>
      <c r="BG109" t="s">
        <v>3596</v>
      </c>
      <c r="BH109" t="s">
        <v>4033</v>
      </c>
      <c r="BL109" t="s">
        <v>3598</v>
      </c>
      <c r="BS109" t="str">
        <v>Inbound</v>
      </c>
      <c r="BT109" t="str">
        <v>Land</v>
      </c>
      <c r="BU109" t="str">
        <v>RM-J-1342LI26</v>
      </c>
      <c r="BV109" t="str">
        <v>Miscelaneus</v>
      </c>
      <c r="BW109" t="str">
        <v>GEEEKPI 7-INCH SCREEN FOR RASPBERRY PI, 1024X600 IPS LCD DISPLAY, HDMI PORTABLE MONITOR FOR PI 5/4B/</v>
      </c>
      <c r="BX109">
        <v>53.524000000000001</v>
      </c>
      <c r="BY109" s="38">
        <f t="shared" si="4"/>
        <v>8.3298887439117991E-3</v>
      </c>
      <c r="BZ109" s="21">
        <f t="shared" si="5"/>
        <v>9.9958664926941587</v>
      </c>
    </row>
    <row r="110" spans="2:78" x14ac:dyDescent="0.35">
      <c r="B110" t="s">
        <v>4190</v>
      </c>
      <c r="C110" t="s">
        <v>262</v>
      </c>
      <c r="D110" t="str" cm="1">
        <f t="array" ref="D110">_xlfn.REGEXEXTRACT(F110,"\w?\w-J-\d{4}LI\d{2}")</f>
        <v>RM-J-1342LI26</v>
      </c>
      <c r="E110" t="s">
        <v>4195</v>
      </c>
      <c r="F110" t="s">
        <v>4192</v>
      </c>
      <c r="G110" t="s">
        <v>3919</v>
      </c>
      <c r="H110" t="s">
        <v>3569</v>
      </c>
      <c r="I110" t="s">
        <v>3752</v>
      </c>
      <c r="J110" t="s">
        <v>3753</v>
      </c>
      <c r="K110" t="s">
        <v>3752</v>
      </c>
      <c r="T110" t="s">
        <v>3920</v>
      </c>
      <c r="U110" t="s">
        <v>3573</v>
      </c>
      <c r="Y110" t="s">
        <v>3921</v>
      </c>
      <c r="Z110" t="s">
        <v>3575</v>
      </c>
      <c r="AA110" t="s">
        <v>3576</v>
      </c>
      <c r="AB110" t="s">
        <v>3576</v>
      </c>
      <c r="AC110" t="s">
        <v>3575</v>
      </c>
      <c r="AD110" t="s">
        <v>3922</v>
      </c>
      <c r="AE110" t="s">
        <v>3923</v>
      </c>
      <c r="AF110" t="s">
        <v>3583</v>
      </c>
      <c r="AG110" t="s">
        <v>3580</v>
      </c>
      <c r="AH110" t="s">
        <v>3581</v>
      </c>
      <c r="AI110" t="s">
        <v>3582</v>
      </c>
      <c r="AM110" t="s">
        <v>3924</v>
      </c>
      <c r="AN110" t="s">
        <v>3925</v>
      </c>
      <c r="AO110" t="s">
        <v>3926</v>
      </c>
      <c r="AP110" t="s">
        <v>3686</v>
      </c>
      <c r="AQ110" t="s">
        <v>4029</v>
      </c>
      <c r="AR110" t="s">
        <v>4030</v>
      </c>
      <c r="AS110" t="s">
        <v>4031</v>
      </c>
      <c r="AU110" t="s">
        <v>3929</v>
      </c>
      <c r="AV110" t="s">
        <v>3930</v>
      </c>
      <c r="AW110" t="s">
        <v>3931</v>
      </c>
      <c r="AX110" t="s">
        <v>3932</v>
      </c>
      <c r="AZ110">
        <v>53.524000000000001</v>
      </c>
      <c r="BA110">
        <v>118</v>
      </c>
      <c r="BB110" t="s">
        <v>3596</v>
      </c>
      <c r="BC110" s="36" t="s">
        <v>3985</v>
      </c>
      <c r="BE110" t="s">
        <v>3966</v>
      </c>
      <c r="BF110" t="s">
        <v>3986</v>
      </c>
      <c r="BG110" t="s">
        <v>3596</v>
      </c>
      <c r="BH110" t="s">
        <v>4033</v>
      </c>
      <c r="BL110" t="s">
        <v>3598</v>
      </c>
      <c r="BS110" t="str">
        <v>Inbound</v>
      </c>
      <c r="BT110" t="str">
        <v>Land</v>
      </c>
      <c r="BU110" t="str">
        <v>RM-J-1342LI26</v>
      </c>
      <c r="BV110" t="str">
        <v>Miscelaneus</v>
      </c>
      <c r="BW110" t="str">
        <v>FFR-FLAT6.6</v>
      </c>
      <c r="BX110">
        <v>53.524000000000001</v>
      </c>
      <c r="BY110" s="38">
        <f t="shared" si="4"/>
        <v>8.3298887439117991E-3</v>
      </c>
      <c r="BZ110" s="21">
        <f t="shared" si="5"/>
        <v>9.9958664926941587</v>
      </c>
    </row>
    <row r="111" spans="2:78" x14ac:dyDescent="0.35">
      <c r="B111" t="s">
        <v>4190</v>
      </c>
      <c r="C111" t="s">
        <v>262</v>
      </c>
      <c r="D111" t="str" cm="1">
        <f t="array" ref="D111">_xlfn.REGEXEXTRACT(F111,"\w?\w-J-\d{4}LI\d{2}")</f>
        <v>RM-J-1342LI26</v>
      </c>
      <c r="E111" t="s">
        <v>4195</v>
      </c>
      <c r="F111" t="s">
        <v>4192</v>
      </c>
      <c r="G111" t="s">
        <v>3919</v>
      </c>
      <c r="H111" t="s">
        <v>3569</v>
      </c>
      <c r="I111" t="s">
        <v>3752</v>
      </c>
      <c r="J111" t="s">
        <v>3753</v>
      </c>
      <c r="K111" t="s">
        <v>3752</v>
      </c>
      <c r="T111" t="s">
        <v>3920</v>
      </c>
      <c r="U111" t="s">
        <v>3573</v>
      </c>
      <c r="Y111" t="s">
        <v>3921</v>
      </c>
      <c r="Z111" t="s">
        <v>3575</v>
      </c>
      <c r="AA111" t="s">
        <v>3576</v>
      </c>
      <c r="AB111" t="s">
        <v>3576</v>
      </c>
      <c r="AC111" t="s">
        <v>3575</v>
      </c>
      <c r="AD111" t="s">
        <v>3922</v>
      </c>
      <c r="AE111" t="s">
        <v>3923</v>
      </c>
      <c r="AF111" t="s">
        <v>3583</v>
      </c>
      <c r="AG111" t="s">
        <v>3580</v>
      </c>
      <c r="AH111" t="s">
        <v>3581</v>
      </c>
      <c r="AI111" t="s">
        <v>3582</v>
      </c>
      <c r="AM111" t="s">
        <v>3924</v>
      </c>
      <c r="AN111" t="s">
        <v>3925</v>
      </c>
      <c r="AO111" t="s">
        <v>3926</v>
      </c>
      <c r="AP111" t="s">
        <v>3686</v>
      </c>
      <c r="AQ111" t="s">
        <v>4029</v>
      </c>
      <c r="AR111" t="s">
        <v>4030</v>
      </c>
      <c r="AS111" t="s">
        <v>4031</v>
      </c>
      <c r="AU111" t="s">
        <v>3929</v>
      </c>
      <c r="AV111" t="s">
        <v>3930</v>
      </c>
      <c r="AW111" t="s">
        <v>3931</v>
      </c>
      <c r="AX111" t="s">
        <v>3932</v>
      </c>
      <c r="AZ111">
        <v>53.524000000000001</v>
      </c>
      <c r="BA111">
        <v>118</v>
      </c>
      <c r="BB111" t="s">
        <v>3646</v>
      </c>
      <c r="BC111" s="36" t="s">
        <v>3985</v>
      </c>
      <c r="BE111" t="s">
        <v>3966</v>
      </c>
      <c r="BF111" t="s">
        <v>3986</v>
      </c>
      <c r="BG111" t="s">
        <v>3646</v>
      </c>
      <c r="BH111" t="s">
        <v>4034</v>
      </c>
      <c r="BL111" t="s">
        <v>3598</v>
      </c>
      <c r="BS111" t="str">
        <v>Inbound</v>
      </c>
      <c r="BT111" t="str">
        <v>Land</v>
      </c>
      <c r="BU111" t="str">
        <v>RM-J-1342LI26</v>
      </c>
      <c r="BV111" t="str">
        <v>Miscelaneus</v>
      </c>
      <c r="BW111" t="str">
        <v>FFR-FLAT6.6</v>
      </c>
      <c r="BX111">
        <v>53.524000000000001</v>
      </c>
      <c r="BY111" s="38">
        <f t="shared" si="4"/>
        <v>8.3298887439117991E-3</v>
      </c>
      <c r="BZ111" s="21">
        <f t="shared" si="5"/>
        <v>9.9958664926941587</v>
      </c>
    </row>
    <row r="112" spans="2:78" x14ac:dyDescent="0.35">
      <c r="B112" t="s">
        <v>4190</v>
      </c>
      <c r="C112" t="s">
        <v>262</v>
      </c>
      <c r="D112" t="str" cm="1">
        <f t="array" ref="D112">_xlfn.REGEXEXTRACT(F112,"\w?\w-J-\d{4}LI\d{2}")</f>
        <v>RM-J-1342LI26</v>
      </c>
      <c r="E112" t="s">
        <v>298</v>
      </c>
      <c r="F112" t="s">
        <v>4192</v>
      </c>
      <c r="G112" t="s">
        <v>3919</v>
      </c>
      <c r="H112" t="s">
        <v>3569</v>
      </c>
      <c r="I112" t="s">
        <v>3752</v>
      </c>
      <c r="J112" t="s">
        <v>3753</v>
      </c>
      <c r="K112" t="s">
        <v>3752</v>
      </c>
      <c r="T112" t="s">
        <v>3920</v>
      </c>
      <c r="U112" t="s">
        <v>3573</v>
      </c>
      <c r="Y112" t="s">
        <v>3921</v>
      </c>
      <c r="Z112" t="s">
        <v>3575</v>
      </c>
      <c r="AA112" t="s">
        <v>3576</v>
      </c>
      <c r="AB112" t="s">
        <v>3576</v>
      </c>
      <c r="AC112" t="s">
        <v>3575</v>
      </c>
      <c r="AD112" t="s">
        <v>3922</v>
      </c>
      <c r="AE112" t="s">
        <v>3923</v>
      </c>
      <c r="AF112" t="s">
        <v>3599</v>
      </c>
      <c r="AG112" t="s">
        <v>3580</v>
      </c>
      <c r="AH112" t="s">
        <v>3581</v>
      </c>
      <c r="AI112" t="s">
        <v>3582</v>
      </c>
      <c r="AM112" t="s">
        <v>3596</v>
      </c>
      <c r="AN112" t="s">
        <v>3925</v>
      </c>
      <c r="AO112" t="s">
        <v>4035</v>
      </c>
      <c r="AP112" t="s">
        <v>3742</v>
      </c>
      <c r="AQ112" t="s">
        <v>4036</v>
      </c>
      <c r="AR112" t="s">
        <v>3742</v>
      </c>
      <c r="AS112" t="s">
        <v>3812</v>
      </c>
      <c r="AV112" t="s">
        <v>3803</v>
      </c>
      <c r="AW112" t="s">
        <v>3804</v>
      </c>
      <c r="AX112" t="s">
        <v>4036</v>
      </c>
      <c r="AZ112">
        <v>3000</v>
      </c>
      <c r="BA112">
        <v>6613.8680000000004</v>
      </c>
      <c r="BB112" t="s">
        <v>3583</v>
      </c>
      <c r="BC112" s="36" t="s">
        <v>3814</v>
      </c>
      <c r="BE112" t="s">
        <v>3808</v>
      </c>
      <c r="BF112" t="s">
        <v>3809</v>
      </c>
      <c r="BG112" t="s">
        <v>3813</v>
      </c>
      <c r="BH112" t="s">
        <v>3815</v>
      </c>
      <c r="BL112" t="s">
        <v>3598</v>
      </c>
      <c r="BS112" t="str">
        <v>Inbound</v>
      </c>
      <c r="BT112" t="str">
        <v>Land</v>
      </c>
      <c r="BU112" t="str">
        <v>RM-J-1342LI26</v>
      </c>
      <c r="BV112" t="str">
        <v>Miscelaneus</v>
      </c>
      <c r="BW112" t="str">
        <v>FFR-FLAT6.6</v>
      </c>
      <c r="BX112">
        <v>53.524000000000001</v>
      </c>
      <c r="BY112" s="38">
        <f t="shared" si="4"/>
        <v>8.3298887439117991E-3</v>
      </c>
      <c r="BZ112" s="21">
        <f t="shared" si="5"/>
        <v>9.9958664926941587</v>
      </c>
    </row>
    <row r="113" spans="2:78" x14ac:dyDescent="0.35">
      <c r="B113" t="s">
        <v>4190</v>
      </c>
      <c r="C113" t="s">
        <v>262</v>
      </c>
      <c r="D113" t="str" cm="1">
        <f t="array" ref="D113">_xlfn.REGEXEXTRACT(F113,"\w?\w-J-\d{4}LI\d{2}")</f>
        <v>AF-J-0908LI26</v>
      </c>
      <c r="E113" t="s">
        <v>4196</v>
      </c>
      <c r="F113" t="s">
        <v>4037</v>
      </c>
      <c r="G113" t="s">
        <v>4038</v>
      </c>
      <c r="H113" t="s">
        <v>3569</v>
      </c>
      <c r="I113" t="s">
        <v>3699</v>
      </c>
      <c r="J113" t="s">
        <v>3700</v>
      </c>
      <c r="K113" t="s">
        <v>3699</v>
      </c>
      <c r="T113" t="s">
        <v>4039</v>
      </c>
      <c r="U113" t="s">
        <v>3573</v>
      </c>
      <c r="Y113" t="s">
        <v>4040</v>
      </c>
      <c r="Z113" t="s">
        <v>3575</v>
      </c>
      <c r="AA113" t="s">
        <v>3576</v>
      </c>
      <c r="AB113" t="s">
        <v>3576</v>
      </c>
      <c r="AC113" t="s">
        <v>3575</v>
      </c>
      <c r="AD113" t="s">
        <v>4041</v>
      </c>
      <c r="AE113" t="s">
        <v>4042</v>
      </c>
      <c r="AF113" t="s">
        <v>3583</v>
      </c>
      <c r="AG113" t="s">
        <v>4043</v>
      </c>
      <c r="AH113" t="s">
        <v>3581</v>
      </c>
      <c r="AI113" t="s">
        <v>3582</v>
      </c>
      <c r="AM113" t="s">
        <v>3599</v>
      </c>
      <c r="AN113" t="s">
        <v>4044</v>
      </c>
      <c r="AO113" t="s">
        <v>4045</v>
      </c>
      <c r="AP113" t="s">
        <v>4039</v>
      </c>
      <c r="AQ113" t="s">
        <v>4046</v>
      </c>
      <c r="AR113" t="s">
        <v>4039</v>
      </c>
      <c r="AS113" t="s">
        <v>4047</v>
      </c>
      <c r="AV113" t="s">
        <v>3930</v>
      </c>
      <c r="AW113" t="s">
        <v>3931</v>
      </c>
      <c r="AX113" t="s">
        <v>4048</v>
      </c>
      <c r="AZ113">
        <v>181.43700000000001</v>
      </c>
      <c r="BA113">
        <v>400</v>
      </c>
      <c r="BB113" t="s">
        <v>3583</v>
      </c>
      <c r="BC113" s="36" t="s">
        <v>4049</v>
      </c>
      <c r="BE113" t="s">
        <v>4050</v>
      </c>
      <c r="BF113" t="s">
        <v>4051</v>
      </c>
      <c r="BG113" t="s">
        <v>3583</v>
      </c>
      <c r="BH113" t="s">
        <v>4052</v>
      </c>
      <c r="BL113" t="s">
        <v>3598</v>
      </c>
      <c r="BS113" t="str">
        <v>Inbound</v>
      </c>
      <c r="BT113" t="str">
        <v>Land</v>
      </c>
      <c r="BU113" t="str">
        <v>RM-J-1342LI26</v>
      </c>
      <c r="BV113" t="str">
        <v>M46</v>
      </c>
      <c r="BW113" t="str">
        <v>0070-1100005-W</v>
      </c>
      <c r="BX113">
        <v>3000</v>
      </c>
      <c r="BY113" s="38">
        <f t="shared" si="4"/>
        <v>0.46688712038964569</v>
      </c>
      <c r="BZ113" s="21">
        <f t="shared" si="5"/>
        <v>560.26454446757486</v>
      </c>
    </row>
    <row r="114" spans="2:78" x14ac:dyDescent="0.35">
      <c r="B114" t="s">
        <v>4190</v>
      </c>
      <c r="C114" t="s">
        <v>262</v>
      </c>
      <c r="D114" t="str" cm="1">
        <f t="array" ref="D114">_xlfn.REGEXEXTRACT(F114,"\w?\w-J-\d{4}LI\d{2}")</f>
        <v>RM-J-1343LI26</v>
      </c>
      <c r="E114" t="s">
        <v>295</v>
      </c>
      <c r="F114" t="s">
        <v>4053</v>
      </c>
      <c r="G114" t="s">
        <v>4054</v>
      </c>
      <c r="H114" t="s">
        <v>3569</v>
      </c>
      <c r="I114" t="s">
        <v>3733</v>
      </c>
      <c r="J114" t="s">
        <v>3734</v>
      </c>
      <c r="K114" t="s">
        <v>3733</v>
      </c>
      <c r="T114" t="s">
        <v>4055</v>
      </c>
      <c r="U114" t="s">
        <v>3573</v>
      </c>
      <c r="Y114" t="s">
        <v>4056</v>
      </c>
      <c r="Z114" t="s">
        <v>3575</v>
      </c>
      <c r="AA114" t="s">
        <v>3576</v>
      </c>
      <c r="AB114" t="s">
        <v>3576</v>
      </c>
      <c r="AC114" t="s">
        <v>3575</v>
      </c>
      <c r="AD114" t="s">
        <v>4057</v>
      </c>
      <c r="AE114" t="s">
        <v>4058</v>
      </c>
      <c r="AF114" t="s">
        <v>3583</v>
      </c>
      <c r="AG114" t="s">
        <v>3580</v>
      </c>
      <c r="AH114" t="s">
        <v>4059</v>
      </c>
      <c r="AI114" t="s">
        <v>3582</v>
      </c>
      <c r="AM114" t="s">
        <v>3583</v>
      </c>
      <c r="AN114" t="s">
        <v>4060</v>
      </c>
      <c r="AO114" t="s">
        <v>4061</v>
      </c>
      <c r="AP114" t="s">
        <v>4055</v>
      </c>
      <c r="AQ114" t="s">
        <v>4062</v>
      </c>
      <c r="AR114" t="s">
        <v>3621</v>
      </c>
      <c r="AS114" t="s">
        <v>4063</v>
      </c>
      <c r="AV114" t="s">
        <v>4064</v>
      </c>
      <c r="AW114" t="s">
        <v>4065</v>
      </c>
      <c r="AX114" t="s">
        <v>4066</v>
      </c>
      <c r="AZ114">
        <v>20</v>
      </c>
      <c r="BA114">
        <v>44.091999999999999</v>
      </c>
      <c r="BB114" t="s">
        <v>3583</v>
      </c>
      <c r="BC114" s="36" t="s">
        <v>4067</v>
      </c>
      <c r="BD114" t="s">
        <v>4068</v>
      </c>
      <c r="BE114" t="s">
        <v>3594</v>
      </c>
      <c r="BF114" t="s">
        <v>4069</v>
      </c>
      <c r="BG114" t="s">
        <v>3579</v>
      </c>
      <c r="BH114" t="s">
        <v>4070</v>
      </c>
      <c r="BL114" t="s">
        <v>3598</v>
      </c>
      <c r="BS114" t="str">
        <v>Inbound</v>
      </c>
      <c r="BT114" t="str">
        <v>Land</v>
      </c>
      <c r="BU114" t="str">
        <v>RM-J-1343LI26</v>
      </c>
      <c r="BV114" t="str">
        <v>M23</v>
      </c>
      <c r="BW114" t="str">
        <v>RMEPGL001-1</v>
      </c>
      <c r="BX114">
        <v>20</v>
      </c>
      <c r="BY114" s="38">
        <f t="shared" si="4"/>
        <v>1</v>
      </c>
      <c r="BZ114" s="21">
        <f t="shared" si="5"/>
        <v>1200</v>
      </c>
    </row>
    <row r="115" spans="2:78" x14ac:dyDescent="0.35">
      <c r="B115" t="s">
        <v>4190</v>
      </c>
      <c r="C115" t="s">
        <v>262</v>
      </c>
      <c r="D115" t="str" cm="1">
        <f t="array" ref="D115">_xlfn.REGEXEXTRACT(F115,"\w?\w-J-\d{4}LI\d{2}")</f>
        <v>RM-J-1357LI26</v>
      </c>
      <c r="E115" t="s">
        <v>299</v>
      </c>
      <c r="F115" t="s">
        <v>4193</v>
      </c>
      <c r="G115" t="s">
        <v>4071</v>
      </c>
      <c r="H115" t="s">
        <v>3569</v>
      </c>
      <c r="I115" t="s">
        <v>3752</v>
      </c>
      <c r="J115" t="s">
        <v>3753</v>
      </c>
      <c r="K115" t="s">
        <v>3752</v>
      </c>
      <c r="T115" t="s">
        <v>4072</v>
      </c>
      <c r="U115" t="s">
        <v>3573</v>
      </c>
      <c r="Y115" t="s">
        <v>4073</v>
      </c>
      <c r="Z115" t="s">
        <v>3575</v>
      </c>
      <c r="AA115" t="s">
        <v>3576</v>
      </c>
      <c r="AB115" t="s">
        <v>3576</v>
      </c>
      <c r="AC115" t="s">
        <v>3575</v>
      </c>
      <c r="AD115" t="s">
        <v>3922</v>
      </c>
      <c r="AE115" t="s">
        <v>3923</v>
      </c>
      <c r="AF115" t="s">
        <v>3605</v>
      </c>
      <c r="AG115" t="s">
        <v>3580</v>
      </c>
      <c r="AH115" t="s">
        <v>3581</v>
      </c>
      <c r="AI115" t="s">
        <v>3582</v>
      </c>
      <c r="AM115" t="s">
        <v>3583</v>
      </c>
      <c r="AN115" t="s">
        <v>4074</v>
      </c>
      <c r="AO115" t="s">
        <v>4075</v>
      </c>
      <c r="AP115" t="s">
        <v>4055</v>
      </c>
      <c r="AQ115" t="s">
        <v>4076</v>
      </c>
      <c r="AR115" t="s">
        <v>3869</v>
      </c>
      <c r="AS115" t="s">
        <v>3588</v>
      </c>
      <c r="AV115" t="s">
        <v>3590</v>
      </c>
      <c r="AW115" t="s">
        <v>3591</v>
      </c>
      <c r="AX115" t="s">
        <v>4077</v>
      </c>
      <c r="AZ115">
        <v>79.739999999999995</v>
      </c>
      <c r="BA115">
        <v>175.797</v>
      </c>
      <c r="BB115" t="s">
        <v>3583</v>
      </c>
      <c r="BC115" s="36" t="s">
        <v>3593</v>
      </c>
      <c r="BE115" t="s">
        <v>3594</v>
      </c>
      <c r="BF115" t="s">
        <v>3595</v>
      </c>
      <c r="BG115" t="s">
        <v>3596</v>
      </c>
      <c r="BH115" t="s">
        <v>3597</v>
      </c>
      <c r="BL115" t="s">
        <v>3598</v>
      </c>
      <c r="BS115" t="str">
        <v>Inbound</v>
      </c>
      <c r="BT115" t="str">
        <v>Land</v>
      </c>
      <c r="BU115" t="str">
        <v>RM-J-1357LI26</v>
      </c>
      <c r="BV115" t="str">
        <v>M19</v>
      </c>
      <c r="BW115" t="str">
        <v>0081-1000095</v>
      </c>
      <c r="BX115">
        <v>79.739999999999995</v>
      </c>
      <c r="BY115" s="38">
        <f t="shared" si="4"/>
        <v>4.1238734207721381E-2</v>
      </c>
      <c r="BZ115" s="21">
        <f t="shared" si="5"/>
        <v>49.486481049265656</v>
      </c>
    </row>
    <row r="116" spans="2:78" x14ac:dyDescent="0.35">
      <c r="B116" t="s">
        <v>4190</v>
      </c>
      <c r="C116" t="s">
        <v>262</v>
      </c>
      <c r="D116" t="str" cm="1">
        <f t="array" ref="D116">_xlfn.REGEXEXTRACT(F116,"\w?\w-J-\d{4}LI\d{2}")</f>
        <v>RM-J-1357LI26</v>
      </c>
      <c r="E116" t="s">
        <v>296</v>
      </c>
      <c r="F116" t="s">
        <v>4193</v>
      </c>
      <c r="G116" t="s">
        <v>4071</v>
      </c>
      <c r="H116" t="s">
        <v>3569</v>
      </c>
      <c r="I116" t="s">
        <v>3752</v>
      </c>
      <c r="J116" t="s">
        <v>3753</v>
      </c>
      <c r="K116" t="s">
        <v>3752</v>
      </c>
      <c r="T116" t="s">
        <v>4072</v>
      </c>
      <c r="U116" t="s">
        <v>3573</v>
      </c>
      <c r="Y116" t="s">
        <v>4073</v>
      </c>
      <c r="Z116" t="s">
        <v>3575</v>
      </c>
      <c r="AA116" t="s">
        <v>3576</v>
      </c>
      <c r="AB116" t="s">
        <v>3576</v>
      </c>
      <c r="AC116" t="s">
        <v>3575</v>
      </c>
      <c r="AD116" t="s">
        <v>3922</v>
      </c>
      <c r="AE116" t="s">
        <v>3923</v>
      </c>
      <c r="AF116" t="s">
        <v>3677</v>
      </c>
      <c r="AG116" t="s">
        <v>3580</v>
      </c>
      <c r="AH116" t="s">
        <v>3581</v>
      </c>
      <c r="AI116" t="s">
        <v>3582</v>
      </c>
      <c r="AM116" t="s">
        <v>3583</v>
      </c>
      <c r="AN116" t="s">
        <v>4074</v>
      </c>
      <c r="AO116" t="s">
        <v>4078</v>
      </c>
      <c r="AP116" t="s">
        <v>4055</v>
      </c>
      <c r="AQ116" t="s">
        <v>4079</v>
      </c>
      <c r="AR116" t="s">
        <v>3735</v>
      </c>
      <c r="AS116" t="s">
        <v>3770</v>
      </c>
      <c r="AV116" t="s">
        <v>3590</v>
      </c>
      <c r="AW116" t="s">
        <v>3591</v>
      </c>
      <c r="AX116" t="s">
        <v>4080</v>
      </c>
      <c r="AZ116">
        <v>17</v>
      </c>
      <c r="BA116">
        <v>37.478999999999999</v>
      </c>
      <c r="BB116" t="s">
        <v>3583</v>
      </c>
      <c r="BC116" s="36" t="s">
        <v>3771</v>
      </c>
      <c r="BE116" t="s">
        <v>3594</v>
      </c>
      <c r="BF116" t="s">
        <v>3595</v>
      </c>
      <c r="BG116" t="s">
        <v>3583</v>
      </c>
      <c r="BH116" t="s">
        <v>3772</v>
      </c>
      <c r="BL116" t="s">
        <v>3598</v>
      </c>
      <c r="BS116" t="str">
        <v>Inbound</v>
      </c>
      <c r="BT116" t="str">
        <v>Land</v>
      </c>
      <c r="BU116" t="str">
        <v>RM-J-1357LI26</v>
      </c>
      <c r="BV116" t="str">
        <v>M45</v>
      </c>
      <c r="BW116" t="str">
        <v>0081-1010033</v>
      </c>
      <c r="BX116">
        <v>17</v>
      </c>
      <c r="BY116" s="38">
        <f t="shared" si="4"/>
        <v>8.7918043833868018E-3</v>
      </c>
      <c r="BZ116" s="21">
        <f t="shared" si="5"/>
        <v>10.550165260064162</v>
      </c>
    </row>
    <row r="117" spans="2:78" x14ac:dyDescent="0.35">
      <c r="B117" t="s">
        <v>4190</v>
      </c>
      <c r="C117" t="s">
        <v>262</v>
      </c>
      <c r="D117" t="str" cm="1">
        <f t="array" ref="D117">_xlfn.REGEXEXTRACT(F117,"\w?\w-J-\d{4}LI\d{2}")</f>
        <v>RM-J-1357LI26</v>
      </c>
      <c r="E117" t="s">
        <v>298</v>
      </c>
      <c r="F117" t="s">
        <v>4193</v>
      </c>
      <c r="G117" t="s">
        <v>4071</v>
      </c>
      <c r="H117" t="s">
        <v>3569</v>
      </c>
      <c r="I117" t="s">
        <v>3752</v>
      </c>
      <c r="J117" t="s">
        <v>3753</v>
      </c>
      <c r="K117" t="s">
        <v>3752</v>
      </c>
      <c r="T117" t="s">
        <v>4072</v>
      </c>
      <c r="U117" t="s">
        <v>3573</v>
      </c>
      <c r="Y117" t="s">
        <v>4073</v>
      </c>
      <c r="Z117" t="s">
        <v>3575</v>
      </c>
      <c r="AA117" t="s">
        <v>3576</v>
      </c>
      <c r="AB117" t="s">
        <v>3576</v>
      </c>
      <c r="AC117" t="s">
        <v>3575</v>
      </c>
      <c r="AD117" t="s">
        <v>3922</v>
      </c>
      <c r="AE117" t="s">
        <v>3923</v>
      </c>
      <c r="AF117" t="s">
        <v>3579</v>
      </c>
      <c r="AG117" t="s">
        <v>3580</v>
      </c>
      <c r="AH117" t="s">
        <v>3581</v>
      </c>
      <c r="AI117" t="s">
        <v>3582</v>
      </c>
      <c r="AM117" t="s">
        <v>3583</v>
      </c>
      <c r="AN117" t="s">
        <v>4074</v>
      </c>
      <c r="AO117" t="s">
        <v>4081</v>
      </c>
      <c r="AP117" t="s">
        <v>3742</v>
      </c>
      <c r="AQ117" t="s">
        <v>4082</v>
      </c>
      <c r="AR117" t="s">
        <v>3623</v>
      </c>
      <c r="AS117" t="s">
        <v>4083</v>
      </c>
      <c r="AV117" t="s">
        <v>4084</v>
      </c>
      <c r="AW117" t="s">
        <v>4085</v>
      </c>
      <c r="AX117" t="s">
        <v>4086</v>
      </c>
      <c r="AZ117">
        <v>68.039000000000001</v>
      </c>
      <c r="BA117">
        <v>150</v>
      </c>
      <c r="BB117" t="s">
        <v>3583</v>
      </c>
      <c r="BC117" s="36" t="s">
        <v>4088</v>
      </c>
      <c r="BE117" t="s">
        <v>4089</v>
      </c>
      <c r="BF117" t="s">
        <v>4090</v>
      </c>
      <c r="BG117" t="s">
        <v>4091</v>
      </c>
      <c r="BH117" t="s">
        <v>4092</v>
      </c>
      <c r="BL117" t="s">
        <v>3598</v>
      </c>
      <c r="BS117" t="str">
        <v>Inbound</v>
      </c>
      <c r="BT117" t="str">
        <v>Land</v>
      </c>
      <c r="BU117" t="str">
        <v>RM-J-1357LI26</v>
      </c>
      <c r="BV117" t="str">
        <v>M46</v>
      </c>
      <c r="BW117" t="str">
        <v>1410-EQH0109</v>
      </c>
      <c r="BX117">
        <v>68.039000000000001</v>
      </c>
      <c r="BY117" s="38">
        <f t="shared" si="4"/>
        <v>3.5187386967132618E-2</v>
      </c>
      <c r="BZ117" s="21">
        <f t="shared" si="5"/>
        <v>42.224864360559138</v>
      </c>
    </row>
    <row r="118" spans="2:78" x14ac:dyDescent="0.35">
      <c r="B118" t="s">
        <v>4190</v>
      </c>
      <c r="C118" t="s">
        <v>262</v>
      </c>
      <c r="D118" t="str" cm="1">
        <f t="array" ref="D118">_xlfn.REGEXEXTRACT(F118,"\w?\w-J-\d{4}LI\d{2}")</f>
        <v>RM-J-1357LI26</v>
      </c>
      <c r="E118" t="s">
        <v>299</v>
      </c>
      <c r="F118" t="s">
        <v>4193</v>
      </c>
      <c r="G118" t="s">
        <v>4071</v>
      </c>
      <c r="H118" t="s">
        <v>3569</v>
      </c>
      <c r="I118" t="s">
        <v>3752</v>
      </c>
      <c r="J118" t="s">
        <v>3753</v>
      </c>
      <c r="K118" t="s">
        <v>3752</v>
      </c>
      <c r="T118" t="s">
        <v>4072</v>
      </c>
      <c r="U118" t="s">
        <v>3573</v>
      </c>
      <c r="Y118" t="s">
        <v>4073</v>
      </c>
      <c r="Z118" t="s">
        <v>3575</v>
      </c>
      <c r="AA118" t="s">
        <v>3576</v>
      </c>
      <c r="AB118" t="s">
        <v>3576</v>
      </c>
      <c r="AC118" t="s">
        <v>3575</v>
      </c>
      <c r="AD118" t="s">
        <v>3922</v>
      </c>
      <c r="AE118" t="s">
        <v>3923</v>
      </c>
      <c r="AF118" t="s">
        <v>3663</v>
      </c>
      <c r="AG118" t="s">
        <v>3580</v>
      </c>
      <c r="AH118" t="s">
        <v>3581</v>
      </c>
      <c r="AI118" t="s">
        <v>3582</v>
      </c>
      <c r="AM118" t="s">
        <v>3599</v>
      </c>
      <c r="AN118" t="s">
        <v>4074</v>
      </c>
      <c r="AO118" t="s">
        <v>4093</v>
      </c>
      <c r="AP118" t="s">
        <v>3572</v>
      </c>
      <c r="AQ118" t="s">
        <v>4094</v>
      </c>
      <c r="AR118" t="s">
        <v>4095</v>
      </c>
      <c r="AS118" t="s">
        <v>4096</v>
      </c>
      <c r="AV118" t="s">
        <v>3779</v>
      </c>
      <c r="AW118" t="s">
        <v>3780</v>
      </c>
      <c r="AX118" t="s">
        <v>4097</v>
      </c>
      <c r="AZ118">
        <v>300</v>
      </c>
      <c r="BA118">
        <v>661.38699999999994</v>
      </c>
      <c r="BB118" t="s">
        <v>3583</v>
      </c>
      <c r="BC118" s="36" t="s">
        <v>4098</v>
      </c>
      <c r="BD118" t="s">
        <v>4099</v>
      </c>
      <c r="BE118" t="s">
        <v>3784</v>
      </c>
      <c r="BF118" t="s">
        <v>3785</v>
      </c>
      <c r="BG118" t="s">
        <v>4087</v>
      </c>
      <c r="BH118" t="s">
        <v>4100</v>
      </c>
      <c r="BL118" t="s">
        <v>3598</v>
      </c>
      <c r="BS118" t="str">
        <v>Inbound</v>
      </c>
      <c r="BT118" t="str">
        <v>Land</v>
      </c>
      <c r="BU118" t="str">
        <v>RM-J-1357LI26</v>
      </c>
      <c r="BV118" t="str">
        <v>M19</v>
      </c>
      <c r="BW118" t="str">
        <v>0081-1000097</v>
      </c>
      <c r="BX118">
        <v>300</v>
      </c>
      <c r="BY118" s="38">
        <f t="shared" si="4"/>
        <v>0.15514948911859061</v>
      </c>
      <c r="BZ118" s="21">
        <f t="shared" si="5"/>
        <v>186.17938694230872</v>
      </c>
    </row>
    <row r="119" spans="2:78" x14ac:dyDescent="0.35">
      <c r="B119" t="s">
        <v>4190</v>
      </c>
      <c r="C119" t="s">
        <v>262</v>
      </c>
      <c r="D119" t="str" cm="1">
        <f t="array" ref="D119">_xlfn.REGEXEXTRACT(F119,"\w?\w-J-\d{4}LI\d{2}")</f>
        <v>RM-J-1357LI26</v>
      </c>
      <c r="E119" t="s">
        <v>299</v>
      </c>
      <c r="F119" t="s">
        <v>4193</v>
      </c>
      <c r="G119" t="s">
        <v>4071</v>
      </c>
      <c r="H119" t="s">
        <v>3569</v>
      </c>
      <c r="I119" t="s">
        <v>3752</v>
      </c>
      <c r="J119" t="s">
        <v>3753</v>
      </c>
      <c r="K119" t="s">
        <v>3752</v>
      </c>
      <c r="T119" t="s">
        <v>4072</v>
      </c>
      <c r="U119" t="s">
        <v>3573</v>
      </c>
      <c r="Y119" t="s">
        <v>4073</v>
      </c>
      <c r="Z119" t="s">
        <v>3575</v>
      </c>
      <c r="AA119" t="s">
        <v>3576</v>
      </c>
      <c r="AB119" t="s">
        <v>3576</v>
      </c>
      <c r="AC119" t="s">
        <v>3575</v>
      </c>
      <c r="AD119" t="s">
        <v>3922</v>
      </c>
      <c r="AE119" t="s">
        <v>3923</v>
      </c>
      <c r="AF119" t="s">
        <v>3663</v>
      </c>
      <c r="AG119" t="s">
        <v>3580</v>
      </c>
      <c r="AH119" t="s">
        <v>3581</v>
      </c>
      <c r="AI119" t="s">
        <v>3582</v>
      </c>
      <c r="AM119" t="s">
        <v>3599</v>
      </c>
      <c r="AN119" t="s">
        <v>4074</v>
      </c>
      <c r="AO119" t="s">
        <v>4093</v>
      </c>
      <c r="AP119" t="s">
        <v>3572</v>
      </c>
      <c r="AQ119" t="s">
        <v>4094</v>
      </c>
      <c r="AR119" t="s">
        <v>4095</v>
      </c>
      <c r="AS119" t="s">
        <v>4096</v>
      </c>
      <c r="AV119" t="s">
        <v>3779</v>
      </c>
      <c r="AW119" t="s">
        <v>3780</v>
      </c>
      <c r="AX119" t="s">
        <v>4097</v>
      </c>
      <c r="AZ119">
        <v>300</v>
      </c>
      <c r="BA119">
        <v>661.38699999999994</v>
      </c>
      <c r="BB119" t="s">
        <v>3599</v>
      </c>
      <c r="BC119" s="36" t="s">
        <v>3783</v>
      </c>
      <c r="BD119" t="s">
        <v>3763</v>
      </c>
      <c r="BE119" t="s">
        <v>3784</v>
      </c>
      <c r="BF119" t="s">
        <v>3785</v>
      </c>
      <c r="BG119" t="s">
        <v>4087</v>
      </c>
      <c r="BH119" t="s">
        <v>4100</v>
      </c>
      <c r="BL119" t="s">
        <v>3598</v>
      </c>
      <c r="BS119" t="str">
        <v>Inbound</v>
      </c>
      <c r="BT119" t="str">
        <v>Land</v>
      </c>
      <c r="BU119" t="str">
        <v>RM-J-1357LI26</v>
      </c>
      <c r="BV119" t="str">
        <v>M19</v>
      </c>
      <c r="BW119" t="str">
        <v>0081-1000098</v>
      </c>
      <c r="BX119">
        <v>300</v>
      </c>
      <c r="BY119" s="38">
        <f t="shared" si="4"/>
        <v>0.15514948911859061</v>
      </c>
      <c r="BZ119" s="21">
        <f t="shared" si="5"/>
        <v>186.17938694230872</v>
      </c>
    </row>
    <row r="120" spans="2:78" x14ac:dyDescent="0.35">
      <c r="B120" t="s">
        <v>4190</v>
      </c>
      <c r="C120" t="s">
        <v>262</v>
      </c>
      <c r="D120" t="str" cm="1">
        <f t="array" ref="D120">_xlfn.REGEXEXTRACT(F120,"\w?\w-J-\d{4}LI\d{2}")</f>
        <v>RM-J-1357LI26</v>
      </c>
      <c r="E120" t="s">
        <v>298</v>
      </c>
      <c r="F120" t="s">
        <v>4193</v>
      </c>
      <c r="G120" t="s">
        <v>4071</v>
      </c>
      <c r="H120" t="s">
        <v>3569</v>
      </c>
      <c r="I120" t="s">
        <v>3752</v>
      </c>
      <c r="J120" t="s">
        <v>3753</v>
      </c>
      <c r="K120" t="s">
        <v>3752</v>
      </c>
      <c r="T120" t="s">
        <v>4072</v>
      </c>
      <c r="U120" t="s">
        <v>3573</v>
      </c>
      <c r="Y120" t="s">
        <v>4073</v>
      </c>
      <c r="Z120" t="s">
        <v>3575</v>
      </c>
      <c r="AA120" t="s">
        <v>3576</v>
      </c>
      <c r="AB120" t="s">
        <v>3576</v>
      </c>
      <c r="AC120" t="s">
        <v>3575</v>
      </c>
      <c r="AD120" t="s">
        <v>3922</v>
      </c>
      <c r="AE120" t="s">
        <v>3923</v>
      </c>
      <c r="AF120" t="s">
        <v>3646</v>
      </c>
      <c r="AG120" t="s">
        <v>3580</v>
      </c>
      <c r="AH120" t="s">
        <v>3581</v>
      </c>
      <c r="AI120" t="s">
        <v>3582</v>
      </c>
      <c r="AM120" t="s">
        <v>3583</v>
      </c>
      <c r="AN120" t="s">
        <v>4074</v>
      </c>
      <c r="AO120" t="s">
        <v>4101</v>
      </c>
      <c r="AP120" t="s">
        <v>3572</v>
      </c>
      <c r="AQ120" t="s">
        <v>4102</v>
      </c>
      <c r="AR120" t="s">
        <v>3602</v>
      </c>
      <c r="AS120" t="s">
        <v>4103</v>
      </c>
      <c r="AV120" t="s">
        <v>4104</v>
      </c>
      <c r="AW120" t="s">
        <v>4105</v>
      </c>
      <c r="AX120" t="s">
        <v>4106</v>
      </c>
      <c r="AZ120">
        <v>31.751000000000001</v>
      </c>
      <c r="BA120">
        <v>70</v>
      </c>
      <c r="BB120" t="s">
        <v>3583</v>
      </c>
      <c r="BC120" s="36" t="s">
        <v>4107</v>
      </c>
      <c r="BE120" t="s">
        <v>4108</v>
      </c>
      <c r="BF120" t="s">
        <v>4109</v>
      </c>
      <c r="BG120" t="s">
        <v>4110</v>
      </c>
      <c r="BH120" t="s">
        <v>4111</v>
      </c>
      <c r="BL120" t="s">
        <v>3598</v>
      </c>
      <c r="BS120" t="str">
        <v>Inbound</v>
      </c>
      <c r="BT120" t="str">
        <v>Land</v>
      </c>
      <c r="BU120" t="str">
        <v>RM-J-1357LI26</v>
      </c>
      <c r="BV120" t="str">
        <v>M46</v>
      </c>
      <c r="BW120" t="str">
        <v>1401-EQH0002</v>
      </c>
      <c r="BX120">
        <v>31.751000000000001</v>
      </c>
      <c r="BY120" s="38">
        <f t="shared" si="4"/>
        <v>1.6420504763347901E-2</v>
      </c>
      <c r="BZ120" s="21">
        <f t="shared" si="5"/>
        <v>19.704605716017483</v>
      </c>
    </row>
    <row r="121" spans="2:78" x14ac:dyDescent="0.35">
      <c r="B121" t="s">
        <v>4190</v>
      </c>
      <c r="C121" t="s">
        <v>262</v>
      </c>
      <c r="D121" t="str" cm="1">
        <f t="array" ref="D121">_xlfn.REGEXEXTRACT(F121,"\w?\w-J-\d{4}LI\d{2}")</f>
        <v>RM-J-1357LI26</v>
      </c>
      <c r="E121" t="s">
        <v>298</v>
      </c>
      <c r="F121" t="s">
        <v>4193</v>
      </c>
      <c r="G121" t="s">
        <v>4071</v>
      </c>
      <c r="H121" t="s">
        <v>3569</v>
      </c>
      <c r="I121" t="s">
        <v>3752</v>
      </c>
      <c r="J121" t="s">
        <v>3753</v>
      </c>
      <c r="K121" t="s">
        <v>3752</v>
      </c>
      <c r="T121" t="s">
        <v>4072</v>
      </c>
      <c r="U121" t="s">
        <v>3573</v>
      </c>
      <c r="Y121" t="s">
        <v>4073</v>
      </c>
      <c r="Z121" t="s">
        <v>3575</v>
      </c>
      <c r="AA121" t="s">
        <v>3576</v>
      </c>
      <c r="AB121" t="s">
        <v>3576</v>
      </c>
      <c r="AC121" t="s">
        <v>3575</v>
      </c>
      <c r="AD121" t="s">
        <v>3922</v>
      </c>
      <c r="AE121" t="s">
        <v>3923</v>
      </c>
      <c r="AF121" t="s">
        <v>3646</v>
      </c>
      <c r="AG121" t="s">
        <v>3580</v>
      </c>
      <c r="AH121" t="s">
        <v>3581</v>
      </c>
      <c r="AI121" t="s">
        <v>3582</v>
      </c>
      <c r="AM121" t="s">
        <v>3583</v>
      </c>
      <c r="AN121" t="s">
        <v>4074</v>
      </c>
      <c r="AO121" t="s">
        <v>4101</v>
      </c>
      <c r="AP121" t="s">
        <v>3572</v>
      </c>
      <c r="AQ121" t="s">
        <v>4102</v>
      </c>
      <c r="AR121" t="s">
        <v>3602</v>
      </c>
      <c r="AS121" t="s">
        <v>4103</v>
      </c>
      <c r="AV121" t="s">
        <v>4104</v>
      </c>
      <c r="AW121" t="s">
        <v>4105</v>
      </c>
      <c r="AX121" t="s">
        <v>4106</v>
      </c>
      <c r="AZ121">
        <v>31.751000000000001</v>
      </c>
      <c r="BA121">
        <v>70</v>
      </c>
      <c r="BB121" t="s">
        <v>3599</v>
      </c>
      <c r="BC121" s="36" t="s">
        <v>4107</v>
      </c>
      <c r="BE121" t="s">
        <v>4108</v>
      </c>
      <c r="BF121" t="s">
        <v>4109</v>
      </c>
      <c r="BG121" t="s">
        <v>4110</v>
      </c>
      <c r="BH121" t="s">
        <v>4111</v>
      </c>
      <c r="BL121" t="s">
        <v>3598</v>
      </c>
      <c r="BS121" t="str">
        <v>Inbound</v>
      </c>
      <c r="BT121" t="str">
        <v>Land</v>
      </c>
      <c r="BU121" t="str">
        <v>RM-J-1357LI26</v>
      </c>
      <c r="BV121" t="str">
        <v>M46</v>
      </c>
      <c r="BW121" t="str">
        <v>1401-EQH0002</v>
      </c>
      <c r="BX121">
        <v>31.751000000000001</v>
      </c>
      <c r="BY121" s="38">
        <f t="shared" si="4"/>
        <v>1.6420504763347901E-2</v>
      </c>
      <c r="BZ121" s="21">
        <f t="shared" si="5"/>
        <v>19.704605716017483</v>
      </c>
    </row>
    <row r="122" spans="2:78" x14ac:dyDescent="0.35">
      <c r="B122" t="s">
        <v>4190</v>
      </c>
      <c r="C122" t="s">
        <v>262</v>
      </c>
      <c r="D122" t="str" cm="1">
        <f t="array" ref="D122">_xlfn.REGEXEXTRACT(F122,"\w?\w-J-\d{4}LI\d{2}")</f>
        <v>RM-J-1357LI26</v>
      </c>
      <c r="E122" t="s">
        <v>4195</v>
      </c>
      <c r="F122" t="s">
        <v>4193</v>
      </c>
      <c r="G122" t="s">
        <v>4071</v>
      </c>
      <c r="H122" t="s">
        <v>3569</v>
      </c>
      <c r="I122" t="s">
        <v>3752</v>
      </c>
      <c r="J122" t="s">
        <v>3753</v>
      </c>
      <c r="K122" t="s">
        <v>3752</v>
      </c>
      <c r="T122" t="s">
        <v>4072</v>
      </c>
      <c r="U122" t="s">
        <v>3573</v>
      </c>
      <c r="Y122" t="s">
        <v>4073</v>
      </c>
      <c r="Z122" t="s">
        <v>3575</v>
      </c>
      <c r="AA122" t="s">
        <v>3576</v>
      </c>
      <c r="AB122" t="s">
        <v>3576</v>
      </c>
      <c r="AC122" t="s">
        <v>3575</v>
      </c>
      <c r="AD122" t="s">
        <v>3922</v>
      </c>
      <c r="AE122" t="s">
        <v>3923</v>
      </c>
      <c r="AF122" t="s">
        <v>3596</v>
      </c>
      <c r="AG122" t="s">
        <v>3580</v>
      </c>
      <c r="AH122" t="s">
        <v>3581</v>
      </c>
      <c r="AI122" t="s">
        <v>3582</v>
      </c>
      <c r="AM122" t="s">
        <v>3583</v>
      </c>
      <c r="AN122" t="s">
        <v>4074</v>
      </c>
      <c r="AO122" t="s">
        <v>4112</v>
      </c>
      <c r="AP122" t="s">
        <v>3572</v>
      </c>
      <c r="AQ122" t="s">
        <v>4113</v>
      </c>
      <c r="AR122" t="s">
        <v>4114</v>
      </c>
      <c r="AS122" t="s">
        <v>4115</v>
      </c>
      <c r="AV122" t="s">
        <v>4116</v>
      </c>
      <c r="AW122" t="s">
        <v>4117</v>
      </c>
      <c r="AX122" t="s">
        <v>4118</v>
      </c>
      <c r="AZ122">
        <v>24.948</v>
      </c>
      <c r="BA122">
        <v>55</v>
      </c>
      <c r="BB122" t="s">
        <v>3583</v>
      </c>
      <c r="BC122" s="36" t="s">
        <v>4119</v>
      </c>
      <c r="BE122" t="s">
        <v>4120</v>
      </c>
      <c r="BF122" t="s">
        <v>4121</v>
      </c>
      <c r="BG122" t="s">
        <v>4122</v>
      </c>
      <c r="BH122" t="s">
        <v>4123</v>
      </c>
      <c r="BL122" t="s">
        <v>3598</v>
      </c>
      <c r="BS122" t="str">
        <v>Inbound</v>
      </c>
      <c r="BT122" t="str">
        <v>Land</v>
      </c>
      <c r="BU122" t="str">
        <v>RM-J-1357LI26</v>
      </c>
      <c r="BV122" t="str">
        <v>Miscelaneus</v>
      </c>
      <c r="BW122" t="str">
        <v>40433</v>
      </c>
      <c r="BX122">
        <v>24.948</v>
      </c>
      <c r="BY122" s="38">
        <f t="shared" si="4"/>
        <v>1.2902231515101994E-2</v>
      </c>
      <c r="BZ122" s="21">
        <f t="shared" si="5"/>
        <v>15.482677818122394</v>
      </c>
    </row>
    <row r="123" spans="2:78" x14ac:dyDescent="0.35">
      <c r="B123" t="s">
        <v>4190</v>
      </c>
      <c r="C123" t="s">
        <v>262</v>
      </c>
      <c r="D123" t="str" cm="1">
        <f t="array" ref="D123">_xlfn.REGEXEXTRACT(F123,"\w?\w-J-\d{4}LI\d{2}")</f>
        <v>RM-J-1357LI26</v>
      </c>
      <c r="E123" t="s">
        <v>298</v>
      </c>
      <c r="F123" t="s">
        <v>4193</v>
      </c>
      <c r="G123" t="s">
        <v>4071</v>
      </c>
      <c r="H123" t="s">
        <v>3569</v>
      </c>
      <c r="I123" t="s">
        <v>3752</v>
      </c>
      <c r="J123" t="s">
        <v>3753</v>
      </c>
      <c r="K123" t="s">
        <v>3752</v>
      </c>
      <c r="T123" t="s">
        <v>4072</v>
      </c>
      <c r="U123" t="s">
        <v>3573</v>
      </c>
      <c r="Y123" t="s">
        <v>4073</v>
      </c>
      <c r="Z123" t="s">
        <v>3575</v>
      </c>
      <c r="AA123" t="s">
        <v>3576</v>
      </c>
      <c r="AB123" t="s">
        <v>3576</v>
      </c>
      <c r="AC123" t="s">
        <v>3575</v>
      </c>
      <c r="AD123" t="s">
        <v>3922</v>
      </c>
      <c r="AE123" t="s">
        <v>3923</v>
      </c>
      <c r="AF123" t="s">
        <v>3964</v>
      </c>
      <c r="AG123" t="s">
        <v>3580</v>
      </c>
      <c r="AH123" t="s">
        <v>3581</v>
      </c>
      <c r="AI123" t="s">
        <v>3582</v>
      </c>
      <c r="AM123" t="s">
        <v>3583</v>
      </c>
      <c r="AN123" t="s">
        <v>4074</v>
      </c>
      <c r="AO123" t="s">
        <v>4124</v>
      </c>
      <c r="AP123" t="s">
        <v>4055</v>
      </c>
      <c r="AQ123" t="s">
        <v>4125</v>
      </c>
      <c r="AR123" t="s">
        <v>3742</v>
      </c>
      <c r="AS123" t="s">
        <v>4126</v>
      </c>
      <c r="AV123" t="s">
        <v>3638</v>
      </c>
      <c r="AW123" t="s">
        <v>3639</v>
      </c>
      <c r="AX123" t="s">
        <v>4127</v>
      </c>
      <c r="AZ123">
        <v>4.0819999999999999</v>
      </c>
      <c r="BA123">
        <v>9</v>
      </c>
      <c r="BB123" t="s">
        <v>3583</v>
      </c>
      <c r="BC123" s="36" t="s">
        <v>4128</v>
      </c>
      <c r="BD123" t="s">
        <v>4129</v>
      </c>
      <c r="BE123" t="s">
        <v>3642</v>
      </c>
      <c r="BF123" t="s">
        <v>3643</v>
      </c>
      <c r="BG123" t="s">
        <v>4130</v>
      </c>
      <c r="BH123" t="s">
        <v>4131</v>
      </c>
      <c r="BL123" t="s">
        <v>3598</v>
      </c>
      <c r="BS123" t="str">
        <v>Inbound</v>
      </c>
      <c r="BT123" t="str">
        <v>Land</v>
      </c>
      <c r="BU123" t="str">
        <v>RM-J-1357LI26</v>
      </c>
      <c r="BV123" t="str">
        <v>M46</v>
      </c>
      <c r="BW123" t="str">
        <v>1621-MYY0007</v>
      </c>
      <c r="BX123">
        <v>4.0819999999999999</v>
      </c>
      <c r="BY123" s="38">
        <f t="shared" si="4"/>
        <v>2.1110673819402896E-3</v>
      </c>
      <c r="BZ123" s="21">
        <f t="shared" si="5"/>
        <v>2.5332808583283475</v>
      </c>
    </row>
    <row r="124" spans="2:78" x14ac:dyDescent="0.35">
      <c r="B124" t="s">
        <v>4190</v>
      </c>
      <c r="C124" t="s">
        <v>262</v>
      </c>
      <c r="D124" t="str" cm="1">
        <f t="array" ref="D124">_xlfn.REGEXEXTRACT(F124,"\w?\w-J-\d{4}LI\d{2}")</f>
        <v>RM-J-1357LI26</v>
      </c>
      <c r="E124" t="s">
        <v>298</v>
      </c>
      <c r="F124" t="s">
        <v>4193</v>
      </c>
      <c r="G124" t="s">
        <v>4071</v>
      </c>
      <c r="H124" t="s">
        <v>3569</v>
      </c>
      <c r="I124" t="s">
        <v>3752</v>
      </c>
      <c r="J124" t="s">
        <v>3753</v>
      </c>
      <c r="K124" t="s">
        <v>3752</v>
      </c>
      <c r="T124" t="s">
        <v>4072</v>
      </c>
      <c r="U124" t="s">
        <v>3573</v>
      </c>
      <c r="Y124" t="s">
        <v>4073</v>
      </c>
      <c r="Z124" t="s">
        <v>3575</v>
      </c>
      <c r="AA124" t="s">
        <v>3576</v>
      </c>
      <c r="AB124" t="s">
        <v>3576</v>
      </c>
      <c r="AC124" t="s">
        <v>3575</v>
      </c>
      <c r="AD124" t="s">
        <v>3922</v>
      </c>
      <c r="AE124" t="s">
        <v>3923</v>
      </c>
      <c r="AF124" t="s">
        <v>3964</v>
      </c>
      <c r="AG124" t="s">
        <v>3580</v>
      </c>
      <c r="AH124" t="s">
        <v>3581</v>
      </c>
      <c r="AI124" t="s">
        <v>3582</v>
      </c>
      <c r="AM124" t="s">
        <v>3583</v>
      </c>
      <c r="AN124" t="s">
        <v>4074</v>
      </c>
      <c r="AO124" t="s">
        <v>4124</v>
      </c>
      <c r="AP124" t="s">
        <v>4055</v>
      </c>
      <c r="AQ124" t="s">
        <v>4132</v>
      </c>
      <c r="AR124" t="s">
        <v>3742</v>
      </c>
      <c r="AS124" t="s">
        <v>4133</v>
      </c>
      <c r="AV124" t="s">
        <v>3638</v>
      </c>
      <c r="AW124" t="s">
        <v>3639</v>
      </c>
      <c r="AX124" t="s">
        <v>4127</v>
      </c>
      <c r="AZ124">
        <v>4.0819999999999999</v>
      </c>
      <c r="BA124">
        <v>9</v>
      </c>
      <c r="BB124" t="s">
        <v>3583</v>
      </c>
      <c r="BC124" s="36" t="s">
        <v>4128</v>
      </c>
      <c r="BD124" t="s">
        <v>4129</v>
      </c>
      <c r="BE124" t="s">
        <v>3642</v>
      </c>
      <c r="BF124" t="s">
        <v>3643</v>
      </c>
      <c r="BG124" t="s">
        <v>4134</v>
      </c>
      <c r="BH124" t="s">
        <v>4135</v>
      </c>
      <c r="BL124" t="s">
        <v>3598</v>
      </c>
      <c r="BS124" t="str">
        <v>Inbound</v>
      </c>
      <c r="BT124" t="str">
        <v>Land</v>
      </c>
      <c r="BU124" t="str">
        <v>RM-J-1357LI26</v>
      </c>
      <c r="BV124" t="str">
        <v>M46</v>
      </c>
      <c r="BW124" t="str">
        <v>1621-MYY0007</v>
      </c>
      <c r="BX124">
        <v>4.0819999999999999</v>
      </c>
      <c r="BY124" s="38">
        <f t="shared" si="4"/>
        <v>2.1110673819402896E-3</v>
      </c>
      <c r="BZ124" s="21">
        <f t="shared" si="5"/>
        <v>2.5332808583283475</v>
      </c>
    </row>
    <row r="125" spans="2:78" x14ac:dyDescent="0.35">
      <c r="B125" t="s">
        <v>4190</v>
      </c>
      <c r="C125" t="s">
        <v>262</v>
      </c>
      <c r="D125" t="str" cm="1">
        <f t="array" ref="D125">_xlfn.REGEXEXTRACT(F125,"\w?\w-J-\d{4}LI\d{2}")</f>
        <v>RM-J-1357LI26</v>
      </c>
      <c r="E125" t="s">
        <v>4195</v>
      </c>
      <c r="F125" t="s">
        <v>4193</v>
      </c>
      <c r="G125" t="s">
        <v>4071</v>
      </c>
      <c r="H125" t="s">
        <v>3569</v>
      </c>
      <c r="I125" t="s">
        <v>3752</v>
      </c>
      <c r="J125" t="s">
        <v>3753</v>
      </c>
      <c r="K125" t="s">
        <v>3752</v>
      </c>
      <c r="T125" t="s">
        <v>4072</v>
      </c>
      <c r="U125" t="s">
        <v>3573</v>
      </c>
      <c r="Y125" t="s">
        <v>4073</v>
      </c>
      <c r="Z125" t="s">
        <v>3575</v>
      </c>
      <c r="AA125" t="s">
        <v>3576</v>
      </c>
      <c r="AB125" t="s">
        <v>3576</v>
      </c>
      <c r="AC125" t="s">
        <v>3575</v>
      </c>
      <c r="AD125" t="s">
        <v>3922</v>
      </c>
      <c r="AE125" t="s">
        <v>3923</v>
      </c>
      <c r="AF125" t="s">
        <v>3619</v>
      </c>
      <c r="AG125" t="s">
        <v>3580</v>
      </c>
      <c r="AH125" t="s">
        <v>3581</v>
      </c>
      <c r="AI125" t="s">
        <v>3582</v>
      </c>
      <c r="AM125" t="s">
        <v>3583</v>
      </c>
      <c r="AN125" t="s">
        <v>4074</v>
      </c>
      <c r="AO125" t="s">
        <v>4136</v>
      </c>
      <c r="AP125" t="s">
        <v>4055</v>
      </c>
      <c r="AQ125" t="s">
        <v>4137</v>
      </c>
      <c r="AR125" t="s">
        <v>4055</v>
      </c>
      <c r="AS125" t="s">
        <v>4138</v>
      </c>
      <c r="AV125" t="s">
        <v>3651</v>
      </c>
      <c r="AW125" t="s">
        <v>3652</v>
      </c>
      <c r="AX125" t="s">
        <v>4139</v>
      </c>
      <c r="AZ125">
        <v>90.718000000000004</v>
      </c>
      <c r="BA125">
        <v>200</v>
      </c>
      <c r="BB125" t="s">
        <v>3583</v>
      </c>
      <c r="BC125" s="36" t="s">
        <v>3654</v>
      </c>
      <c r="BD125" t="s">
        <v>3654</v>
      </c>
      <c r="BE125" t="s">
        <v>3655</v>
      </c>
      <c r="BF125" t="s">
        <v>3654</v>
      </c>
      <c r="BG125" t="s">
        <v>3583</v>
      </c>
      <c r="BH125" t="s">
        <v>3579</v>
      </c>
      <c r="BL125" t="s">
        <v>3598</v>
      </c>
      <c r="BS125" t="str">
        <v>Inbound</v>
      </c>
      <c r="BT125" t="str">
        <v>Land</v>
      </c>
      <c r="BU125" t="str">
        <v>RM-J-1357LI26</v>
      </c>
      <c r="BV125" t="str">
        <v>Miscelaneus</v>
      </c>
      <c r="BW125" t="str">
        <v>TAPA PLASTICA</v>
      </c>
      <c r="BX125">
        <v>90.718000000000004</v>
      </c>
      <c r="BY125" s="38">
        <f t="shared" si="4"/>
        <v>4.6916171179534345E-2</v>
      </c>
      <c r="BZ125" s="21">
        <f t="shared" si="5"/>
        <v>56.299405415441214</v>
      </c>
    </row>
    <row r="126" spans="2:78" x14ac:dyDescent="0.35">
      <c r="B126" t="s">
        <v>4190</v>
      </c>
      <c r="C126" t="s">
        <v>262</v>
      </c>
      <c r="D126" t="str" cm="1">
        <f t="array" ref="D126">_xlfn.REGEXEXTRACT(F126,"\w?\w-J-\d{4}LI\d{2}")</f>
        <v>RM-J-1357LI26</v>
      </c>
      <c r="E126" t="s">
        <v>4195</v>
      </c>
      <c r="F126" t="s">
        <v>4193</v>
      </c>
      <c r="G126" t="s">
        <v>4071</v>
      </c>
      <c r="H126" t="s">
        <v>3569</v>
      </c>
      <c r="I126" t="s">
        <v>3752</v>
      </c>
      <c r="J126" t="s">
        <v>3753</v>
      </c>
      <c r="K126" t="s">
        <v>3752</v>
      </c>
      <c r="T126" t="s">
        <v>4072</v>
      </c>
      <c r="U126" t="s">
        <v>3573</v>
      </c>
      <c r="Y126" t="s">
        <v>4073</v>
      </c>
      <c r="Z126" t="s">
        <v>3575</v>
      </c>
      <c r="AA126" t="s">
        <v>3576</v>
      </c>
      <c r="AB126" t="s">
        <v>3576</v>
      </c>
      <c r="AC126" t="s">
        <v>3575</v>
      </c>
      <c r="AD126" t="s">
        <v>3922</v>
      </c>
      <c r="AE126" t="s">
        <v>3923</v>
      </c>
      <c r="AF126" t="s">
        <v>3619</v>
      </c>
      <c r="AG126" t="s">
        <v>3580</v>
      </c>
      <c r="AH126" t="s">
        <v>3581</v>
      </c>
      <c r="AI126" t="s">
        <v>3582</v>
      </c>
      <c r="AM126" t="s">
        <v>3583</v>
      </c>
      <c r="AN126" t="s">
        <v>4074</v>
      </c>
      <c r="AO126" t="s">
        <v>4136</v>
      </c>
      <c r="AP126" t="s">
        <v>4055</v>
      </c>
      <c r="AQ126" t="s">
        <v>4137</v>
      </c>
      <c r="AR126" t="s">
        <v>4055</v>
      </c>
      <c r="AS126" t="s">
        <v>4138</v>
      </c>
      <c r="AV126" t="s">
        <v>3651</v>
      </c>
      <c r="AW126" t="s">
        <v>3652</v>
      </c>
      <c r="AX126" t="s">
        <v>4139</v>
      </c>
      <c r="AZ126">
        <v>90.718000000000004</v>
      </c>
      <c r="BA126">
        <v>200</v>
      </c>
      <c r="BB126" t="s">
        <v>3599</v>
      </c>
      <c r="BC126" s="36" t="s">
        <v>3657</v>
      </c>
      <c r="BE126" t="s">
        <v>3658</v>
      </c>
      <c r="BF126" t="s">
        <v>3657</v>
      </c>
      <c r="BG126" t="s">
        <v>4140</v>
      </c>
      <c r="BH126" t="s">
        <v>3659</v>
      </c>
      <c r="BL126" t="s">
        <v>3598</v>
      </c>
      <c r="BS126" t="str">
        <v>Inbound</v>
      </c>
      <c r="BT126" t="str">
        <v>Land</v>
      </c>
      <c r="BU126" t="str">
        <v>RM-J-1357LI26</v>
      </c>
      <c r="BV126" t="str">
        <v>Miscelaneus</v>
      </c>
      <c r="BW126" t="str">
        <v>CHAROLA PLASTICA</v>
      </c>
      <c r="BX126">
        <v>90.718000000000004</v>
      </c>
      <c r="BY126" s="38">
        <f t="shared" si="4"/>
        <v>4.6916171179534345E-2</v>
      </c>
      <c r="BZ126" s="21">
        <f t="shared" si="5"/>
        <v>56.299405415441214</v>
      </c>
    </row>
    <row r="127" spans="2:78" x14ac:dyDescent="0.35">
      <c r="B127" t="s">
        <v>4190</v>
      </c>
      <c r="C127" t="s">
        <v>262</v>
      </c>
      <c r="D127" t="str" cm="1">
        <f t="array" ref="D127">_xlfn.REGEXEXTRACT(F127,"\w?\w-J-\d{4}LI\d{2}")</f>
        <v>RM-J-1357LI26</v>
      </c>
      <c r="E127" t="s">
        <v>4195</v>
      </c>
      <c r="F127" t="s">
        <v>4193</v>
      </c>
      <c r="G127" t="s">
        <v>4071</v>
      </c>
      <c r="H127" t="s">
        <v>3569</v>
      </c>
      <c r="I127" t="s">
        <v>3752</v>
      </c>
      <c r="J127" t="s">
        <v>3753</v>
      </c>
      <c r="K127" t="s">
        <v>3752</v>
      </c>
      <c r="T127" t="s">
        <v>4072</v>
      </c>
      <c r="U127" t="s">
        <v>3573</v>
      </c>
      <c r="Y127" t="s">
        <v>4073</v>
      </c>
      <c r="Z127" t="s">
        <v>3575</v>
      </c>
      <c r="AA127" t="s">
        <v>3576</v>
      </c>
      <c r="AB127" t="s">
        <v>3576</v>
      </c>
      <c r="AC127" t="s">
        <v>3575</v>
      </c>
      <c r="AD127" t="s">
        <v>3922</v>
      </c>
      <c r="AE127" t="s">
        <v>3923</v>
      </c>
      <c r="AF127" t="s">
        <v>3619</v>
      </c>
      <c r="AG127" t="s">
        <v>3580</v>
      </c>
      <c r="AH127" t="s">
        <v>3581</v>
      </c>
      <c r="AI127" t="s">
        <v>3582</v>
      </c>
      <c r="AM127" t="s">
        <v>3583</v>
      </c>
      <c r="AN127" t="s">
        <v>4074</v>
      </c>
      <c r="AO127" t="s">
        <v>4136</v>
      </c>
      <c r="AP127" t="s">
        <v>4055</v>
      </c>
      <c r="AQ127" t="s">
        <v>4137</v>
      </c>
      <c r="AR127" t="s">
        <v>4055</v>
      </c>
      <c r="AS127" t="s">
        <v>4138</v>
      </c>
      <c r="AV127" t="s">
        <v>3651</v>
      </c>
      <c r="AW127" t="s">
        <v>3652</v>
      </c>
      <c r="AX127" t="s">
        <v>4139</v>
      </c>
      <c r="AZ127">
        <v>90.718000000000004</v>
      </c>
      <c r="BA127">
        <v>200</v>
      </c>
      <c r="BB127" t="s">
        <v>3596</v>
      </c>
      <c r="BC127" s="36" t="s">
        <v>3661</v>
      </c>
      <c r="BD127" t="s">
        <v>3654</v>
      </c>
      <c r="BE127" t="s">
        <v>3662</v>
      </c>
      <c r="BF127" t="s">
        <v>3661</v>
      </c>
      <c r="BG127" t="s">
        <v>3583</v>
      </c>
      <c r="BH127" t="s">
        <v>3579</v>
      </c>
      <c r="BL127" t="s">
        <v>3598</v>
      </c>
      <c r="BS127" t="str">
        <v>Inbound</v>
      </c>
      <c r="BT127" t="str">
        <v>Land</v>
      </c>
      <c r="BU127" t="str">
        <v>RM-J-1357LI26</v>
      </c>
      <c r="BV127" t="str">
        <v>Miscelaneus</v>
      </c>
      <c r="BW127" t="str">
        <v>BASE PLASTICA</v>
      </c>
      <c r="BX127">
        <v>90.718000000000004</v>
      </c>
      <c r="BY127" s="38">
        <f t="shared" si="4"/>
        <v>4.6916171179534345E-2</v>
      </c>
      <c r="BZ127" s="21">
        <f t="shared" si="5"/>
        <v>56.299405415441214</v>
      </c>
    </row>
    <row r="128" spans="2:78" x14ac:dyDescent="0.35">
      <c r="B128" t="s">
        <v>4190</v>
      </c>
      <c r="C128" t="s">
        <v>262</v>
      </c>
      <c r="D128" t="str" cm="1">
        <f t="array" ref="D128">_xlfn.REGEXEXTRACT(F128,"\w?\w-J-\d{4}LI\d{2}")</f>
        <v>RM-J-1357LI26</v>
      </c>
      <c r="E128" t="s">
        <v>4195</v>
      </c>
      <c r="F128" t="s">
        <v>4193</v>
      </c>
      <c r="G128" t="s">
        <v>4071</v>
      </c>
      <c r="H128" t="s">
        <v>3569</v>
      </c>
      <c r="I128" t="s">
        <v>3752</v>
      </c>
      <c r="J128" t="s">
        <v>3753</v>
      </c>
      <c r="K128" t="s">
        <v>3752</v>
      </c>
      <c r="T128" t="s">
        <v>4072</v>
      </c>
      <c r="U128" t="s">
        <v>3573</v>
      </c>
      <c r="Y128" t="s">
        <v>4073</v>
      </c>
      <c r="Z128" t="s">
        <v>3575</v>
      </c>
      <c r="AA128" t="s">
        <v>3576</v>
      </c>
      <c r="AB128" t="s">
        <v>3576</v>
      </c>
      <c r="AC128" t="s">
        <v>3575</v>
      </c>
      <c r="AD128" t="s">
        <v>3922</v>
      </c>
      <c r="AE128" t="s">
        <v>3923</v>
      </c>
      <c r="AF128" t="s">
        <v>3773</v>
      </c>
      <c r="AG128" t="s">
        <v>3580</v>
      </c>
      <c r="AH128" t="s">
        <v>3581</v>
      </c>
      <c r="AI128" t="s">
        <v>3582</v>
      </c>
      <c r="AM128" t="s">
        <v>3962</v>
      </c>
      <c r="AN128" t="s">
        <v>4074</v>
      </c>
      <c r="AO128" t="s">
        <v>4141</v>
      </c>
      <c r="AP128" t="s">
        <v>4072</v>
      </c>
      <c r="AQ128" t="s">
        <v>4142</v>
      </c>
      <c r="AR128" t="s">
        <v>4072</v>
      </c>
      <c r="AS128" t="s">
        <v>4143</v>
      </c>
      <c r="AV128" t="s">
        <v>3714</v>
      </c>
      <c r="AW128" t="s">
        <v>3715</v>
      </c>
      <c r="AX128" t="s">
        <v>4142</v>
      </c>
      <c r="AZ128">
        <v>240.39500000000001</v>
      </c>
      <c r="BA128">
        <v>529.98</v>
      </c>
      <c r="BB128" t="s">
        <v>3583</v>
      </c>
      <c r="BC128" s="36" t="s">
        <v>3654</v>
      </c>
      <c r="BD128" t="s">
        <v>3654</v>
      </c>
      <c r="BE128" t="s">
        <v>3655</v>
      </c>
      <c r="BF128" t="s">
        <v>3654</v>
      </c>
      <c r="BG128" t="s">
        <v>3962</v>
      </c>
      <c r="BH128" t="s">
        <v>4144</v>
      </c>
      <c r="BL128" t="s">
        <v>3598</v>
      </c>
      <c r="BS128" t="str">
        <v>Inbound</v>
      </c>
      <c r="BT128" t="str">
        <v>Land</v>
      </c>
      <c r="BU128" t="str">
        <v>RM-J-1357LI26</v>
      </c>
      <c r="BV128" t="str">
        <v>Miscelaneus</v>
      </c>
      <c r="BW128" t="str">
        <v>TAPA PLASTICA</v>
      </c>
      <c r="BX128">
        <v>240.39500000000001</v>
      </c>
      <c r="BY128" s="38">
        <f t="shared" si="4"/>
        <v>0.1243238714555453</v>
      </c>
      <c r="BZ128" s="21">
        <f t="shared" si="5"/>
        <v>149.18864574665434</v>
      </c>
    </row>
    <row r="129" spans="2:78" x14ac:dyDescent="0.35">
      <c r="B129" t="s">
        <v>4190</v>
      </c>
      <c r="C129" t="s">
        <v>262</v>
      </c>
      <c r="D129" t="str" cm="1">
        <f t="array" ref="D129">_xlfn.REGEXEXTRACT(F129,"\w?\w-J-\d{4}LI\d{2}")</f>
        <v>RM-J-1357LI26</v>
      </c>
      <c r="E129" t="s">
        <v>4195</v>
      </c>
      <c r="F129" t="s">
        <v>4193</v>
      </c>
      <c r="G129" t="s">
        <v>4071</v>
      </c>
      <c r="H129" t="s">
        <v>3569</v>
      </c>
      <c r="I129" t="s">
        <v>3752</v>
      </c>
      <c r="J129" t="s">
        <v>3753</v>
      </c>
      <c r="K129" t="s">
        <v>3752</v>
      </c>
      <c r="T129" t="s">
        <v>4072</v>
      </c>
      <c r="U129" t="s">
        <v>3573</v>
      </c>
      <c r="Y129" t="s">
        <v>4073</v>
      </c>
      <c r="Z129" t="s">
        <v>3575</v>
      </c>
      <c r="AA129" t="s">
        <v>3576</v>
      </c>
      <c r="AB129" t="s">
        <v>3576</v>
      </c>
      <c r="AC129" t="s">
        <v>3575</v>
      </c>
      <c r="AD129" t="s">
        <v>3922</v>
      </c>
      <c r="AE129" t="s">
        <v>3923</v>
      </c>
      <c r="AF129" t="s">
        <v>3773</v>
      </c>
      <c r="AG129" t="s">
        <v>3580</v>
      </c>
      <c r="AH129" t="s">
        <v>3581</v>
      </c>
      <c r="AI129" t="s">
        <v>3582</v>
      </c>
      <c r="AM129" t="s">
        <v>3962</v>
      </c>
      <c r="AN129" t="s">
        <v>4074</v>
      </c>
      <c r="AO129" t="s">
        <v>4141</v>
      </c>
      <c r="AP129" t="s">
        <v>4072</v>
      </c>
      <c r="AQ129" t="s">
        <v>4142</v>
      </c>
      <c r="AR129" t="s">
        <v>4072</v>
      </c>
      <c r="AS129" t="s">
        <v>4143</v>
      </c>
      <c r="AV129" t="s">
        <v>3714</v>
      </c>
      <c r="AW129" t="s">
        <v>3715</v>
      </c>
      <c r="AX129" t="s">
        <v>4142</v>
      </c>
      <c r="AZ129">
        <v>240.39500000000001</v>
      </c>
      <c r="BA129">
        <v>529.98</v>
      </c>
      <c r="BB129" t="s">
        <v>3599</v>
      </c>
      <c r="BC129" s="36" t="s">
        <v>3718</v>
      </c>
      <c r="BE129" t="s">
        <v>3662</v>
      </c>
      <c r="BF129" t="s">
        <v>3719</v>
      </c>
      <c r="BG129" t="s">
        <v>4145</v>
      </c>
      <c r="BH129" t="s">
        <v>4146</v>
      </c>
      <c r="BL129" t="s">
        <v>3598</v>
      </c>
      <c r="BS129" t="str">
        <v>Inbound</v>
      </c>
      <c r="BT129" t="str">
        <v>Land</v>
      </c>
      <c r="BU129" t="str">
        <v>RM-J-1357LI26</v>
      </c>
      <c r="BV129" t="str">
        <v>Miscelaneus</v>
      </c>
      <c r="BW129" t="str">
        <v>CAJAS PLASTICAS</v>
      </c>
      <c r="BX129">
        <v>240.39500000000001</v>
      </c>
      <c r="BY129" s="38">
        <f t="shared" si="4"/>
        <v>0.1243238714555453</v>
      </c>
      <c r="BZ129" s="21">
        <f t="shared" si="5"/>
        <v>149.18864574665434</v>
      </c>
    </row>
    <row r="130" spans="2:78" x14ac:dyDescent="0.35">
      <c r="B130" t="s">
        <v>4190</v>
      </c>
      <c r="C130" t="s">
        <v>262</v>
      </c>
      <c r="D130" t="str" cm="1">
        <f t="array" ref="D130">_xlfn.REGEXEXTRACT(F130,"\w?\w-J-\d{4}LI\d{2}")</f>
        <v>RM-J-1357LI26</v>
      </c>
      <c r="E130" t="s">
        <v>4195</v>
      </c>
      <c r="F130" t="s">
        <v>4193</v>
      </c>
      <c r="G130" t="s">
        <v>4071</v>
      </c>
      <c r="H130" t="s">
        <v>3569</v>
      </c>
      <c r="I130" t="s">
        <v>3752</v>
      </c>
      <c r="J130" t="s">
        <v>3753</v>
      </c>
      <c r="K130" t="s">
        <v>3752</v>
      </c>
      <c r="T130" t="s">
        <v>4072</v>
      </c>
      <c r="U130" t="s">
        <v>3573</v>
      </c>
      <c r="Y130" t="s">
        <v>4073</v>
      </c>
      <c r="Z130" t="s">
        <v>3575</v>
      </c>
      <c r="AA130" t="s">
        <v>3576</v>
      </c>
      <c r="AB130" t="s">
        <v>3576</v>
      </c>
      <c r="AC130" t="s">
        <v>3575</v>
      </c>
      <c r="AD130" t="s">
        <v>3922</v>
      </c>
      <c r="AE130" t="s">
        <v>3923</v>
      </c>
      <c r="AF130" t="s">
        <v>3773</v>
      </c>
      <c r="AG130" t="s">
        <v>3580</v>
      </c>
      <c r="AH130" t="s">
        <v>3581</v>
      </c>
      <c r="AI130" t="s">
        <v>3582</v>
      </c>
      <c r="AM130" t="s">
        <v>3962</v>
      </c>
      <c r="AN130" t="s">
        <v>4074</v>
      </c>
      <c r="AO130" t="s">
        <v>4141</v>
      </c>
      <c r="AP130" t="s">
        <v>4072</v>
      </c>
      <c r="AQ130" t="s">
        <v>4142</v>
      </c>
      <c r="AR130" t="s">
        <v>4072</v>
      </c>
      <c r="AS130" t="s">
        <v>4143</v>
      </c>
      <c r="AV130" t="s">
        <v>3714</v>
      </c>
      <c r="AW130" t="s">
        <v>3715</v>
      </c>
      <c r="AX130" t="s">
        <v>4142</v>
      </c>
      <c r="AZ130">
        <v>240.39500000000001</v>
      </c>
      <c r="BA130">
        <v>529.98</v>
      </c>
      <c r="BB130" t="s">
        <v>3596</v>
      </c>
      <c r="BC130" s="36" t="s">
        <v>3661</v>
      </c>
      <c r="BD130" t="s">
        <v>3654</v>
      </c>
      <c r="BE130" t="s">
        <v>3662</v>
      </c>
      <c r="BF130" t="s">
        <v>3661</v>
      </c>
      <c r="BG130" t="s">
        <v>3962</v>
      </c>
      <c r="BH130" t="s">
        <v>4144</v>
      </c>
      <c r="BL130" t="s">
        <v>3598</v>
      </c>
      <c r="BS130" t="str">
        <v>Inbound</v>
      </c>
      <c r="BT130" t="str">
        <v>Land</v>
      </c>
      <c r="BU130" t="str">
        <v>RM-J-1357LI26</v>
      </c>
      <c r="BV130" t="str">
        <v>Miscelaneus</v>
      </c>
      <c r="BW130" t="str">
        <v>BASE PLASTICA</v>
      </c>
      <c r="BX130">
        <v>240.39500000000001</v>
      </c>
      <c r="BY130" s="38">
        <f t="shared" si="4"/>
        <v>0.1243238714555453</v>
      </c>
      <c r="BZ130" s="21">
        <f t="shared" si="5"/>
        <v>149.18864574665434</v>
      </c>
    </row>
    <row r="131" spans="2:78" x14ac:dyDescent="0.35">
      <c r="B131" t="s">
        <v>4190</v>
      </c>
      <c r="C131" t="s">
        <v>262</v>
      </c>
      <c r="D131" t="str" cm="1">
        <f t="array" ref="D131">_xlfn.REGEXEXTRACT(F131,"\w?\w-J-\d{4}LI\d{2}")</f>
        <v>RM-J-1357LI26</v>
      </c>
      <c r="E131" t="s">
        <v>298</v>
      </c>
      <c r="F131" t="s">
        <v>4193</v>
      </c>
      <c r="G131" t="s">
        <v>4071</v>
      </c>
      <c r="H131" t="s">
        <v>3569</v>
      </c>
      <c r="I131" t="s">
        <v>3752</v>
      </c>
      <c r="J131" t="s">
        <v>3753</v>
      </c>
      <c r="K131" t="s">
        <v>3752</v>
      </c>
      <c r="T131" t="s">
        <v>4072</v>
      </c>
      <c r="U131" t="s">
        <v>3573</v>
      </c>
      <c r="Y131" t="s">
        <v>4073</v>
      </c>
      <c r="Z131" t="s">
        <v>3575</v>
      </c>
      <c r="AA131" t="s">
        <v>3576</v>
      </c>
      <c r="AB131" t="s">
        <v>3576</v>
      </c>
      <c r="AC131" t="s">
        <v>3575</v>
      </c>
      <c r="AD131" t="s">
        <v>3922</v>
      </c>
      <c r="AE131" t="s">
        <v>3923</v>
      </c>
      <c r="AF131" t="s">
        <v>3816</v>
      </c>
      <c r="AG131" t="s">
        <v>3580</v>
      </c>
      <c r="AH131" t="s">
        <v>3581</v>
      </c>
      <c r="AI131" t="s">
        <v>3582</v>
      </c>
      <c r="AM131" t="s">
        <v>3583</v>
      </c>
      <c r="AN131" t="s">
        <v>4074</v>
      </c>
      <c r="AO131" t="s">
        <v>4147</v>
      </c>
      <c r="AP131" t="s">
        <v>4072</v>
      </c>
      <c r="AQ131" t="s">
        <v>4148</v>
      </c>
      <c r="AR131" t="s">
        <v>3920</v>
      </c>
      <c r="AS131" t="s">
        <v>3724</v>
      </c>
      <c r="AV131" t="s">
        <v>3725</v>
      </c>
      <c r="AW131" t="s">
        <v>3726</v>
      </c>
      <c r="AX131" t="s">
        <v>4148</v>
      </c>
      <c r="AZ131">
        <v>68</v>
      </c>
      <c r="BA131">
        <v>149.91399999999999</v>
      </c>
      <c r="BB131" t="s">
        <v>3583</v>
      </c>
      <c r="BC131" s="36" t="s">
        <v>3727</v>
      </c>
      <c r="BE131" t="s">
        <v>79</v>
      </c>
      <c r="BF131" t="s">
        <v>3728</v>
      </c>
      <c r="BG131" t="s">
        <v>3729</v>
      </c>
      <c r="BH131" t="s">
        <v>3730</v>
      </c>
      <c r="BL131" t="s">
        <v>3598</v>
      </c>
      <c r="BS131" t="str">
        <v>Inbound</v>
      </c>
      <c r="BT131" t="str">
        <v>Land</v>
      </c>
      <c r="BU131" t="str">
        <v>RM-J-1357LI26</v>
      </c>
      <c r="BV131" t="str">
        <v>M46</v>
      </c>
      <c r="BW131" t="str">
        <v>1999-EQH0003</v>
      </c>
      <c r="BX131">
        <v>68</v>
      </c>
      <c r="BY131" s="38">
        <f t="shared" si="4"/>
        <v>3.5167217533547207E-2</v>
      </c>
      <c r="BZ131" s="21">
        <f t="shared" si="5"/>
        <v>42.200661040256648</v>
      </c>
    </row>
    <row r="132" spans="2:78" x14ac:dyDescent="0.35">
      <c r="B132" t="s">
        <v>4190</v>
      </c>
      <c r="C132" t="s">
        <v>262</v>
      </c>
      <c r="D132" t="str" cm="1">
        <f t="array" ref="D132">_xlfn.REGEXEXTRACT(F132,"\w?\w-J-\d{4}LI\d{2}")</f>
        <v>RM-J-1357LI26</v>
      </c>
      <c r="E132" t="s">
        <v>4195</v>
      </c>
      <c r="F132" t="s">
        <v>4193</v>
      </c>
      <c r="G132" t="s">
        <v>4071</v>
      </c>
      <c r="H132" t="s">
        <v>3569</v>
      </c>
      <c r="I132" t="s">
        <v>3752</v>
      </c>
      <c r="J132" t="s">
        <v>3753</v>
      </c>
      <c r="K132" t="s">
        <v>3752</v>
      </c>
      <c r="T132" t="s">
        <v>4072</v>
      </c>
      <c r="U132" t="s">
        <v>3573</v>
      </c>
      <c r="Y132" t="s">
        <v>4073</v>
      </c>
      <c r="Z132" t="s">
        <v>3575</v>
      </c>
      <c r="AA132" t="s">
        <v>3576</v>
      </c>
      <c r="AB132" t="s">
        <v>3576</v>
      </c>
      <c r="AC132" t="s">
        <v>3575</v>
      </c>
      <c r="AD132" t="s">
        <v>4149</v>
      </c>
      <c r="AE132" t="s">
        <v>4150</v>
      </c>
      <c r="AF132" t="s">
        <v>3583</v>
      </c>
      <c r="AG132" t="s">
        <v>3580</v>
      </c>
      <c r="AH132" t="s">
        <v>3581</v>
      </c>
      <c r="AI132" t="s">
        <v>3582</v>
      </c>
      <c r="AM132" t="s">
        <v>3583</v>
      </c>
      <c r="AN132" t="s">
        <v>4074</v>
      </c>
      <c r="AO132" t="s">
        <v>4151</v>
      </c>
      <c r="AP132" t="s">
        <v>4055</v>
      </c>
      <c r="AQ132" t="s">
        <v>4152</v>
      </c>
      <c r="AR132" t="s">
        <v>3869</v>
      </c>
      <c r="AS132" t="s">
        <v>4153</v>
      </c>
      <c r="AV132" t="s">
        <v>4154</v>
      </c>
      <c r="AW132" t="s">
        <v>4155</v>
      </c>
      <c r="AX132" t="s">
        <v>4156</v>
      </c>
      <c r="AZ132">
        <v>3.629</v>
      </c>
      <c r="BA132">
        <v>8</v>
      </c>
      <c r="BB132" t="s">
        <v>3583</v>
      </c>
      <c r="BC132" s="36" t="s">
        <v>4157</v>
      </c>
      <c r="BE132" t="s">
        <v>4158</v>
      </c>
      <c r="BF132" t="s">
        <v>4159</v>
      </c>
      <c r="BG132" t="s">
        <v>3599</v>
      </c>
      <c r="BH132" t="s">
        <v>4160</v>
      </c>
      <c r="BL132" t="s">
        <v>3598</v>
      </c>
      <c r="BS132" t="str">
        <v>Inbound</v>
      </c>
      <c r="BT132" t="str">
        <v>Land</v>
      </c>
      <c r="BU132" t="str">
        <v>RM-J-1357LI26</v>
      </c>
      <c r="BV132" t="str">
        <v>Miscelaneus</v>
      </c>
      <c r="BW132" t="str">
        <v>91165032</v>
      </c>
      <c r="BX132">
        <v>3.629</v>
      </c>
      <c r="BY132" s="38">
        <f t="shared" si="4"/>
        <v>1.8767916533712176E-3</v>
      </c>
      <c r="BZ132" s="21">
        <f t="shared" si="5"/>
        <v>2.2521499840454613</v>
      </c>
    </row>
    <row r="133" spans="2:78" x14ac:dyDescent="0.35">
      <c r="B133" t="s">
        <v>4190</v>
      </c>
      <c r="C133" t="s">
        <v>262</v>
      </c>
      <c r="D133" t="str" cm="1">
        <f t="array" ref="D133">_xlfn.REGEXEXTRACT(F133,"\w?\w-J-\d{4}LI\d{2}")</f>
        <v>RM-J-1357LI26</v>
      </c>
      <c r="E133" t="s">
        <v>4195</v>
      </c>
      <c r="F133" t="s">
        <v>4193</v>
      </c>
      <c r="G133" t="s">
        <v>4071</v>
      </c>
      <c r="H133" t="s">
        <v>3569</v>
      </c>
      <c r="I133" t="s">
        <v>3752</v>
      </c>
      <c r="J133" t="s">
        <v>3753</v>
      </c>
      <c r="K133" t="s">
        <v>3752</v>
      </c>
      <c r="T133" t="s">
        <v>4072</v>
      </c>
      <c r="U133" t="s">
        <v>3573</v>
      </c>
      <c r="Y133" t="s">
        <v>4073</v>
      </c>
      <c r="Z133" t="s">
        <v>3575</v>
      </c>
      <c r="AA133" t="s">
        <v>3576</v>
      </c>
      <c r="AB133" t="s">
        <v>3576</v>
      </c>
      <c r="AC133" t="s">
        <v>3575</v>
      </c>
      <c r="AD133" t="s">
        <v>4149</v>
      </c>
      <c r="AE133" t="s">
        <v>4150</v>
      </c>
      <c r="AF133" t="s">
        <v>3583</v>
      </c>
      <c r="AG133" t="s">
        <v>3580</v>
      </c>
      <c r="AH133" t="s">
        <v>3581</v>
      </c>
      <c r="AI133" t="s">
        <v>3582</v>
      </c>
      <c r="AM133" t="s">
        <v>3583</v>
      </c>
      <c r="AN133" t="s">
        <v>4074</v>
      </c>
      <c r="AO133" t="s">
        <v>4151</v>
      </c>
      <c r="AP133" t="s">
        <v>4055</v>
      </c>
      <c r="AQ133" t="s">
        <v>4152</v>
      </c>
      <c r="AR133" t="s">
        <v>3869</v>
      </c>
      <c r="AS133" t="s">
        <v>4153</v>
      </c>
      <c r="AV133" t="s">
        <v>4154</v>
      </c>
      <c r="AW133" t="s">
        <v>4155</v>
      </c>
      <c r="AX133" t="s">
        <v>4156</v>
      </c>
      <c r="AZ133">
        <v>3.629</v>
      </c>
      <c r="BA133">
        <v>8</v>
      </c>
      <c r="BB133" t="s">
        <v>3599</v>
      </c>
      <c r="BC133" s="36" t="s">
        <v>4161</v>
      </c>
      <c r="BE133" t="s">
        <v>4158</v>
      </c>
      <c r="BF133" t="s">
        <v>4159</v>
      </c>
      <c r="BG133" t="s">
        <v>3583</v>
      </c>
      <c r="BH133" t="s">
        <v>4162</v>
      </c>
      <c r="BL133" t="s">
        <v>3598</v>
      </c>
      <c r="BS133" t="str">
        <v>Inbound</v>
      </c>
      <c r="BT133" t="str">
        <v>Land</v>
      </c>
      <c r="BU133" t="str">
        <v>RM-J-1357LI26</v>
      </c>
      <c r="BV133" t="str">
        <v>Miscelaneus</v>
      </c>
      <c r="BW133" t="str">
        <v>91165023</v>
      </c>
      <c r="BX133">
        <v>3.629</v>
      </c>
      <c r="BY133" s="38">
        <f t="shared" si="4"/>
        <v>1.8767916533712176E-3</v>
      </c>
      <c r="BZ133" s="21">
        <f t="shared" si="5"/>
        <v>2.2521499840454613</v>
      </c>
    </row>
    <row r="134" spans="2:78" x14ac:dyDescent="0.35">
      <c r="B134" t="s">
        <v>4190</v>
      </c>
      <c r="C134" t="s">
        <v>262</v>
      </c>
      <c r="D134" t="str" cm="1">
        <f t="array" ref="D134">_xlfn.REGEXEXTRACT(F134,"\w?\w-J-\d{4}LI\d{2}")</f>
        <v>RM-J-1357LI26</v>
      </c>
      <c r="E134" t="s">
        <v>4195</v>
      </c>
      <c r="F134" t="s">
        <v>4193</v>
      </c>
      <c r="G134" t="s">
        <v>4071</v>
      </c>
      <c r="H134" t="s">
        <v>3569</v>
      </c>
      <c r="I134" t="s">
        <v>3752</v>
      </c>
      <c r="J134" t="s">
        <v>3753</v>
      </c>
      <c r="K134" t="s">
        <v>3752</v>
      </c>
      <c r="T134" t="s">
        <v>4072</v>
      </c>
      <c r="U134" t="s">
        <v>3573</v>
      </c>
      <c r="Y134" t="s">
        <v>4073</v>
      </c>
      <c r="Z134" t="s">
        <v>3575</v>
      </c>
      <c r="AA134" t="s">
        <v>3576</v>
      </c>
      <c r="AB134" t="s">
        <v>3576</v>
      </c>
      <c r="AC134" t="s">
        <v>3575</v>
      </c>
      <c r="AD134" t="s">
        <v>4149</v>
      </c>
      <c r="AE134" t="s">
        <v>4150</v>
      </c>
      <c r="AF134" t="s">
        <v>3583</v>
      </c>
      <c r="AG134" t="s">
        <v>3580</v>
      </c>
      <c r="AH134" t="s">
        <v>3581</v>
      </c>
      <c r="AI134" t="s">
        <v>3582</v>
      </c>
      <c r="AM134" t="s">
        <v>3583</v>
      </c>
      <c r="AN134" t="s">
        <v>4074</v>
      </c>
      <c r="AO134" t="s">
        <v>4151</v>
      </c>
      <c r="AP134" t="s">
        <v>4055</v>
      </c>
      <c r="AQ134" t="s">
        <v>4152</v>
      </c>
      <c r="AR134" t="s">
        <v>3869</v>
      </c>
      <c r="AS134" t="s">
        <v>4153</v>
      </c>
      <c r="AV134" t="s">
        <v>4154</v>
      </c>
      <c r="AW134" t="s">
        <v>4155</v>
      </c>
      <c r="AX134" t="s">
        <v>4156</v>
      </c>
      <c r="AZ134">
        <v>3.629</v>
      </c>
      <c r="BA134">
        <v>8</v>
      </c>
      <c r="BB134" t="s">
        <v>3596</v>
      </c>
      <c r="BC134" s="36" t="s">
        <v>4161</v>
      </c>
      <c r="BE134" t="s">
        <v>4158</v>
      </c>
      <c r="BF134" t="s">
        <v>4159</v>
      </c>
      <c r="BG134" t="s">
        <v>3583</v>
      </c>
      <c r="BH134" t="s">
        <v>4162</v>
      </c>
      <c r="BL134" t="s">
        <v>3598</v>
      </c>
      <c r="BS134" t="str">
        <v>Inbound</v>
      </c>
      <c r="BT134" t="str">
        <v>Land</v>
      </c>
      <c r="BU134" t="str">
        <v>RM-J-1357LI26</v>
      </c>
      <c r="BV134" t="str">
        <v>Miscelaneus</v>
      </c>
      <c r="BW134" t="str">
        <v>91165023</v>
      </c>
      <c r="BX134">
        <v>3.629</v>
      </c>
      <c r="BY134" s="38">
        <f t="shared" si="4"/>
        <v>1.8767916533712176E-3</v>
      </c>
      <c r="BZ134" s="21">
        <f t="shared" si="5"/>
        <v>2.2521499840454613</v>
      </c>
    </row>
    <row r="135" spans="2:78" x14ac:dyDescent="0.35">
      <c r="B135" t="s">
        <v>4190</v>
      </c>
      <c r="C135" t="s">
        <v>262</v>
      </c>
      <c r="D135" t="str" cm="1">
        <f t="array" ref="D135">_xlfn.REGEXEXTRACT(F135,"\w?\w-J-\d{4}LI\d{2}")</f>
        <v>RM-J-1359LI26</v>
      </c>
      <c r="E135" t="s">
        <v>4195</v>
      </c>
      <c r="F135" t="s">
        <v>4163</v>
      </c>
      <c r="G135" t="s">
        <v>4164</v>
      </c>
      <c r="H135" t="s">
        <v>3569</v>
      </c>
      <c r="I135" t="s">
        <v>3752</v>
      </c>
      <c r="J135" t="s">
        <v>3753</v>
      </c>
      <c r="K135" t="s">
        <v>3752</v>
      </c>
      <c r="T135" t="s">
        <v>4165</v>
      </c>
      <c r="U135" t="s">
        <v>3573</v>
      </c>
      <c r="Y135" t="s">
        <v>4166</v>
      </c>
      <c r="Z135" t="s">
        <v>3575</v>
      </c>
      <c r="AA135" t="s">
        <v>3576</v>
      </c>
      <c r="AB135" t="s">
        <v>3576</v>
      </c>
      <c r="AC135" t="s">
        <v>3575</v>
      </c>
      <c r="AD135" t="s">
        <v>4167</v>
      </c>
      <c r="AE135" t="s">
        <v>4168</v>
      </c>
      <c r="AF135" t="s">
        <v>3583</v>
      </c>
      <c r="AG135" t="s">
        <v>3580</v>
      </c>
      <c r="AH135" t="s">
        <v>3581</v>
      </c>
      <c r="AI135" t="s">
        <v>3582</v>
      </c>
      <c r="AM135" t="s">
        <v>3583</v>
      </c>
      <c r="AN135" t="s">
        <v>4169</v>
      </c>
      <c r="AO135" t="s">
        <v>4170</v>
      </c>
      <c r="AP135" t="s">
        <v>3572</v>
      </c>
      <c r="AQ135" t="s">
        <v>4171</v>
      </c>
      <c r="AR135" t="s">
        <v>3819</v>
      </c>
      <c r="AS135" t="s">
        <v>4172</v>
      </c>
      <c r="AU135" t="s">
        <v>4173</v>
      </c>
      <c r="AV135" t="s">
        <v>3803</v>
      </c>
      <c r="AW135" t="s">
        <v>3804</v>
      </c>
      <c r="AX135" t="s">
        <v>4174</v>
      </c>
      <c r="AZ135">
        <v>1000</v>
      </c>
      <c r="BA135">
        <v>2204.623</v>
      </c>
      <c r="BB135" t="s">
        <v>3583</v>
      </c>
      <c r="BC135" s="36" t="s">
        <v>4176</v>
      </c>
      <c r="BE135" t="s">
        <v>4177</v>
      </c>
      <c r="BF135" t="s">
        <v>4178</v>
      </c>
      <c r="BG135" t="s">
        <v>4175</v>
      </c>
      <c r="BH135" t="s">
        <v>4179</v>
      </c>
      <c r="BL135" t="s">
        <v>3598</v>
      </c>
      <c r="BS135" t="str">
        <v>Inbound</v>
      </c>
      <c r="BT135" t="str">
        <v>Land</v>
      </c>
      <c r="BU135" t="str">
        <v>RM-J-1359LI26</v>
      </c>
      <c r="BV135" t="str">
        <v>Miscelaneus</v>
      </c>
      <c r="BW135" t="str">
        <v>0070-1200005</v>
      </c>
      <c r="BX135">
        <v>1000</v>
      </c>
      <c r="BY135" s="38">
        <f t="shared" ref="BY135:BY139" si="6">BX135*1/SUMIFS(BX:BX,BU:BU,BU135)</f>
        <v>0.11828160484481454</v>
      </c>
      <c r="BZ135" s="21">
        <f t="shared" ref="BZ135:BZ139" si="7">BY135*$BZ$1</f>
        <v>141.93792581377744</v>
      </c>
    </row>
    <row r="136" spans="2:78" x14ac:dyDescent="0.35">
      <c r="B136" t="s">
        <v>4190</v>
      </c>
      <c r="C136" t="s">
        <v>262</v>
      </c>
      <c r="D136" t="str" cm="1">
        <f t="array" ref="D136">_xlfn.REGEXEXTRACT(F136,"\w?\w-J-\d{4}LI\d{2}")</f>
        <v>RM-J-1359LI26</v>
      </c>
      <c r="E136" t="s">
        <v>295</v>
      </c>
      <c r="F136" t="s">
        <v>4163</v>
      </c>
      <c r="G136" t="s">
        <v>4164</v>
      </c>
      <c r="H136" t="s">
        <v>3569</v>
      </c>
      <c r="I136" t="s">
        <v>3752</v>
      </c>
      <c r="J136" t="s">
        <v>3753</v>
      </c>
      <c r="K136" t="s">
        <v>3752</v>
      </c>
      <c r="T136" t="s">
        <v>4165</v>
      </c>
      <c r="U136" t="s">
        <v>3573</v>
      </c>
      <c r="Y136" t="s">
        <v>4166</v>
      </c>
      <c r="Z136" t="s">
        <v>3575</v>
      </c>
      <c r="AA136" t="s">
        <v>3576</v>
      </c>
      <c r="AB136" t="s">
        <v>3576</v>
      </c>
      <c r="AC136" t="s">
        <v>3575</v>
      </c>
      <c r="AD136" t="s">
        <v>4167</v>
      </c>
      <c r="AE136" t="s">
        <v>4168</v>
      </c>
      <c r="AF136" t="s">
        <v>3599</v>
      </c>
      <c r="AG136" t="s">
        <v>3580</v>
      </c>
      <c r="AH136" t="s">
        <v>3581</v>
      </c>
      <c r="AI136" t="s">
        <v>3582</v>
      </c>
      <c r="AM136" t="s">
        <v>3663</v>
      </c>
      <c r="AN136" t="s">
        <v>4169</v>
      </c>
      <c r="AO136" t="s">
        <v>4180</v>
      </c>
      <c r="AP136" t="s">
        <v>4165</v>
      </c>
      <c r="AQ136" t="s">
        <v>4181</v>
      </c>
      <c r="AR136" t="s">
        <v>4165</v>
      </c>
      <c r="AS136" t="s">
        <v>4182</v>
      </c>
      <c r="AU136" t="s">
        <v>4183</v>
      </c>
      <c r="AV136" t="s">
        <v>3714</v>
      </c>
      <c r="AW136" t="s">
        <v>3715</v>
      </c>
      <c r="AX136" t="s">
        <v>4181</v>
      </c>
      <c r="AZ136">
        <v>1863.6</v>
      </c>
      <c r="BA136">
        <v>4108.5349999999999</v>
      </c>
      <c r="BB136" t="s">
        <v>3583</v>
      </c>
      <c r="BC136" s="36" t="s">
        <v>52</v>
      </c>
      <c r="BE136" t="s">
        <v>57</v>
      </c>
      <c r="BF136" t="s">
        <v>4184</v>
      </c>
      <c r="BG136" t="s">
        <v>4185</v>
      </c>
      <c r="BH136" t="s">
        <v>4186</v>
      </c>
      <c r="BL136" t="s">
        <v>3598</v>
      </c>
      <c r="BS136" t="str">
        <v>Inbound</v>
      </c>
      <c r="BT136" t="str">
        <v>Land</v>
      </c>
      <c r="BU136" t="str">
        <v>RM-J-1359LI26</v>
      </c>
      <c r="BV136" t="str">
        <v>M23</v>
      </c>
      <c r="BW136" t="str">
        <v>1908-1E90003RN</v>
      </c>
      <c r="BX136">
        <v>1863.6</v>
      </c>
      <c r="BY136" s="38">
        <f t="shared" si="6"/>
        <v>0.22042959878879637</v>
      </c>
      <c r="BZ136" s="21">
        <f t="shared" si="7"/>
        <v>264.51551854655565</v>
      </c>
    </row>
    <row r="137" spans="2:78" x14ac:dyDescent="0.35">
      <c r="B137" t="s">
        <v>4190</v>
      </c>
      <c r="C137" t="s">
        <v>262</v>
      </c>
      <c r="D137" t="str" cm="1">
        <f t="array" ref="D137">_xlfn.REGEXEXTRACT(F137,"\w?\w-J-\d{4}LI\d{2}")</f>
        <v>RM-J-1359LI26</v>
      </c>
      <c r="E137" t="s">
        <v>4195</v>
      </c>
      <c r="F137" t="s">
        <v>4163</v>
      </c>
      <c r="G137" t="s">
        <v>4164</v>
      </c>
      <c r="H137" t="s">
        <v>3569</v>
      </c>
      <c r="I137" t="s">
        <v>3752</v>
      </c>
      <c r="J137" t="s">
        <v>3753</v>
      </c>
      <c r="K137" t="s">
        <v>3752</v>
      </c>
      <c r="T137" t="s">
        <v>4165</v>
      </c>
      <c r="U137" t="s">
        <v>3573</v>
      </c>
      <c r="Y137" t="s">
        <v>4166</v>
      </c>
      <c r="Z137" t="s">
        <v>3575</v>
      </c>
      <c r="AA137" t="s">
        <v>3576</v>
      </c>
      <c r="AB137" t="s">
        <v>3576</v>
      </c>
      <c r="AC137" t="s">
        <v>3575</v>
      </c>
      <c r="AD137" t="s">
        <v>4167</v>
      </c>
      <c r="AE137" t="s">
        <v>4168</v>
      </c>
      <c r="AF137" t="s">
        <v>3599</v>
      </c>
      <c r="AG137" t="s">
        <v>3580</v>
      </c>
      <c r="AH137" t="s">
        <v>3581</v>
      </c>
      <c r="AI137" t="s">
        <v>3582</v>
      </c>
      <c r="AM137" t="s">
        <v>3663</v>
      </c>
      <c r="AN137" t="s">
        <v>4169</v>
      </c>
      <c r="AO137" t="s">
        <v>4180</v>
      </c>
      <c r="AP137" t="s">
        <v>4165</v>
      </c>
      <c r="AQ137" t="s">
        <v>4181</v>
      </c>
      <c r="AR137" t="s">
        <v>4165</v>
      </c>
      <c r="AS137" t="s">
        <v>4182</v>
      </c>
      <c r="AU137" t="s">
        <v>4183</v>
      </c>
      <c r="AV137" t="s">
        <v>3714</v>
      </c>
      <c r="AW137" t="s">
        <v>3715</v>
      </c>
      <c r="AX137" t="s">
        <v>4181</v>
      </c>
      <c r="AZ137">
        <v>1863.6</v>
      </c>
      <c r="BA137">
        <v>4108.5349999999999</v>
      </c>
      <c r="BB137" t="s">
        <v>3599</v>
      </c>
      <c r="BC137" s="36" t="s">
        <v>3654</v>
      </c>
      <c r="BD137" t="s">
        <v>3654</v>
      </c>
      <c r="BE137" t="s">
        <v>3655</v>
      </c>
      <c r="BF137" t="s">
        <v>3654</v>
      </c>
      <c r="BG137" t="s">
        <v>3663</v>
      </c>
      <c r="BH137" t="s">
        <v>4187</v>
      </c>
      <c r="BL137" t="s">
        <v>3598</v>
      </c>
      <c r="BS137" t="str">
        <v>Inbound</v>
      </c>
      <c r="BT137" t="str">
        <v>Land</v>
      </c>
      <c r="BU137" t="str">
        <v>RM-J-1359LI26</v>
      </c>
      <c r="BV137" t="str">
        <v>Miscelaneus</v>
      </c>
      <c r="BW137" t="str">
        <v>TAPA PLASTICA</v>
      </c>
      <c r="BX137">
        <v>1863.6</v>
      </c>
      <c r="BY137" s="38">
        <f t="shared" si="6"/>
        <v>0.22042959878879637</v>
      </c>
      <c r="BZ137" s="21">
        <f t="shared" si="7"/>
        <v>264.51551854655565</v>
      </c>
    </row>
    <row r="138" spans="2:78" x14ac:dyDescent="0.35">
      <c r="B138" t="s">
        <v>4190</v>
      </c>
      <c r="C138" t="s">
        <v>262</v>
      </c>
      <c r="D138" t="str" cm="1">
        <f t="array" ref="D138">_xlfn.REGEXEXTRACT(F138,"\w?\w-J-\d{4}LI\d{2}")</f>
        <v>RM-J-1359LI26</v>
      </c>
      <c r="E138" t="s">
        <v>4195</v>
      </c>
      <c r="F138" t="s">
        <v>4163</v>
      </c>
      <c r="G138" t="s">
        <v>4164</v>
      </c>
      <c r="H138" t="s">
        <v>3569</v>
      </c>
      <c r="I138" t="s">
        <v>3752</v>
      </c>
      <c r="J138" t="s">
        <v>3753</v>
      </c>
      <c r="K138" t="s">
        <v>3752</v>
      </c>
      <c r="T138" t="s">
        <v>4165</v>
      </c>
      <c r="U138" t="s">
        <v>3573</v>
      </c>
      <c r="Y138" t="s">
        <v>4166</v>
      </c>
      <c r="Z138" t="s">
        <v>3575</v>
      </c>
      <c r="AA138" t="s">
        <v>3576</v>
      </c>
      <c r="AB138" t="s">
        <v>3576</v>
      </c>
      <c r="AC138" t="s">
        <v>3575</v>
      </c>
      <c r="AD138" t="s">
        <v>4167</v>
      </c>
      <c r="AE138" t="s">
        <v>4168</v>
      </c>
      <c r="AF138" t="s">
        <v>3599</v>
      </c>
      <c r="AG138" t="s">
        <v>3580</v>
      </c>
      <c r="AH138" t="s">
        <v>3581</v>
      </c>
      <c r="AI138" t="s">
        <v>3582</v>
      </c>
      <c r="AM138" t="s">
        <v>3663</v>
      </c>
      <c r="AN138" t="s">
        <v>4169</v>
      </c>
      <c r="AO138" t="s">
        <v>4180</v>
      </c>
      <c r="AP138" t="s">
        <v>4165</v>
      </c>
      <c r="AQ138" t="s">
        <v>4181</v>
      </c>
      <c r="AR138" t="s">
        <v>4165</v>
      </c>
      <c r="AS138" t="s">
        <v>4182</v>
      </c>
      <c r="AU138" t="s">
        <v>4183</v>
      </c>
      <c r="AV138" t="s">
        <v>3714</v>
      </c>
      <c r="AW138" t="s">
        <v>3715</v>
      </c>
      <c r="AX138" t="s">
        <v>4181</v>
      </c>
      <c r="AZ138">
        <v>1863.6</v>
      </c>
      <c r="BA138">
        <v>4108.5349999999999</v>
      </c>
      <c r="BB138" t="s">
        <v>3596</v>
      </c>
      <c r="BC138" s="36" t="s">
        <v>3718</v>
      </c>
      <c r="BE138" t="s">
        <v>3662</v>
      </c>
      <c r="BF138" t="s">
        <v>3719</v>
      </c>
      <c r="BG138" t="s">
        <v>4188</v>
      </c>
      <c r="BH138" t="s">
        <v>4189</v>
      </c>
      <c r="BL138" t="s">
        <v>3598</v>
      </c>
      <c r="BS138" t="str">
        <v>Inbound</v>
      </c>
      <c r="BT138" t="str">
        <v>Land</v>
      </c>
      <c r="BU138" t="str">
        <v>RM-J-1359LI26</v>
      </c>
      <c r="BV138" t="str">
        <v>Miscelaneus</v>
      </c>
      <c r="BW138" t="str">
        <v>CAJAS PLASTICAS</v>
      </c>
      <c r="BX138">
        <v>1863.6</v>
      </c>
      <c r="BY138" s="38">
        <f t="shared" si="6"/>
        <v>0.22042959878879637</v>
      </c>
      <c r="BZ138" s="21">
        <f t="shared" si="7"/>
        <v>264.51551854655565</v>
      </c>
    </row>
    <row r="139" spans="2:78" x14ac:dyDescent="0.35">
      <c r="B139" t="s">
        <v>4190</v>
      </c>
      <c r="C139" t="s">
        <v>262</v>
      </c>
      <c r="D139" t="str" cm="1">
        <f t="array" ref="D139">_xlfn.REGEXEXTRACT(F139,"\w?\w-J-\d{4}LI\d{2}")</f>
        <v>RM-J-1359LI26</v>
      </c>
      <c r="E139" t="s">
        <v>4195</v>
      </c>
      <c r="F139" t="s">
        <v>4163</v>
      </c>
      <c r="G139" t="s">
        <v>4164</v>
      </c>
      <c r="H139" t="s">
        <v>3569</v>
      </c>
      <c r="I139" t="s">
        <v>3752</v>
      </c>
      <c r="J139" t="s">
        <v>3753</v>
      </c>
      <c r="K139" t="s">
        <v>3752</v>
      </c>
      <c r="T139" t="s">
        <v>4165</v>
      </c>
      <c r="U139" t="s">
        <v>3573</v>
      </c>
      <c r="Y139" t="s">
        <v>4166</v>
      </c>
      <c r="Z139" t="s">
        <v>3575</v>
      </c>
      <c r="AA139" t="s">
        <v>3576</v>
      </c>
      <c r="AB139" t="s">
        <v>3576</v>
      </c>
      <c r="AC139" t="s">
        <v>3575</v>
      </c>
      <c r="AD139" t="s">
        <v>4167</v>
      </c>
      <c r="AE139" t="s">
        <v>4168</v>
      </c>
      <c r="AF139" t="s">
        <v>3599</v>
      </c>
      <c r="AG139" t="s">
        <v>3580</v>
      </c>
      <c r="AH139" t="s">
        <v>3581</v>
      </c>
      <c r="AI139" t="s">
        <v>3582</v>
      </c>
      <c r="AM139" t="s">
        <v>3663</v>
      </c>
      <c r="AN139" t="s">
        <v>4169</v>
      </c>
      <c r="AO139" t="s">
        <v>4180</v>
      </c>
      <c r="AP139" t="s">
        <v>4165</v>
      </c>
      <c r="AQ139" t="s">
        <v>4181</v>
      </c>
      <c r="AR139" t="s">
        <v>4165</v>
      </c>
      <c r="AS139" t="s">
        <v>4182</v>
      </c>
      <c r="AU139" t="s">
        <v>4183</v>
      </c>
      <c r="AV139" t="s">
        <v>3714</v>
      </c>
      <c r="AW139" t="s">
        <v>3715</v>
      </c>
      <c r="AX139" t="s">
        <v>4181</v>
      </c>
      <c r="AZ139">
        <v>1863.6</v>
      </c>
      <c r="BA139">
        <v>4108.5349999999999</v>
      </c>
      <c r="BB139" t="s">
        <v>3646</v>
      </c>
      <c r="BC139" s="36" t="s">
        <v>3661</v>
      </c>
      <c r="BD139" t="s">
        <v>3654</v>
      </c>
      <c r="BE139" t="s">
        <v>3662</v>
      </c>
      <c r="BF139" t="s">
        <v>3661</v>
      </c>
      <c r="BG139" t="s">
        <v>3663</v>
      </c>
      <c r="BH139" t="s">
        <v>4187</v>
      </c>
      <c r="BL139" t="s">
        <v>3598</v>
      </c>
      <c r="BS139" t="str">
        <v>Inbound</v>
      </c>
      <c r="BT139" t="str">
        <v>Land</v>
      </c>
      <c r="BU139" t="str">
        <v>RM-J-1359LI26</v>
      </c>
      <c r="BV139" t="str">
        <v>Miscelaneus</v>
      </c>
      <c r="BW139" t="str">
        <v>BASE PLASTICA</v>
      </c>
      <c r="BX139">
        <v>1863.6</v>
      </c>
      <c r="BY139" s="38">
        <f t="shared" si="6"/>
        <v>0.22042959878879637</v>
      </c>
      <c r="BZ139" s="21">
        <f t="shared" si="7"/>
        <v>264.51551854655565</v>
      </c>
    </row>
  </sheetData>
  <autoFilter ref="B5:BL139" xr:uid="{CF756941-1438-40B3-A814-7FEEF2B6F5E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181A2-EDFC-4C98-9634-8E19CF0C3BB8}">
  <dimension ref="B2:Q78"/>
  <sheetViews>
    <sheetView zoomScale="84" workbookViewId="0">
      <selection activeCell="N5" sqref="N5:Q5"/>
    </sheetView>
  </sheetViews>
  <sheetFormatPr defaultRowHeight="14.5" x14ac:dyDescent="0.35"/>
  <cols>
    <col min="2" max="2" width="31.81640625" customWidth="1"/>
    <col min="3" max="3" width="12.7265625" customWidth="1"/>
    <col min="4" max="4" width="16.36328125" customWidth="1"/>
    <col min="5" max="5" width="23.6328125" customWidth="1"/>
    <col min="6" max="6" width="10.90625" customWidth="1"/>
    <col min="7" max="7" width="17.26953125" customWidth="1"/>
    <col min="8" max="9" width="16.36328125" customWidth="1"/>
    <col min="10" max="10" width="18.1796875" customWidth="1"/>
    <col min="11" max="11" width="16.36328125" customWidth="1"/>
    <col min="12" max="12" width="18.1796875" customWidth="1"/>
    <col min="14" max="14" width="20" customWidth="1"/>
    <col min="15" max="15" width="12.7265625" customWidth="1"/>
    <col min="16" max="16" width="20.90625" customWidth="1"/>
    <col min="17" max="17" width="14.54296875" customWidth="1"/>
  </cols>
  <sheetData>
    <row r="2" spans="2:17" ht="18.5" x14ac:dyDescent="0.45">
      <c r="B2" s="82" t="s">
        <v>4216</v>
      </c>
      <c r="C2" s="80"/>
      <c r="D2" s="80"/>
      <c r="E2" s="80"/>
      <c r="F2" s="80"/>
      <c r="G2" s="80"/>
      <c r="H2" s="80"/>
      <c r="I2" s="80"/>
      <c r="J2" s="80"/>
      <c r="K2" s="80"/>
    </row>
    <row r="3" spans="2:17" x14ac:dyDescent="0.35">
      <c r="B3" s="27" t="s">
        <v>4212</v>
      </c>
      <c r="C3" s="43">
        <v>1200</v>
      </c>
    </row>
    <row r="4" spans="2:17" x14ac:dyDescent="0.35">
      <c r="B4" s="27" t="s">
        <v>4217</v>
      </c>
      <c r="C4" s="80" t="s">
        <v>4218</v>
      </c>
      <c r="D4" s="80"/>
      <c r="E4" s="80"/>
      <c r="F4" s="80"/>
      <c r="G4" s="80"/>
      <c r="H4" s="80"/>
      <c r="I4" s="80"/>
      <c r="J4" s="80"/>
      <c r="K4" s="80"/>
    </row>
    <row r="5" spans="2:17" ht="16" x14ac:dyDescent="0.4">
      <c r="N5" s="83" t="s">
        <v>4285</v>
      </c>
      <c r="O5" s="83"/>
      <c r="P5" s="83"/>
      <c r="Q5" s="83"/>
    </row>
    <row r="6" spans="2:17" x14ac:dyDescent="0.35">
      <c r="B6" s="47" t="s">
        <v>2</v>
      </c>
      <c r="C6" s="47" t="s">
        <v>3509</v>
      </c>
      <c r="D6" s="47" t="s">
        <v>3511</v>
      </c>
      <c r="E6" s="47" t="s">
        <v>3557</v>
      </c>
      <c r="F6" s="47" t="s">
        <v>3541</v>
      </c>
      <c r="G6" s="47" t="s">
        <v>3554</v>
      </c>
      <c r="H6" s="47" t="s">
        <v>4219</v>
      </c>
      <c r="I6" s="47" t="s">
        <v>4220</v>
      </c>
      <c r="J6" s="47" t="s">
        <v>4221</v>
      </c>
      <c r="K6" s="47" t="s">
        <v>4213</v>
      </c>
      <c r="L6" s="60" t="s">
        <v>4279</v>
      </c>
      <c r="N6" s="62" t="s">
        <v>4279</v>
      </c>
      <c r="O6" s="62" t="s">
        <v>4283</v>
      </c>
      <c r="P6" s="62" t="s">
        <v>4284</v>
      </c>
      <c r="Q6" s="62" t="s">
        <v>312</v>
      </c>
    </row>
    <row r="7" spans="2:17" x14ac:dyDescent="0.35">
      <c r="B7" t="s">
        <v>4163</v>
      </c>
      <c r="C7" t="s">
        <v>4164</v>
      </c>
      <c r="D7" t="s">
        <v>124</v>
      </c>
      <c r="E7" t="s">
        <v>4176</v>
      </c>
      <c r="F7" s="24">
        <v>1</v>
      </c>
      <c r="G7" s="48">
        <v>1000</v>
      </c>
      <c r="H7" s="35" t="str">
        <f t="shared" ref="H7:H38" si="0">IFERROR(IF(ISNUMBER(SEARCH("-M",B7)),"M"&amp;MID(B7,SEARCH("-M",B7)+2,2),"Sin BU"),"Sin BU")</f>
        <v>M23</v>
      </c>
      <c r="I7" s="49">
        <f t="shared" ref="I7:I38" si="1">G7/SUMIFS($G$7:$G$76,$B$7:$B$76,B7)</f>
        <v>0.11828160484481454</v>
      </c>
      <c r="J7" s="50">
        <f t="shared" ref="J7:J38" si="2">I7*$C$3</f>
        <v>141.93792581377744</v>
      </c>
      <c r="K7" s="35" t="str">
        <f t="shared" ref="K7:K38" si="3">IF(ROUND(SUMIFS($J$7:$J$76,$B$7:$B$76,B7),2)=$C$3,"🟢 OK","🔴 Revisar")</f>
        <v>🟢 OK</v>
      </c>
      <c r="L7" t="str">
        <f t="shared" ref="L7:L38" si="4">IF(OR(ISNUMBER(SEARCH("PLASTIC",E7)),ISNUMBER(SEARCH("CHAROLA",E7)),AND(ISNUMBER(SEARCH("TAPA",E7)),NOT(ISNUMBER(SEARCH("-",E7)))),AND(ISNUMBER(SEARCH("BASE",E7)),NOT(ISNUMBER(SEARCH("-",E7)))),AND(ISNUMBER(SEARCH("CAJA",E7)),NOT(ISNUMBER(SEARCH("-",E7))))),"Miscelaneus",H7)</f>
        <v>M23</v>
      </c>
      <c r="N7" s="61" t="s">
        <v>4278</v>
      </c>
      <c r="O7" s="63">
        <f>COUNTIF($L$7:$L$76,N7)</f>
        <v>14</v>
      </c>
      <c r="P7" s="64">
        <f>SUMIF($L$7:$L$76,N7,$J$7:$J$76)</f>
        <v>496.44585253299437</v>
      </c>
      <c r="Q7" s="65">
        <f>IFERROR(P7/$P$11,0)</f>
        <v>8.2740975422165755E-2</v>
      </c>
    </row>
    <row r="8" spans="2:17" x14ac:dyDescent="0.35">
      <c r="B8" t="s">
        <v>4163</v>
      </c>
      <c r="C8" t="s">
        <v>4164</v>
      </c>
      <c r="D8" t="s">
        <v>124</v>
      </c>
      <c r="E8" t="s">
        <v>52</v>
      </c>
      <c r="F8" s="24">
        <v>6</v>
      </c>
      <c r="G8" s="48">
        <v>1863.6</v>
      </c>
      <c r="H8" s="35" t="str">
        <f t="shared" si="0"/>
        <v>M23</v>
      </c>
      <c r="I8" s="49">
        <f t="shared" si="1"/>
        <v>0.22042959878879637</v>
      </c>
      <c r="J8" s="50">
        <f t="shared" si="2"/>
        <v>264.51551854655565</v>
      </c>
      <c r="K8" s="35" t="str">
        <f t="shared" si="3"/>
        <v>🟢 OK</v>
      </c>
      <c r="L8" t="str">
        <f t="shared" si="4"/>
        <v>M23</v>
      </c>
      <c r="N8" s="61" t="s">
        <v>299</v>
      </c>
      <c r="O8" s="63">
        <f>COUNTIF($L$7:$L$76,N8)</f>
        <v>39</v>
      </c>
      <c r="P8" s="64">
        <f>SUMIF($L$7:$L$76,N8,$J$7:$J$76)</f>
        <v>2215.868686805879</v>
      </c>
      <c r="Q8" s="65">
        <f>IFERROR(P8/$P$11,0)</f>
        <v>0.36931144780097996</v>
      </c>
    </row>
    <row r="9" spans="2:17" x14ac:dyDescent="0.35">
      <c r="B9" t="s">
        <v>4163</v>
      </c>
      <c r="C9" t="s">
        <v>4164</v>
      </c>
      <c r="D9" t="s">
        <v>124</v>
      </c>
      <c r="E9" t="s">
        <v>3661</v>
      </c>
      <c r="F9" s="24">
        <v>6</v>
      </c>
      <c r="G9" s="48">
        <v>1863.6</v>
      </c>
      <c r="H9" s="35" t="str">
        <f t="shared" si="0"/>
        <v>M23</v>
      </c>
      <c r="I9" s="49">
        <f t="shared" si="1"/>
        <v>0.22042959878879637</v>
      </c>
      <c r="J9" s="50">
        <f t="shared" si="2"/>
        <v>264.51551854655565</v>
      </c>
      <c r="K9" s="35" t="str">
        <f t="shared" si="3"/>
        <v>🟢 OK</v>
      </c>
      <c r="L9" t="str">
        <f t="shared" si="4"/>
        <v>Miscelaneus</v>
      </c>
      <c r="N9" s="61" t="s">
        <v>295</v>
      </c>
      <c r="O9" s="63">
        <f>COUNTIF($L$7:$L$76,N9)</f>
        <v>5</v>
      </c>
      <c r="P9" s="64">
        <f>SUMIF($L$7:$L$76,N9,$J$7:$J$76)</f>
        <v>1606.4534443603332</v>
      </c>
      <c r="Q9" s="65">
        <f>IFERROR(P9/$P$11,0)</f>
        <v>0.26774224072672226</v>
      </c>
    </row>
    <row r="10" spans="2:17" x14ac:dyDescent="0.35">
      <c r="B10" t="s">
        <v>4163</v>
      </c>
      <c r="C10" t="s">
        <v>4164</v>
      </c>
      <c r="D10" t="s">
        <v>124</v>
      </c>
      <c r="E10" t="s">
        <v>3718</v>
      </c>
      <c r="F10" s="24">
        <v>6</v>
      </c>
      <c r="G10" s="48">
        <v>1863.6</v>
      </c>
      <c r="H10" s="35" t="str">
        <f t="shared" si="0"/>
        <v>M23</v>
      </c>
      <c r="I10" s="49">
        <f t="shared" si="1"/>
        <v>0.22042959878879637</v>
      </c>
      <c r="J10" s="50">
        <f t="shared" si="2"/>
        <v>264.51551854655565</v>
      </c>
      <c r="K10" s="35" t="str">
        <f t="shared" si="3"/>
        <v>🟢 OK</v>
      </c>
      <c r="L10" t="str">
        <f t="shared" si="4"/>
        <v>Miscelaneus</v>
      </c>
      <c r="N10" s="61" t="s">
        <v>4195</v>
      </c>
      <c r="O10" s="63">
        <f>COUNTIF($L$7:$L$76,N10)</f>
        <v>12</v>
      </c>
      <c r="P10" s="64">
        <f>SUMIF($L$7:$L$76,N10,$J$7:$J$76)</f>
        <v>1681.2320163007914</v>
      </c>
      <c r="Q10" s="65">
        <f>IFERROR(P10/$P$11,0)</f>
        <v>0.28020533605013198</v>
      </c>
    </row>
    <row r="11" spans="2:17" x14ac:dyDescent="0.35">
      <c r="B11" t="s">
        <v>4163</v>
      </c>
      <c r="C11" t="s">
        <v>4164</v>
      </c>
      <c r="D11" t="s">
        <v>124</v>
      </c>
      <c r="E11" t="s">
        <v>3654</v>
      </c>
      <c r="F11" s="24">
        <v>6</v>
      </c>
      <c r="G11" s="48">
        <v>1863.6</v>
      </c>
      <c r="H11" s="35" t="str">
        <f t="shared" si="0"/>
        <v>M23</v>
      </c>
      <c r="I11" s="49">
        <f t="shared" si="1"/>
        <v>0.22042959878879637</v>
      </c>
      <c r="J11" s="50">
        <f t="shared" si="2"/>
        <v>264.51551854655565</v>
      </c>
      <c r="K11" s="35" t="str">
        <f t="shared" si="3"/>
        <v>🟢 OK</v>
      </c>
      <c r="L11" t="str">
        <f t="shared" si="4"/>
        <v>Miscelaneus</v>
      </c>
      <c r="N11" s="66" t="s">
        <v>4211</v>
      </c>
      <c r="O11" s="67">
        <f>SUM(O7:O10)</f>
        <v>70</v>
      </c>
      <c r="P11" s="68">
        <f>SUM(P7:P10)</f>
        <v>5999.9999999999982</v>
      </c>
      <c r="Q11" s="69">
        <f>SUM(Q7:Q10)</f>
        <v>1</v>
      </c>
    </row>
    <row r="12" spans="2:17" x14ac:dyDescent="0.35">
      <c r="B12" t="s">
        <v>4222</v>
      </c>
      <c r="C12" t="s">
        <v>4223</v>
      </c>
      <c r="D12" t="s">
        <v>124</v>
      </c>
      <c r="E12" t="s">
        <v>4224</v>
      </c>
      <c r="F12" s="24">
        <v>1</v>
      </c>
      <c r="G12" s="48">
        <v>799.99199999999996</v>
      </c>
      <c r="H12" s="35" t="str">
        <f t="shared" si="0"/>
        <v>M19</v>
      </c>
      <c r="I12" s="49">
        <f t="shared" si="1"/>
        <v>7.1060057896761022E-2</v>
      </c>
      <c r="J12" s="50">
        <f t="shared" si="2"/>
        <v>85.272069476113231</v>
      </c>
      <c r="K12" s="35" t="str">
        <f t="shared" si="3"/>
        <v>🟢 OK</v>
      </c>
      <c r="L12" t="str">
        <f t="shared" si="4"/>
        <v>M19</v>
      </c>
    </row>
    <row r="13" spans="2:17" x14ac:dyDescent="0.35">
      <c r="B13" t="s">
        <v>4222</v>
      </c>
      <c r="C13" t="s">
        <v>4223</v>
      </c>
      <c r="D13" t="s">
        <v>124</v>
      </c>
      <c r="E13" t="s">
        <v>4225</v>
      </c>
      <c r="F13" s="24">
        <v>3</v>
      </c>
      <c r="G13" s="48">
        <v>2100</v>
      </c>
      <c r="H13" s="35" t="str">
        <f t="shared" si="0"/>
        <v>M19</v>
      </c>
      <c r="I13" s="49">
        <f t="shared" si="1"/>
        <v>0.18653451732417095</v>
      </c>
      <c r="J13" s="50">
        <f t="shared" si="2"/>
        <v>223.84142078900513</v>
      </c>
      <c r="K13" s="35" t="str">
        <f t="shared" si="3"/>
        <v>🟢 OK</v>
      </c>
      <c r="L13" t="str">
        <f t="shared" si="4"/>
        <v>M19</v>
      </c>
      <c r="N13" s="27" t="s">
        <v>4250</v>
      </c>
      <c r="O13" s="81" t="str">
        <f>IF(ABS(P11-6000)&lt;1,"🟢 CUADRA con $6,000 esperado","🔴 Diferencia: $"&amp;TEXT(P11-6000,"0.00"))</f>
        <v>🟢 CUADRA con $6,000 esperado</v>
      </c>
      <c r="P13" s="81"/>
      <c r="Q13" s="81"/>
    </row>
    <row r="14" spans="2:17" x14ac:dyDescent="0.35">
      <c r="B14" t="s">
        <v>4222</v>
      </c>
      <c r="C14" t="s">
        <v>4223</v>
      </c>
      <c r="D14" t="s">
        <v>124</v>
      </c>
      <c r="E14" t="s">
        <v>4226</v>
      </c>
      <c r="F14" s="24">
        <v>1</v>
      </c>
      <c r="G14" s="48">
        <v>1000</v>
      </c>
      <c r="H14" s="35" t="str">
        <f t="shared" si="0"/>
        <v>M19</v>
      </c>
      <c r="I14" s="49">
        <f t="shared" si="1"/>
        <v>8.8825960630557588E-2</v>
      </c>
      <c r="J14" s="50">
        <f t="shared" si="2"/>
        <v>106.5911527566691</v>
      </c>
      <c r="K14" s="35" t="str">
        <f t="shared" si="3"/>
        <v>🟢 OK</v>
      </c>
      <c r="L14" t="str">
        <f t="shared" si="4"/>
        <v>M19</v>
      </c>
    </row>
    <row r="15" spans="2:17" x14ac:dyDescent="0.35">
      <c r="B15" t="s">
        <v>4222</v>
      </c>
      <c r="C15" t="s">
        <v>4223</v>
      </c>
      <c r="D15" t="s">
        <v>124</v>
      </c>
      <c r="E15" t="s">
        <v>4227</v>
      </c>
      <c r="F15" s="24">
        <v>2</v>
      </c>
      <c r="G15" s="48">
        <v>279</v>
      </c>
      <c r="H15" s="35" t="str">
        <f t="shared" si="0"/>
        <v>M19</v>
      </c>
      <c r="I15" s="49">
        <f t="shared" si="1"/>
        <v>2.4782443015925568E-2</v>
      </c>
      <c r="J15" s="50">
        <f t="shared" si="2"/>
        <v>29.73893161911068</v>
      </c>
      <c r="K15" s="35" t="str">
        <f t="shared" si="3"/>
        <v>🟢 OK</v>
      </c>
      <c r="L15" t="str">
        <f t="shared" si="4"/>
        <v>M19</v>
      </c>
    </row>
    <row r="16" spans="2:17" x14ac:dyDescent="0.35">
      <c r="B16" t="s">
        <v>4222</v>
      </c>
      <c r="C16" t="s">
        <v>4223</v>
      </c>
      <c r="D16" t="s">
        <v>124</v>
      </c>
      <c r="E16" t="s">
        <v>3593</v>
      </c>
      <c r="F16" s="24">
        <v>1</v>
      </c>
      <c r="G16" s="48">
        <v>79.739999999999995</v>
      </c>
      <c r="H16" s="35" t="str">
        <f t="shared" si="0"/>
        <v>M19</v>
      </c>
      <c r="I16" s="49">
        <f t="shared" si="1"/>
        <v>7.0829821006806615E-3</v>
      </c>
      <c r="J16" s="50">
        <f t="shared" si="2"/>
        <v>8.4995785208167938</v>
      </c>
      <c r="K16" s="35" t="str">
        <f t="shared" si="3"/>
        <v>🟢 OK</v>
      </c>
      <c r="L16" t="str">
        <f t="shared" si="4"/>
        <v>M19</v>
      </c>
    </row>
    <row r="17" spans="2:12" x14ac:dyDescent="0.35">
      <c r="B17" t="s">
        <v>4222</v>
      </c>
      <c r="C17" t="s">
        <v>4223</v>
      </c>
      <c r="D17" t="s">
        <v>124</v>
      </c>
      <c r="E17" t="s">
        <v>4228</v>
      </c>
      <c r="F17" s="24">
        <v>6</v>
      </c>
      <c r="G17" s="48">
        <v>1489.597</v>
      </c>
      <c r="H17" s="35" t="str">
        <f t="shared" si="0"/>
        <v>M19</v>
      </c>
      <c r="I17" s="49">
        <f t="shared" si="1"/>
        <v>0.1323148844773967</v>
      </c>
      <c r="J17" s="50">
        <f t="shared" si="2"/>
        <v>158.77786137287603</v>
      </c>
      <c r="K17" s="35" t="str">
        <f t="shared" si="3"/>
        <v>🟢 OK</v>
      </c>
      <c r="L17" t="str">
        <f t="shared" si="4"/>
        <v>M19</v>
      </c>
    </row>
    <row r="18" spans="2:12" x14ac:dyDescent="0.35">
      <c r="B18" t="s">
        <v>4222</v>
      </c>
      <c r="C18" t="s">
        <v>4223</v>
      </c>
      <c r="D18" t="s">
        <v>124</v>
      </c>
      <c r="E18" t="s">
        <v>4229</v>
      </c>
      <c r="F18" s="24">
        <v>2</v>
      </c>
      <c r="G18" s="48">
        <v>72.959999999999994</v>
      </c>
      <c r="H18" s="35" t="str">
        <f t="shared" si="0"/>
        <v>M19</v>
      </c>
      <c r="I18" s="49">
        <f t="shared" si="1"/>
        <v>6.4807420876054813E-3</v>
      </c>
      <c r="J18" s="50">
        <f t="shared" si="2"/>
        <v>7.7768905051265778</v>
      </c>
      <c r="K18" s="35" t="str">
        <f t="shared" si="3"/>
        <v>🟢 OK</v>
      </c>
      <c r="L18" t="str">
        <f t="shared" si="4"/>
        <v>M19</v>
      </c>
    </row>
    <row r="19" spans="2:12" x14ac:dyDescent="0.35">
      <c r="B19" t="s">
        <v>4222</v>
      </c>
      <c r="C19" t="s">
        <v>4223</v>
      </c>
      <c r="D19" t="s">
        <v>124</v>
      </c>
      <c r="E19" t="s">
        <v>4230</v>
      </c>
      <c r="F19" s="24">
        <v>4</v>
      </c>
      <c r="G19" s="48">
        <v>65.316999999999993</v>
      </c>
      <c r="H19" s="35" t="str">
        <f t="shared" si="0"/>
        <v>M19</v>
      </c>
      <c r="I19" s="49">
        <f t="shared" si="1"/>
        <v>5.8018452705061296E-3</v>
      </c>
      <c r="J19" s="50">
        <f t="shared" si="2"/>
        <v>6.9622143246073556</v>
      </c>
      <c r="K19" s="35" t="str">
        <f t="shared" si="3"/>
        <v>🟢 OK</v>
      </c>
      <c r="L19" t="str">
        <f t="shared" si="4"/>
        <v>M19</v>
      </c>
    </row>
    <row r="20" spans="2:12" x14ac:dyDescent="0.35">
      <c r="B20" t="s">
        <v>4222</v>
      </c>
      <c r="C20" t="s">
        <v>4223</v>
      </c>
      <c r="D20" t="s">
        <v>124</v>
      </c>
      <c r="E20" t="s">
        <v>4231</v>
      </c>
      <c r="F20" s="24">
        <v>6</v>
      </c>
      <c r="G20" s="48">
        <v>1489.597</v>
      </c>
      <c r="H20" s="35" t="str">
        <f t="shared" si="0"/>
        <v>M19</v>
      </c>
      <c r="I20" s="49">
        <f t="shared" si="1"/>
        <v>0.1323148844773967</v>
      </c>
      <c r="J20" s="50">
        <f t="shared" si="2"/>
        <v>158.77786137287603</v>
      </c>
      <c r="K20" s="35" t="str">
        <f t="shared" si="3"/>
        <v>🟢 OK</v>
      </c>
      <c r="L20" t="str">
        <f t="shared" si="4"/>
        <v>M19</v>
      </c>
    </row>
    <row r="21" spans="2:12" x14ac:dyDescent="0.35">
      <c r="B21" t="s">
        <v>4222</v>
      </c>
      <c r="C21" t="s">
        <v>4223</v>
      </c>
      <c r="D21" t="s">
        <v>124</v>
      </c>
      <c r="E21" t="s">
        <v>4232</v>
      </c>
      <c r="F21" s="24">
        <v>6</v>
      </c>
      <c r="G21" s="48">
        <v>1489.597</v>
      </c>
      <c r="H21" s="35" t="str">
        <f t="shared" si="0"/>
        <v>M19</v>
      </c>
      <c r="I21" s="49">
        <f t="shared" si="1"/>
        <v>0.1323148844773967</v>
      </c>
      <c r="J21" s="50">
        <f t="shared" si="2"/>
        <v>158.77786137287603</v>
      </c>
      <c r="K21" s="35" t="str">
        <f t="shared" si="3"/>
        <v>🟢 OK</v>
      </c>
      <c r="L21" t="str">
        <f t="shared" si="4"/>
        <v>M19</v>
      </c>
    </row>
    <row r="22" spans="2:12" x14ac:dyDescent="0.35">
      <c r="B22" t="s">
        <v>4222</v>
      </c>
      <c r="C22" t="s">
        <v>4223</v>
      </c>
      <c r="D22" t="s">
        <v>124</v>
      </c>
      <c r="E22" t="s">
        <v>3630</v>
      </c>
      <c r="F22" s="24">
        <v>2</v>
      </c>
      <c r="G22" s="48">
        <v>7.7110000000000003</v>
      </c>
      <c r="H22" s="35" t="str">
        <f t="shared" si="0"/>
        <v>M19</v>
      </c>
      <c r="I22" s="49">
        <f t="shared" si="1"/>
        <v>6.8493698242222964E-4</v>
      </c>
      <c r="J22" s="50">
        <f t="shared" si="2"/>
        <v>0.82192437890667558</v>
      </c>
      <c r="K22" s="35" t="str">
        <f t="shared" si="3"/>
        <v>🟢 OK</v>
      </c>
      <c r="L22" t="str">
        <f t="shared" si="4"/>
        <v>M19</v>
      </c>
    </row>
    <row r="23" spans="2:12" x14ac:dyDescent="0.35">
      <c r="B23" t="s">
        <v>4222</v>
      </c>
      <c r="C23" t="s">
        <v>4223</v>
      </c>
      <c r="D23" t="s">
        <v>124</v>
      </c>
      <c r="E23" t="s">
        <v>4233</v>
      </c>
      <c r="F23" s="24">
        <v>1</v>
      </c>
      <c r="G23" s="48">
        <v>0.75</v>
      </c>
      <c r="H23" s="35" t="str">
        <f t="shared" si="0"/>
        <v>M19</v>
      </c>
      <c r="I23" s="49">
        <f t="shared" si="1"/>
        <v>6.6619470472918199E-5</v>
      </c>
      <c r="J23" s="50">
        <f t="shared" si="2"/>
        <v>7.994336456750184E-2</v>
      </c>
      <c r="K23" s="35" t="str">
        <f t="shared" si="3"/>
        <v>🟢 OK</v>
      </c>
      <c r="L23" t="str">
        <f t="shared" si="4"/>
        <v>M19</v>
      </c>
    </row>
    <row r="24" spans="2:12" x14ac:dyDescent="0.35">
      <c r="B24" t="s">
        <v>4222</v>
      </c>
      <c r="C24" t="s">
        <v>4223</v>
      </c>
      <c r="D24" t="s">
        <v>124</v>
      </c>
      <c r="E24" t="s">
        <v>3846</v>
      </c>
      <c r="F24" s="24">
        <v>1</v>
      </c>
      <c r="G24" s="48">
        <v>21.42</v>
      </c>
      <c r="H24" s="35" t="str">
        <f t="shared" si="0"/>
        <v>M19</v>
      </c>
      <c r="I24" s="49">
        <f t="shared" si="1"/>
        <v>1.9026520767065438E-3</v>
      </c>
      <c r="J24" s="50">
        <f t="shared" si="2"/>
        <v>2.2831824920478527</v>
      </c>
      <c r="K24" s="35" t="str">
        <f t="shared" si="3"/>
        <v>🟢 OK</v>
      </c>
      <c r="L24" t="str">
        <f t="shared" si="4"/>
        <v>M19</v>
      </c>
    </row>
    <row r="25" spans="2:12" x14ac:dyDescent="0.35">
      <c r="B25" t="s">
        <v>4222</v>
      </c>
      <c r="C25" t="s">
        <v>4223</v>
      </c>
      <c r="D25" t="s">
        <v>124</v>
      </c>
      <c r="E25" t="s">
        <v>4128</v>
      </c>
      <c r="F25" s="24">
        <v>1</v>
      </c>
      <c r="G25" s="48">
        <v>8.1649999999999991</v>
      </c>
      <c r="H25" s="35" t="str">
        <f t="shared" si="0"/>
        <v>M19</v>
      </c>
      <c r="I25" s="49">
        <f t="shared" si="1"/>
        <v>7.2526396854850266E-4</v>
      </c>
      <c r="J25" s="50">
        <f t="shared" si="2"/>
        <v>0.8703167622582032</v>
      </c>
      <c r="K25" s="35" t="str">
        <f t="shared" si="3"/>
        <v>🟢 OK</v>
      </c>
      <c r="L25" t="str">
        <f t="shared" si="4"/>
        <v>M19</v>
      </c>
    </row>
    <row r="26" spans="2:12" x14ac:dyDescent="0.35">
      <c r="B26" t="s">
        <v>4222</v>
      </c>
      <c r="C26" t="s">
        <v>4223</v>
      </c>
      <c r="D26" t="s">
        <v>124</v>
      </c>
      <c r="E26" t="s">
        <v>4128</v>
      </c>
      <c r="F26" s="24">
        <v>2</v>
      </c>
      <c r="G26" s="48">
        <v>17.236999999999998</v>
      </c>
      <c r="H26" s="35" t="str">
        <f t="shared" si="0"/>
        <v>M19</v>
      </c>
      <c r="I26" s="49">
        <f t="shared" si="1"/>
        <v>1.5310930833889211E-3</v>
      </c>
      <c r="J26" s="50">
        <f t="shared" si="2"/>
        <v>1.8373117000667052</v>
      </c>
      <c r="K26" s="35" t="str">
        <f t="shared" si="3"/>
        <v>🟢 OK</v>
      </c>
      <c r="L26" t="str">
        <f t="shared" si="4"/>
        <v>M19</v>
      </c>
    </row>
    <row r="27" spans="2:12" x14ac:dyDescent="0.35">
      <c r="B27" t="s">
        <v>4222</v>
      </c>
      <c r="C27" t="s">
        <v>4223</v>
      </c>
      <c r="D27" t="s">
        <v>124</v>
      </c>
      <c r="E27" t="s">
        <v>4128</v>
      </c>
      <c r="F27" s="24">
        <v>1</v>
      </c>
      <c r="G27" s="48">
        <v>6.1230000000000002</v>
      </c>
      <c r="H27" s="35" t="str">
        <f t="shared" si="0"/>
        <v>M19</v>
      </c>
      <c r="I27" s="49">
        <f t="shared" si="1"/>
        <v>5.438813569409041E-4</v>
      </c>
      <c r="J27" s="50">
        <f t="shared" si="2"/>
        <v>0.65265762832908492</v>
      </c>
      <c r="K27" s="35" t="str">
        <f t="shared" si="3"/>
        <v>🟢 OK</v>
      </c>
      <c r="L27" t="str">
        <f t="shared" si="4"/>
        <v>M19</v>
      </c>
    </row>
    <row r="28" spans="2:12" x14ac:dyDescent="0.35">
      <c r="B28" t="s">
        <v>4222</v>
      </c>
      <c r="C28" t="s">
        <v>4223</v>
      </c>
      <c r="D28" t="s">
        <v>124</v>
      </c>
      <c r="E28" t="s">
        <v>3727</v>
      </c>
      <c r="F28" s="24">
        <v>1</v>
      </c>
      <c r="G28" s="48">
        <v>181.43700000000001</v>
      </c>
      <c r="H28" s="35" t="str">
        <f t="shared" si="0"/>
        <v>M19</v>
      </c>
      <c r="I28" s="49">
        <f t="shared" si="1"/>
        <v>1.6116315818926478E-2</v>
      </c>
      <c r="J28" s="50">
        <f t="shared" si="2"/>
        <v>19.339578982711775</v>
      </c>
      <c r="K28" s="35" t="str">
        <f t="shared" si="3"/>
        <v>🟢 OK</v>
      </c>
      <c r="L28" t="str">
        <f t="shared" si="4"/>
        <v>M19</v>
      </c>
    </row>
    <row r="29" spans="2:12" x14ac:dyDescent="0.35">
      <c r="B29" t="s">
        <v>4222</v>
      </c>
      <c r="C29" t="s">
        <v>4223</v>
      </c>
      <c r="D29" t="s">
        <v>124</v>
      </c>
      <c r="E29" t="s">
        <v>3727</v>
      </c>
      <c r="F29" s="24">
        <v>1</v>
      </c>
      <c r="G29" s="48">
        <v>190.50899999999999</v>
      </c>
      <c r="H29" s="35" t="str">
        <f t="shared" si="0"/>
        <v>M19</v>
      </c>
      <c r="I29" s="49">
        <f t="shared" si="1"/>
        <v>1.6922144933766894E-2</v>
      </c>
      <c r="J29" s="50">
        <f t="shared" si="2"/>
        <v>20.306573920520272</v>
      </c>
      <c r="K29" s="35" t="str">
        <f t="shared" si="3"/>
        <v>🟢 OK</v>
      </c>
      <c r="L29" t="str">
        <f t="shared" si="4"/>
        <v>M19</v>
      </c>
    </row>
    <row r="30" spans="2:12" x14ac:dyDescent="0.35">
      <c r="B30" t="s">
        <v>4222</v>
      </c>
      <c r="C30" t="s">
        <v>4223</v>
      </c>
      <c r="D30" t="s">
        <v>124</v>
      </c>
      <c r="E30" t="s">
        <v>4234</v>
      </c>
      <c r="F30" s="24">
        <v>1</v>
      </c>
      <c r="G30" s="48">
        <v>3.629</v>
      </c>
      <c r="H30" s="35" t="str">
        <f t="shared" si="0"/>
        <v>M19</v>
      </c>
      <c r="I30" s="49">
        <f t="shared" si="1"/>
        <v>3.223494111282935E-4</v>
      </c>
      <c r="J30" s="50">
        <f t="shared" si="2"/>
        <v>0.38681929335395221</v>
      </c>
      <c r="K30" s="35" t="str">
        <f t="shared" si="3"/>
        <v>🟢 OK</v>
      </c>
      <c r="L30" t="str">
        <f t="shared" si="4"/>
        <v>M19</v>
      </c>
    </row>
    <row r="31" spans="2:12" x14ac:dyDescent="0.35">
      <c r="B31" t="s">
        <v>4222</v>
      </c>
      <c r="C31" t="s">
        <v>4223</v>
      </c>
      <c r="D31" t="s">
        <v>124</v>
      </c>
      <c r="E31">
        <v>90002437.099999994</v>
      </c>
      <c r="F31" s="24">
        <v>1</v>
      </c>
      <c r="G31" s="48">
        <v>8.1649999999999991</v>
      </c>
      <c r="H31" s="35" t="str">
        <f t="shared" si="0"/>
        <v>M19</v>
      </c>
      <c r="I31" s="49">
        <f t="shared" si="1"/>
        <v>7.2526396854850266E-4</v>
      </c>
      <c r="J31" s="50">
        <f t="shared" si="2"/>
        <v>0.8703167622582032</v>
      </c>
      <c r="K31" s="35" t="str">
        <f t="shared" si="3"/>
        <v>🟢 OK</v>
      </c>
      <c r="L31" t="str">
        <f t="shared" si="4"/>
        <v>M19</v>
      </c>
    </row>
    <row r="32" spans="2:12" x14ac:dyDescent="0.35">
      <c r="B32" t="s">
        <v>4222</v>
      </c>
      <c r="C32" t="s">
        <v>4223</v>
      </c>
      <c r="D32" t="s">
        <v>124</v>
      </c>
      <c r="E32">
        <v>90002440</v>
      </c>
      <c r="F32" s="24">
        <v>1</v>
      </c>
      <c r="G32" s="48">
        <v>8.1649999999999991</v>
      </c>
      <c r="H32" s="35" t="str">
        <f t="shared" si="0"/>
        <v>M19</v>
      </c>
      <c r="I32" s="49">
        <f t="shared" si="1"/>
        <v>7.2526396854850266E-4</v>
      </c>
      <c r="J32" s="50">
        <f t="shared" si="2"/>
        <v>0.8703167622582032</v>
      </c>
      <c r="K32" s="35" t="str">
        <f t="shared" si="3"/>
        <v>🟢 OK</v>
      </c>
      <c r="L32" t="str">
        <f t="shared" si="4"/>
        <v>M19</v>
      </c>
    </row>
    <row r="33" spans="2:12" x14ac:dyDescent="0.35">
      <c r="B33" t="s">
        <v>4222</v>
      </c>
      <c r="C33" t="s">
        <v>4223</v>
      </c>
      <c r="D33" t="s">
        <v>124</v>
      </c>
      <c r="E33">
        <v>90010490</v>
      </c>
      <c r="F33" s="24">
        <v>1</v>
      </c>
      <c r="G33" s="48">
        <v>2.722</v>
      </c>
      <c r="H33" s="35" t="str">
        <f t="shared" si="0"/>
        <v>M19</v>
      </c>
      <c r="I33" s="49">
        <f t="shared" si="1"/>
        <v>2.4178426483637775E-4</v>
      </c>
      <c r="J33" s="50">
        <f t="shared" si="2"/>
        <v>0.29014111780365331</v>
      </c>
      <c r="K33" s="35" t="str">
        <f t="shared" si="3"/>
        <v>🟢 OK</v>
      </c>
      <c r="L33" t="str">
        <f t="shared" si="4"/>
        <v>M19</v>
      </c>
    </row>
    <row r="34" spans="2:12" x14ac:dyDescent="0.35">
      <c r="B34" t="s">
        <v>4222</v>
      </c>
      <c r="C34" t="s">
        <v>4223</v>
      </c>
      <c r="D34" t="s">
        <v>124</v>
      </c>
      <c r="E34">
        <v>90010830</v>
      </c>
      <c r="F34" s="24">
        <v>1</v>
      </c>
      <c r="G34" s="48">
        <v>8.1649999999999991</v>
      </c>
      <c r="H34" s="35" t="str">
        <f t="shared" si="0"/>
        <v>M19</v>
      </c>
      <c r="I34" s="49">
        <f t="shared" si="1"/>
        <v>7.2526396854850266E-4</v>
      </c>
      <c r="J34" s="50">
        <f t="shared" si="2"/>
        <v>0.8703167622582032</v>
      </c>
      <c r="K34" s="35" t="str">
        <f t="shared" si="3"/>
        <v>🟢 OK</v>
      </c>
      <c r="L34" t="str">
        <f t="shared" si="4"/>
        <v>M19</v>
      </c>
    </row>
    <row r="35" spans="2:12" x14ac:dyDescent="0.35">
      <c r="B35" t="s">
        <v>4222</v>
      </c>
      <c r="C35" t="s">
        <v>4223</v>
      </c>
      <c r="D35" t="s">
        <v>124</v>
      </c>
      <c r="E35">
        <v>90012105</v>
      </c>
      <c r="F35" s="24">
        <v>1</v>
      </c>
      <c r="G35" s="48">
        <v>8.1649999999999991</v>
      </c>
      <c r="H35" s="35" t="str">
        <f t="shared" si="0"/>
        <v>M19</v>
      </c>
      <c r="I35" s="49">
        <f t="shared" si="1"/>
        <v>7.2526396854850266E-4</v>
      </c>
      <c r="J35" s="50">
        <f t="shared" si="2"/>
        <v>0.8703167622582032</v>
      </c>
      <c r="K35" s="35" t="str">
        <f t="shared" si="3"/>
        <v>🟢 OK</v>
      </c>
      <c r="L35" t="str">
        <f t="shared" si="4"/>
        <v>M19</v>
      </c>
    </row>
    <row r="36" spans="2:12" x14ac:dyDescent="0.35">
      <c r="B36" t="s">
        <v>4222</v>
      </c>
      <c r="C36" t="s">
        <v>4223</v>
      </c>
      <c r="D36" t="s">
        <v>124</v>
      </c>
      <c r="E36">
        <v>95849352</v>
      </c>
      <c r="F36" s="24">
        <v>1</v>
      </c>
      <c r="G36" s="48">
        <v>8.1649999999999991</v>
      </c>
      <c r="H36" s="35" t="str">
        <f t="shared" si="0"/>
        <v>M19</v>
      </c>
      <c r="I36" s="49">
        <f t="shared" si="1"/>
        <v>7.2526396854850266E-4</v>
      </c>
      <c r="J36" s="50">
        <f t="shared" si="2"/>
        <v>0.8703167622582032</v>
      </c>
      <c r="K36" s="35" t="str">
        <f t="shared" si="3"/>
        <v>🟢 OK</v>
      </c>
      <c r="L36" t="str">
        <f t="shared" si="4"/>
        <v>M19</v>
      </c>
    </row>
    <row r="37" spans="2:12" x14ac:dyDescent="0.35">
      <c r="B37" t="s">
        <v>4222</v>
      </c>
      <c r="C37" t="s">
        <v>4223</v>
      </c>
      <c r="D37" t="s">
        <v>124</v>
      </c>
      <c r="E37">
        <v>95860061</v>
      </c>
      <c r="F37" s="24">
        <v>1</v>
      </c>
      <c r="G37" s="48">
        <v>5.8970000000000002</v>
      </c>
      <c r="H37" s="35" t="str">
        <f t="shared" si="0"/>
        <v>M19</v>
      </c>
      <c r="I37" s="49">
        <f t="shared" si="1"/>
        <v>5.2380668983839813E-4</v>
      </c>
      <c r="J37" s="50">
        <f t="shared" si="2"/>
        <v>0.62856802780607779</v>
      </c>
      <c r="K37" s="35" t="str">
        <f t="shared" si="3"/>
        <v>🟢 OK</v>
      </c>
      <c r="L37" t="str">
        <f t="shared" si="4"/>
        <v>M19</v>
      </c>
    </row>
    <row r="38" spans="2:12" x14ac:dyDescent="0.35">
      <c r="B38" t="s">
        <v>4222</v>
      </c>
      <c r="C38" t="s">
        <v>4223</v>
      </c>
      <c r="D38" t="s">
        <v>124</v>
      </c>
      <c r="E38">
        <v>95860062</v>
      </c>
      <c r="F38" s="24">
        <v>1</v>
      </c>
      <c r="G38" s="48">
        <v>8.1649999999999991</v>
      </c>
      <c r="H38" s="35" t="str">
        <f t="shared" si="0"/>
        <v>M19</v>
      </c>
      <c r="I38" s="49">
        <f t="shared" si="1"/>
        <v>7.2526396854850266E-4</v>
      </c>
      <c r="J38" s="50">
        <f t="shared" si="2"/>
        <v>0.8703167622582032</v>
      </c>
      <c r="K38" s="35" t="str">
        <f t="shared" si="3"/>
        <v>🟢 OK</v>
      </c>
      <c r="L38" t="str">
        <f t="shared" si="4"/>
        <v>M19</v>
      </c>
    </row>
    <row r="39" spans="2:12" x14ac:dyDescent="0.35">
      <c r="B39" t="s">
        <v>4222</v>
      </c>
      <c r="C39" t="s">
        <v>4223</v>
      </c>
      <c r="D39" t="s">
        <v>124</v>
      </c>
      <c r="E39">
        <v>95860065</v>
      </c>
      <c r="F39" s="24">
        <v>1</v>
      </c>
      <c r="G39" s="48">
        <v>5.8970000000000002</v>
      </c>
      <c r="H39" s="35" t="str">
        <f t="shared" ref="H39:H70" si="5">IFERROR(IF(ISNUMBER(SEARCH("-M",B39)),"M"&amp;MID(B39,SEARCH("-M",B39)+2,2),"Sin BU"),"Sin BU")</f>
        <v>M19</v>
      </c>
      <c r="I39" s="49">
        <f t="shared" ref="I39:I70" si="6">G39/SUMIFS($G$7:$G$76,$B$7:$B$76,B39)</f>
        <v>5.2380668983839813E-4</v>
      </c>
      <c r="J39" s="50">
        <f t="shared" ref="J39:J70" si="7">I39*$C$3</f>
        <v>0.62856802780607779</v>
      </c>
      <c r="K39" s="35" t="str">
        <f t="shared" ref="K39:K70" si="8">IF(ROUND(SUMIFS($J$7:$J$76,$B$7:$B$76,B39),2)=$C$3,"🟢 OK","🔴 Revisar")</f>
        <v>🟢 OK</v>
      </c>
      <c r="L39" t="str">
        <f t="shared" ref="L39:L70" si="9">IF(OR(ISNUMBER(SEARCH("PLASTIC",E39)),ISNUMBER(SEARCH("CHAROLA",E39)),AND(ISNUMBER(SEARCH("TAPA",E39)),NOT(ISNUMBER(SEARCH("-",E39)))),AND(ISNUMBER(SEARCH("BASE",E39)),NOT(ISNUMBER(SEARCH("-",E39)))),AND(ISNUMBER(SEARCH("CAJA",E39)),NOT(ISNUMBER(SEARCH("-",E39))))),"Miscelaneus",H39)</f>
        <v>M19</v>
      </c>
    </row>
    <row r="40" spans="2:12" x14ac:dyDescent="0.35">
      <c r="B40" t="s">
        <v>4222</v>
      </c>
      <c r="C40" t="s">
        <v>4223</v>
      </c>
      <c r="D40" t="s">
        <v>124</v>
      </c>
      <c r="E40">
        <v>95860065</v>
      </c>
      <c r="F40" s="24">
        <v>1</v>
      </c>
      <c r="G40" s="48">
        <v>8.1649999999999991</v>
      </c>
      <c r="H40" s="35" t="str">
        <f t="shared" si="5"/>
        <v>M19</v>
      </c>
      <c r="I40" s="49">
        <f t="shared" si="6"/>
        <v>7.2526396854850266E-4</v>
      </c>
      <c r="J40" s="50">
        <f t="shared" si="7"/>
        <v>0.8703167622582032</v>
      </c>
      <c r="K40" s="35" t="str">
        <f t="shared" si="8"/>
        <v>🟢 OK</v>
      </c>
      <c r="L40" t="str">
        <f t="shared" si="9"/>
        <v>M19</v>
      </c>
    </row>
    <row r="41" spans="2:12" x14ac:dyDescent="0.35">
      <c r="B41" t="s">
        <v>4222</v>
      </c>
      <c r="C41" t="s">
        <v>4223</v>
      </c>
      <c r="D41" t="s">
        <v>124</v>
      </c>
      <c r="E41">
        <v>95860070</v>
      </c>
      <c r="F41" s="24">
        <v>1</v>
      </c>
      <c r="G41" s="48">
        <v>8.1649999999999991</v>
      </c>
      <c r="H41" s="35" t="str">
        <f t="shared" si="5"/>
        <v>M19</v>
      </c>
      <c r="I41" s="49">
        <f t="shared" si="6"/>
        <v>7.2526396854850266E-4</v>
      </c>
      <c r="J41" s="50">
        <f t="shared" si="7"/>
        <v>0.8703167622582032</v>
      </c>
      <c r="K41" s="35" t="str">
        <f t="shared" si="8"/>
        <v>🟢 OK</v>
      </c>
      <c r="L41" t="str">
        <f t="shared" si="9"/>
        <v>M19</v>
      </c>
    </row>
    <row r="42" spans="2:12" x14ac:dyDescent="0.35">
      <c r="B42" t="s">
        <v>4222</v>
      </c>
      <c r="C42" t="s">
        <v>4223</v>
      </c>
      <c r="D42" t="s">
        <v>124</v>
      </c>
      <c r="E42">
        <v>95862814</v>
      </c>
      <c r="F42" s="24">
        <v>1</v>
      </c>
      <c r="G42" s="48">
        <v>5.8970000000000002</v>
      </c>
      <c r="H42" s="35" t="str">
        <f t="shared" si="5"/>
        <v>M19</v>
      </c>
      <c r="I42" s="49">
        <f t="shared" si="6"/>
        <v>5.2380668983839813E-4</v>
      </c>
      <c r="J42" s="50">
        <f t="shared" si="7"/>
        <v>0.62856802780607779</v>
      </c>
      <c r="K42" s="35" t="str">
        <f t="shared" si="8"/>
        <v>🟢 OK</v>
      </c>
      <c r="L42" t="str">
        <f t="shared" si="9"/>
        <v>M19</v>
      </c>
    </row>
    <row r="43" spans="2:12" x14ac:dyDescent="0.35">
      <c r="B43" t="s">
        <v>4222</v>
      </c>
      <c r="C43" t="s">
        <v>4223</v>
      </c>
      <c r="D43" t="s">
        <v>124</v>
      </c>
      <c r="E43">
        <v>95862816</v>
      </c>
      <c r="F43" s="24">
        <v>1</v>
      </c>
      <c r="G43" s="48">
        <v>8.1649999999999991</v>
      </c>
      <c r="H43" s="35" t="str">
        <f t="shared" si="5"/>
        <v>M19</v>
      </c>
      <c r="I43" s="49">
        <f t="shared" si="6"/>
        <v>7.2526396854850266E-4</v>
      </c>
      <c r="J43" s="50">
        <f t="shared" si="7"/>
        <v>0.8703167622582032</v>
      </c>
      <c r="K43" s="35" t="str">
        <f t="shared" si="8"/>
        <v>🟢 OK</v>
      </c>
      <c r="L43" t="str">
        <f t="shared" si="9"/>
        <v>M19</v>
      </c>
    </row>
    <row r="44" spans="2:12" x14ac:dyDescent="0.35">
      <c r="B44" t="s">
        <v>4222</v>
      </c>
      <c r="C44" t="s">
        <v>4223</v>
      </c>
      <c r="D44" t="s">
        <v>124</v>
      </c>
      <c r="E44">
        <v>95863186</v>
      </c>
      <c r="F44" s="24">
        <v>1</v>
      </c>
      <c r="G44" s="48">
        <v>8.1649999999999991</v>
      </c>
      <c r="H44" s="35" t="str">
        <f t="shared" si="5"/>
        <v>M19</v>
      </c>
      <c r="I44" s="49">
        <f t="shared" si="6"/>
        <v>7.2526396854850266E-4</v>
      </c>
      <c r="J44" s="50">
        <f t="shared" si="7"/>
        <v>0.8703167622582032</v>
      </c>
      <c r="K44" s="35" t="str">
        <f t="shared" si="8"/>
        <v>🟢 OK</v>
      </c>
      <c r="L44" t="str">
        <f t="shared" si="9"/>
        <v>M19</v>
      </c>
    </row>
    <row r="45" spans="2:12" x14ac:dyDescent="0.35">
      <c r="B45" t="s">
        <v>4222</v>
      </c>
      <c r="C45" t="s">
        <v>4223</v>
      </c>
      <c r="D45" t="s">
        <v>124</v>
      </c>
      <c r="E45">
        <v>95863196</v>
      </c>
      <c r="F45" s="24">
        <v>1</v>
      </c>
      <c r="G45" s="48">
        <v>8.1649999999999991</v>
      </c>
      <c r="H45" s="35" t="str">
        <f t="shared" si="5"/>
        <v>M19</v>
      </c>
      <c r="I45" s="49">
        <f t="shared" si="6"/>
        <v>7.2526396854850266E-4</v>
      </c>
      <c r="J45" s="50">
        <f t="shared" si="7"/>
        <v>0.8703167622582032</v>
      </c>
      <c r="K45" s="35" t="str">
        <f t="shared" si="8"/>
        <v>🟢 OK</v>
      </c>
      <c r="L45" t="str">
        <f t="shared" si="9"/>
        <v>M19</v>
      </c>
    </row>
    <row r="46" spans="2:12" x14ac:dyDescent="0.35">
      <c r="B46" t="s">
        <v>4222</v>
      </c>
      <c r="C46" t="s">
        <v>4223</v>
      </c>
      <c r="D46" t="s">
        <v>124</v>
      </c>
      <c r="E46">
        <v>95863347</v>
      </c>
      <c r="F46" s="24">
        <v>1</v>
      </c>
      <c r="G46" s="48">
        <v>5.8970000000000002</v>
      </c>
      <c r="H46" s="35" t="str">
        <f t="shared" si="5"/>
        <v>M19</v>
      </c>
      <c r="I46" s="49">
        <f t="shared" si="6"/>
        <v>5.2380668983839813E-4</v>
      </c>
      <c r="J46" s="50">
        <f t="shared" si="7"/>
        <v>0.62856802780607779</v>
      </c>
      <c r="K46" s="35" t="str">
        <f t="shared" si="8"/>
        <v>🟢 OK</v>
      </c>
      <c r="L46" t="str">
        <f t="shared" si="9"/>
        <v>M19</v>
      </c>
    </row>
    <row r="47" spans="2:12" x14ac:dyDescent="0.35">
      <c r="B47" t="s">
        <v>4222</v>
      </c>
      <c r="C47" t="s">
        <v>4223</v>
      </c>
      <c r="D47" t="s">
        <v>124</v>
      </c>
      <c r="E47">
        <v>95863347</v>
      </c>
      <c r="F47" s="24">
        <v>1</v>
      </c>
      <c r="G47" s="48">
        <v>8.1649999999999991</v>
      </c>
      <c r="H47" s="35" t="str">
        <f t="shared" si="5"/>
        <v>M19</v>
      </c>
      <c r="I47" s="49">
        <f t="shared" si="6"/>
        <v>7.2526396854850266E-4</v>
      </c>
      <c r="J47" s="50">
        <f t="shared" si="7"/>
        <v>0.8703167622582032</v>
      </c>
      <c r="K47" s="35" t="str">
        <f t="shared" si="8"/>
        <v>🟢 OK</v>
      </c>
      <c r="L47" t="str">
        <f t="shared" si="9"/>
        <v>M19</v>
      </c>
    </row>
    <row r="48" spans="2:12" x14ac:dyDescent="0.35">
      <c r="B48" t="s">
        <v>4222</v>
      </c>
      <c r="C48" t="s">
        <v>4223</v>
      </c>
      <c r="D48" t="s">
        <v>124</v>
      </c>
      <c r="E48">
        <v>95877119</v>
      </c>
      <c r="F48" s="24">
        <v>1</v>
      </c>
      <c r="G48" s="48">
        <v>8.1649999999999991</v>
      </c>
      <c r="H48" s="35" t="str">
        <f t="shared" si="5"/>
        <v>M19</v>
      </c>
      <c r="I48" s="49">
        <f t="shared" si="6"/>
        <v>7.2526396854850266E-4</v>
      </c>
      <c r="J48" s="50">
        <f t="shared" si="7"/>
        <v>0.8703167622582032</v>
      </c>
      <c r="K48" s="35" t="str">
        <f t="shared" si="8"/>
        <v>🟢 OK</v>
      </c>
      <c r="L48" t="str">
        <f t="shared" si="9"/>
        <v>M19</v>
      </c>
    </row>
    <row r="49" spans="2:12" x14ac:dyDescent="0.35">
      <c r="B49" t="s">
        <v>4222</v>
      </c>
      <c r="C49" t="s">
        <v>4223</v>
      </c>
      <c r="D49" t="s">
        <v>124</v>
      </c>
      <c r="E49" t="s">
        <v>3661</v>
      </c>
      <c r="F49" s="24">
        <v>1</v>
      </c>
      <c r="G49" s="48">
        <v>90.718000000000004</v>
      </c>
      <c r="H49" s="35" t="str">
        <f t="shared" si="5"/>
        <v>M19</v>
      </c>
      <c r="I49" s="49">
        <f t="shared" si="6"/>
        <v>8.0581134964829246E-3</v>
      </c>
      <c r="J49" s="50">
        <f t="shared" si="7"/>
        <v>9.6697361957795103</v>
      </c>
      <c r="K49" s="35" t="str">
        <f t="shared" si="8"/>
        <v>🟢 OK</v>
      </c>
      <c r="L49" t="str">
        <f t="shared" si="9"/>
        <v>Miscelaneus</v>
      </c>
    </row>
    <row r="50" spans="2:12" x14ac:dyDescent="0.35">
      <c r="B50" t="s">
        <v>4222</v>
      </c>
      <c r="C50" t="s">
        <v>4223</v>
      </c>
      <c r="D50" t="s">
        <v>124</v>
      </c>
      <c r="E50" t="s">
        <v>3661</v>
      </c>
      <c r="F50" s="24">
        <v>11</v>
      </c>
      <c r="G50" s="48">
        <v>485.1</v>
      </c>
      <c r="H50" s="35" t="str">
        <f t="shared" si="5"/>
        <v>M19</v>
      </c>
      <c r="I50" s="49">
        <f t="shared" si="6"/>
        <v>4.3089473501883489E-2</v>
      </c>
      <c r="J50" s="50">
        <f t="shared" si="7"/>
        <v>51.707368202260184</v>
      </c>
      <c r="K50" s="35" t="str">
        <f t="shared" si="8"/>
        <v>🟢 OK</v>
      </c>
      <c r="L50" t="str">
        <f t="shared" si="9"/>
        <v>Miscelaneus</v>
      </c>
    </row>
    <row r="51" spans="2:12" x14ac:dyDescent="0.35">
      <c r="B51" t="s">
        <v>4222</v>
      </c>
      <c r="C51" t="s">
        <v>4223</v>
      </c>
      <c r="D51" t="s">
        <v>124</v>
      </c>
      <c r="E51" t="s">
        <v>3718</v>
      </c>
      <c r="F51" s="24">
        <v>11</v>
      </c>
      <c r="G51" s="48">
        <v>485.1</v>
      </c>
      <c r="H51" s="35" t="str">
        <f t="shared" si="5"/>
        <v>M19</v>
      </c>
      <c r="I51" s="49">
        <f t="shared" si="6"/>
        <v>4.3089473501883489E-2</v>
      </c>
      <c r="J51" s="50">
        <f t="shared" si="7"/>
        <v>51.707368202260184</v>
      </c>
      <c r="K51" s="35" t="str">
        <f t="shared" si="8"/>
        <v>🟢 OK</v>
      </c>
      <c r="L51" t="str">
        <f t="shared" si="9"/>
        <v>Miscelaneus</v>
      </c>
    </row>
    <row r="52" spans="2:12" x14ac:dyDescent="0.35">
      <c r="B52" t="s">
        <v>4222</v>
      </c>
      <c r="C52" t="s">
        <v>4223</v>
      </c>
      <c r="D52" t="s">
        <v>124</v>
      </c>
      <c r="E52" t="s">
        <v>3657</v>
      </c>
      <c r="F52" s="24">
        <v>1</v>
      </c>
      <c r="G52" s="48">
        <v>90.718000000000004</v>
      </c>
      <c r="H52" s="35" t="str">
        <f t="shared" si="5"/>
        <v>M19</v>
      </c>
      <c r="I52" s="49">
        <f t="shared" si="6"/>
        <v>8.0581134964829246E-3</v>
      </c>
      <c r="J52" s="50">
        <f t="shared" si="7"/>
        <v>9.6697361957795103</v>
      </c>
      <c r="K52" s="35" t="str">
        <f t="shared" si="8"/>
        <v>🟢 OK</v>
      </c>
      <c r="L52" t="str">
        <f t="shared" si="9"/>
        <v>Miscelaneus</v>
      </c>
    </row>
    <row r="53" spans="2:12" x14ac:dyDescent="0.35">
      <c r="B53" t="s">
        <v>4222</v>
      </c>
      <c r="C53" t="s">
        <v>4223</v>
      </c>
      <c r="D53" t="s">
        <v>124</v>
      </c>
      <c r="E53" t="s">
        <v>3795</v>
      </c>
      <c r="F53" s="24">
        <v>1</v>
      </c>
      <c r="G53" s="48">
        <v>95.28</v>
      </c>
      <c r="H53" s="35" t="str">
        <f t="shared" si="5"/>
        <v>M19</v>
      </c>
      <c r="I53" s="49">
        <f t="shared" si="6"/>
        <v>8.4633375288795266E-3</v>
      </c>
      <c r="J53" s="50">
        <f t="shared" si="7"/>
        <v>10.156005034655433</v>
      </c>
      <c r="K53" s="35" t="str">
        <f t="shared" si="8"/>
        <v>🟢 OK</v>
      </c>
      <c r="L53" t="str">
        <f t="shared" si="9"/>
        <v>M19</v>
      </c>
    </row>
    <row r="54" spans="2:12" x14ac:dyDescent="0.35">
      <c r="B54" t="s">
        <v>4222</v>
      </c>
      <c r="C54" t="s">
        <v>4223</v>
      </c>
      <c r="D54" t="s">
        <v>124</v>
      </c>
      <c r="E54" t="s">
        <v>3654</v>
      </c>
      <c r="F54" s="24">
        <v>1</v>
      </c>
      <c r="G54" s="48">
        <v>90.718000000000004</v>
      </c>
      <c r="H54" s="35" t="str">
        <f t="shared" si="5"/>
        <v>M19</v>
      </c>
      <c r="I54" s="49">
        <f t="shared" si="6"/>
        <v>8.0581134964829246E-3</v>
      </c>
      <c r="J54" s="50">
        <f t="shared" si="7"/>
        <v>9.6697361957795103</v>
      </c>
      <c r="K54" s="35" t="str">
        <f t="shared" si="8"/>
        <v>🟢 OK</v>
      </c>
      <c r="L54" t="str">
        <f t="shared" si="9"/>
        <v>Miscelaneus</v>
      </c>
    </row>
    <row r="55" spans="2:12" x14ac:dyDescent="0.35">
      <c r="B55" t="s">
        <v>4222</v>
      </c>
      <c r="C55" t="s">
        <v>4223</v>
      </c>
      <c r="D55" t="s">
        <v>124</v>
      </c>
      <c r="E55" t="s">
        <v>3654</v>
      </c>
      <c r="F55" s="24">
        <v>11</v>
      </c>
      <c r="G55" s="48">
        <v>485.1</v>
      </c>
      <c r="H55" s="35" t="str">
        <f t="shared" si="5"/>
        <v>M19</v>
      </c>
      <c r="I55" s="49">
        <f t="shared" si="6"/>
        <v>4.3089473501883489E-2</v>
      </c>
      <c r="J55" s="50">
        <f t="shared" si="7"/>
        <v>51.707368202260184</v>
      </c>
      <c r="K55" s="35" t="str">
        <f t="shared" si="8"/>
        <v>🟢 OK</v>
      </c>
      <c r="L55" t="str">
        <f t="shared" si="9"/>
        <v>Miscelaneus</v>
      </c>
    </row>
    <row r="56" spans="2:12" x14ac:dyDescent="0.35">
      <c r="B56" t="s">
        <v>4235</v>
      </c>
      <c r="C56" t="s">
        <v>4236</v>
      </c>
      <c r="D56" t="s">
        <v>124</v>
      </c>
      <c r="E56" t="s">
        <v>3614</v>
      </c>
      <c r="F56" s="24">
        <v>1</v>
      </c>
      <c r="G56" s="48">
        <v>12.093</v>
      </c>
      <c r="H56" s="35" t="str">
        <f t="shared" si="5"/>
        <v>M19</v>
      </c>
      <c r="I56" s="49">
        <f t="shared" si="6"/>
        <v>1</v>
      </c>
      <c r="J56" s="50">
        <f t="shared" si="7"/>
        <v>1200</v>
      </c>
      <c r="K56" s="35" t="str">
        <f t="shared" si="8"/>
        <v>🟢 OK</v>
      </c>
      <c r="L56" t="str">
        <f t="shared" si="9"/>
        <v>M19</v>
      </c>
    </row>
    <row r="57" spans="2:12" x14ac:dyDescent="0.35">
      <c r="B57" t="s">
        <v>4237</v>
      </c>
      <c r="C57" t="s">
        <v>4238</v>
      </c>
      <c r="D57" t="s">
        <v>124</v>
      </c>
      <c r="E57" t="s">
        <v>4239</v>
      </c>
      <c r="F57" s="24">
        <v>1</v>
      </c>
      <c r="G57" s="48">
        <v>1000</v>
      </c>
      <c r="H57" s="35" t="str">
        <f t="shared" si="5"/>
        <v>M00</v>
      </c>
      <c r="I57" s="49">
        <f t="shared" si="6"/>
        <v>0.27215868375351454</v>
      </c>
      <c r="J57" s="50">
        <f t="shared" si="7"/>
        <v>326.59042050421743</v>
      </c>
      <c r="K57" s="35" t="str">
        <f t="shared" si="8"/>
        <v>🟢 OK</v>
      </c>
      <c r="L57" t="str">
        <f t="shared" si="9"/>
        <v>M00</v>
      </c>
    </row>
    <row r="58" spans="2:12" x14ac:dyDescent="0.35">
      <c r="B58" t="s">
        <v>4237</v>
      </c>
      <c r="C58" t="s">
        <v>4238</v>
      </c>
      <c r="D58" t="s">
        <v>124</v>
      </c>
      <c r="E58" t="s">
        <v>3593</v>
      </c>
      <c r="F58" s="24">
        <v>1</v>
      </c>
      <c r="G58" s="48">
        <v>53.16</v>
      </c>
      <c r="H58" s="35" t="str">
        <f t="shared" si="5"/>
        <v>M00</v>
      </c>
      <c r="I58" s="49">
        <f t="shared" si="6"/>
        <v>1.4467955628336832E-2</v>
      </c>
      <c r="J58" s="50">
        <f t="shared" si="7"/>
        <v>17.361546754004198</v>
      </c>
      <c r="K58" s="35" t="str">
        <f t="shared" si="8"/>
        <v>🟢 OK</v>
      </c>
      <c r="L58" t="str">
        <f t="shared" si="9"/>
        <v>M00</v>
      </c>
    </row>
    <row r="59" spans="2:12" x14ac:dyDescent="0.35">
      <c r="B59" t="s">
        <v>4237</v>
      </c>
      <c r="C59" t="s">
        <v>4238</v>
      </c>
      <c r="D59" t="s">
        <v>124</v>
      </c>
      <c r="E59" t="s">
        <v>3762</v>
      </c>
      <c r="F59" s="24">
        <v>1</v>
      </c>
      <c r="G59" s="48">
        <v>17</v>
      </c>
      <c r="H59" s="35" t="str">
        <f t="shared" si="5"/>
        <v>M00</v>
      </c>
      <c r="I59" s="49">
        <f t="shared" si="6"/>
        <v>4.6266976238097468E-3</v>
      </c>
      <c r="J59" s="50">
        <f t="shared" si="7"/>
        <v>5.5520371485716966</v>
      </c>
      <c r="K59" s="35" t="str">
        <f t="shared" si="8"/>
        <v>🟢 OK</v>
      </c>
      <c r="L59" t="str">
        <f t="shared" si="9"/>
        <v>M00</v>
      </c>
    </row>
    <row r="60" spans="2:12" x14ac:dyDescent="0.35">
      <c r="B60" t="s">
        <v>4237</v>
      </c>
      <c r="C60" t="s">
        <v>4238</v>
      </c>
      <c r="D60" t="s">
        <v>124</v>
      </c>
      <c r="E60" t="s">
        <v>3771</v>
      </c>
      <c r="F60" s="24">
        <v>1</v>
      </c>
      <c r="G60" s="48">
        <v>17</v>
      </c>
      <c r="H60" s="35" t="str">
        <f t="shared" si="5"/>
        <v>M00</v>
      </c>
      <c r="I60" s="49">
        <f t="shared" si="6"/>
        <v>4.6266976238097468E-3</v>
      </c>
      <c r="J60" s="50">
        <f t="shared" si="7"/>
        <v>5.5520371485716966</v>
      </c>
      <c r="K60" s="35" t="str">
        <f t="shared" si="8"/>
        <v>🟢 OK</v>
      </c>
      <c r="L60" t="str">
        <f t="shared" si="9"/>
        <v>M00</v>
      </c>
    </row>
    <row r="61" spans="2:12" x14ac:dyDescent="0.35">
      <c r="B61" t="s">
        <v>4237</v>
      </c>
      <c r="C61" t="s">
        <v>4238</v>
      </c>
      <c r="D61" t="s">
        <v>124</v>
      </c>
      <c r="E61" t="s">
        <v>4240</v>
      </c>
      <c r="F61" s="24">
        <v>2</v>
      </c>
      <c r="G61" s="48">
        <v>15.875999999999999</v>
      </c>
      <c r="H61" s="35" t="str">
        <f t="shared" si="5"/>
        <v>M00</v>
      </c>
      <c r="I61" s="49">
        <f t="shared" si="6"/>
        <v>4.3207912632707967E-3</v>
      </c>
      <c r="J61" s="50">
        <f t="shared" si="7"/>
        <v>5.1849495159249557</v>
      </c>
      <c r="K61" s="35" t="str">
        <f t="shared" si="8"/>
        <v>🟢 OK</v>
      </c>
      <c r="L61" t="str">
        <f t="shared" si="9"/>
        <v>M00</v>
      </c>
    </row>
    <row r="62" spans="2:12" x14ac:dyDescent="0.35">
      <c r="B62" t="s">
        <v>4237</v>
      </c>
      <c r="C62" t="s">
        <v>4238</v>
      </c>
      <c r="D62" t="s">
        <v>124</v>
      </c>
      <c r="E62" t="s">
        <v>3672</v>
      </c>
      <c r="F62" s="24">
        <v>2</v>
      </c>
      <c r="G62" s="48">
        <v>14.19</v>
      </c>
      <c r="H62" s="35" t="str">
        <f t="shared" si="5"/>
        <v>M00</v>
      </c>
      <c r="I62" s="49">
        <f t="shared" si="6"/>
        <v>3.861931722462371E-3</v>
      </c>
      <c r="J62" s="50">
        <f t="shared" si="7"/>
        <v>4.6343180669548456</v>
      </c>
      <c r="K62" s="35" t="str">
        <f t="shared" si="8"/>
        <v>🟢 OK</v>
      </c>
      <c r="L62" t="str">
        <f t="shared" si="9"/>
        <v>M00</v>
      </c>
    </row>
    <row r="63" spans="2:12" x14ac:dyDescent="0.35">
      <c r="B63" t="s">
        <v>4237</v>
      </c>
      <c r="C63" t="s">
        <v>4238</v>
      </c>
      <c r="D63" t="s">
        <v>124</v>
      </c>
      <c r="E63" t="s">
        <v>4241</v>
      </c>
      <c r="F63" s="24">
        <v>1</v>
      </c>
      <c r="G63" s="48">
        <v>111.13</v>
      </c>
      <c r="H63" s="35" t="str">
        <f t="shared" si="5"/>
        <v>M00</v>
      </c>
      <c r="I63" s="49">
        <f t="shared" si="6"/>
        <v>3.024499452552807E-2</v>
      </c>
      <c r="J63" s="50">
        <f t="shared" si="7"/>
        <v>36.293993430633684</v>
      </c>
      <c r="K63" s="35" t="str">
        <f t="shared" si="8"/>
        <v>🟢 OK</v>
      </c>
      <c r="L63" t="str">
        <f t="shared" si="9"/>
        <v>M00</v>
      </c>
    </row>
    <row r="64" spans="2:12" x14ac:dyDescent="0.35">
      <c r="B64" t="s">
        <v>4237</v>
      </c>
      <c r="C64" t="s">
        <v>4238</v>
      </c>
      <c r="D64" t="s">
        <v>124</v>
      </c>
      <c r="E64" t="s">
        <v>4242</v>
      </c>
      <c r="F64" s="24">
        <v>1</v>
      </c>
      <c r="G64" s="48">
        <v>35.380000000000003</v>
      </c>
      <c r="H64" s="35" t="str">
        <f t="shared" si="5"/>
        <v>M00</v>
      </c>
      <c r="I64" s="49">
        <f t="shared" si="6"/>
        <v>9.6289742311993446E-3</v>
      </c>
      <c r="J64" s="50">
        <f t="shared" si="7"/>
        <v>11.554769077439213</v>
      </c>
      <c r="K64" s="35" t="str">
        <f t="shared" si="8"/>
        <v>🟢 OK</v>
      </c>
      <c r="L64" t="str">
        <f t="shared" si="9"/>
        <v>M00</v>
      </c>
    </row>
    <row r="65" spans="2:12" x14ac:dyDescent="0.35">
      <c r="B65" t="s">
        <v>4237</v>
      </c>
      <c r="C65" t="s">
        <v>4238</v>
      </c>
      <c r="D65" t="s">
        <v>124</v>
      </c>
      <c r="E65" t="s">
        <v>3707</v>
      </c>
      <c r="F65" s="24">
        <v>1</v>
      </c>
      <c r="G65" s="48">
        <v>90.718000000000004</v>
      </c>
      <c r="H65" s="35" t="str">
        <f t="shared" si="5"/>
        <v>M00</v>
      </c>
      <c r="I65" s="49">
        <f t="shared" si="6"/>
        <v>2.4689691472751334E-2</v>
      </c>
      <c r="J65" s="50">
        <f t="shared" si="7"/>
        <v>29.627629767301602</v>
      </c>
      <c r="K65" s="35" t="str">
        <f t="shared" si="8"/>
        <v>🟢 OK</v>
      </c>
      <c r="L65" t="str">
        <f t="shared" si="9"/>
        <v>M00</v>
      </c>
    </row>
    <row r="66" spans="2:12" x14ac:dyDescent="0.35">
      <c r="B66" t="s">
        <v>4237</v>
      </c>
      <c r="C66" t="s">
        <v>4238</v>
      </c>
      <c r="D66" t="s">
        <v>124</v>
      </c>
      <c r="E66" t="s">
        <v>3846</v>
      </c>
      <c r="F66" s="24">
        <v>1</v>
      </c>
      <c r="G66" s="48">
        <v>47.22</v>
      </c>
      <c r="H66" s="35" t="str">
        <f t="shared" si="5"/>
        <v>M00</v>
      </c>
      <c r="I66" s="49">
        <f t="shared" si="6"/>
        <v>1.2851333046840956E-2</v>
      </c>
      <c r="J66" s="50">
        <f t="shared" si="7"/>
        <v>15.421599656209148</v>
      </c>
      <c r="K66" s="35" t="str">
        <f t="shared" si="8"/>
        <v>🟢 OK</v>
      </c>
      <c r="L66" t="str">
        <f t="shared" si="9"/>
        <v>M00</v>
      </c>
    </row>
    <row r="67" spans="2:12" x14ac:dyDescent="0.35">
      <c r="B67" t="s">
        <v>4237</v>
      </c>
      <c r="C67" t="s">
        <v>4238</v>
      </c>
      <c r="D67" t="s">
        <v>124</v>
      </c>
      <c r="E67" t="s">
        <v>4128</v>
      </c>
      <c r="F67" s="24">
        <v>1</v>
      </c>
      <c r="G67" s="48">
        <v>12.247</v>
      </c>
      <c r="H67" s="35" t="str">
        <f t="shared" si="5"/>
        <v>M00</v>
      </c>
      <c r="I67" s="49">
        <f t="shared" si="6"/>
        <v>3.3331273999292923E-3</v>
      </c>
      <c r="J67" s="50">
        <f t="shared" si="7"/>
        <v>3.9997528799151509</v>
      </c>
      <c r="K67" s="35" t="str">
        <f t="shared" si="8"/>
        <v>🟢 OK</v>
      </c>
      <c r="L67" t="str">
        <f t="shared" si="9"/>
        <v>M00</v>
      </c>
    </row>
    <row r="68" spans="2:12" x14ac:dyDescent="0.35">
      <c r="B68" t="s">
        <v>4237</v>
      </c>
      <c r="C68" t="s">
        <v>4238</v>
      </c>
      <c r="D68" t="s">
        <v>124</v>
      </c>
      <c r="E68" t="s">
        <v>4128</v>
      </c>
      <c r="F68" s="24">
        <v>1</v>
      </c>
      <c r="G68" s="48">
        <v>7.7110000000000003</v>
      </c>
      <c r="H68" s="35" t="str">
        <f t="shared" si="5"/>
        <v>M00</v>
      </c>
      <c r="I68" s="49">
        <f t="shared" si="6"/>
        <v>2.0986156104233506E-3</v>
      </c>
      <c r="J68" s="50">
        <f t="shared" si="7"/>
        <v>2.5183387325080209</v>
      </c>
      <c r="K68" s="35" t="str">
        <f t="shared" si="8"/>
        <v>🟢 OK</v>
      </c>
      <c r="L68" t="str">
        <f t="shared" si="9"/>
        <v>M00</v>
      </c>
    </row>
    <row r="69" spans="2:12" x14ac:dyDescent="0.35">
      <c r="B69" t="s">
        <v>4237</v>
      </c>
      <c r="C69" t="s">
        <v>4238</v>
      </c>
      <c r="D69" t="s">
        <v>124</v>
      </c>
      <c r="E69">
        <v>51546</v>
      </c>
      <c r="F69" s="24">
        <v>1</v>
      </c>
      <c r="G69" s="48">
        <v>3.1749999999999998</v>
      </c>
      <c r="H69" s="35" t="str">
        <f t="shared" si="5"/>
        <v>M00</v>
      </c>
      <c r="I69" s="49">
        <f t="shared" si="6"/>
        <v>8.6410382091740867E-4</v>
      </c>
      <c r="J69" s="50">
        <f t="shared" si="7"/>
        <v>1.0369245851008904</v>
      </c>
      <c r="K69" s="35" t="str">
        <f t="shared" si="8"/>
        <v>🟢 OK</v>
      </c>
      <c r="L69" t="str">
        <f t="shared" si="9"/>
        <v>M00</v>
      </c>
    </row>
    <row r="70" spans="2:12" x14ac:dyDescent="0.35">
      <c r="B70" t="s">
        <v>4237</v>
      </c>
      <c r="C70" t="s">
        <v>4238</v>
      </c>
      <c r="D70" t="s">
        <v>124</v>
      </c>
      <c r="E70" t="s">
        <v>3661</v>
      </c>
      <c r="F70" s="24">
        <v>16</v>
      </c>
      <c r="G70" s="48">
        <v>718.08</v>
      </c>
      <c r="H70" s="35" t="str">
        <f t="shared" si="5"/>
        <v>M00</v>
      </c>
      <c r="I70" s="49">
        <f t="shared" si="6"/>
        <v>0.19543170762972373</v>
      </c>
      <c r="J70" s="50">
        <f t="shared" si="7"/>
        <v>234.51804915566848</v>
      </c>
      <c r="K70" s="35" t="str">
        <f t="shared" si="8"/>
        <v>🟢 OK</v>
      </c>
      <c r="L70" t="str">
        <f t="shared" si="9"/>
        <v>Miscelaneus</v>
      </c>
    </row>
    <row r="71" spans="2:12" x14ac:dyDescent="0.35">
      <c r="B71" t="s">
        <v>4237</v>
      </c>
      <c r="C71" t="s">
        <v>4238</v>
      </c>
      <c r="D71" t="s">
        <v>124</v>
      </c>
      <c r="E71" t="s">
        <v>3718</v>
      </c>
      <c r="F71" s="24">
        <v>16</v>
      </c>
      <c r="G71" s="48">
        <v>718.08</v>
      </c>
      <c r="H71" s="35" t="str">
        <f t="shared" ref="H71:H77" si="10">IFERROR(IF(ISNUMBER(SEARCH("-M",B71)),"M"&amp;MID(B71,SEARCH("-M",B71)+2,2),"Sin BU"),"Sin BU")</f>
        <v>M00</v>
      </c>
      <c r="I71" s="49">
        <f t="shared" ref="I71:I76" si="11">G71/SUMIFS($G$7:$G$76,$B$7:$B$76,B71)</f>
        <v>0.19543170762972373</v>
      </c>
      <c r="J71" s="50">
        <f t="shared" ref="J71:J76" si="12">I71*$C$3</f>
        <v>234.51804915566848</v>
      </c>
      <c r="K71" s="35" t="str">
        <f t="shared" ref="K71:K78" si="13">IF(ROUND(SUMIFS($J$7:$J$76,$B$7:$B$76,B71),2)=$C$3,"🟢 OK","🔴 Revisar")</f>
        <v>🟢 OK</v>
      </c>
      <c r="L71" t="str">
        <f t="shared" ref="L71:L76" si="14">IF(OR(ISNUMBER(SEARCH("PLASTIC",E71)),ISNUMBER(SEARCH("CHAROLA",E71)),AND(ISNUMBER(SEARCH("TAPA",E71)),NOT(ISNUMBER(SEARCH("-",E71)))),AND(ISNUMBER(SEARCH("BASE",E71)),NOT(ISNUMBER(SEARCH("-",E71)))),AND(ISNUMBER(SEARCH("CAJA",E71)),NOT(ISNUMBER(SEARCH("-",E71))))),"Miscelaneus",H71)</f>
        <v>Miscelaneus</v>
      </c>
    </row>
    <row r="72" spans="2:12" x14ac:dyDescent="0.35">
      <c r="B72" t="s">
        <v>4237</v>
      </c>
      <c r="C72" t="s">
        <v>4238</v>
      </c>
      <c r="D72" t="s">
        <v>124</v>
      </c>
      <c r="E72" t="s">
        <v>3795</v>
      </c>
      <c r="F72" s="24">
        <v>1</v>
      </c>
      <c r="G72" s="48">
        <v>95.28</v>
      </c>
      <c r="H72" s="35" t="str">
        <f t="shared" si="10"/>
        <v>M00</v>
      </c>
      <c r="I72" s="49">
        <f t="shared" si="11"/>
        <v>2.5931279388034866E-2</v>
      </c>
      <c r="J72" s="50">
        <f t="shared" si="12"/>
        <v>31.117535265641841</v>
      </c>
      <c r="K72" s="35" t="str">
        <f t="shared" si="13"/>
        <v>🟢 OK</v>
      </c>
      <c r="L72" t="str">
        <f t="shared" si="14"/>
        <v>M00</v>
      </c>
    </row>
    <row r="73" spans="2:12" x14ac:dyDescent="0.35">
      <c r="B73" t="s">
        <v>4237</v>
      </c>
      <c r="C73" t="s">
        <v>4238</v>
      </c>
      <c r="D73" t="s">
        <v>124</v>
      </c>
      <c r="E73" t="s">
        <v>3654</v>
      </c>
      <c r="F73" s="24">
        <v>16</v>
      </c>
      <c r="G73" s="48">
        <v>718.08</v>
      </c>
      <c r="H73" s="35" t="str">
        <f t="shared" si="10"/>
        <v>M00</v>
      </c>
      <c r="I73" s="49">
        <f t="shared" si="11"/>
        <v>0.19543170762972373</v>
      </c>
      <c r="J73" s="50">
        <f t="shared" si="12"/>
        <v>234.51804915566848</v>
      </c>
      <c r="K73" s="35" t="str">
        <f t="shared" si="13"/>
        <v>🟢 OK</v>
      </c>
      <c r="L73" t="str">
        <f t="shared" si="14"/>
        <v>Miscelaneus</v>
      </c>
    </row>
    <row r="74" spans="2:12" x14ac:dyDescent="0.35">
      <c r="B74" t="s">
        <v>4243</v>
      </c>
      <c r="C74" t="s">
        <v>4244</v>
      </c>
      <c r="D74" t="s">
        <v>4245</v>
      </c>
      <c r="E74" t="s">
        <v>4246</v>
      </c>
      <c r="F74" s="24">
        <v>1</v>
      </c>
      <c r="G74" s="48">
        <v>11.34</v>
      </c>
      <c r="H74" s="35" t="str">
        <f t="shared" si="10"/>
        <v>M23</v>
      </c>
      <c r="I74" s="49">
        <f t="shared" si="11"/>
        <v>5.6180610258163281E-2</v>
      </c>
      <c r="J74" s="50">
        <f t="shared" si="12"/>
        <v>67.416732309795933</v>
      </c>
      <c r="K74" s="35" t="str">
        <f t="shared" si="13"/>
        <v>🟢 OK</v>
      </c>
      <c r="L74" t="str">
        <f t="shared" si="14"/>
        <v>M23</v>
      </c>
    </row>
    <row r="75" spans="2:12" x14ac:dyDescent="0.35">
      <c r="B75" t="s">
        <v>4243</v>
      </c>
      <c r="C75" t="s">
        <v>4244</v>
      </c>
      <c r="D75" t="s">
        <v>4245</v>
      </c>
      <c r="E75" t="s">
        <v>4247</v>
      </c>
      <c r="F75" s="24">
        <v>1</v>
      </c>
      <c r="G75" s="48">
        <v>108.86199999999999</v>
      </c>
      <c r="H75" s="35" t="str">
        <f t="shared" si="10"/>
        <v>M23</v>
      </c>
      <c r="I75" s="49">
        <f t="shared" si="11"/>
        <v>0.53932395008149658</v>
      </c>
      <c r="J75" s="50">
        <f t="shared" si="12"/>
        <v>647.18874009779586</v>
      </c>
      <c r="K75" s="35" t="str">
        <f t="shared" si="13"/>
        <v>🟢 OK</v>
      </c>
      <c r="L75" t="str">
        <f t="shared" si="14"/>
        <v>M23</v>
      </c>
    </row>
    <row r="76" spans="2:12" x14ac:dyDescent="0.35">
      <c r="B76" t="s">
        <v>4243</v>
      </c>
      <c r="C76" t="s">
        <v>4244</v>
      </c>
      <c r="D76" t="s">
        <v>4245</v>
      </c>
      <c r="E76" t="s">
        <v>4247</v>
      </c>
      <c r="F76" s="24">
        <v>1</v>
      </c>
      <c r="G76" s="48">
        <v>81.647000000000006</v>
      </c>
      <c r="H76" s="35" t="str">
        <f t="shared" si="10"/>
        <v>M23</v>
      </c>
      <c r="I76" s="49">
        <f t="shared" si="11"/>
        <v>0.40449543966034018</v>
      </c>
      <c r="J76" s="50">
        <f t="shared" si="12"/>
        <v>485.39452759240822</v>
      </c>
      <c r="K76" s="35" t="str">
        <f t="shared" si="13"/>
        <v>🟢 OK</v>
      </c>
      <c r="L76" t="str">
        <f t="shared" si="14"/>
        <v>M23</v>
      </c>
    </row>
    <row r="77" spans="2:12" x14ac:dyDescent="0.35">
      <c r="B77" s="46" t="s">
        <v>4211</v>
      </c>
      <c r="C77" s="46"/>
      <c r="D77" s="46"/>
      <c r="E77" s="46"/>
      <c r="F77" s="53">
        <f>SUM(F7:F76)</f>
        <v>191</v>
      </c>
      <c r="G77" s="54">
        <f>SUM(G7:G76)</f>
        <v>23600.639000000017</v>
      </c>
      <c r="H77" s="55" t="str">
        <f t="shared" si="10"/>
        <v>Sin BU</v>
      </c>
      <c r="I77" s="46"/>
      <c r="J77" s="56">
        <f>SUM(J7:J76)</f>
        <v>6000.0000000000009</v>
      </c>
      <c r="K77" s="55" t="str">
        <f t="shared" si="13"/>
        <v>🔴 Revisar</v>
      </c>
      <c r="L77" s="27" t="s">
        <v>4280</v>
      </c>
    </row>
    <row r="78" spans="2:12" x14ac:dyDescent="0.35">
      <c r="B78" s="27" t="s">
        <v>4248</v>
      </c>
      <c r="C78" s="27"/>
      <c r="D78" s="27"/>
      <c r="E78" s="27"/>
      <c r="F78" s="27" cm="1">
        <f t="array" ref="F78">SUMPRODUCT(1/COUNTIF(B7:B76,B7:B76))</f>
        <v>4.9999999999999947</v>
      </c>
      <c r="G78" s="27" t="s">
        <v>4249</v>
      </c>
      <c r="H78" s="52">
        <f>F78*$C$3</f>
        <v>5999.9999999999936</v>
      </c>
      <c r="I78" s="27" t="s">
        <v>4250</v>
      </c>
      <c r="J78" s="52" t="str">
        <f>IF(ROUND(J77,2)=ROUND(H78,2),"🟢 CUADRA","🔴 NO CUADRA")</f>
        <v>🟢 CUADRA</v>
      </c>
      <c r="K78" s="35" t="str">
        <f t="shared" si="13"/>
        <v>🔴 Revisar</v>
      </c>
    </row>
  </sheetData>
  <mergeCells count="4">
    <mergeCell ref="B2:K2"/>
    <mergeCell ref="C4:K4"/>
    <mergeCell ref="N5:Q5"/>
    <mergeCell ref="O13:Q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80938-42DE-4488-A408-5C7465E6DE4B}">
  <dimension ref="B2:R83"/>
  <sheetViews>
    <sheetView topLeftCell="J33" zoomScale="92" workbookViewId="0">
      <selection activeCell="S8" sqref="S8"/>
    </sheetView>
  </sheetViews>
  <sheetFormatPr defaultRowHeight="14.5" x14ac:dyDescent="0.35"/>
  <cols>
    <col min="2" max="2" width="31.81640625" customWidth="1"/>
    <col min="3" max="4" width="16.36328125" customWidth="1"/>
    <col min="5" max="5" width="40" customWidth="1"/>
    <col min="6" max="6" width="23.6328125" customWidth="1"/>
    <col min="7" max="7" width="12.7265625" customWidth="1"/>
    <col min="8" max="8" width="17.26953125" customWidth="1"/>
    <col min="9" max="10" width="16.36328125" customWidth="1"/>
    <col min="11" max="11" width="18.1796875" customWidth="1"/>
    <col min="12" max="12" width="16.36328125" customWidth="1"/>
    <col min="13" max="13" width="18.1796875" customWidth="1"/>
    <col min="15" max="15" width="18.1796875" customWidth="1"/>
    <col min="16" max="16" width="12.7265625" customWidth="1"/>
    <col min="17" max="17" width="20.90625" customWidth="1"/>
    <col min="18" max="18" width="13.6328125" customWidth="1"/>
  </cols>
  <sheetData>
    <row r="2" spans="2:18" ht="18.5" x14ac:dyDescent="0.45">
      <c r="B2" s="84" t="s">
        <v>4251</v>
      </c>
      <c r="C2" s="80"/>
      <c r="D2" s="80"/>
      <c r="E2" s="80"/>
      <c r="F2" s="80"/>
      <c r="G2" s="80"/>
      <c r="H2" s="80"/>
      <c r="I2" s="80"/>
      <c r="J2" s="80"/>
      <c r="K2" s="80"/>
      <c r="L2" s="80"/>
    </row>
    <row r="3" spans="2:18" x14ac:dyDescent="0.35">
      <c r="B3" s="27" t="s">
        <v>4252</v>
      </c>
      <c r="C3" s="43">
        <v>1500</v>
      </c>
    </row>
    <row r="4" spans="2:18" x14ac:dyDescent="0.35">
      <c r="B4" s="27" t="s">
        <v>4217</v>
      </c>
      <c r="C4" s="80" t="s">
        <v>4253</v>
      </c>
      <c r="D4" s="80"/>
      <c r="E4" s="80"/>
      <c r="F4" s="80"/>
      <c r="G4" s="80"/>
      <c r="H4" s="80"/>
      <c r="I4" s="80"/>
      <c r="J4" s="80"/>
      <c r="K4" s="80"/>
      <c r="L4" s="80"/>
    </row>
    <row r="5" spans="2:18" x14ac:dyDescent="0.35">
      <c r="O5" s="85" t="s">
        <v>4285</v>
      </c>
      <c r="P5" s="85"/>
      <c r="Q5" s="85"/>
      <c r="R5" s="85"/>
    </row>
    <row r="6" spans="2:18" x14ac:dyDescent="0.35">
      <c r="B6" s="57" t="s">
        <v>10</v>
      </c>
      <c r="C6" s="57" t="s">
        <v>4254</v>
      </c>
      <c r="D6" s="57" t="s">
        <v>4215</v>
      </c>
      <c r="E6" s="57" t="s">
        <v>17</v>
      </c>
      <c r="F6" s="57" t="s">
        <v>32</v>
      </c>
      <c r="G6" s="57" t="s">
        <v>266</v>
      </c>
      <c r="H6" s="57" t="s">
        <v>301</v>
      </c>
      <c r="I6" s="57" t="s">
        <v>4219</v>
      </c>
      <c r="J6" s="57" t="s">
        <v>305</v>
      </c>
      <c r="K6" s="57" t="s">
        <v>4255</v>
      </c>
      <c r="L6" s="57" t="s">
        <v>4213</v>
      </c>
      <c r="M6" s="60" t="s">
        <v>4279</v>
      </c>
      <c r="O6" s="70" t="s">
        <v>4279</v>
      </c>
      <c r="P6" s="70" t="s">
        <v>4283</v>
      </c>
      <c r="Q6" s="70" t="s">
        <v>4284</v>
      </c>
      <c r="R6" s="70" t="s">
        <v>312</v>
      </c>
    </row>
    <row r="7" spans="2:18" x14ac:dyDescent="0.35">
      <c r="B7" t="s">
        <v>4256</v>
      </c>
      <c r="C7" t="s">
        <v>38</v>
      </c>
      <c r="D7">
        <v>562323</v>
      </c>
      <c r="E7" t="s">
        <v>4257</v>
      </c>
      <c r="F7" t="s">
        <v>156</v>
      </c>
      <c r="G7" s="24">
        <v>1344</v>
      </c>
      <c r="H7" s="23">
        <v>338.85</v>
      </c>
      <c r="I7" s="35" t="str">
        <f t="shared" ref="I7:I38" si="0">IFERROR(IF(ISNUMBER(SEARCH("/M",B7)),"M"&amp;MID(B7,SEARCH("/M",B7)+2,2),IF(ISNUMBER(SEARCH(".M",B7)),"M"&amp;MID(B7,SEARCH(".M",B7)+2,2),"Sin BU")),"Sin BU")</f>
        <v>M45</v>
      </c>
      <c r="J7" s="49">
        <f t="shared" ref="J7:J38" si="1">H7/SUMIFS($H$7:$H$81,$B$7:$B$81,B7)</f>
        <v>0.64399338616796853</v>
      </c>
      <c r="K7" s="50">
        <f t="shared" ref="K7:K38" si="2">J7*$C$3</f>
        <v>965.99007925195281</v>
      </c>
      <c r="L7" s="35" t="str">
        <f t="shared" ref="L7:L38" si="3">IF(ROUND(SUMIFS($K$7:$K$81,$B$7:$B$81,B7),2)=$C$3,"🟢 OK","🔴 Revisar")</f>
        <v>🟢 OK</v>
      </c>
      <c r="M7" t="str">
        <f t="shared" ref="M7:M38" si="4">IF(OR(ISNUMBER(SEARCH("PLASTIC",F7)),ISNUMBER(SEARCH("CHAROLA",F7)),AND(ISNUMBER(SEARCH("TAPA",F7)),NOT(ISNUMBER(SEARCH("-",F7)))),AND(ISNUMBER(SEARCH("BASE",F7)),NOT(ISNUMBER(SEARCH("-",F7)))),AND(ISNUMBER(SEARCH("CAJA",F7)),NOT(ISNUMBER(SEARCH("-",F7))))),"Miscelaneus",I7)</f>
        <v>M45</v>
      </c>
      <c r="O7" s="71" t="s">
        <v>296</v>
      </c>
      <c r="P7" s="72">
        <f>COUNTIF($M$7:$M$81,O7)</f>
        <v>62</v>
      </c>
      <c r="Q7" s="64">
        <f>SUMIF($M$7:$M$81,O7,$K$7:$K$81)</f>
        <v>10500.000000000004</v>
      </c>
      <c r="R7" s="65">
        <f>Q7/$Q$11</f>
        <v>0.77777777777777779</v>
      </c>
    </row>
    <row r="8" spans="2:18" x14ac:dyDescent="0.35">
      <c r="B8" t="s">
        <v>4256</v>
      </c>
      <c r="C8" t="s">
        <v>38</v>
      </c>
      <c r="D8">
        <v>562323</v>
      </c>
      <c r="E8" t="s">
        <v>4258</v>
      </c>
      <c r="F8" t="s">
        <v>88</v>
      </c>
      <c r="G8" s="24">
        <v>200</v>
      </c>
      <c r="H8" s="23">
        <v>62.44</v>
      </c>
      <c r="I8" s="35" t="str">
        <f t="shared" si="0"/>
        <v>M45</v>
      </c>
      <c r="J8" s="49">
        <f t="shared" si="1"/>
        <v>0.11866887127734381</v>
      </c>
      <c r="K8" s="50">
        <f t="shared" si="2"/>
        <v>178.0033069160157</v>
      </c>
      <c r="L8" s="35" t="str">
        <f t="shared" si="3"/>
        <v>🟢 OK</v>
      </c>
      <c r="M8" t="str">
        <f t="shared" si="4"/>
        <v>M45</v>
      </c>
      <c r="O8" s="71" t="s">
        <v>299</v>
      </c>
      <c r="P8" s="72">
        <f>COUNTIF($M$7:$M$81,O8)</f>
        <v>13</v>
      </c>
      <c r="Q8" s="99">
        <f>SUMIF($M$7:$M$81,O8,$K$7:$K$81)</f>
        <v>2999.9999999999995</v>
      </c>
      <c r="R8" s="65">
        <f>Q8/$Q$11</f>
        <v>0.22222222222222213</v>
      </c>
    </row>
    <row r="9" spans="2:18" x14ac:dyDescent="0.35">
      <c r="B9" t="s">
        <v>4256</v>
      </c>
      <c r="C9" t="s">
        <v>38</v>
      </c>
      <c r="D9">
        <v>562323</v>
      </c>
      <c r="E9" t="s">
        <v>4258</v>
      </c>
      <c r="F9" t="s">
        <v>88</v>
      </c>
      <c r="G9" s="24">
        <v>200</v>
      </c>
      <c r="H9" s="23">
        <v>62.44</v>
      </c>
      <c r="I9" s="35" t="str">
        <f t="shared" si="0"/>
        <v>M45</v>
      </c>
      <c r="J9" s="49">
        <f t="shared" si="1"/>
        <v>0.11866887127734381</v>
      </c>
      <c r="K9" s="50">
        <f t="shared" si="2"/>
        <v>178.0033069160157</v>
      </c>
      <c r="L9" s="35" t="str">
        <f t="shared" si="3"/>
        <v>🟢 OK</v>
      </c>
      <c r="M9" t="str">
        <f t="shared" si="4"/>
        <v>M45</v>
      </c>
      <c r="O9" s="71"/>
      <c r="P9" s="72"/>
      <c r="Q9" s="64"/>
      <c r="R9" s="65"/>
    </row>
    <row r="10" spans="2:18" x14ac:dyDescent="0.35">
      <c r="B10" t="s">
        <v>4256</v>
      </c>
      <c r="C10" t="s">
        <v>38</v>
      </c>
      <c r="D10">
        <v>562323</v>
      </c>
      <c r="E10" t="s">
        <v>4258</v>
      </c>
      <c r="F10" t="s">
        <v>88</v>
      </c>
      <c r="G10" s="24">
        <v>200</v>
      </c>
      <c r="H10" s="23">
        <v>62.44</v>
      </c>
      <c r="I10" s="35" t="str">
        <f t="shared" si="0"/>
        <v>M45</v>
      </c>
      <c r="J10" s="49">
        <f t="shared" si="1"/>
        <v>0.11866887127734381</v>
      </c>
      <c r="K10" s="50">
        <f t="shared" si="2"/>
        <v>178.0033069160157</v>
      </c>
      <c r="L10" s="35" t="str">
        <f t="shared" si="3"/>
        <v>🟢 OK</v>
      </c>
      <c r="M10" t="str">
        <f t="shared" si="4"/>
        <v>M45</v>
      </c>
      <c r="O10" s="71"/>
      <c r="P10" s="72"/>
      <c r="Q10" s="64"/>
      <c r="R10" s="65"/>
    </row>
    <row r="11" spans="2:18" x14ac:dyDescent="0.35">
      <c r="B11" t="s">
        <v>4259</v>
      </c>
      <c r="C11" t="s">
        <v>38</v>
      </c>
      <c r="D11">
        <v>560597</v>
      </c>
      <c r="E11" t="s">
        <v>4260</v>
      </c>
      <c r="F11" t="s">
        <v>136</v>
      </c>
      <c r="G11" s="24">
        <v>24000</v>
      </c>
      <c r="H11" s="23">
        <v>8984.4</v>
      </c>
      <c r="I11" s="35" t="str">
        <f t="shared" si="0"/>
        <v>M45</v>
      </c>
      <c r="J11" s="49">
        <f t="shared" si="1"/>
        <v>0.61013357962146786</v>
      </c>
      <c r="K11" s="50">
        <f t="shared" si="2"/>
        <v>915.2003694322018</v>
      </c>
      <c r="L11" s="35" t="str">
        <f t="shared" si="3"/>
        <v>🟢 OK</v>
      </c>
      <c r="M11" t="str">
        <f t="shared" si="4"/>
        <v>M45</v>
      </c>
      <c r="O11" s="66" t="s">
        <v>4211</v>
      </c>
      <c r="P11" s="73">
        <f>SUM(P7:P10)</f>
        <v>75</v>
      </c>
      <c r="Q11" s="74">
        <f>SUM(Q7:Q10)</f>
        <v>13500.000000000004</v>
      </c>
      <c r="R11" s="69">
        <f>SUM(R7:R10)</f>
        <v>0.99999999999999989</v>
      </c>
    </row>
    <row r="12" spans="2:18" x14ac:dyDescent="0.35">
      <c r="B12" t="s">
        <v>4259</v>
      </c>
      <c r="C12" t="s">
        <v>38</v>
      </c>
      <c r="D12">
        <v>560597</v>
      </c>
      <c r="E12" t="s">
        <v>4257</v>
      </c>
      <c r="F12" t="s">
        <v>61</v>
      </c>
      <c r="G12" s="24">
        <v>4032</v>
      </c>
      <c r="H12" s="23">
        <v>3532.86</v>
      </c>
      <c r="I12" s="35" t="str">
        <f t="shared" si="0"/>
        <v>M45</v>
      </c>
      <c r="J12" s="49">
        <f t="shared" si="1"/>
        <v>0.2399176926785872</v>
      </c>
      <c r="K12" s="50">
        <f t="shared" si="2"/>
        <v>359.87653901788082</v>
      </c>
      <c r="L12" s="35" t="str">
        <f t="shared" si="3"/>
        <v>🟢 OK</v>
      </c>
      <c r="M12" t="str">
        <f t="shared" si="4"/>
        <v>M45</v>
      </c>
    </row>
    <row r="13" spans="2:18" x14ac:dyDescent="0.35">
      <c r="B13" t="s">
        <v>4259</v>
      </c>
      <c r="C13" t="s">
        <v>38</v>
      </c>
      <c r="D13">
        <v>560597</v>
      </c>
      <c r="E13" t="s">
        <v>4257</v>
      </c>
      <c r="F13" t="s">
        <v>61</v>
      </c>
      <c r="G13" s="24">
        <v>2520</v>
      </c>
      <c r="H13" s="23">
        <v>2208.04</v>
      </c>
      <c r="I13" s="35" t="str">
        <f t="shared" si="0"/>
        <v>M45</v>
      </c>
      <c r="J13" s="49">
        <f t="shared" si="1"/>
        <v>0.14994872769994499</v>
      </c>
      <c r="K13" s="50">
        <f t="shared" si="2"/>
        <v>224.9230915499175</v>
      </c>
      <c r="L13" s="35" t="str">
        <f t="shared" si="3"/>
        <v>🟢 OK</v>
      </c>
      <c r="M13" t="str">
        <f t="shared" si="4"/>
        <v>M45</v>
      </c>
      <c r="O13" s="27"/>
      <c r="P13" s="86"/>
      <c r="Q13" s="86"/>
      <c r="R13" s="86"/>
    </row>
    <row r="14" spans="2:18" x14ac:dyDescent="0.35">
      <c r="B14" t="s">
        <v>4261</v>
      </c>
      <c r="C14" t="s">
        <v>172</v>
      </c>
      <c r="D14" t="s">
        <v>4262</v>
      </c>
      <c r="E14" t="s">
        <v>4263</v>
      </c>
      <c r="F14" t="s">
        <v>4264</v>
      </c>
      <c r="G14" s="24">
        <v>35568</v>
      </c>
      <c r="H14" s="23">
        <v>13115.21</v>
      </c>
      <c r="I14" s="35" t="str">
        <f t="shared" si="0"/>
        <v>M45</v>
      </c>
      <c r="J14" s="49">
        <f t="shared" si="1"/>
        <v>1</v>
      </c>
      <c r="K14" s="50">
        <f t="shared" si="2"/>
        <v>1500</v>
      </c>
      <c r="L14" s="35" t="str">
        <f t="shared" si="3"/>
        <v>🟢 OK</v>
      </c>
      <c r="M14" t="str">
        <f t="shared" si="4"/>
        <v>M45</v>
      </c>
    </row>
    <row r="15" spans="2:18" x14ac:dyDescent="0.35">
      <c r="B15" t="s">
        <v>4265</v>
      </c>
      <c r="C15" t="s">
        <v>124</v>
      </c>
      <c r="D15" t="s">
        <v>4266</v>
      </c>
      <c r="E15" t="s">
        <v>4258</v>
      </c>
      <c r="F15" t="s">
        <v>72</v>
      </c>
      <c r="G15" s="24">
        <v>4000</v>
      </c>
      <c r="H15" s="23">
        <v>1161.3599999999999</v>
      </c>
      <c r="I15" s="35" t="str">
        <f t="shared" si="0"/>
        <v>M45</v>
      </c>
      <c r="J15" s="49">
        <f t="shared" si="1"/>
        <v>0.17447059106314447</v>
      </c>
      <c r="K15" s="50">
        <f t="shared" si="2"/>
        <v>261.70588659471673</v>
      </c>
      <c r="L15" s="35" t="str">
        <f t="shared" si="3"/>
        <v>🟢 OK</v>
      </c>
      <c r="M15" t="str">
        <f t="shared" si="4"/>
        <v>M45</v>
      </c>
    </row>
    <row r="16" spans="2:18" x14ac:dyDescent="0.35">
      <c r="B16" t="s">
        <v>4265</v>
      </c>
      <c r="C16" t="s">
        <v>124</v>
      </c>
      <c r="D16" t="s">
        <v>4266</v>
      </c>
      <c r="E16" t="s">
        <v>4258</v>
      </c>
      <c r="F16" t="s">
        <v>4267</v>
      </c>
      <c r="G16" s="24">
        <v>2100</v>
      </c>
      <c r="H16" s="23">
        <v>298.12</v>
      </c>
      <c r="I16" s="35" t="str">
        <f t="shared" si="0"/>
        <v>M45</v>
      </c>
      <c r="J16" s="49">
        <f t="shared" si="1"/>
        <v>4.4786433670648752E-2</v>
      </c>
      <c r="K16" s="50">
        <f t="shared" si="2"/>
        <v>67.179650505973129</v>
      </c>
      <c r="L16" s="35" t="str">
        <f t="shared" si="3"/>
        <v>🟢 OK</v>
      </c>
      <c r="M16" t="str">
        <f t="shared" si="4"/>
        <v>M45</v>
      </c>
    </row>
    <row r="17" spans="2:13" x14ac:dyDescent="0.35">
      <c r="B17" t="s">
        <v>4265</v>
      </c>
      <c r="C17" t="s">
        <v>124</v>
      </c>
      <c r="D17" t="s">
        <v>4266</v>
      </c>
      <c r="E17" t="s">
        <v>4258</v>
      </c>
      <c r="F17" t="s">
        <v>83</v>
      </c>
      <c r="G17" s="24">
        <v>1440</v>
      </c>
      <c r="H17" s="23">
        <v>117.16</v>
      </c>
      <c r="I17" s="35" t="str">
        <f t="shared" si="0"/>
        <v>M45</v>
      </c>
      <c r="J17" s="49">
        <f t="shared" si="1"/>
        <v>1.7600894166286084E-2</v>
      </c>
      <c r="K17" s="50">
        <f t="shared" si="2"/>
        <v>26.401341249429127</v>
      </c>
      <c r="L17" s="35" t="str">
        <f t="shared" si="3"/>
        <v>🟢 OK</v>
      </c>
      <c r="M17" t="str">
        <f t="shared" si="4"/>
        <v>M45</v>
      </c>
    </row>
    <row r="18" spans="2:13" x14ac:dyDescent="0.35">
      <c r="B18" t="s">
        <v>4265</v>
      </c>
      <c r="C18" t="s">
        <v>124</v>
      </c>
      <c r="D18" t="s">
        <v>4266</v>
      </c>
      <c r="E18" t="s">
        <v>4258</v>
      </c>
      <c r="F18" t="s">
        <v>81</v>
      </c>
      <c r="G18" s="24">
        <v>2100</v>
      </c>
      <c r="H18" s="23">
        <v>297.91000000000003</v>
      </c>
      <c r="I18" s="35" t="str">
        <f t="shared" si="0"/>
        <v>M45</v>
      </c>
      <c r="J18" s="49">
        <f t="shared" si="1"/>
        <v>4.4754885464990513E-2</v>
      </c>
      <c r="K18" s="50">
        <f t="shared" si="2"/>
        <v>67.132328197485762</v>
      </c>
      <c r="L18" s="35" t="str">
        <f t="shared" si="3"/>
        <v>🟢 OK</v>
      </c>
      <c r="M18" t="str">
        <f t="shared" si="4"/>
        <v>M45</v>
      </c>
    </row>
    <row r="19" spans="2:13" x14ac:dyDescent="0.35">
      <c r="B19" t="s">
        <v>4265</v>
      </c>
      <c r="C19" t="s">
        <v>124</v>
      </c>
      <c r="D19" t="s">
        <v>4266</v>
      </c>
      <c r="E19" t="s">
        <v>4258</v>
      </c>
      <c r="F19" t="s">
        <v>168</v>
      </c>
      <c r="G19" s="24">
        <v>4800</v>
      </c>
      <c r="H19" s="23">
        <v>633.24</v>
      </c>
      <c r="I19" s="35" t="str">
        <f t="shared" si="0"/>
        <v>M45</v>
      </c>
      <c r="J19" s="49">
        <f t="shared" si="1"/>
        <v>9.5131360719178909E-2</v>
      </c>
      <c r="K19" s="50">
        <f t="shared" si="2"/>
        <v>142.69704107876836</v>
      </c>
      <c r="L19" s="35" t="str">
        <f t="shared" si="3"/>
        <v>🟢 OK</v>
      </c>
      <c r="M19" t="str">
        <f t="shared" si="4"/>
        <v>M45</v>
      </c>
    </row>
    <row r="20" spans="2:13" x14ac:dyDescent="0.35">
      <c r="B20" t="s">
        <v>4265</v>
      </c>
      <c r="C20" t="s">
        <v>124</v>
      </c>
      <c r="D20" t="s">
        <v>4266</v>
      </c>
      <c r="E20" t="s">
        <v>4258</v>
      </c>
      <c r="F20" t="s">
        <v>184</v>
      </c>
      <c r="G20" s="24">
        <v>3600</v>
      </c>
      <c r="H20" s="23">
        <v>398.46</v>
      </c>
      <c r="I20" s="35" t="str">
        <f t="shared" si="0"/>
        <v>M45</v>
      </c>
      <c r="J20" s="49">
        <f t="shared" si="1"/>
        <v>5.9860466793260105E-2</v>
      </c>
      <c r="K20" s="50">
        <f t="shared" si="2"/>
        <v>89.79070018989016</v>
      </c>
      <c r="L20" s="35" t="str">
        <f t="shared" si="3"/>
        <v>🟢 OK</v>
      </c>
      <c r="M20" t="str">
        <f t="shared" si="4"/>
        <v>M45</v>
      </c>
    </row>
    <row r="21" spans="2:13" x14ac:dyDescent="0.35">
      <c r="B21" t="s">
        <v>4265</v>
      </c>
      <c r="C21" t="s">
        <v>124</v>
      </c>
      <c r="D21" t="s">
        <v>4266</v>
      </c>
      <c r="E21" t="s">
        <v>4258</v>
      </c>
      <c r="F21" t="s">
        <v>75</v>
      </c>
      <c r="G21" s="24">
        <v>18000</v>
      </c>
      <c r="H21" s="23">
        <v>2064.31</v>
      </c>
      <c r="I21" s="35" t="str">
        <f t="shared" si="0"/>
        <v>M45</v>
      </c>
      <c r="J21" s="49">
        <f t="shared" si="1"/>
        <v>0.31012036391606373</v>
      </c>
      <c r="K21" s="50">
        <f t="shared" si="2"/>
        <v>465.18054587409563</v>
      </c>
      <c r="L21" s="35" t="str">
        <f t="shared" si="3"/>
        <v>🟢 OK</v>
      </c>
      <c r="M21" t="str">
        <f t="shared" si="4"/>
        <v>M45</v>
      </c>
    </row>
    <row r="22" spans="2:13" x14ac:dyDescent="0.35">
      <c r="B22" t="s">
        <v>4265</v>
      </c>
      <c r="C22" t="s">
        <v>124</v>
      </c>
      <c r="D22" t="s">
        <v>4266</v>
      </c>
      <c r="E22" t="s">
        <v>4258</v>
      </c>
      <c r="F22" t="s">
        <v>77</v>
      </c>
      <c r="G22" s="24">
        <v>2880</v>
      </c>
      <c r="H22" s="23">
        <v>219.92</v>
      </c>
      <c r="I22" s="35" t="str">
        <f t="shared" si="0"/>
        <v>M45</v>
      </c>
      <c r="J22" s="49">
        <f t="shared" si="1"/>
        <v>3.3038482801721031E-2</v>
      </c>
      <c r="K22" s="50">
        <f t="shared" si="2"/>
        <v>49.557724202581547</v>
      </c>
      <c r="L22" s="35" t="str">
        <f t="shared" si="3"/>
        <v>🟢 OK</v>
      </c>
      <c r="M22" t="str">
        <f t="shared" si="4"/>
        <v>M45</v>
      </c>
    </row>
    <row r="23" spans="2:13" x14ac:dyDescent="0.35">
      <c r="B23" t="s">
        <v>4265</v>
      </c>
      <c r="C23" t="s">
        <v>124</v>
      </c>
      <c r="D23" t="s">
        <v>4266</v>
      </c>
      <c r="E23" t="s">
        <v>4258</v>
      </c>
      <c r="F23" t="s">
        <v>77</v>
      </c>
      <c r="G23" s="24">
        <v>8640</v>
      </c>
      <c r="H23" s="23">
        <v>659.76</v>
      </c>
      <c r="I23" s="35" t="str">
        <f t="shared" si="0"/>
        <v>M45</v>
      </c>
      <c r="J23" s="49">
        <f t="shared" si="1"/>
        <v>9.9115448405163092E-2</v>
      </c>
      <c r="K23" s="50">
        <f t="shared" si="2"/>
        <v>148.67317260774465</v>
      </c>
      <c r="L23" s="35" t="str">
        <f t="shared" si="3"/>
        <v>🟢 OK</v>
      </c>
      <c r="M23" t="str">
        <f t="shared" si="4"/>
        <v>M45</v>
      </c>
    </row>
    <row r="24" spans="2:13" x14ac:dyDescent="0.35">
      <c r="B24" t="s">
        <v>4265</v>
      </c>
      <c r="C24" t="s">
        <v>124</v>
      </c>
      <c r="D24" t="s">
        <v>4266</v>
      </c>
      <c r="E24" t="s">
        <v>4258</v>
      </c>
      <c r="F24" t="s">
        <v>77</v>
      </c>
      <c r="G24" s="24">
        <v>4320</v>
      </c>
      <c r="H24" s="23">
        <v>329.88</v>
      </c>
      <c r="I24" s="35" t="str">
        <f t="shared" si="0"/>
        <v>M45</v>
      </c>
      <c r="J24" s="49">
        <f t="shared" si="1"/>
        <v>4.9557724202581546E-2</v>
      </c>
      <c r="K24" s="50">
        <f t="shared" si="2"/>
        <v>74.336586303872323</v>
      </c>
      <c r="L24" s="35" t="str">
        <f t="shared" si="3"/>
        <v>🟢 OK</v>
      </c>
      <c r="M24" t="str">
        <f t="shared" si="4"/>
        <v>M45</v>
      </c>
    </row>
    <row r="25" spans="2:13" x14ac:dyDescent="0.35">
      <c r="B25" t="s">
        <v>4265</v>
      </c>
      <c r="C25" t="s">
        <v>124</v>
      </c>
      <c r="D25" t="s">
        <v>4266</v>
      </c>
      <c r="E25" t="s">
        <v>4258</v>
      </c>
      <c r="F25" t="s">
        <v>83</v>
      </c>
      <c r="G25" s="24">
        <v>4320</v>
      </c>
      <c r="H25" s="23">
        <v>351.48</v>
      </c>
      <c r="I25" s="35" t="str">
        <f t="shared" si="0"/>
        <v>M45</v>
      </c>
      <c r="J25" s="49">
        <f t="shared" si="1"/>
        <v>5.2802682498858264E-2</v>
      </c>
      <c r="K25" s="50">
        <f t="shared" si="2"/>
        <v>79.204023748287398</v>
      </c>
      <c r="L25" s="35" t="str">
        <f t="shared" si="3"/>
        <v>🟢 OK</v>
      </c>
      <c r="M25" t="str">
        <f t="shared" si="4"/>
        <v>M45</v>
      </c>
    </row>
    <row r="26" spans="2:13" x14ac:dyDescent="0.35">
      <c r="B26" t="s">
        <v>4265</v>
      </c>
      <c r="C26" t="s">
        <v>124</v>
      </c>
      <c r="D26" t="s">
        <v>4266</v>
      </c>
      <c r="E26" t="s">
        <v>4258</v>
      </c>
      <c r="F26" t="s">
        <v>88</v>
      </c>
      <c r="G26" s="24">
        <v>200</v>
      </c>
      <c r="H26" s="23">
        <v>62.44</v>
      </c>
      <c r="I26" s="35" t="str">
        <f t="shared" si="0"/>
        <v>M45</v>
      </c>
      <c r="J26" s="49">
        <f t="shared" si="1"/>
        <v>9.3803331490517512E-3</v>
      </c>
      <c r="K26" s="50">
        <f t="shared" si="2"/>
        <v>14.070499723577626</v>
      </c>
      <c r="L26" s="35" t="str">
        <f t="shared" si="3"/>
        <v>🟢 OK</v>
      </c>
      <c r="M26" t="str">
        <f t="shared" si="4"/>
        <v>M45</v>
      </c>
    </row>
    <row r="27" spans="2:13" x14ac:dyDescent="0.35">
      <c r="B27" t="s">
        <v>4265</v>
      </c>
      <c r="C27" t="s">
        <v>124</v>
      </c>
      <c r="D27" t="s">
        <v>4266</v>
      </c>
      <c r="E27" t="s">
        <v>4258</v>
      </c>
      <c r="F27" t="s">
        <v>211</v>
      </c>
      <c r="G27" s="24">
        <v>200</v>
      </c>
      <c r="H27" s="23">
        <v>62.44</v>
      </c>
      <c r="I27" s="35" t="str">
        <f t="shared" si="0"/>
        <v>M45</v>
      </c>
      <c r="J27" s="49">
        <f t="shared" si="1"/>
        <v>9.3803331490517512E-3</v>
      </c>
      <c r="K27" s="50">
        <f t="shared" si="2"/>
        <v>14.070499723577626</v>
      </c>
      <c r="L27" s="35" t="str">
        <f t="shared" si="3"/>
        <v>🟢 OK</v>
      </c>
      <c r="M27" t="str">
        <f t="shared" si="4"/>
        <v>M45</v>
      </c>
    </row>
    <row r="28" spans="2:13" x14ac:dyDescent="0.35">
      <c r="B28" t="s">
        <v>4268</v>
      </c>
      <c r="C28" t="s">
        <v>38</v>
      </c>
      <c r="D28">
        <v>560597</v>
      </c>
      <c r="E28" t="s">
        <v>4257</v>
      </c>
      <c r="F28" t="s">
        <v>122</v>
      </c>
      <c r="G28" s="24">
        <v>1484</v>
      </c>
      <c r="H28" s="23">
        <v>226.4</v>
      </c>
      <c r="I28" s="35" t="str">
        <f t="shared" si="0"/>
        <v>M45</v>
      </c>
      <c r="J28" s="49">
        <f t="shared" si="1"/>
        <v>0.12022600790178002</v>
      </c>
      <c r="K28" s="50">
        <f t="shared" si="2"/>
        <v>180.33901185267004</v>
      </c>
      <c r="L28" s="35" t="str">
        <f t="shared" si="3"/>
        <v>🟢 OK</v>
      </c>
      <c r="M28" t="str">
        <f t="shared" si="4"/>
        <v>M45</v>
      </c>
    </row>
    <row r="29" spans="2:13" x14ac:dyDescent="0.35">
      <c r="B29" t="s">
        <v>4268</v>
      </c>
      <c r="C29" t="s">
        <v>38</v>
      </c>
      <c r="D29">
        <v>560597</v>
      </c>
      <c r="E29" t="s">
        <v>4269</v>
      </c>
      <c r="F29" t="s">
        <v>198</v>
      </c>
      <c r="G29" s="24">
        <v>576</v>
      </c>
      <c r="H29" s="23">
        <v>1656.72</v>
      </c>
      <c r="I29" s="35" t="str">
        <f t="shared" si="0"/>
        <v>M45</v>
      </c>
      <c r="J29" s="49">
        <f t="shared" si="1"/>
        <v>0.87977399209821994</v>
      </c>
      <c r="K29" s="50">
        <f t="shared" si="2"/>
        <v>1319.6609881473298</v>
      </c>
      <c r="L29" s="35" t="str">
        <f t="shared" si="3"/>
        <v>🟢 OK</v>
      </c>
      <c r="M29" t="str">
        <f t="shared" si="4"/>
        <v>M45</v>
      </c>
    </row>
    <row r="30" spans="2:13" x14ac:dyDescent="0.35">
      <c r="B30" t="s">
        <v>4270</v>
      </c>
      <c r="C30" t="s">
        <v>124</v>
      </c>
      <c r="D30" t="s">
        <v>4236</v>
      </c>
      <c r="E30" t="s">
        <v>4258</v>
      </c>
      <c r="F30" t="s">
        <v>4267</v>
      </c>
      <c r="G30" s="24">
        <v>2100</v>
      </c>
      <c r="H30" s="23">
        <v>298.12</v>
      </c>
      <c r="I30" s="35" t="str">
        <f t="shared" si="0"/>
        <v>M45</v>
      </c>
      <c r="J30" s="49">
        <f t="shared" si="1"/>
        <v>2.655306292769519E-2</v>
      </c>
      <c r="K30" s="50">
        <f t="shared" si="2"/>
        <v>39.829594391542784</v>
      </c>
      <c r="L30" s="35" t="str">
        <f t="shared" si="3"/>
        <v>🟢 OK</v>
      </c>
      <c r="M30" t="str">
        <f t="shared" si="4"/>
        <v>M45</v>
      </c>
    </row>
    <row r="31" spans="2:13" x14ac:dyDescent="0.35">
      <c r="B31" t="s">
        <v>4270</v>
      </c>
      <c r="C31" t="s">
        <v>124</v>
      </c>
      <c r="D31" t="s">
        <v>4236</v>
      </c>
      <c r="E31" t="s">
        <v>4258</v>
      </c>
      <c r="F31" t="s">
        <v>75</v>
      </c>
      <c r="G31" s="24">
        <v>3600</v>
      </c>
      <c r="H31" s="23">
        <v>412.86</v>
      </c>
      <c r="I31" s="35" t="str">
        <f t="shared" si="0"/>
        <v>M45</v>
      </c>
      <c r="J31" s="49">
        <f t="shared" si="1"/>
        <v>3.6772767879807586E-2</v>
      </c>
      <c r="K31" s="50">
        <f t="shared" si="2"/>
        <v>55.159151819711376</v>
      </c>
      <c r="L31" s="35" t="str">
        <f t="shared" si="3"/>
        <v>🟢 OK</v>
      </c>
      <c r="M31" t="str">
        <f t="shared" si="4"/>
        <v>M45</v>
      </c>
    </row>
    <row r="32" spans="2:13" x14ac:dyDescent="0.35">
      <c r="B32" t="s">
        <v>4270</v>
      </c>
      <c r="C32" t="s">
        <v>124</v>
      </c>
      <c r="D32" t="s">
        <v>4236</v>
      </c>
      <c r="E32" t="s">
        <v>4258</v>
      </c>
      <c r="F32" t="s">
        <v>83</v>
      </c>
      <c r="G32" s="24">
        <v>2880</v>
      </c>
      <c r="H32" s="23">
        <v>234.32</v>
      </c>
      <c r="I32" s="35" t="str">
        <f t="shared" si="0"/>
        <v>M45</v>
      </c>
      <c r="J32" s="49">
        <f t="shared" si="1"/>
        <v>2.0870500822546413E-2</v>
      </c>
      <c r="K32" s="50">
        <f t="shared" si="2"/>
        <v>31.30575123381962</v>
      </c>
      <c r="L32" s="35" t="str">
        <f t="shared" si="3"/>
        <v>🟢 OK</v>
      </c>
      <c r="M32" t="str">
        <f t="shared" si="4"/>
        <v>M45</v>
      </c>
    </row>
    <row r="33" spans="2:13" x14ac:dyDescent="0.35">
      <c r="B33" t="s">
        <v>4270</v>
      </c>
      <c r="C33" t="s">
        <v>124</v>
      </c>
      <c r="D33" t="s">
        <v>4236</v>
      </c>
      <c r="E33" t="s">
        <v>4258</v>
      </c>
      <c r="F33" t="s">
        <v>83</v>
      </c>
      <c r="G33" s="24">
        <v>1440</v>
      </c>
      <c r="H33" s="23">
        <v>117.16</v>
      </c>
      <c r="I33" s="35" t="str">
        <f t="shared" si="0"/>
        <v>M45</v>
      </c>
      <c r="J33" s="49">
        <f t="shared" si="1"/>
        <v>1.0435250411273207E-2</v>
      </c>
      <c r="K33" s="50">
        <f t="shared" si="2"/>
        <v>15.65287561690981</v>
      </c>
      <c r="L33" s="35" t="str">
        <f t="shared" si="3"/>
        <v>🟢 OK</v>
      </c>
      <c r="M33" t="str">
        <f t="shared" si="4"/>
        <v>M45</v>
      </c>
    </row>
    <row r="34" spans="2:13" x14ac:dyDescent="0.35">
      <c r="B34" t="s">
        <v>4270</v>
      </c>
      <c r="C34" t="s">
        <v>124</v>
      </c>
      <c r="D34" t="s">
        <v>4236</v>
      </c>
      <c r="E34" t="s">
        <v>4258</v>
      </c>
      <c r="F34" t="s">
        <v>83</v>
      </c>
      <c r="G34" s="24">
        <v>2880</v>
      </c>
      <c r="H34" s="23">
        <v>234.32</v>
      </c>
      <c r="I34" s="35" t="str">
        <f t="shared" si="0"/>
        <v>M45</v>
      </c>
      <c r="J34" s="49">
        <f t="shared" si="1"/>
        <v>2.0870500822546413E-2</v>
      </c>
      <c r="K34" s="50">
        <f t="shared" si="2"/>
        <v>31.30575123381962</v>
      </c>
      <c r="L34" s="35" t="str">
        <f t="shared" si="3"/>
        <v>🟢 OK</v>
      </c>
      <c r="M34" t="str">
        <f t="shared" si="4"/>
        <v>M45</v>
      </c>
    </row>
    <row r="35" spans="2:13" x14ac:dyDescent="0.35">
      <c r="B35" t="s">
        <v>4270</v>
      </c>
      <c r="C35" t="s">
        <v>124</v>
      </c>
      <c r="D35" t="s">
        <v>4236</v>
      </c>
      <c r="E35" t="s">
        <v>4258</v>
      </c>
      <c r="F35" t="s">
        <v>76</v>
      </c>
      <c r="G35" s="24">
        <v>2160</v>
      </c>
      <c r="H35" s="23">
        <v>311.11</v>
      </c>
      <c r="I35" s="35" t="str">
        <f t="shared" si="0"/>
        <v>M45</v>
      </c>
      <c r="J35" s="49">
        <f t="shared" si="1"/>
        <v>2.771006107418238E-2</v>
      </c>
      <c r="K35" s="50">
        <f t="shared" si="2"/>
        <v>41.565091611273573</v>
      </c>
      <c r="L35" s="35" t="str">
        <f t="shared" si="3"/>
        <v>🟢 OK</v>
      </c>
      <c r="M35" t="str">
        <f t="shared" si="4"/>
        <v>M45</v>
      </c>
    </row>
    <row r="36" spans="2:13" x14ac:dyDescent="0.35">
      <c r="B36" t="s">
        <v>4270</v>
      </c>
      <c r="C36" t="s">
        <v>124</v>
      </c>
      <c r="D36" t="s">
        <v>4236</v>
      </c>
      <c r="E36" t="s">
        <v>4258</v>
      </c>
      <c r="F36" t="s">
        <v>84</v>
      </c>
      <c r="G36" s="24">
        <v>9600</v>
      </c>
      <c r="H36" s="23">
        <v>1009.2</v>
      </c>
      <c r="I36" s="35" t="str">
        <f t="shared" si="0"/>
        <v>M45</v>
      </c>
      <c r="J36" s="49">
        <f t="shared" si="1"/>
        <v>8.9887800572353377E-2</v>
      </c>
      <c r="K36" s="50">
        <f t="shared" si="2"/>
        <v>134.83170085853007</v>
      </c>
      <c r="L36" s="35" t="str">
        <f t="shared" si="3"/>
        <v>🟢 OK</v>
      </c>
      <c r="M36" t="str">
        <f t="shared" si="4"/>
        <v>M45</v>
      </c>
    </row>
    <row r="37" spans="2:13" x14ac:dyDescent="0.35">
      <c r="B37" t="s">
        <v>4270</v>
      </c>
      <c r="C37" t="s">
        <v>124</v>
      </c>
      <c r="D37" t="s">
        <v>4236</v>
      </c>
      <c r="E37" t="s">
        <v>4258</v>
      </c>
      <c r="F37" t="s">
        <v>85</v>
      </c>
      <c r="G37" s="24">
        <v>4800</v>
      </c>
      <c r="H37" s="23">
        <v>633.24</v>
      </c>
      <c r="I37" s="35" t="str">
        <f t="shared" si="0"/>
        <v>M45</v>
      </c>
      <c r="J37" s="49">
        <f t="shared" si="1"/>
        <v>5.6401655602890455E-2</v>
      </c>
      <c r="K37" s="50">
        <f t="shared" si="2"/>
        <v>84.602483404335686</v>
      </c>
      <c r="L37" s="35" t="str">
        <f t="shared" si="3"/>
        <v>🟢 OK</v>
      </c>
      <c r="M37" t="str">
        <f t="shared" si="4"/>
        <v>M45</v>
      </c>
    </row>
    <row r="38" spans="2:13" x14ac:dyDescent="0.35">
      <c r="B38" t="s">
        <v>4270</v>
      </c>
      <c r="C38" t="s">
        <v>124</v>
      </c>
      <c r="D38" t="s">
        <v>4236</v>
      </c>
      <c r="E38" t="s">
        <v>4258</v>
      </c>
      <c r="F38" t="s">
        <v>89</v>
      </c>
      <c r="G38" s="24">
        <v>200</v>
      </c>
      <c r="H38" s="23">
        <v>62.46</v>
      </c>
      <c r="I38" s="35" t="str">
        <f t="shared" si="0"/>
        <v>M45</v>
      </c>
      <c r="J38" s="49">
        <f t="shared" si="1"/>
        <v>5.5632104872663408E-3</v>
      </c>
      <c r="K38" s="50">
        <f t="shared" si="2"/>
        <v>8.3448157308995121</v>
      </c>
      <c r="L38" s="35" t="str">
        <f t="shared" si="3"/>
        <v>🟢 OK</v>
      </c>
      <c r="M38" t="str">
        <f t="shared" si="4"/>
        <v>M45</v>
      </c>
    </row>
    <row r="39" spans="2:13" x14ac:dyDescent="0.35">
      <c r="B39" t="s">
        <v>4270</v>
      </c>
      <c r="C39" t="s">
        <v>124</v>
      </c>
      <c r="D39" t="s">
        <v>4236</v>
      </c>
      <c r="E39" t="s">
        <v>4258</v>
      </c>
      <c r="F39" t="s">
        <v>89</v>
      </c>
      <c r="G39" s="24">
        <v>200</v>
      </c>
      <c r="H39" s="23">
        <v>62.46</v>
      </c>
      <c r="I39" s="35" t="str">
        <f t="shared" ref="I39:I70" si="5">IFERROR(IF(ISNUMBER(SEARCH("/M",B39)),"M"&amp;MID(B39,SEARCH("/M",B39)+2,2),IF(ISNUMBER(SEARCH(".M",B39)),"M"&amp;MID(B39,SEARCH(".M",B39)+2,2),"Sin BU")),"Sin BU")</f>
        <v>M45</v>
      </c>
      <c r="J39" s="49">
        <f t="shared" ref="J39:J70" si="6">H39/SUMIFS($H$7:$H$81,$B$7:$B$81,B39)</f>
        <v>5.5632104872663408E-3</v>
      </c>
      <c r="K39" s="50">
        <f t="shared" ref="K39:K70" si="7">J39*$C$3</f>
        <v>8.3448157308995121</v>
      </c>
      <c r="L39" s="35" t="str">
        <f t="shared" ref="L39:L70" si="8">IF(ROUND(SUMIFS($K$7:$K$81,$B$7:$B$81,B39),2)=$C$3,"🟢 OK","🔴 Revisar")</f>
        <v>🟢 OK</v>
      </c>
      <c r="M39" t="str">
        <f t="shared" ref="M39:M70" si="9">IF(OR(ISNUMBER(SEARCH("PLASTIC",F39)),ISNUMBER(SEARCH("CHAROLA",F39)),AND(ISNUMBER(SEARCH("TAPA",F39)),NOT(ISNUMBER(SEARCH("-",F39)))),AND(ISNUMBER(SEARCH("BASE",F39)),NOT(ISNUMBER(SEARCH("-",F39)))),AND(ISNUMBER(SEARCH("CAJA",F39)),NOT(ISNUMBER(SEARCH("-",F39))))),"Miscelaneus",I39)</f>
        <v>M45</v>
      </c>
    </row>
    <row r="40" spans="2:13" x14ac:dyDescent="0.35">
      <c r="B40" t="s">
        <v>4270</v>
      </c>
      <c r="C40" t="s">
        <v>124</v>
      </c>
      <c r="D40" t="s">
        <v>4236</v>
      </c>
      <c r="E40" t="s">
        <v>4258</v>
      </c>
      <c r="F40" t="s">
        <v>86</v>
      </c>
      <c r="G40" s="24">
        <v>200</v>
      </c>
      <c r="H40" s="23">
        <v>122.44</v>
      </c>
      <c r="I40" s="35" t="str">
        <f t="shared" si="5"/>
        <v>M45</v>
      </c>
      <c r="J40" s="49">
        <f t="shared" si="6"/>
        <v>1.0905531413078623E-2</v>
      </c>
      <c r="K40" s="50">
        <f t="shared" si="7"/>
        <v>16.358297119617934</v>
      </c>
      <c r="L40" s="35" t="str">
        <f t="shared" si="8"/>
        <v>🟢 OK</v>
      </c>
      <c r="M40" t="str">
        <f t="shared" si="9"/>
        <v>M45</v>
      </c>
    </row>
    <row r="41" spans="2:13" x14ac:dyDescent="0.35">
      <c r="B41" t="s">
        <v>4270</v>
      </c>
      <c r="C41" t="s">
        <v>124</v>
      </c>
      <c r="D41" t="s">
        <v>4236</v>
      </c>
      <c r="E41" t="s">
        <v>4258</v>
      </c>
      <c r="F41" t="s">
        <v>86</v>
      </c>
      <c r="G41" s="24">
        <v>200</v>
      </c>
      <c r="H41" s="23">
        <v>122.44</v>
      </c>
      <c r="I41" s="35" t="str">
        <f t="shared" si="5"/>
        <v>M45</v>
      </c>
      <c r="J41" s="49">
        <f t="shared" si="6"/>
        <v>1.0905531413078623E-2</v>
      </c>
      <c r="K41" s="50">
        <f t="shared" si="7"/>
        <v>16.358297119617934</v>
      </c>
      <c r="L41" s="35" t="str">
        <f t="shared" si="8"/>
        <v>🟢 OK</v>
      </c>
      <c r="M41" t="str">
        <f t="shared" si="9"/>
        <v>M45</v>
      </c>
    </row>
    <row r="42" spans="2:13" x14ac:dyDescent="0.35">
      <c r="B42" t="s">
        <v>4270</v>
      </c>
      <c r="C42" t="s">
        <v>124</v>
      </c>
      <c r="D42" t="s">
        <v>4236</v>
      </c>
      <c r="E42" t="s">
        <v>4258</v>
      </c>
      <c r="F42" t="s">
        <v>86</v>
      </c>
      <c r="G42" s="24">
        <v>200</v>
      </c>
      <c r="H42" s="23">
        <v>122.44</v>
      </c>
      <c r="I42" s="35" t="str">
        <f t="shared" si="5"/>
        <v>M45</v>
      </c>
      <c r="J42" s="49">
        <f t="shared" si="6"/>
        <v>1.0905531413078623E-2</v>
      </c>
      <c r="K42" s="50">
        <f t="shared" si="7"/>
        <v>16.358297119617934</v>
      </c>
      <c r="L42" s="35" t="str">
        <f t="shared" si="8"/>
        <v>🟢 OK</v>
      </c>
      <c r="M42" t="str">
        <f t="shared" si="9"/>
        <v>M45</v>
      </c>
    </row>
    <row r="43" spans="2:13" x14ac:dyDescent="0.35">
      <c r="B43" t="s">
        <v>4270</v>
      </c>
      <c r="C43" t="s">
        <v>124</v>
      </c>
      <c r="D43" t="s">
        <v>4236</v>
      </c>
      <c r="E43" t="s">
        <v>4258</v>
      </c>
      <c r="F43" t="s">
        <v>130</v>
      </c>
      <c r="G43" s="24">
        <v>750</v>
      </c>
      <c r="H43" s="23">
        <v>357</v>
      </c>
      <c r="I43" s="35" t="str">
        <f t="shared" si="5"/>
        <v>M45</v>
      </c>
      <c r="J43" s="49">
        <f t="shared" si="6"/>
        <v>3.1797408644798013E-2</v>
      </c>
      <c r="K43" s="50">
        <f t="shared" si="7"/>
        <v>47.696112967197017</v>
      </c>
      <c r="L43" s="35" t="str">
        <f t="shared" si="8"/>
        <v>🟢 OK</v>
      </c>
      <c r="M43" t="str">
        <f t="shared" si="9"/>
        <v>M45</v>
      </c>
    </row>
    <row r="44" spans="2:13" x14ac:dyDescent="0.35">
      <c r="B44" t="s">
        <v>4270</v>
      </c>
      <c r="C44" t="s">
        <v>124</v>
      </c>
      <c r="D44" t="s">
        <v>4236</v>
      </c>
      <c r="E44" t="s">
        <v>4258</v>
      </c>
      <c r="F44" t="s">
        <v>75</v>
      </c>
      <c r="G44" s="24">
        <v>3600</v>
      </c>
      <c r="H44" s="23">
        <v>412.86</v>
      </c>
      <c r="I44" s="35" t="str">
        <f t="shared" si="5"/>
        <v>M45</v>
      </c>
      <c r="J44" s="49">
        <f t="shared" si="6"/>
        <v>3.6772767879807586E-2</v>
      </c>
      <c r="K44" s="50">
        <f t="shared" si="7"/>
        <v>55.159151819711376</v>
      </c>
      <c r="L44" s="35" t="str">
        <f t="shared" si="8"/>
        <v>🟢 OK</v>
      </c>
      <c r="M44" t="str">
        <f t="shared" si="9"/>
        <v>M45</v>
      </c>
    </row>
    <row r="45" spans="2:13" x14ac:dyDescent="0.35">
      <c r="B45" t="s">
        <v>4270</v>
      </c>
      <c r="C45" t="s">
        <v>124</v>
      </c>
      <c r="D45" t="s">
        <v>4236</v>
      </c>
      <c r="E45" t="s">
        <v>4258</v>
      </c>
      <c r="F45" t="s">
        <v>224</v>
      </c>
      <c r="G45" s="24">
        <v>3600</v>
      </c>
      <c r="H45" s="23">
        <v>398.46</v>
      </c>
      <c r="I45" s="35" t="str">
        <f t="shared" si="5"/>
        <v>M45</v>
      </c>
      <c r="J45" s="49">
        <f t="shared" si="6"/>
        <v>3.5490183329429173E-2</v>
      </c>
      <c r="K45" s="50">
        <f t="shared" si="7"/>
        <v>53.235274994143758</v>
      </c>
      <c r="L45" s="35" t="str">
        <f t="shared" si="8"/>
        <v>🟢 OK</v>
      </c>
      <c r="M45" t="str">
        <f t="shared" si="9"/>
        <v>M45</v>
      </c>
    </row>
    <row r="46" spans="2:13" x14ac:dyDescent="0.35">
      <c r="B46" t="s">
        <v>4270</v>
      </c>
      <c r="C46" t="s">
        <v>124</v>
      </c>
      <c r="D46" t="s">
        <v>4236</v>
      </c>
      <c r="E46" t="s">
        <v>4258</v>
      </c>
      <c r="F46" t="s">
        <v>81</v>
      </c>
      <c r="G46" s="24">
        <v>2100</v>
      </c>
      <c r="H46" s="23">
        <v>297.91000000000003</v>
      </c>
      <c r="I46" s="35" t="str">
        <f t="shared" si="5"/>
        <v>M45</v>
      </c>
      <c r="J46" s="49">
        <f t="shared" si="6"/>
        <v>2.6534358569668841E-2</v>
      </c>
      <c r="K46" s="50">
        <f t="shared" si="7"/>
        <v>39.801537854503259</v>
      </c>
      <c r="L46" s="35" t="str">
        <f t="shared" si="8"/>
        <v>🟢 OK</v>
      </c>
      <c r="M46" t="str">
        <f t="shared" si="9"/>
        <v>M45</v>
      </c>
    </row>
    <row r="47" spans="2:13" x14ac:dyDescent="0.35">
      <c r="B47" t="s">
        <v>4270</v>
      </c>
      <c r="C47" t="s">
        <v>124</v>
      </c>
      <c r="D47" t="s">
        <v>4236</v>
      </c>
      <c r="E47" t="s">
        <v>4258</v>
      </c>
      <c r="F47" t="s">
        <v>77</v>
      </c>
      <c r="G47" s="24">
        <v>2880</v>
      </c>
      <c r="H47" s="23">
        <v>219.92</v>
      </c>
      <c r="I47" s="35" t="str">
        <f t="shared" si="5"/>
        <v>M45</v>
      </c>
      <c r="J47" s="49">
        <f t="shared" si="6"/>
        <v>1.9587916272168007E-2</v>
      </c>
      <c r="K47" s="50">
        <f t="shared" si="7"/>
        <v>29.38187440825201</v>
      </c>
      <c r="L47" s="35" t="str">
        <f t="shared" si="8"/>
        <v>🟢 OK</v>
      </c>
      <c r="M47" t="str">
        <f t="shared" si="9"/>
        <v>M45</v>
      </c>
    </row>
    <row r="48" spans="2:13" x14ac:dyDescent="0.35">
      <c r="B48" t="s">
        <v>4270</v>
      </c>
      <c r="C48" t="s">
        <v>124</v>
      </c>
      <c r="D48" t="s">
        <v>4236</v>
      </c>
      <c r="E48" t="s">
        <v>4258</v>
      </c>
      <c r="F48" t="s">
        <v>224</v>
      </c>
      <c r="G48" s="24">
        <v>3600</v>
      </c>
      <c r="H48" s="23">
        <v>398.46</v>
      </c>
      <c r="I48" s="35" t="str">
        <f t="shared" si="5"/>
        <v>M45</v>
      </c>
      <c r="J48" s="49">
        <f t="shared" si="6"/>
        <v>3.5490183329429173E-2</v>
      </c>
      <c r="K48" s="50">
        <f t="shared" si="7"/>
        <v>53.235274994143758</v>
      </c>
      <c r="L48" s="35" t="str">
        <f t="shared" si="8"/>
        <v>🟢 OK</v>
      </c>
      <c r="M48" t="str">
        <f t="shared" si="9"/>
        <v>M45</v>
      </c>
    </row>
    <row r="49" spans="2:13" x14ac:dyDescent="0.35">
      <c r="B49" t="s">
        <v>4270</v>
      </c>
      <c r="C49" t="s">
        <v>124</v>
      </c>
      <c r="D49" t="s">
        <v>4236</v>
      </c>
      <c r="E49" t="s">
        <v>4258</v>
      </c>
      <c r="F49" t="s">
        <v>168</v>
      </c>
      <c r="G49" s="24">
        <v>4800</v>
      </c>
      <c r="H49" s="23">
        <v>633.24</v>
      </c>
      <c r="I49" s="35" t="str">
        <f t="shared" si="5"/>
        <v>M45</v>
      </c>
      <c r="J49" s="49">
        <f t="shared" si="6"/>
        <v>5.6401655602890455E-2</v>
      </c>
      <c r="K49" s="50">
        <f t="shared" si="7"/>
        <v>84.602483404335686</v>
      </c>
      <c r="L49" s="35" t="str">
        <f t="shared" si="8"/>
        <v>🟢 OK</v>
      </c>
      <c r="M49" t="str">
        <f t="shared" si="9"/>
        <v>M45</v>
      </c>
    </row>
    <row r="50" spans="2:13" x14ac:dyDescent="0.35">
      <c r="B50" t="s">
        <v>4270</v>
      </c>
      <c r="C50" t="s">
        <v>124</v>
      </c>
      <c r="D50" t="s">
        <v>4236</v>
      </c>
      <c r="E50" t="s">
        <v>4258</v>
      </c>
      <c r="F50" t="s">
        <v>77</v>
      </c>
      <c r="G50" s="24">
        <v>14400</v>
      </c>
      <c r="H50" s="23">
        <v>1099.5999999999999</v>
      </c>
      <c r="I50" s="35" t="str">
        <f t="shared" si="5"/>
        <v>M45</v>
      </c>
      <c r="J50" s="49">
        <f t="shared" si="6"/>
        <v>9.7939581360840036E-2</v>
      </c>
      <c r="K50" s="50">
        <f t="shared" si="7"/>
        <v>146.90937204126004</v>
      </c>
      <c r="L50" s="35" t="str">
        <f t="shared" si="8"/>
        <v>🟢 OK</v>
      </c>
      <c r="M50" t="str">
        <f t="shared" si="9"/>
        <v>M45</v>
      </c>
    </row>
    <row r="51" spans="2:13" x14ac:dyDescent="0.35">
      <c r="B51" t="s">
        <v>4270</v>
      </c>
      <c r="C51" t="s">
        <v>124</v>
      </c>
      <c r="D51" t="s">
        <v>4236</v>
      </c>
      <c r="E51" t="s">
        <v>4258</v>
      </c>
      <c r="F51" t="s">
        <v>210</v>
      </c>
      <c r="G51" s="24">
        <v>4320</v>
      </c>
      <c r="H51" s="23">
        <v>329.88</v>
      </c>
      <c r="I51" s="35" t="str">
        <f t="shared" si="5"/>
        <v>M45</v>
      </c>
      <c r="J51" s="49">
        <f t="shared" si="6"/>
        <v>2.9381874408252011E-2</v>
      </c>
      <c r="K51" s="50">
        <f t="shared" si="7"/>
        <v>44.072811612378018</v>
      </c>
      <c r="L51" s="35" t="str">
        <f t="shared" si="8"/>
        <v>🟢 OK</v>
      </c>
      <c r="M51" t="str">
        <f t="shared" si="9"/>
        <v>M45</v>
      </c>
    </row>
    <row r="52" spans="2:13" x14ac:dyDescent="0.35">
      <c r="B52" t="s">
        <v>4270</v>
      </c>
      <c r="C52" t="s">
        <v>124</v>
      </c>
      <c r="D52" t="s">
        <v>4236</v>
      </c>
      <c r="E52" t="s">
        <v>4258</v>
      </c>
      <c r="F52" t="s">
        <v>83</v>
      </c>
      <c r="G52" s="24">
        <v>11520</v>
      </c>
      <c r="H52" s="23">
        <v>937.28</v>
      </c>
      <c r="I52" s="35" t="str">
        <f t="shared" si="5"/>
        <v>M45</v>
      </c>
      <c r="J52" s="49">
        <f t="shared" si="6"/>
        <v>8.3482003290185652E-2</v>
      </c>
      <c r="K52" s="50">
        <f t="shared" si="7"/>
        <v>125.22300493527848</v>
      </c>
      <c r="L52" s="35" t="str">
        <f t="shared" si="8"/>
        <v>🟢 OK</v>
      </c>
      <c r="M52" t="str">
        <f t="shared" si="9"/>
        <v>M45</v>
      </c>
    </row>
    <row r="53" spans="2:13" x14ac:dyDescent="0.35">
      <c r="B53" t="s">
        <v>4270</v>
      </c>
      <c r="C53" t="s">
        <v>124</v>
      </c>
      <c r="D53" t="s">
        <v>4236</v>
      </c>
      <c r="E53" t="s">
        <v>4258</v>
      </c>
      <c r="F53" t="s">
        <v>130</v>
      </c>
      <c r="G53" s="24">
        <v>2250</v>
      </c>
      <c r="H53" s="23">
        <v>1071</v>
      </c>
      <c r="I53" s="35" t="str">
        <f t="shared" si="5"/>
        <v>M45</v>
      </c>
      <c r="J53" s="49">
        <f t="shared" si="6"/>
        <v>9.5392225934394032E-2</v>
      </c>
      <c r="K53" s="50">
        <f t="shared" si="7"/>
        <v>143.08833890159104</v>
      </c>
      <c r="L53" s="35" t="str">
        <f t="shared" si="8"/>
        <v>🟢 OK</v>
      </c>
      <c r="M53" t="str">
        <f t="shared" si="9"/>
        <v>M45</v>
      </c>
    </row>
    <row r="54" spans="2:13" x14ac:dyDescent="0.35">
      <c r="B54" t="s">
        <v>4271</v>
      </c>
      <c r="C54" t="s">
        <v>38</v>
      </c>
      <c r="D54">
        <v>560591</v>
      </c>
      <c r="E54" t="s">
        <v>4272</v>
      </c>
      <c r="F54" t="s">
        <v>119</v>
      </c>
      <c r="G54" s="24">
        <v>5022</v>
      </c>
      <c r="H54" s="23">
        <v>15613.21</v>
      </c>
      <c r="I54" s="35" t="str">
        <f t="shared" si="5"/>
        <v>M19</v>
      </c>
      <c r="J54" s="49">
        <f t="shared" si="6"/>
        <v>0.22623722406472097</v>
      </c>
      <c r="K54" s="50">
        <f t="shared" si="7"/>
        <v>339.35583609708146</v>
      </c>
      <c r="L54" s="35" t="str">
        <f t="shared" si="8"/>
        <v>🟢 OK</v>
      </c>
      <c r="M54" t="str">
        <f t="shared" si="9"/>
        <v>M19</v>
      </c>
    </row>
    <row r="55" spans="2:13" x14ac:dyDescent="0.35">
      <c r="B55" t="s">
        <v>4271</v>
      </c>
      <c r="C55" t="s">
        <v>38</v>
      </c>
      <c r="D55">
        <v>560591</v>
      </c>
      <c r="E55" t="s">
        <v>4272</v>
      </c>
      <c r="F55" t="s">
        <v>119</v>
      </c>
      <c r="G55" s="24">
        <v>5022</v>
      </c>
      <c r="H55" s="23">
        <v>15613.21</v>
      </c>
      <c r="I55" s="35" t="str">
        <f t="shared" si="5"/>
        <v>M19</v>
      </c>
      <c r="J55" s="49">
        <f t="shared" si="6"/>
        <v>0.22623722406472097</v>
      </c>
      <c r="K55" s="50">
        <f t="shared" si="7"/>
        <v>339.35583609708146</v>
      </c>
      <c r="L55" s="35" t="str">
        <f t="shared" si="8"/>
        <v>🟢 OK</v>
      </c>
      <c r="M55" t="str">
        <f t="shared" si="9"/>
        <v>M19</v>
      </c>
    </row>
    <row r="56" spans="2:13" x14ac:dyDescent="0.35">
      <c r="B56" t="s">
        <v>4271</v>
      </c>
      <c r="C56" t="s">
        <v>38</v>
      </c>
      <c r="D56">
        <v>560591</v>
      </c>
      <c r="E56" t="s">
        <v>4272</v>
      </c>
      <c r="F56" t="s">
        <v>119</v>
      </c>
      <c r="G56" s="24">
        <v>5022</v>
      </c>
      <c r="H56" s="23">
        <v>15613.21</v>
      </c>
      <c r="I56" s="35" t="str">
        <f t="shared" si="5"/>
        <v>M19</v>
      </c>
      <c r="J56" s="49">
        <f t="shared" si="6"/>
        <v>0.22623722406472097</v>
      </c>
      <c r="K56" s="50">
        <f t="shared" si="7"/>
        <v>339.35583609708146</v>
      </c>
      <c r="L56" s="35" t="str">
        <f t="shared" si="8"/>
        <v>🟢 OK</v>
      </c>
      <c r="M56" t="str">
        <f t="shared" si="9"/>
        <v>M19</v>
      </c>
    </row>
    <row r="57" spans="2:13" x14ac:dyDescent="0.35">
      <c r="B57" t="s">
        <v>4271</v>
      </c>
      <c r="C57" t="s">
        <v>38</v>
      </c>
      <c r="D57">
        <v>560591</v>
      </c>
      <c r="E57" t="s">
        <v>4272</v>
      </c>
      <c r="F57" t="s">
        <v>119</v>
      </c>
      <c r="G57" s="24">
        <v>5022</v>
      </c>
      <c r="H57" s="23">
        <v>15613.21</v>
      </c>
      <c r="I57" s="35" t="str">
        <f t="shared" si="5"/>
        <v>M19</v>
      </c>
      <c r="J57" s="49">
        <f t="shared" si="6"/>
        <v>0.22623722406472097</v>
      </c>
      <c r="K57" s="50">
        <f t="shared" si="7"/>
        <v>339.35583609708146</v>
      </c>
      <c r="L57" s="35" t="str">
        <f t="shared" si="8"/>
        <v>🟢 OK</v>
      </c>
      <c r="M57" t="str">
        <f t="shared" si="9"/>
        <v>M19</v>
      </c>
    </row>
    <row r="58" spans="2:13" x14ac:dyDescent="0.35">
      <c r="B58" t="s">
        <v>4271</v>
      </c>
      <c r="C58" t="s">
        <v>38</v>
      </c>
      <c r="D58">
        <v>560591</v>
      </c>
      <c r="E58" t="s">
        <v>4272</v>
      </c>
      <c r="F58" t="s">
        <v>104</v>
      </c>
      <c r="G58" s="24">
        <v>1512</v>
      </c>
      <c r="H58" s="23">
        <v>3279.86</v>
      </c>
      <c r="I58" s="35" t="str">
        <f t="shared" si="5"/>
        <v>M19</v>
      </c>
      <c r="J58" s="49">
        <f t="shared" si="6"/>
        <v>4.7525551870558055E-2</v>
      </c>
      <c r="K58" s="50">
        <f t="shared" si="7"/>
        <v>71.288327805837085</v>
      </c>
      <c r="L58" s="35" t="str">
        <f t="shared" si="8"/>
        <v>🟢 OK</v>
      </c>
      <c r="M58" t="str">
        <f t="shared" si="9"/>
        <v>M19</v>
      </c>
    </row>
    <row r="59" spans="2:13" x14ac:dyDescent="0.35">
      <c r="B59" t="s">
        <v>4271</v>
      </c>
      <c r="C59" t="s">
        <v>38</v>
      </c>
      <c r="D59">
        <v>560591</v>
      </c>
      <c r="E59" t="s">
        <v>4272</v>
      </c>
      <c r="F59" t="s">
        <v>104</v>
      </c>
      <c r="G59" s="24">
        <v>1512</v>
      </c>
      <c r="H59" s="23">
        <v>3279.86</v>
      </c>
      <c r="I59" s="35" t="str">
        <f t="shared" si="5"/>
        <v>M19</v>
      </c>
      <c r="J59" s="49">
        <f t="shared" si="6"/>
        <v>4.7525551870558055E-2</v>
      </c>
      <c r="K59" s="50">
        <f t="shared" si="7"/>
        <v>71.288327805837085</v>
      </c>
      <c r="L59" s="35" t="str">
        <f t="shared" si="8"/>
        <v>🟢 OK</v>
      </c>
      <c r="M59" t="str">
        <f t="shared" si="9"/>
        <v>M19</v>
      </c>
    </row>
    <row r="60" spans="2:13" x14ac:dyDescent="0.35">
      <c r="B60" t="s">
        <v>4273</v>
      </c>
      <c r="C60" t="s">
        <v>38</v>
      </c>
      <c r="D60">
        <v>560600</v>
      </c>
      <c r="E60" t="s">
        <v>4269</v>
      </c>
      <c r="F60" t="s">
        <v>198</v>
      </c>
      <c r="G60" s="24">
        <v>432</v>
      </c>
      <c r="H60" s="23">
        <v>1242.54</v>
      </c>
      <c r="I60" s="35" t="str">
        <f t="shared" si="5"/>
        <v>M19</v>
      </c>
      <c r="J60" s="49">
        <f t="shared" si="6"/>
        <v>0.1227003679411294</v>
      </c>
      <c r="K60" s="50">
        <f t="shared" si="7"/>
        <v>184.0505519116941</v>
      </c>
      <c r="L60" s="35" t="str">
        <f t="shared" si="8"/>
        <v>🟢 OK</v>
      </c>
      <c r="M60" t="str">
        <f t="shared" si="9"/>
        <v>M19</v>
      </c>
    </row>
    <row r="61" spans="2:13" x14ac:dyDescent="0.35">
      <c r="B61" t="s">
        <v>4273</v>
      </c>
      <c r="C61" t="s">
        <v>38</v>
      </c>
      <c r="D61">
        <v>560600</v>
      </c>
      <c r="E61" t="s">
        <v>4272</v>
      </c>
      <c r="F61" t="s">
        <v>101</v>
      </c>
      <c r="G61" s="24">
        <v>640</v>
      </c>
      <c r="H61" s="23">
        <v>829.3</v>
      </c>
      <c r="I61" s="35" t="str">
        <f t="shared" si="5"/>
        <v>M19</v>
      </c>
      <c r="J61" s="49">
        <f t="shared" si="6"/>
        <v>8.1893069948314426E-2</v>
      </c>
      <c r="K61" s="50">
        <f t="shared" si="7"/>
        <v>122.83960492247164</v>
      </c>
      <c r="L61" s="35" t="str">
        <f t="shared" si="8"/>
        <v>🟢 OK</v>
      </c>
      <c r="M61" t="str">
        <f t="shared" si="9"/>
        <v>M19</v>
      </c>
    </row>
    <row r="62" spans="2:13" x14ac:dyDescent="0.35">
      <c r="B62" t="s">
        <v>4273</v>
      </c>
      <c r="C62" t="s">
        <v>38</v>
      </c>
      <c r="D62">
        <v>560600</v>
      </c>
      <c r="E62" t="s">
        <v>4272</v>
      </c>
      <c r="F62" t="s">
        <v>104</v>
      </c>
      <c r="G62" s="24">
        <v>864</v>
      </c>
      <c r="H62" s="23">
        <v>1874.21</v>
      </c>
      <c r="I62" s="35" t="str">
        <f t="shared" si="5"/>
        <v>M19</v>
      </c>
      <c r="J62" s="49">
        <f t="shared" si="6"/>
        <v>0.18507754808613336</v>
      </c>
      <c r="K62" s="50">
        <f t="shared" si="7"/>
        <v>277.61632212920006</v>
      </c>
      <c r="L62" s="35" t="str">
        <f t="shared" si="8"/>
        <v>🟢 OK</v>
      </c>
      <c r="M62" t="str">
        <f t="shared" si="9"/>
        <v>M19</v>
      </c>
    </row>
    <row r="63" spans="2:13" x14ac:dyDescent="0.35">
      <c r="B63" t="s">
        <v>4273</v>
      </c>
      <c r="C63" t="s">
        <v>38</v>
      </c>
      <c r="D63">
        <v>560600</v>
      </c>
      <c r="E63" t="s">
        <v>4272</v>
      </c>
      <c r="F63" t="s">
        <v>104</v>
      </c>
      <c r="G63" s="24">
        <v>864</v>
      </c>
      <c r="H63" s="23">
        <v>1874.21</v>
      </c>
      <c r="I63" s="35" t="str">
        <f t="shared" si="5"/>
        <v>M19</v>
      </c>
      <c r="J63" s="49">
        <f t="shared" si="6"/>
        <v>0.18507754808613336</v>
      </c>
      <c r="K63" s="50">
        <f t="shared" si="7"/>
        <v>277.61632212920006</v>
      </c>
      <c r="L63" s="35" t="str">
        <f t="shared" si="8"/>
        <v>🟢 OK</v>
      </c>
      <c r="M63" t="str">
        <f t="shared" si="9"/>
        <v>M19</v>
      </c>
    </row>
    <row r="64" spans="2:13" x14ac:dyDescent="0.35">
      <c r="B64" t="s">
        <v>4273</v>
      </c>
      <c r="C64" t="s">
        <v>38</v>
      </c>
      <c r="D64">
        <v>560600</v>
      </c>
      <c r="E64" t="s">
        <v>4272</v>
      </c>
      <c r="F64" t="s">
        <v>4274</v>
      </c>
      <c r="G64" s="24">
        <v>370</v>
      </c>
      <c r="H64" s="23">
        <v>521.94000000000005</v>
      </c>
      <c r="I64" s="35" t="str">
        <f t="shared" si="5"/>
        <v>M19</v>
      </c>
      <c r="J64" s="49">
        <f t="shared" si="6"/>
        <v>5.1541383008348297E-2</v>
      </c>
      <c r="K64" s="50">
        <f t="shared" si="7"/>
        <v>77.312074512522443</v>
      </c>
      <c r="L64" s="35" t="str">
        <f t="shared" si="8"/>
        <v>🟢 OK</v>
      </c>
      <c r="M64" t="str">
        <f t="shared" si="9"/>
        <v>M19</v>
      </c>
    </row>
    <row r="65" spans="2:13" x14ac:dyDescent="0.35">
      <c r="B65" t="s">
        <v>4273</v>
      </c>
      <c r="C65" t="s">
        <v>38</v>
      </c>
      <c r="D65">
        <v>560600</v>
      </c>
      <c r="E65" t="s">
        <v>4272</v>
      </c>
      <c r="F65" t="s">
        <v>4274</v>
      </c>
      <c r="G65" s="24">
        <v>370</v>
      </c>
      <c r="H65" s="23">
        <v>521.94000000000005</v>
      </c>
      <c r="I65" s="35" t="str">
        <f t="shared" si="5"/>
        <v>M19</v>
      </c>
      <c r="J65" s="49">
        <f t="shared" si="6"/>
        <v>5.1541383008348297E-2</v>
      </c>
      <c r="K65" s="50">
        <f t="shared" si="7"/>
        <v>77.312074512522443</v>
      </c>
      <c r="L65" s="35" t="str">
        <f t="shared" si="8"/>
        <v>🟢 OK</v>
      </c>
      <c r="M65" t="str">
        <f t="shared" si="9"/>
        <v>M19</v>
      </c>
    </row>
    <row r="66" spans="2:13" x14ac:dyDescent="0.35">
      <c r="B66" t="s">
        <v>4273</v>
      </c>
      <c r="C66" t="s">
        <v>38</v>
      </c>
      <c r="D66">
        <v>560600</v>
      </c>
      <c r="E66" t="s">
        <v>4272</v>
      </c>
      <c r="F66" t="s">
        <v>105</v>
      </c>
      <c r="G66" s="24">
        <v>1134</v>
      </c>
      <c r="H66" s="23">
        <v>3262.48</v>
      </c>
      <c r="I66" s="35" t="str">
        <f t="shared" si="5"/>
        <v>M19</v>
      </c>
      <c r="J66" s="49">
        <f t="shared" si="6"/>
        <v>0.32216869992159275</v>
      </c>
      <c r="K66" s="50">
        <f t="shared" si="7"/>
        <v>483.25304988238912</v>
      </c>
      <c r="L66" s="35" t="str">
        <f t="shared" si="8"/>
        <v>🟢 OK</v>
      </c>
      <c r="M66" t="str">
        <f t="shared" si="9"/>
        <v>M19</v>
      </c>
    </row>
    <row r="67" spans="2:13" x14ac:dyDescent="0.35">
      <c r="B67" t="s">
        <v>4275</v>
      </c>
      <c r="C67" t="s">
        <v>38</v>
      </c>
      <c r="D67" t="s">
        <v>4276</v>
      </c>
      <c r="E67" t="s">
        <v>4257</v>
      </c>
      <c r="F67" t="s">
        <v>195</v>
      </c>
      <c r="G67" s="24">
        <v>1080</v>
      </c>
      <c r="H67" s="23">
        <v>148.15</v>
      </c>
      <c r="I67" s="35" t="str">
        <f t="shared" si="5"/>
        <v>M45</v>
      </c>
      <c r="J67" s="49">
        <f t="shared" si="6"/>
        <v>8.0244171938642864E-3</v>
      </c>
      <c r="K67" s="50">
        <f t="shared" si="7"/>
        <v>12.03662579079643</v>
      </c>
      <c r="L67" s="35" t="str">
        <f t="shared" si="8"/>
        <v>🟢 OK</v>
      </c>
      <c r="M67" t="str">
        <f t="shared" si="9"/>
        <v>M45</v>
      </c>
    </row>
    <row r="68" spans="2:13" x14ac:dyDescent="0.35">
      <c r="B68" t="s">
        <v>4275</v>
      </c>
      <c r="C68" t="s">
        <v>38</v>
      </c>
      <c r="D68" t="s">
        <v>4276</v>
      </c>
      <c r="E68" t="s">
        <v>4257</v>
      </c>
      <c r="F68" t="s">
        <v>231</v>
      </c>
      <c r="G68" s="24">
        <v>93</v>
      </c>
      <c r="H68" s="23">
        <v>29.77</v>
      </c>
      <c r="I68" s="35" t="str">
        <f t="shared" si="5"/>
        <v>M45</v>
      </c>
      <c r="J68" s="49">
        <f t="shared" si="6"/>
        <v>1.6124664182338155E-3</v>
      </c>
      <c r="K68" s="50">
        <f t="shared" si="7"/>
        <v>2.4186996273507235</v>
      </c>
      <c r="L68" s="35" t="str">
        <f t="shared" si="8"/>
        <v>🟢 OK</v>
      </c>
      <c r="M68" t="str">
        <f t="shared" si="9"/>
        <v>M45</v>
      </c>
    </row>
    <row r="69" spans="2:13" x14ac:dyDescent="0.35">
      <c r="B69" t="s">
        <v>4275</v>
      </c>
      <c r="C69" t="s">
        <v>38</v>
      </c>
      <c r="D69" t="s">
        <v>4276</v>
      </c>
      <c r="E69" t="s">
        <v>4257</v>
      </c>
      <c r="F69" t="s">
        <v>111</v>
      </c>
      <c r="G69" s="24">
        <v>420</v>
      </c>
      <c r="H69" s="23">
        <v>90.1</v>
      </c>
      <c r="I69" s="35" t="str">
        <f t="shared" si="5"/>
        <v>M45</v>
      </c>
      <c r="J69" s="49">
        <f t="shared" si="6"/>
        <v>4.8801889245168551E-3</v>
      </c>
      <c r="K69" s="50">
        <f t="shared" si="7"/>
        <v>7.3202833867752828</v>
      </c>
      <c r="L69" s="35" t="str">
        <f t="shared" si="8"/>
        <v>🟢 OK</v>
      </c>
      <c r="M69" t="str">
        <f t="shared" si="9"/>
        <v>M45</v>
      </c>
    </row>
    <row r="70" spans="2:13" x14ac:dyDescent="0.35">
      <c r="B70" t="s">
        <v>4275</v>
      </c>
      <c r="C70" t="s">
        <v>38</v>
      </c>
      <c r="D70" t="s">
        <v>4276</v>
      </c>
      <c r="E70" t="s">
        <v>4257</v>
      </c>
      <c r="F70" t="s">
        <v>159</v>
      </c>
      <c r="G70" s="24">
        <v>2250</v>
      </c>
      <c r="H70" s="23">
        <v>899.74</v>
      </c>
      <c r="I70" s="35" t="str">
        <f t="shared" si="5"/>
        <v>M45</v>
      </c>
      <c r="J70" s="49">
        <f t="shared" si="6"/>
        <v>4.873364243001993E-2</v>
      </c>
      <c r="K70" s="50">
        <f t="shared" si="7"/>
        <v>73.10046364502989</v>
      </c>
      <c r="L70" s="35" t="str">
        <f t="shared" si="8"/>
        <v>🟢 OK</v>
      </c>
      <c r="M70" t="str">
        <f t="shared" si="9"/>
        <v>M45</v>
      </c>
    </row>
    <row r="71" spans="2:13" x14ac:dyDescent="0.35">
      <c r="B71" t="s">
        <v>4275</v>
      </c>
      <c r="C71" t="s">
        <v>38</v>
      </c>
      <c r="D71" t="s">
        <v>4276</v>
      </c>
      <c r="E71" t="s">
        <v>4257</v>
      </c>
      <c r="F71" t="s">
        <v>159</v>
      </c>
      <c r="G71" s="24">
        <v>5625</v>
      </c>
      <c r="H71" s="23">
        <v>2249.35</v>
      </c>
      <c r="I71" s="35" t="str">
        <f t="shared" ref="I71:I82" si="10">IFERROR(IF(ISNUMBER(SEARCH("/M",B71)),"M"&amp;MID(B71,SEARCH("/M",B71)+2,2),IF(ISNUMBER(SEARCH(".M",B71)),"M"&amp;MID(B71,SEARCH(".M",B71)+2,2),"Sin BU")),"Sin BU")</f>
        <v>M45</v>
      </c>
      <c r="J71" s="49">
        <f t="shared" ref="J71:J81" si="11">H71/SUMIFS($H$7:$H$81,$B$7:$B$81,B71)</f>
        <v>0.12183410607504981</v>
      </c>
      <c r="K71" s="50">
        <f t="shared" ref="K71:K81" si="12">J71*$C$3</f>
        <v>182.75115911257473</v>
      </c>
      <c r="L71" s="35" t="str">
        <f t="shared" ref="L71:L83" si="13">IF(ROUND(SUMIFS($K$7:$K$81,$B$7:$B$81,B71),2)=$C$3,"🟢 OK","🔴 Revisar")</f>
        <v>🟢 OK</v>
      </c>
      <c r="M71" t="str">
        <f t="shared" ref="M71:M81" si="14">IF(OR(ISNUMBER(SEARCH("PLASTIC",F71)),ISNUMBER(SEARCH("CHAROLA",F71)),AND(ISNUMBER(SEARCH("TAPA",F71)),NOT(ISNUMBER(SEARCH("-",F71)))),AND(ISNUMBER(SEARCH("BASE",F71)),NOT(ISNUMBER(SEARCH("-",F71)))),AND(ISNUMBER(SEARCH("CAJA",F71)),NOT(ISNUMBER(SEARCH("-",F71))))),"Miscelaneus",I71)</f>
        <v>M45</v>
      </c>
    </row>
    <row r="72" spans="2:13" x14ac:dyDescent="0.35">
      <c r="B72" t="s">
        <v>4275</v>
      </c>
      <c r="C72" t="s">
        <v>38</v>
      </c>
      <c r="D72" t="s">
        <v>4276</v>
      </c>
      <c r="E72" t="s">
        <v>4257</v>
      </c>
      <c r="F72" t="s">
        <v>159</v>
      </c>
      <c r="G72" s="24">
        <v>11250</v>
      </c>
      <c r="H72" s="23">
        <v>4498.7</v>
      </c>
      <c r="I72" s="35" t="str">
        <f t="shared" si="10"/>
        <v>M45</v>
      </c>
      <c r="J72" s="49">
        <f t="shared" si="11"/>
        <v>0.24366821215009962</v>
      </c>
      <c r="K72" s="50">
        <f t="shared" si="12"/>
        <v>365.50231822514945</v>
      </c>
      <c r="L72" s="35" t="str">
        <f t="shared" si="13"/>
        <v>🟢 OK</v>
      </c>
      <c r="M72" t="str">
        <f t="shared" si="14"/>
        <v>M45</v>
      </c>
    </row>
    <row r="73" spans="2:13" x14ac:dyDescent="0.35">
      <c r="B73" t="s">
        <v>4275</v>
      </c>
      <c r="C73" t="s">
        <v>38</v>
      </c>
      <c r="D73" t="s">
        <v>4276</v>
      </c>
      <c r="E73" t="s">
        <v>4257</v>
      </c>
      <c r="F73" t="s">
        <v>159</v>
      </c>
      <c r="G73" s="24">
        <v>3375</v>
      </c>
      <c r="H73" s="23">
        <v>1349.61</v>
      </c>
      <c r="I73" s="35" t="str">
        <f t="shared" si="10"/>
        <v>M45</v>
      </c>
      <c r="J73" s="49">
        <f t="shared" si="11"/>
        <v>7.3100463645029881E-2</v>
      </c>
      <c r="K73" s="50">
        <f t="shared" si="12"/>
        <v>109.65069546754482</v>
      </c>
      <c r="L73" s="35" t="str">
        <f t="shared" si="13"/>
        <v>🟢 OK</v>
      </c>
      <c r="M73" t="str">
        <f t="shared" si="14"/>
        <v>M45</v>
      </c>
    </row>
    <row r="74" spans="2:13" x14ac:dyDescent="0.35">
      <c r="B74" t="s">
        <v>4275</v>
      </c>
      <c r="C74" t="s">
        <v>38</v>
      </c>
      <c r="D74" t="s">
        <v>4276</v>
      </c>
      <c r="E74" t="s">
        <v>4257</v>
      </c>
      <c r="F74" t="s">
        <v>159</v>
      </c>
      <c r="G74" s="24">
        <v>11250</v>
      </c>
      <c r="H74" s="23">
        <v>4498.7</v>
      </c>
      <c r="I74" s="35" t="str">
        <f t="shared" si="10"/>
        <v>M45</v>
      </c>
      <c r="J74" s="49">
        <f t="shared" si="11"/>
        <v>0.24366821215009962</v>
      </c>
      <c r="K74" s="50">
        <f t="shared" si="12"/>
        <v>365.50231822514945</v>
      </c>
      <c r="L74" s="35" t="str">
        <f t="shared" si="13"/>
        <v>🟢 OK</v>
      </c>
      <c r="M74" t="str">
        <f t="shared" si="14"/>
        <v>M45</v>
      </c>
    </row>
    <row r="75" spans="2:13" x14ac:dyDescent="0.35">
      <c r="B75" t="s">
        <v>4270</v>
      </c>
      <c r="C75" t="s">
        <v>124</v>
      </c>
      <c r="D75" t="s">
        <v>4236</v>
      </c>
      <c r="E75" t="s">
        <v>4258</v>
      </c>
      <c r="F75" t="s">
        <v>75</v>
      </c>
      <c r="G75" s="24">
        <v>3600</v>
      </c>
      <c r="H75" s="23">
        <v>412.86</v>
      </c>
      <c r="I75" s="35" t="str">
        <f t="shared" si="10"/>
        <v>M45</v>
      </c>
      <c r="J75" s="49">
        <f t="shared" si="11"/>
        <v>3.6772767879807586E-2</v>
      </c>
      <c r="K75" s="50">
        <f t="shared" si="12"/>
        <v>55.159151819711376</v>
      </c>
      <c r="L75" s="35" t="str">
        <f t="shared" si="13"/>
        <v>🟢 OK</v>
      </c>
      <c r="M75" t="str">
        <f t="shared" si="14"/>
        <v>M45</v>
      </c>
    </row>
    <row r="76" spans="2:13" x14ac:dyDescent="0.35">
      <c r="B76" t="s">
        <v>4270</v>
      </c>
      <c r="C76" t="s">
        <v>124</v>
      </c>
      <c r="D76" t="s">
        <v>4236</v>
      </c>
      <c r="E76" t="s">
        <v>4258</v>
      </c>
      <c r="F76" t="s">
        <v>224</v>
      </c>
      <c r="G76" s="24">
        <v>3600</v>
      </c>
      <c r="H76" s="23">
        <v>398.46</v>
      </c>
      <c r="I76" s="35" t="str">
        <f t="shared" si="10"/>
        <v>M45</v>
      </c>
      <c r="J76" s="49">
        <f t="shared" si="11"/>
        <v>3.5490183329429173E-2</v>
      </c>
      <c r="K76" s="50">
        <f t="shared" si="12"/>
        <v>53.235274994143758</v>
      </c>
      <c r="L76" s="35" t="str">
        <f t="shared" si="13"/>
        <v>🟢 OK</v>
      </c>
      <c r="M76" t="str">
        <f t="shared" si="14"/>
        <v>M45</v>
      </c>
    </row>
    <row r="77" spans="2:13" x14ac:dyDescent="0.35">
      <c r="B77" t="s">
        <v>4270</v>
      </c>
      <c r="C77" t="s">
        <v>124</v>
      </c>
      <c r="D77" t="s">
        <v>4236</v>
      </c>
      <c r="E77" t="s">
        <v>4258</v>
      </c>
      <c r="F77" t="s">
        <v>81</v>
      </c>
      <c r="G77" s="24">
        <v>2100</v>
      </c>
      <c r="H77" s="23">
        <v>297.91000000000003</v>
      </c>
      <c r="I77" s="35" t="str">
        <f t="shared" si="10"/>
        <v>M45</v>
      </c>
      <c r="J77" s="49">
        <f t="shared" si="11"/>
        <v>2.6534358569668841E-2</v>
      </c>
      <c r="K77" s="50">
        <f t="shared" si="12"/>
        <v>39.801537854503259</v>
      </c>
      <c r="L77" s="35" t="str">
        <f t="shared" si="13"/>
        <v>🟢 OK</v>
      </c>
      <c r="M77" t="str">
        <f t="shared" si="14"/>
        <v>M45</v>
      </c>
    </row>
    <row r="78" spans="2:13" x14ac:dyDescent="0.35">
      <c r="B78" t="s">
        <v>4270</v>
      </c>
      <c r="C78" t="s">
        <v>124</v>
      </c>
      <c r="D78" t="s">
        <v>4236</v>
      </c>
      <c r="E78" t="s">
        <v>4258</v>
      </c>
      <c r="F78" t="s">
        <v>77</v>
      </c>
      <c r="G78" s="24">
        <v>2880</v>
      </c>
      <c r="H78" s="23">
        <v>219.92</v>
      </c>
      <c r="I78" s="35" t="str">
        <f t="shared" si="10"/>
        <v>M45</v>
      </c>
      <c r="J78" s="49">
        <f t="shared" si="11"/>
        <v>1.9587916272168007E-2</v>
      </c>
      <c r="K78" s="50">
        <f t="shared" si="12"/>
        <v>29.38187440825201</v>
      </c>
      <c r="L78" s="35" t="str">
        <f t="shared" si="13"/>
        <v>🟢 OK</v>
      </c>
      <c r="M78" t="str">
        <f t="shared" si="14"/>
        <v>M45</v>
      </c>
    </row>
    <row r="79" spans="2:13" x14ac:dyDescent="0.35">
      <c r="B79" t="s">
        <v>4275</v>
      </c>
      <c r="C79" t="s">
        <v>38</v>
      </c>
      <c r="D79" t="s">
        <v>4276</v>
      </c>
      <c r="E79" t="s">
        <v>4257</v>
      </c>
      <c r="F79" t="s">
        <v>155</v>
      </c>
      <c r="G79" s="24">
        <v>480</v>
      </c>
      <c r="H79" s="23">
        <v>99.79</v>
      </c>
      <c r="I79" s="35" t="str">
        <f t="shared" si="10"/>
        <v>M45</v>
      </c>
      <c r="J79" s="49">
        <f t="shared" si="11"/>
        <v>5.4050394314931966E-3</v>
      </c>
      <c r="K79" s="50">
        <f t="shared" si="12"/>
        <v>8.1075591472397956</v>
      </c>
      <c r="L79" s="35" t="str">
        <f t="shared" si="13"/>
        <v>🟢 OK</v>
      </c>
      <c r="M79" t="str">
        <f t="shared" si="14"/>
        <v>M45</v>
      </c>
    </row>
    <row r="80" spans="2:13" x14ac:dyDescent="0.35">
      <c r="B80" t="s">
        <v>4275</v>
      </c>
      <c r="C80" t="s">
        <v>38</v>
      </c>
      <c r="D80" t="s">
        <v>4276</v>
      </c>
      <c r="E80" t="s">
        <v>4257</v>
      </c>
      <c r="F80" t="s">
        <v>155</v>
      </c>
      <c r="G80" s="24">
        <v>480</v>
      </c>
      <c r="H80" s="23">
        <v>99.79</v>
      </c>
      <c r="I80" s="35" t="str">
        <f t="shared" si="10"/>
        <v>M45</v>
      </c>
      <c r="J80" s="49">
        <f t="shared" si="11"/>
        <v>5.4050394314931966E-3</v>
      </c>
      <c r="K80" s="50">
        <f t="shared" si="12"/>
        <v>8.1075591472397956</v>
      </c>
      <c r="L80" s="35" t="str">
        <f t="shared" si="13"/>
        <v>🟢 OK</v>
      </c>
      <c r="M80" t="str">
        <f t="shared" si="14"/>
        <v>M45</v>
      </c>
    </row>
    <row r="81" spans="2:13" x14ac:dyDescent="0.35">
      <c r="B81" t="s">
        <v>4275</v>
      </c>
      <c r="C81" t="s">
        <v>38</v>
      </c>
      <c r="D81" t="s">
        <v>4276</v>
      </c>
      <c r="E81" t="s">
        <v>4257</v>
      </c>
      <c r="F81" t="s">
        <v>159</v>
      </c>
      <c r="G81" s="24">
        <v>11250</v>
      </c>
      <c r="H81" s="23">
        <v>4498.7</v>
      </c>
      <c r="I81" s="35" t="str">
        <f t="shared" si="10"/>
        <v>M45</v>
      </c>
      <c r="J81" s="49">
        <f t="shared" si="11"/>
        <v>0.24366821215009962</v>
      </c>
      <c r="K81" s="50">
        <f t="shared" si="12"/>
        <v>365.50231822514945</v>
      </c>
      <c r="L81" s="35" t="str">
        <f t="shared" si="13"/>
        <v>🟢 OK</v>
      </c>
      <c r="M81" t="str">
        <f t="shared" si="14"/>
        <v>M45</v>
      </c>
    </row>
    <row r="82" spans="2:13" x14ac:dyDescent="0.35">
      <c r="B82" s="46" t="s">
        <v>4211</v>
      </c>
      <c r="C82" s="46"/>
      <c r="D82" s="46"/>
      <c r="E82" s="46"/>
      <c r="F82" s="46"/>
      <c r="G82" s="53">
        <f>SUM(G7:G81)</f>
        <v>298523</v>
      </c>
      <c r="H82" s="58">
        <f>SUM(H7:H81)</f>
        <v>145735.19000000003</v>
      </c>
      <c r="I82" s="55" t="str">
        <f t="shared" si="10"/>
        <v>Sin BU</v>
      </c>
      <c r="J82" s="46"/>
      <c r="K82" s="56">
        <f>SUM(K7:K81)</f>
        <v>13500.000000000007</v>
      </c>
      <c r="L82" s="55" t="str">
        <f t="shared" si="13"/>
        <v>🔴 Revisar</v>
      </c>
    </row>
    <row r="83" spans="2:13" x14ac:dyDescent="0.35">
      <c r="B83" s="27" t="s">
        <v>4277</v>
      </c>
      <c r="C83" s="27"/>
      <c r="D83" s="27"/>
      <c r="E83" s="27"/>
      <c r="F83" s="27"/>
      <c r="G83" s="27" cm="1">
        <f t="array" ref="G83">SUMPRODUCT(1/COUNTIF(B7:B81,B7:B81))</f>
        <v>9.0000000000000142</v>
      </c>
      <c r="H83" s="27" t="s">
        <v>4249</v>
      </c>
      <c r="I83" s="52">
        <f>G83*$C$3</f>
        <v>13500.000000000022</v>
      </c>
      <c r="J83" s="27" t="s">
        <v>4250</v>
      </c>
      <c r="K83" s="52" t="str">
        <f>IF(ROUND(K82,2)=ROUND(I83,2),"🟢 CUADRA","🔴 NO CUADRA")</f>
        <v>🟢 CUADRA</v>
      </c>
      <c r="L83" s="51" t="str">
        <f t="shared" si="13"/>
        <v>🔴 Revisar</v>
      </c>
    </row>
  </sheetData>
  <mergeCells count="4">
    <mergeCell ref="B2:L2"/>
    <mergeCell ref="C4:L4"/>
    <mergeCell ref="O5:R5"/>
    <mergeCell ref="P13:R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3C325-BED6-4353-9196-F5AD9C5C9BC5}">
  <dimension ref="B2:M47"/>
  <sheetViews>
    <sheetView topLeftCell="A23" zoomScale="71" workbookViewId="0">
      <selection activeCell="F30" sqref="F30"/>
    </sheetView>
  </sheetViews>
  <sheetFormatPr defaultRowHeight="14.5" x14ac:dyDescent="0.35"/>
  <cols>
    <col min="2" max="2" width="5.453125" customWidth="1"/>
    <col min="3" max="3" width="25.453125" customWidth="1"/>
    <col min="4" max="4" width="32.7265625" customWidth="1"/>
    <col min="5" max="5" width="25.453125" customWidth="1"/>
    <col min="6" max="7" width="36.36328125" customWidth="1"/>
    <col min="8" max="8" width="40" customWidth="1"/>
    <col min="9" max="9" width="29.08984375" customWidth="1"/>
    <col min="10" max="10" width="40" customWidth="1"/>
    <col min="11" max="11" width="16.36328125" customWidth="1"/>
    <col min="13" max="13" width="63.6328125" customWidth="1"/>
    <col min="14" max="14" width="16.36328125" customWidth="1"/>
  </cols>
  <sheetData>
    <row r="2" spans="2:13" ht="18.5" x14ac:dyDescent="0.45">
      <c r="B2" s="82" t="s">
        <v>4287</v>
      </c>
      <c r="C2" s="82"/>
      <c r="D2" s="82"/>
      <c r="E2" s="82"/>
      <c r="F2" s="82"/>
      <c r="G2" s="82"/>
      <c r="H2" s="82"/>
      <c r="I2" s="82"/>
      <c r="J2" s="82"/>
      <c r="K2" s="82"/>
      <c r="M2" s="59" t="s">
        <v>4297</v>
      </c>
    </row>
    <row r="3" spans="2:13" x14ac:dyDescent="0.35">
      <c r="B3" s="87" t="s">
        <v>4288</v>
      </c>
      <c r="C3" s="87"/>
      <c r="D3" s="87"/>
      <c r="E3" s="87"/>
      <c r="F3" s="87"/>
      <c r="G3" s="87"/>
      <c r="H3" s="87"/>
      <c r="I3" s="87"/>
      <c r="J3" s="87"/>
      <c r="K3" s="87"/>
      <c r="M3" t="s">
        <v>4298</v>
      </c>
    </row>
    <row r="4" spans="2:13" x14ac:dyDescent="0.35">
      <c r="M4" t="s">
        <v>4299</v>
      </c>
    </row>
    <row r="5" spans="2:13" x14ac:dyDescent="0.35">
      <c r="B5" s="88" t="s">
        <v>4214</v>
      </c>
      <c r="C5" s="88" t="s">
        <v>4289</v>
      </c>
      <c r="D5" s="88" t="s">
        <v>4290</v>
      </c>
      <c r="E5" s="88" t="s">
        <v>4291</v>
      </c>
      <c r="F5" s="88" t="s">
        <v>4292</v>
      </c>
      <c r="G5" s="88" t="s">
        <v>4293</v>
      </c>
      <c r="H5" s="88" t="s">
        <v>4294</v>
      </c>
      <c r="I5" s="88" t="s">
        <v>4295</v>
      </c>
      <c r="J5" s="88" t="s">
        <v>4296</v>
      </c>
      <c r="K5" s="88" t="s">
        <v>4286</v>
      </c>
      <c r="M5" t="s">
        <v>4300</v>
      </c>
    </row>
    <row r="6" spans="2:13" ht="200" customHeight="1" x14ac:dyDescent="0.35">
      <c r="B6" s="95">
        <v>1</v>
      </c>
      <c r="C6" s="90" t="s">
        <v>4301</v>
      </c>
      <c r="D6" s="90" t="s">
        <v>4302</v>
      </c>
      <c r="E6" s="90" t="s">
        <v>4303</v>
      </c>
      <c r="F6" s="90" t="s">
        <v>4304</v>
      </c>
      <c r="G6" s="90" t="s">
        <v>4305</v>
      </c>
      <c r="H6" s="90" t="s">
        <v>4306</v>
      </c>
      <c r="I6" s="90" t="s">
        <v>4307</v>
      </c>
      <c r="J6" s="90" t="s">
        <v>4308</v>
      </c>
      <c r="K6" s="91" t="s">
        <v>4309</v>
      </c>
    </row>
    <row r="7" spans="2:13" ht="200" customHeight="1" x14ac:dyDescent="0.35">
      <c r="B7" s="95">
        <v>2</v>
      </c>
      <c r="C7" s="90" t="s">
        <v>4310</v>
      </c>
      <c r="D7" s="90" t="s">
        <v>4311</v>
      </c>
      <c r="E7" s="90" t="s">
        <v>4312</v>
      </c>
      <c r="F7" s="90" t="s">
        <v>4313</v>
      </c>
      <c r="G7" s="90" t="s">
        <v>4314</v>
      </c>
      <c r="H7" s="90" t="s">
        <v>4315</v>
      </c>
      <c r="I7" s="90" t="s">
        <v>4316</v>
      </c>
      <c r="J7" s="90" t="s">
        <v>4317</v>
      </c>
      <c r="K7" s="91" t="s">
        <v>4309</v>
      </c>
    </row>
    <row r="8" spans="2:13" ht="200" customHeight="1" x14ac:dyDescent="0.35">
      <c r="B8" s="95">
        <v>3</v>
      </c>
      <c r="C8" s="90" t="s">
        <v>4318</v>
      </c>
      <c r="D8" s="90" t="s">
        <v>4319</v>
      </c>
      <c r="E8" s="90" t="s">
        <v>4320</v>
      </c>
      <c r="F8" s="90" t="s">
        <v>4321</v>
      </c>
      <c r="G8" s="90" t="s">
        <v>4322</v>
      </c>
      <c r="H8" s="90" t="s">
        <v>4323</v>
      </c>
      <c r="I8" s="90" t="s">
        <v>4324</v>
      </c>
      <c r="J8" s="90" t="s">
        <v>4325</v>
      </c>
      <c r="K8" s="91" t="s">
        <v>4309</v>
      </c>
    </row>
    <row r="9" spans="2:13" ht="200" customHeight="1" x14ac:dyDescent="0.35">
      <c r="B9" s="95">
        <v>4</v>
      </c>
      <c r="C9" s="90" t="s">
        <v>4326</v>
      </c>
      <c r="D9" s="90" t="s">
        <v>4327</v>
      </c>
      <c r="E9" s="90" t="s">
        <v>4328</v>
      </c>
      <c r="F9" s="90" t="s">
        <v>4329</v>
      </c>
      <c r="G9" s="90" t="s">
        <v>4330</v>
      </c>
      <c r="H9" s="90" t="s">
        <v>4331</v>
      </c>
      <c r="I9" s="90" t="s">
        <v>4332</v>
      </c>
      <c r="J9" s="90" t="s">
        <v>4333</v>
      </c>
      <c r="K9" s="92" t="s">
        <v>4334</v>
      </c>
    </row>
    <row r="10" spans="2:13" ht="200" customHeight="1" x14ac:dyDescent="0.35">
      <c r="B10" s="95">
        <v>5</v>
      </c>
      <c r="C10" s="90" t="s">
        <v>4335</v>
      </c>
      <c r="D10" s="90" t="s">
        <v>4336</v>
      </c>
      <c r="E10" s="90" t="s">
        <v>4337</v>
      </c>
      <c r="F10" s="90" t="s">
        <v>4338</v>
      </c>
      <c r="G10" s="90" t="s">
        <v>4339</v>
      </c>
      <c r="H10" s="90" t="s">
        <v>4340</v>
      </c>
      <c r="I10" s="90" t="s">
        <v>4341</v>
      </c>
      <c r="J10" s="90" t="s">
        <v>4342</v>
      </c>
      <c r="K10" s="91" t="s">
        <v>4309</v>
      </c>
    </row>
    <row r="11" spans="2:13" ht="200" customHeight="1" x14ac:dyDescent="0.35">
      <c r="B11" s="95">
        <v>6</v>
      </c>
      <c r="C11" s="90" t="s">
        <v>4343</v>
      </c>
      <c r="D11" s="90" t="s">
        <v>4482</v>
      </c>
      <c r="E11" s="90" t="s">
        <v>4483</v>
      </c>
      <c r="F11" s="90" t="s">
        <v>4484</v>
      </c>
      <c r="G11" s="90" t="s">
        <v>4485</v>
      </c>
      <c r="H11" s="90" t="s">
        <v>4486</v>
      </c>
      <c r="I11" s="90" t="s">
        <v>4487</v>
      </c>
      <c r="J11" s="90" t="s">
        <v>4488</v>
      </c>
      <c r="K11" s="93" t="s">
        <v>4344</v>
      </c>
    </row>
    <row r="12" spans="2:13" ht="200" customHeight="1" x14ac:dyDescent="0.35">
      <c r="B12" s="95">
        <v>7</v>
      </c>
      <c r="C12" s="90" t="s">
        <v>4345</v>
      </c>
      <c r="D12" s="90" t="s">
        <v>4489</v>
      </c>
      <c r="E12" s="90" t="s">
        <v>4490</v>
      </c>
      <c r="F12" s="90" t="s">
        <v>4491</v>
      </c>
      <c r="G12" s="90" t="s">
        <v>4492</v>
      </c>
      <c r="H12" s="90" t="s">
        <v>4493</v>
      </c>
      <c r="I12" s="90" t="s">
        <v>4494</v>
      </c>
      <c r="J12" s="90" t="s">
        <v>4495</v>
      </c>
      <c r="K12" s="92" t="s">
        <v>4334</v>
      </c>
    </row>
    <row r="13" spans="2:13" ht="200" customHeight="1" x14ac:dyDescent="0.35">
      <c r="B13" s="95">
        <v>8</v>
      </c>
      <c r="C13" s="90" t="s">
        <v>4346</v>
      </c>
      <c r="D13" s="90" t="s">
        <v>4351</v>
      </c>
      <c r="E13" s="90" t="s">
        <v>4352</v>
      </c>
      <c r="F13" s="90" t="s">
        <v>4353</v>
      </c>
      <c r="G13" s="90" t="s">
        <v>4354</v>
      </c>
      <c r="H13" s="90" t="s">
        <v>4355</v>
      </c>
      <c r="I13" s="90" t="s">
        <v>4356</v>
      </c>
      <c r="J13" s="90" t="s">
        <v>4357</v>
      </c>
      <c r="K13" s="93" t="s">
        <v>4344</v>
      </c>
    </row>
    <row r="14" spans="2:13" ht="200" customHeight="1" x14ac:dyDescent="0.35">
      <c r="B14" s="95">
        <v>9</v>
      </c>
      <c r="C14" s="90" t="s">
        <v>4347</v>
      </c>
      <c r="D14" s="90" t="s">
        <v>4358</v>
      </c>
      <c r="E14" s="90" t="s">
        <v>4359</v>
      </c>
      <c r="F14" s="90" t="s">
        <v>4360</v>
      </c>
      <c r="G14" s="90" t="s">
        <v>4361</v>
      </c>
      <c r="H14" s="90" t="s">
        <v>4362</v>
      </c>
      <c r="I14" s="90" t="s">
        <v>4363</v>
      </c>
      <c r="J14" s="90" t="s">
        <v>4364</v>
      </c>
      <c r="K14" s="91" t="s">
        <v>4309</v>
      </c>
    </row>
    <row r="15" spans="2:13" ht="200" customHeight="1" x14ac:dyDescent="0.35">
      <c r="B15" s="95">
        <v>10</v>
      </c>
      <c r="C15" s="90" t="s">
        <v>4348</v>
      </c>
      <c r="D15" s="90" t="s">
        <v>4365</v>
      </c>
      <c r="E15" s="90" t="s">
        <v>4366</v>
      </c>
      <c r="F15" s="90" t="s">
        <v>4367</v>
      </c>
      <c r="G15" s="90" t="s">
        <v>4368</v>
      </c>
      <c r="H15" s="90" t="s">
        <v>4369</v>
      </c>
      <c r="I15" s="90" t="s">
        <v>4370</v>
      </c>
      <c r="J15" s="90" t="s">
        <v>4371</v>
      </c>
      <c r="K15" s="91" t="s">
        <v>4309</v>
      </c>
    </row>
    <row r="16" spans="2:13" ht="200" customHeight="1" x14ac:dyDescent="0.35">
      <c r="B16" s="95">
        <v>11</v>
      </c>
      <c r="C16" s="90" t="s">
        <v>4349</v>
      </c>
      <c r="D16" s="90" t="s">
        <v>4372</v>
      </c>
      <c r="E16" s="90" t="s">
        <v>4373</v>
      </c>
      <c r="F16" s="90" t="s">
        <v>4374</v>
      </c>
      <c r="G16" s="90" t="s">
        <v>4375</v>
      </c>
      <c r="H16" s="90" t="s">
        <v>4376</v>
      </c>
      <c r="I16" s="90" t="s">
        <v>4377</v>
      </c>
      <c r="J16" s="90" t="s">
        <v>4378</v>
      </c>
      <c r="K16" s="93" t="s">
        <v>4344</v>
      </c>
    </row>
    <row r="17" spans="2:11" ht="200" customHeight="1" x14ac:dyDescent="0.35">
      <c r="B17" s="95">
        <v>12</v>
      </c>
      <c r="C17" s="90" t="s">
        <v>4350</v>
      </c>
      <c r="D17" s="90" t="s">
        <v>4396</v>
      </c>
      <c r="E17" s="90" t="s">
        <v>4397</v>
      </c>
      <c r="F17" s="90" t="s">
        <v>4398</v>
      </c>
      <c r="G17" s="90" t="s">
        <v>4399</v>
      </c>
      <c r="H17" s="90" t="s">
        <v>4400</v>
      </c>
      <c r="I17" s="90" t="s">
        <v>4401</v>
      </c>
      <c r="J17" s="90" t="s">
        <v>4402</v>
      </c>
      <c r="K17" s="93" t="s">
        <v>4344</v>
      </c>
    </row>
    <row r="18" spans="2:11" ht="200" customHeight="1" x14ac:dyDescent="0.35">
      <c r="B18" s="95">
        <v>13</v>
      </c>
      <c r="C18" s="90" t="s">
        <v>4379</v>
      </c>
      <c r="D18" s="90" t="s">
        <v>4380</v>
      </c>
      <c r="E18" s="90" t="s">
        <v>4381</v>
      </c>
      <c r="F18" s="90" t="s">
        <v>4382</v>
      </c>
      <c r="G18" s="90" t="s">
        <v>4383</v>
      </c>
      <c r="H18" s="90" t="s">
        <v>4384</v>
      </c>
      <c r="I18" s="90" t="s">
        <v>4385</v>
      </c>
      <c r="J18" s="90" t="s">
        <v>4386</v>
      </c>
      <c r="K18" s="93" t="s">
        <v>4344</v>
      </c>
    </row>
    <row r="19" spans="2:11" ht="200" customHeight="1" x14ac:dyDescent="0.35">
      <c r="B19" s="95">
        <v>14</v>
      </c>
      <c r="C19" s="90" t="s">
        <v>4387</v>
      </c>
      <c r="D19" s="90" t="s">
        <v>4403</v>
      </c>
      <c r="E19" s="90" t="s">
        <v>4404</v>
      </c>
      <c r="F19" s="90" t="s">
        <v>4405</v>
      </c>
      <c r="G19" s="90" t="s">
        <v>4406</v>
      </c>
      <c r="H19" s="90" t="s">
        <v>4407</v>
      </c>
      <c r="I19" s="90" t="s">
        <v>4408</v>
      </c>
      <c r="J19" s="90" t="s">
        <v>4409</v>
      </c>
      <c r="K19" s="91" t="s">
        <v>4309</v>
      </c>
    </row>
    <row r="20" spans="2:11" ht="200" customHeight="1" x14ac:dyDescent="0.35">
      <c r="B20" s="95">
        <v>15</v>
      </c>
      <c r="C20" s="90" t="s">
        <v>4410</v>
      </c>
      <c r="D20" s="90" t="s">
        <v>4411</v>
      </c>
      <c r="E20" s="90" t="s">
        <v>4412</v>
      </c>
      <c r="F20" s="90" t="s">
        <v>4413</v>
      </c>
      <c r="G20" s="90" t="s">
        <v>4414</v>
      </c>
      <c r="H20" s="90" t="s">
        <v>4415</v>
      </c>
      <c r="I20" s="90" t="s">
        <v>4416</v>
      </c>
      <c r="J20" s="90" t="s">
        <v>4417</v>
      </c>
      <c r="K20" s="93" t="s">
        <v>4344</v>
      </c>
    </row>
    <row r="21" spans="2:11" ht="200" customHeight="1" x14ac:dyDescent="0.35">
      <c r="B21" s="95">
        <v>16</v>
      </c>
      <c r="C21" s="90" t="s">
        <v>4418</v>
      </c>
      <c r="D21" s="90" t="s">
        <v>4419</v>
      </c>
      <c r="E21" s="90" t="s">
        <v>4420</v>
      </c>
      <c r="F21" s="90" t="s">
        <v>4421</v>
      </c>
      <c r="G21" s="90" t="s">
        <v>4422</v>
      </c>
      <c r="H21" s="90" t="s">
        <v>4423</v>
      </c>
      <c r="I21" s="90" t="s">
        <v>4424</v>
      </c>
      <c r="J21" s="90" t="s">
        <v>4425</v>
      </c>
      <c r="K21" s="93" t="s">
        <v>4344</v>
      </c>
    </row>
    <row r="22" spans="2:11" ht="200" customHeight="1" x14ac:dyDescent="0.35">
      <c r="B22" s="95">
        <v>17</v>
      </c>
      <c r="C22" s="90" t="s">
        <v>4426</v>
      </c>
      <c r="D22" s="90" t="s">
        <v>4427</v>
      </c>
      <c r="E22" s="90" t="s">
        <v>4428</v>
      </c>
      <c r="F22" s="90" t="s">
        <v>4429</v>
      </c>
      <c r="G22" s="90" t="s">
        <v>4430</v>
      </c>
      <c r="H22" s="90" t="s">
        <v>4431</v>
      </c>
      <c r="I22" s="90" t="s">
        <v>4432</v>
      </c>
      <c r="J22" s="90" t="s">
        <v>4433</v>
      </c>
      <c r="K22" s="93" t="s">
        <v>4344</v>
      </c>
    </row>
    <row r="23" spans="2:11" ht="200" customHeight="1" x14ac:dyDescent="0.35">
      <c r="B23" s="95">
        <v>18</v>
      </c>
      <c r="C23" s="90" t="s">
        <v>4388</v>
      </c>
      <c r="D23" s="90" t="s">
        <v>4389</v>
      </c>
      <c r="E23" s="90" t="s">
        <v>4309</v>
      </c>
      <c r="F23" s="90" t="s">
        <v>4390</v>
      </c>
      <c r="G23" s="90" t="s">
        <v>4391</v>
      </c>
      <c r="H23" s="90" t="s">
        <v>4392</v>
      </c>
      <c r="I23" s="90" t="s">
        <v>4393</v>
      </c>
      <c r="J23" s="90" t="s">
        <v>4394</v>
      </c>
      <c r="K23" s="94" t="s">
        <v>4395</v>
      </c>
    </row>
    <row r="24" spans="2:11" ht="200" customHeight="1" x14ac:dyDescent="0.35">
      <c r="B24" s="95">
        <v>19</v>
      </c>
      <c r="C24" s="90" t="s">
        <v>4434</v>
      </c>
      <c r="D24" s="90" t="s">
        <v>4435</v>
      </c>
      <c r="E24" s="90" t="s">
        <v>4436</v>
      </c>
      <c r="F24" s="90" t="s">
        <v>4437</v>
      </c>
      <c r="G24" s="90" t="s">
        <v>4438</v>
      </c>
      <c r="H24" s="90" t="s">
        <v>4439</v>
      </c>
      <c r="I24" s="90" t="s">
        <v>4440</v>
      </c>
      <c r="J24" s="90" t="s">
        <v>4441</v>
      </c>
      <c r="K24" s="92" t="s">
        <v>4334</v>
      </c>
    </row>
    <row r="25" spans="2:11" ht="200" customHeight="1" x14ac:dyDescent="0.35">
      <c r="B25" s="95">
        <v>20</v>
      </c>
      <c r="C25" s="90" t="s">
        <v>4496</v>
      </c>
      <c r="D25" s="90" t="s">
        <v>4497</v>
      </c>
      <c r="E25" s="90" t="s">
        <v>4498</v>
      </c>
      <c r="F25" s="90" t="s">
        <v>4499</v>
      </c>
      <c r="G25" s="90" t="s">
        <v>4500</v>
      </c>
      <c r="H25" s="90" t="s">
        <v>4501</v>
      </c>
      <c r="I25" s="90" t="s">
        <v>4502</v>
      </c>
      <c r="J25" s="90" t="s">
        <v>4503</v>
      </c>
      <c r="K25" s="92" t="s">
        <v>4334</v>
      </c>
    </row>
    <row r="26" spans="2:11" ht="200" customHeight="1" x14ac:dyDescent="0.35">
      <c r="B26" s="95">
        <v>21</v>
      </c>
      <c r="C26" s="90" t="s">
        <v>4504</v>
      </c>
      <c r="D26" s="90" t="s">
        <v>4505</v>
      </c>
      <c r="E26" s="90" t="s">
        <v>4506</v>
      </c>
      <c r="F26" s="90" t="s">
        <v>4507</v>
      </c>
      <c r="G26" s="90" t="s">
        <v>4508</v>
      </c>
      <c r="H26" s="90" t="s">
        <v>4509</v>
      </c>
      <c r="I26" s="90" t="s">
        <v>4510</v>
      </c>
      <c r="J26" s="90" t="s">
        <v>4511</v>
      </c>
      <c r="K26" s="91" t="s">
        <v>4309</v>
      </c>
    </row>
    <row r="27" spans="2:11" ht="200" customHeight="1" x14ac:dyDescent="0.35">
      <c r="B27" s="95">
        <v>22</v>
      </c>
      <c r="C27" s="90" t="s">
        <v>4512</v>
      </c>
      <c r="D27" s="90" t="s">
        <v>4513</v>
      </c>
      <c r="E27" s="90" t="s">
        <v>4514</v>
      </c>
      <c r="F27" s="90" t="s">
        <v>4515</v>
      </c>
      <c r="G27" s="90" t="s">
        <v>4516</v>
      </c>
      <c r="H27" s="90" t="s">
        <v>4517</v>
      </c>
      <c r="I27" s="90" t="s">
        <v>4518</v>
      </c>
      <c r="J27" s="90" t="s">
        <v>4519</v>
      </c>
      <c r="K27" s="93" t="s">
        <v>4344</v>
      </c>
    </row>
    <row r="28" spans="2:11" ht="200" customHeight="1" x14ac:dyDescent="0.35">
      <c r="B28" s="95">
        <v>23</v>
      </c>
      <c r="C28" s="90" t="s">
        <v>4520</v>
      </c>
      <c r="D28" s="90" t="s">
        <v>4521</v>
      </c>
      <c r="E28" s="90" t="s">
        <v>4522</v>
      </c>
      <c r="F28" s="90" t="s">
        <v>4523</v>
      </c>
      <c r="G28" s="90" t="s">
        <v>4524</v>
      </c>
      <c r="H28" s="90" t="s">
        <v>4525</v>
      </c>
      <c r="I28" s="90" t="s">
        <v>4518</v>
      </c>
      <c r="J28" s="90" t="s">
        <v>4526</v>
      </c>
      <c r="K28" s="93" t="s">
        <v>4344</v>
      </c>
    </row>
    <row r="29" spans="2:11" ht="200" customHeight="1" x14ac:dyDescent="0.35">
      <c r="B29" s="95">
        <v>24</v>
      </c>
      <c r="C29" s="90" t="s">
        <v>4442</v>
      </c>
      <c r="D29" s="90" t="s">
        <v>4443</v>
      </c>
      <c r="E29" s="90" t="s">
        <v>4444</v>
      </c>
      <c r="F29" s="90" t="s">
        <v>4445</v>
      </c>
      <c r="G29" s="90" t="s">
        <v>4446</v>
      </c>
      <c r="H29" s="90" t="s">
        <v>4447</v>
      </c>
      <c r="I29" s="90" t="s">
        <v>4448</v>
      </c>
      <c r="J29" s="90" t="s">
        <v>4449</v>
      </c>
      <c r="K29" s="91" t="s">
        <v>4309</v>
      </c>
    </row>
    <row r="30" spans="2:11" ht="200" customHeight="1" x14ac:dyDescent="0.35">
      <c r="B30" s="95">
        <v>25</v>
      </c>
      <c r="C30" s="90" t="s">
        <v>4450</v>
      </c>
      <c r="D30" s="90" t="s">
        <v>4451</v>
      </c>
      <c r="E30" s="90" t="s">
        <v>4452</v>
      </c>
      <c r="F30" s="90" t="s">
        <v>4453</v>
      </c>
      <c r="G30" s="90" t="s">
        <v>4454</v>
      </c>
      <c r="H30" s="90" t="s">
        <v>4455</v>
      </c>
      <c r="I30" s="90" t="s">
        <v>4456</v>
      </c>
      <c r="J30" s="90" t="s">
        <v>4457</v>
      </c>
      <c r="K30" s="91" t="s">
        <v>4309</v>
      </c>
    </row>
    <row r="31" spans="2:11" ht="200" customHeight="1" x14ac:dyDescent="0.35">
      <c r="B31" s="95">
        <v>26</v>
      </c>
      <c r="C31" s="90" t="s">
        <v>4458</v>
      </c>
      <c r="D31" s="90" t="s">
        <v>4459</v>
      </c>
      <c r="E31" s="90" t="s">
        <v>4460</v>
      </c>
      <c r="F31" s="90" t="s">
        <v>4461</v>
      </c>
      <c r="G31" s="90" t="s">
        <v>4462</v>
      </c>
      <c r="H31" s="90" t="s">
        <v>4463</v>
      </c>
      <c r="I31" s="90" t="s">
        <v>4464</v>
      </c>
      <c r="J31" s="90" t="s">
        <v>4465</v>
      </c>
      <c r="K31" s="91" t="s">
        <v>4309</v>
      </c>
    </row>
    <row r="32" spans="2:11" ht="200" customHeight="1" x14ac:dyDescent="0.35">
      <c r="B32" s="95">
        <v>27</v>
      </c>
      <c r="C32" s="90" t="s">
        <v>4466</v>
      </c>
      <c r="D32" s="90" t="s">
        <v>4467</v>
      </c>
      <c r="E32" s="90" t="s">
        <v>4468</v>
      </c>
      <c r="F32" s="90" t="s">
        <v>4469</v>
      </c>
      <c r="G32" s="90" t="s">
        <v>4470</v>
      </c>
      <c r="H32" s="90" t="s">
        <v>4471</v>
      </c>
      <c r="I32" s="90" t="s">
        <v>4472</v>
      </c>
      <c r="J32" s="90" t="s">
        <v>4473</v>
      </c>
      <c r="K32" s="91" t="s">
        <v>4309</v>
      </c>
    </row>
    <row r="33" spans="2:11" ht="200" customHeight="1" x14ac:dyDescent="0.35">
      <c r="B33" s="95">
        <v>28</v>
      </c>
      <c r="C33" s="90" t="s">
        <v>4527</v>
      </c>
      <c r="D33" s="90" t="s">
        <v>4528</v>
      </c>
      <c r="E33" s="90" t="s">
        <v>4529</v>
      </c>
      <c r="F33" s="90" t="s">
        <v>4530</v>
      </c>
      <c r="G33" s="90" t="s">
        <v>4531</v>
      </c>
      <c r="H33" s="90" t="s">
        <v>4532</v>
      </c>
      <c r="I33" s="90" t="s">
        <v>4518</v>
      </c>
      <c r="J33" s="90" t="s">
        <v>4533</v>
      </c>
      <c r="K33" s="93" t="s">
        <v>4344</v>
      </c>
    </row>
    <row r="34" spans="2:11" ht="200" customHeight="1" x14ac:dyDescent="0.35">
      <c r="B34" s="95">
        <v>29</v>
      </c>
      <c r="C34" s="90" t="s">
        <v>4534</v>
      </c>
      <c r="D34" s="90" t="s">
        <v>4535</v>
      </c>
      <c r="E34" s="90" t="s">
        <v>4536</v>
      </c>
      <c r="F34" s="90" t="s">
        <v>4537</v>
      </c>
      <c r="G34" s="90" t="s">
        <v>4538</v>
      </c>
      <c r="H34" s="90" t="s">
        <v>4539</v>
      </c>
      <c r="I34" s="90" t="s">
        <v>4518</v>
      </c>
      <c r="J34" s="90" t="s">
        <v>4540</v>
      </c>
      <c r="K34" s="93" t="s">
        <v>4344</v>
      </c>
    </row>
    <row r="35" spans="2:11" ht="200" customHeight="1" x14ac:dyDescent="0.35">
      <c r="B35" s="95">
        <v>30</v>
      </c>
      <c r="C35" s="90" t="s">
        <v>4541</v>
      </c>
      <c r="D35" s="90" t="s">
        <v>4542</v>
      </c>
      <c r="E35" s="90" t="s">
        <v>4543</v>
      </c>
      <c r="F35" s="90" t="s">
        <v>4544</v>
      </c>
      <c r="G35" s="90" t="s">
        <v>4545</v>
      </c>
      <c r="H35" s="90" t="s">
        <v>4546</v>
      </c>
      <c r="I35" s="90" t="s">
        <v>4518</v>
      </c>
      <c r="J35" s="90" t="s">
        <v>4547</v>
      </c>
      <c r="K35" s="93" t="s">
        <v>4344</v>
      </c>
    </row>
    <row r="36" spans="2:11" ht="200" customHeight="1" x14ac:dyDescent="0.35">
      <c r="B36" s="95">
        <v>31</v>
      </c>
      <c r="C36" s="90" t="s">
        <v>4548</v>
      </c>
      <c r="D36" s="90" t="s">
        <v>4549</v>
      </c>
      <c r="E36" s="90" t="s">
        <v>4550</v>
      </c>
      <c r="F36" s="90" t="s">
        <v>4551</v>
      </c>
      <c r="G36" s="90" t="s">
        <v>4552</v>
      </c>
      <c r="H36" s="90" t="s">
        <v>4553</v>
      </c>
      <c r="I36" s="90" t="s">
        <v>4518</v>
      </c>
      <c r="J36" s="90" t="s">
        <v>4554</v>
      </c>
      <c r="K36" s="91" t="s">
        <v>4309</v>
      </c>
    </row>
    <row r="37" spans="2:11" ht="200" customHeight="1" x14ac:dyDescent="0.35">
      <c r="B37" s="95">
        <v>32</v>
      </c>
      <c r="C37" s="90" t="s">
        <v>4555</v>
      </c>
      <c r="D37" s="90" t="s">
        <v>4556</v>
      </c>
      <c r="E37" s="90" t="s">
        <v>4557</v>
      </c>
      <c r="F37" s="90" t="s">
        <v>4558</v>
      </c>
      <c r="G37" s="90" t="s">
        <v>4559</v>
      </c>
      <c r="H37" s="90" t="s">
        <v>4560</v>
      </c>
      <c r="I37" s="90" t="s">
        <v>4561</v>
      </c>
      <c r="J37" s="90" t="s">
        <v>4562</v>
      </c>
      <c r="K37" s="93" t="s">
        <v>4344</v>
      </c>
    </row>
    <row r="38" spans="2:11" ht="200" customHeight="1" x14ac:dyDescent="0.35">
      <c r="B38" s="95">
        <v>33</v>
      </c>
      <c r="C38" s="90" t="s">
        <v>4563</v>
      </c>
      <c r="D38" s="90" t="s">
        <v>4564</v>
      </c>
      <c r="E38" s="90" t="s">
        <v>4565</v>
      </c>
      <c r="F38" s="90" t="s">
        <v>4566</v>
      </c>
      <c r="G38" s="90" t="s">
        <v>4567</v>
      </c>
      <c r="H38" s="90" t="s">
        <v>4568</v>
      </c>
      <c r="I38" s="90" t="s">
        <v>4569</v>
      </c>
      <c r="J38" s="90" t="s">
        <v>4570</v>
      </c>
      <c r="K38" s="91" t="s">
        <v>4309</v>
      </c>
    </row>
    <row r="39" spans="2:11" ht="200" customHeight="1" x14ac:dyDescent="0.35">
      <c r="B39" s="95">
        <v>34</v>
      </c>
      <c r="C39" s="90" t="s">
        <v>4571</v>
      </c>
      <c r="D39" s="90" t="s">
        <v>4572</v>
      </c>
      <c r="E39" s="90" t="s">
        <v>4573</v>
      </c>
      <c r="F39" s="90" t="s">
        <v>4574</v>
      </c>
      <c r="G39" s="90" t="s">
        <v>4575</v>
      </c>
      <c r="H39" s="90" t="s">
        <v>4576</v>
      </c>
      <c r="I39" s="90" t="s">
        <v>4577</v>
      </c>
      <c r="J39" s="90" t="s">
        <v>4578</v>
      </c>
      <c r="K39" s="91" t="s">
        <v>4309</v>
      </c>
    </row>
    <row r="40" spans="2:11" ht="200" customHeight="1" x14ac:dyDescent="0.35">
      <c r="B40" s="95">
        <v>35</v>
      </c>
      <c r="C40" s="90" t="s">
        <v>4579</v>
      </c>
      <c r="D40" s="90" t="s">
        <v>4580</v>
      </c>
      <c r="E40" s="90" t="s">
        <v>4581</v>
      </c>
      <c r="F40" s="90" t="s">
        <v>4582</v>
      </c>
      <c r="G40" s="90" t="s">
        <v>4583</v>
      </c>
      <c r="H40" s="90" t="s">
        <v>4584</v>
      </c>
      <c r="I40" s="90" t="s">
        <v>4585</v>
      </c>
      <c r="J40" s="90" t="s">
        <v>4586</v>
      </c>
      <c r="K40" s="93" t="s">
        <v>4344</v>
      </c>
    </row>
    <row r="41" spans="2:11" ht="200" customHeight="1" x14ac:dyDescent="0.35">
      <c r="B41" s="95">
        <v>36</v>
      </c>
      <c r="C41" s="90" t="s">
        <v>4587</v>
      </c>
      <c r="D41" s="90" t="s">
        <v>4588</v>
      </c>
      <c r="E41" s="90" t="s">
        <v>4589</v>
      </c>
      <c r="F41" s="90" t="s">
        <v>4590</v>
      </c>
      <c r="G41" s="90" t="s">
        <v>4591</v>
      </c>
      <c r="H41" s="90" t="s">
        <v>4592</v>
      </c>
      <c r="I41" s="90" t="s">
        <v>4593</v>
      </c>
      <c r="J41" s="90" t="s">
        <v>4594</v>
      </c>
      <c r="K41" s="93" t="s">
        <v>4344</v>
      </c>
    </row>
    <row r="42" spans="2:11" ht="200" customHeight="1" x14ac:dyDescent="0.35">
      <c r="B42" s="95">
        <v>37</v>
      </c>
      <c r="C42" s="90" t="s">
        <v>4595</v>
      </c>
      <c r="D42" s="90" t="s">
        <v>4596</v>
      </c>
      <c r="E42" s="90" t="s">
        <v>4597</v>
      </c>
      <c r="F42" s="90" t="s">
        <v>4598</v>
      </c>
      <c r="G42" s="90" t="s">
        <v>4599</v>
      </c>
      <c r="H42" s="90" t="s">
        <v>4600</v>
      </c>
      <c r="I42" s="90" t="s">
        <v>4601</v>
      </c>
      <c r="J42" s="90" t="s">
        <v>4602</v>
      </c>
      <c r="K42" s="91" t="s">
        <v>4309</v>
      </c>
    </row>
    <row r="43" spans="2:11" ht="200" customHeight="1" x14ac:dyDescent="0.35">
      <c r="B43" s="95">
        <v>38</v>
      </c>
      <c r="C43" s="90" t="s">
        <v>4603</v>
      </c>
      <c r="D43" s="90" t="s">
        <v>4604</v>
      </c>
      <c r="E43" s="90" t="s">
        <v>4605</v>
      </c>
      <c r="F43" s="90" t="s">
        <v>4606</v>
      </c>
      <c r="G43" s="90" t="s">
        <v>4607</v>
      </c>
      <c r="H43" s="90" t="s">
        <v>4608</v>
      </c>
      <c r="I43" s="90" t="s">
        <v>4609</v>
      </c>
      <c r="J43" s="90" t="s">
        <v>4610</v>
      </c>
      <c r="K43" s="93" t="s">
        <v>4344</v>
      </c>
    </row>
    <row r="44" spans="2:11" ht="200" customHeight="1" x14ac:dyDescent="0.35">
      <c r="B44" s="95">
        <v>39</v>
      </c>
      <c r="C44" s="90" t="s">
        <v>4611</v>
      </c>
      <c r="D44" s="90" t="s">
        <v>4612</v>
      </c>
      <c r="E44" s="90" t="s">
        <v>4613</v>
      </c>
      <c r="F44" s="90" t="s">
        <v>4614</v>
      </c>
      <c r="G44" s="90" t="s">
        <v>4615</v>
      </c>
      <c r="H44" s="90" t="s">
        <v>4616</v>
      </c>
      <c r="I44" s="90" t="s">
        <v>4617</v>
      </c>
      <c r="J44" s="90" t="s">
        <v>4618</v>
      </c>
      <c r="K44" s="91" t="s">
        <v>4309</v>
      </c>
    </row>
    <row r="45" spans="2:11" ht="200" customHeight="1" x14ac:dyDescent="0.35">
      <c r="B45" s="96">
        <v>40</v>
      </c>
      <c r="C45" s="89" t="s">
        <v>4474</v>
      </c>
      <c r="D45" s="89" t="s">
        <v>4475</v>
      </c>
      <c r="E45" s="89" t="s">
        <v>4476</v>
      </c>
      <c r="F45" s="89" t="s">
        <v>4477</v>
      </c>
      <c r="G45" s="89" t="s">
        <v>4478</v>
      </c>
      <c r="H45" s="89" t="s">
        <v>4479</v>
      </c>
      <c r="I45" s="89" t="s">
        <v>4480</v>
      </c>
      <c r="J45" s="89" t="s">
        <v>4481</v>
      </c>
      <c r="K45" s="97" t="s">
        <v>4334</v>
      </c>
    </row>
    <row r="46" spans="2:11" ht="320" customHeight="1" x14ac:dyDescent="0.35">
      <c r="B46" s="96">
        <v>41</v>
      </c>
      <c r="C46" s="89" t="s">
        <v>4426</v>
      </c>
      <c r="D46" s="89" t="s">
        <v>4619</v>
      </c>
      <c r="E46" s="89" t="s">
        <v>4620</v>
      </c>
      <c r="F46" s="89" t="s">
        <v>4621</v>
      </c>
      <c r="G46" s="89" t="s">
        <v>4622</v>
      </c>
      <c r="H46" s="89" t="s">
        <v>4623</v>
      </c>
      <c r="I46" s="89" t="s">
        <v>4624</v>
      </c>
      <c r="J46" s="89" t="s">
        <v>4625</v>
      </c>
      <c r="K46" s="98" t="s">
        <v>4344</v>
      </c>
    </row>
    <row r="47" spans="2:11" ht="391.5" x14ac:dyDescent="0.35">
      <c r="B47" s="95">
        <v>42</v>
      </c>
      <c r="C47" s="90" t="s">
        <v>4626</v>
      </c>
      <c r="D47" s="90" t="s">
        <v>4627</v>
      </c>
      <c r="E47" s="90" t="s">
        <v>4628</v>
      </c>
      <c r="F47" s="90" t="s">
        <v>4629</v>
      </c>
      <c r="G47" s="90" t="s">
        <v>4630</v>
      </c>
      <c r="H47" s="90" t="s">
        <v>4631</v>
      </c>
      <c r="I47" s="90" t="s">
        <v>4632</v>
      </c>
      <c r="J47" s="90" t="s">
        <v>4633</v>
      </c>
      <c r="K47" s="93" t="s">
        <v>4344</v>
      </c>
    </row>
  </sheetData>
  <mergeCells count="2">
    <mergeCell ref="B2:K2"/>
    <mergeCell ref="B3:K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6BC38-D073-467F-88C5-2D028DBC805F}">
  <dimension ref="A1"/>
  <sheetViews>
    <sheetView workbookViewId="0"/>
  </sheetViews>
  <sheetFormatPr defaultRowHeight="14.5"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95680-92CD-4CC2-AD89-91E444C6558A}">
  <dimension ref="B2:E53"/>
  <sheetViews>
    <sheetView workbookViewId="0"/>
  </sheetViews>
  <sheetFormatPr defaultRowHeight="14.5" x14ac:dyDescent="0.35"/>
  <cols>
    <col min="2" max="4" width="50.90625" customWidth="1"/>
    <col min="5" max="5" width="45.453125" customWidth="1"/>
  </cols>
  <sheetData>
    <row r="2" spans="2:4" ht="18.5" x14ac:dyDescent="0.45">
      <c r="B2" s="100" t="s">
        <v>4645</v>
      </c>
    </row>
    <row r="3" spans="2:4" x14ac:dyDescent="0.35">
      <c r="B3" t="s">
        <v>4646</v>
      </c>
    </row>
    <row r="5" spans="2:4" x14ac:dyDescent="0.35">
      <c r="B5" t="s">
        <v>4647</v>
      </c>
    </row>
    <row r="6" spans="2:4" x14ac:dyDescent="0.35">
      <c r="B6" s="27" t="s">
        <v>4635</v>
      </c>
    </row>
    <row r="7" spans="2:4" x14ac:dyDescent="0.35">
      <c r="B7" t="s">
        <v>4647</v>
      </c>
    </row>
    <row r="9" spans="2:4" x14ac:dyDescent="0.35">
      <c r="B9" s="27" t="s">
        <v>4636</v>
      </c>
      <c r="C9" s="27" t="s">
        <v>4637</v>
      </c>
      <c r="D9" s="27" t="s">
        <v>4648</v>
      </c>
    </row>
    <row r="10" spans="2:4" x14ac:dyDescent="0.35">
      <c r="B10" t="s">
        <v>4638</v>
      </c>
      <c r="C10" t="s">
        <v>4639</v>
      </c>
      <c r="D10" t="s">
        <v>4200</v>
      </c>
    </row>
    <row r="11" spans="2:4" x14ac:dyDescent="0.35">
      <c r="B11" t="s">
        <v>4634</v>
      </c>
      <c r="C11" t="s">
        <v>4649</v>
      </c>
      <c r="D11" t="s">
        <v>261</v>
      </c>
    </row>
    <row r="12" spans="2:4" x14ac:dyDescent="0.35">
      <c r="B12" t="s">
        <v>4640</v>
      </c>
      <c r="C12" t="s">
        <v>4650</v>
      </c>
      <c r="D12" t="s">
        <v>4641</v>
      </c>
    </row>
    <row r="14" spans="2:4" x14ac:dyDescent="0.35">
      <c r="B14" t="s">
        <v>4647</v>
      </c>
    </row>
    <row r="15" spans="2:4" x14ac:dyDescent="0.35">
      <c r="B15" s="27" t="s">
        <v>4651</v>
      </c>
    </row>
    <row r="16" spans="2:4" x14ac:dyDescent="0.35">
      <c r="B16" t="s">
        <v>4647</v>
      </c>
    </row>
    <row r="18" spans="2:5" x14ac:dyDescent="0.35">
      <c r="B18" s="27" t="s">
        <v>4642</v>
      </c>
      <c r="C18" s="27" t="s">
        <v>4643</v>
      </c>
      <c r="D18" s="27" t="s">
        <v>4644</v>
      </c>
      <c r="E18" s="27" t="s">
        <v>4652</v>
      </c>
    </row>
    <row r="19" spans="2:5" x14ac:dyDescent="0.35">
      <c r="B19" t="s">
        <v>409</v>
      </c>
      <c r="C19" t="s">
        <v>4653</v>
      </c>
      <c r="D19" t="s">
        <v>12</v>
      </c>
      <c r="E19" t="s">
        <v>4654</v>
      </c>
    </row>
    <row r="20" spans="2:5" x14ac:dyDescent="0.35">
      <c r="B20" t="s">
        <v>4281</v>
      </c>
      <c r="C20" t="s">
        <v>4655</v>
      </c>
      <c r="D20" t="s">
        <v>3508</v>
      </c>
      <c r="E20" t="s">
        <v>4656</v>
      </c>
    </row>
    <row r="21" spans="2:5" x14ac:dyDescent="0.35">
      <c r="B21" t="s">
        <v>4282</v>
      </c>
      <c r="C21" t="s">
        <v>4657</v>
      </c>
      <c r="D21" t="s">
        <v>10</v>
      </c>
      <c r="E21" t="s">
        <v>4658</v>
      </c>
    </row>
    <row r="23" spans="2:5" x14ac:dyDescent="0.35">
      <c r="B23" t="s">
        <v>4647</v>
      </c>
    </row>
    <row r="24" spans="2:5" x14ac:dyDescent="0.35">
      <c r="B24" s="27" t="s">
        <v>4659</v>
      </c>
    </row>
    <row r="25" spans="2:5" x14ac:dyDescent="0.35">
      <c r="B25" t="s">
        <v>4647</v>
      </c>
    </row>
    <row r="27" spans="2:5" x14ac:dyDescent="0.35">
      <c r="B27" s="27" t="s">
        <v>4642</v>
      </c>
      <c r="C27" s="27" t="s">
        <v>4660</v>
      </c>
      <c r="D27" s="27" t="s">
        <v>4661</v>
      </c>
    </row>
    <row r="28" spans="2:5" x14ac:dyDescent="0.35">
      <c r="B28" t="s">
        <v>409</v>
      </c>
      <c r="C28" t="s">
        <v>4662</v>
      </c>
      <c r="D28" t="s">
        <v>4663</v>
      </c>
    </row>
    <row r="29" spans="2:5" x14ac:dyDescent="0.35">
      <c r="B29" t="s">
        <v>4281</v>
      </c>
      <c r="C29" t="s">
        <v>4664</v>
      </c>
      <c r="D29" t="s">
        <v>4665</v>
      </c>
    </row>
    <row r="30" spans="2:5" x14ac:dyDescent="0.35">
      <c r="B30" t="s">
        <v>4282</v>
      </c>
      <c r="C30" t="s">
        <v>4666</v>
      </c>
      <c r="D30" t="s">
        <v>4667</v>
      </c>
    </row>
    <row r="32" spans="2:5" x14ac:dyDescent="0.35">
      <c r="B32" t="s">
        <v>4647</v>
      </c>
    </row>
    <row r="33" spans="2:4" x14ac:dyDescent="0.35">
      <c r="B33" s="27" t="s">
        <v>4668</v>
      </c>
    </row>
    <row r="34" spans="2:4" x14ac:dyDescent="0.35">
      <c r="B34" t="s">
        <v>4647</v>
      </c>
    </row>
    <row r="36" spans="2:4" x14ac:dyDescent="0.35">
      <c r="B36" s="27" t="s">
        <v>4669</v>
      </c>
      <c r="C36" s="27" t="s">
        <v>4670</v>
      </c>
      <c r="D36" s="27" t="s">
        <v>4671</v>
      </c>
    </row>
    <row r="37" spans="2:4" x14ac:dyDescent="0.35">
      <c r="B37" t="s">
        <v>4200</v>
      </c>
      <c r="C37" t="s">
        <v>4672</v>
      </c>
      <c r="D37" t="s">
        <v>4673</v>
      </c>
    </row>
    <row r="38" spans="2:4" x14ac:dyDescent="0.35">
      <c r="B38" t="s">
        <v>4641</v>
      </c>
      <c r="C38" t="s">
        <v>4674</v>
      </c>
      <c r="D38" t="s">
        <v>4675</v>
      </c>
    </row>
    <row r="39" spans="2:4" x14ac:dyDescent="0.35">
      <c r="B39" t="s">
        <v>261</v>
      </c>
      <c r="C39" t="s">
        <v>4676</v>
      </c>
      <c r="D39" t="s">
        <v>4677</v>
      </c>
    </row>
    <row r="41" spans="2:4" x14ac:dyDescent="0.35">
      <c r="B41" t="s">
        <v>4647</v>
      </c>
    </row>
    <row r="42" spans="2:4" x14ac:dyDescent="0.35">
      <c r="B42" s="27" t="s">
        <v>4678</v>
      </c>
    </row>
    <row r="43" spans="2:4" x14ac:dyDescent="0.35">
      <c r="B43" t="s">
        <v>4647</v>
      </c>
    </row>
    <row r="45" spans="2:4" x14ac:dyDescent="0.35">
      <c r="B45" t="s">
        <v>4679</v>
      </c>
    </row>
    <row r="47" spans="2:4" x14ac:dyDescent="0.35">
      <c r="B47" s="27" t="s">
        <v>4680</v>
      </c>
      <c r="C47" s="27" t="s">
        <v>4681</v>
      </c>
    </row>
    <row r="48" spans="2:4" x14ac:dyDescent="0.35">
      <c r="B48" t="s">
        <v>4199</v>
      </c>
      <c r="C48">
        <f>_xlfn.XLOOKUP("M01", Sea!$CU$6:$CU$12, Sea!$CY$6:$CY$12, 0)</f>
        <v>0.14803944801784374</v>
      </c>
    </row>
    <row r="49" spans="2:3" x14ac:dyDescent="0.35">
      <c r="B49" t="s">
        <v>4201</v>
      </c>
      <c r="C49">
        <f>_xlfn.XLOOKUP("M01", land!$CC$3:$CC$10, land!$CE$3:$CE$10, 0)</f>
        <v>0</v>
      </c>
    </row>
    <row r="50" spans="2:3" x14ac:dyDescent="0.35">
      <c r="B50" t="s">
        <v>4204</v>
      </c>
      <c r="C50">
        <f>_xlfn.XLOOKUP("M01", Outbound!$BS$9:$BS$14, Outbound!$BU$9:$BU$14, 0)</f>
        <v>0.21335360941203255</v>
      </c>
    </row>
    <row r="51" spans="2:3" x14ac:dyDescent="0.35">
      <c r="B51" t="s">
        <v>4682</v>
      </c>
      <c r="C51">
        <f>_xlfn.XLOOKUP("M01", Sea!$CU$6:$CU$12, Sea!$CX$6:$CX$12, 0)</f>
        <v>20068.384603953826</v>
      </c>
    </row>
    <row r="52" spans="2:3" x14ac:dyDescent="0.35">
      <c r="B52" t="s">
        <v>4683</v>
      </c>
      <c r="C52">
        <f>_xlfn.XLOOKUP("M01", land!$CC$3:$CC$10, land!$CD$3:$CD$10, 0)</f>
        <v>0</v>
      </c>
    </row>
    <row r="53" spans="2:3" x14ac:dyDescent="0.35">
      <c r="B53" t="s">
        <v>4684</v>
      </c>
      <c r="C53">
        <f>_xlfn.XLOOKUP("M01", Outbound!$BS$9:$BS$14, Outbound!$BT$9:$BT$14, 0)</f>
        <v>27091.889759375143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Summary</vt:lpstr>
      <vt:lpstr>Outbound</vt:lpstr>
      <vt:lpstr>Sea</vt:lpstr>
      <vt:lpstr>land</vt:lpstr>
      <vt:lpstr>PRORRATEO_IMPO</vt:lpstr>
      <vt:lpstr>PRORRATEO_EXPO</vt:lpstr>
      <vt:lpstr>ANALISIS_CODIGO</vt:lpstr>
      <vt:lpstr>ANALISIS_FLUJO_DATOS</vt:lpstr>
      <vt:lpstr>ANALISIS_FLUJO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Alberto Penalver</dc:creator>
  <cp:lastModifiedBy>Franco Sanchez</cp:lastModifiedBy>
  <dcterms:created xsi:type="dcterms:W3CDTF">2026-04-29T14:49:04Z</dcterms:created>
  <dcterms:modified xsi:type="dcterms:W3CDTF">2026-05-19T20:25:16Z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